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Dashboard" sheetId="1" state="visible" r:id="rId1"/>
    <sheet xmlns:r="http://schemas.openxmlformats.org/officeDocument/2006/relationships" name="02 Macro Alocação" sheetId="2" state="visible" r:id="rId2"/>
    <sheet xmlns:r="http://schemas.openxmlformats.org/officeDocument/2006/relationships" name="03 Ações BR" sheetId="3" state="visible" r:id="rId3"/>
    <sheet xmlns:r="http://schemas.openxmlformats.org/officeDocument/2006/relationships" name="04 FIIs" sheetId="4" state="visible" r:id="rId4"/>
    <sheet xmlns:r="http://schemas.openxmlformats.org/officeDocument/2006/relationships" name="05 Stocks" sheetId="5" state="visible" r:id="rId5"/>
    <sheet xmlns:r="http://schemas.openxmlformats.org/officeDocument/2006/relationships" name="06 REITs" sheetId="6" state="visible" r:id="rId6"/>
    <sheet xmlns:r="http://schemas.openxmlformats.org/officeDocument/2006/relationships" name="07 Renda Fixa" sheetId="7" state="visible" r:id="rId7"/>
    <sheet xmlns:r="http://schemas.openxmlformats.org/officeDocument/2006/relationships" name="08 Criptomoedas" sheetId="8" state="visible" r:id="rId8"/>
    <sheet xmlns:r="http://schemas.openxmlformats.org/officeDocument/2006/relationships" name="09 Ativos Ilíquidos" sheetId="9" state="visible" r:id="rId9"/>
    <sheet xmlns:r="http://schemas.openxmlformats.org/officeDocument/2006/relationships" name="10 Configurações" sheetId="10" state="visible" r:id="rId10"/>
    <sheet xmlns:r="http://schemas.openxmlformats.org/officeDocument/2006/relationships" name="11 Auxiliar" sheetId="11" state="visible" r:id="rId11"/>
    <sheet xmlns:r="http://schemas.openxmlformats.org/officeDocument/2006/relationships" name="12 Base de Dados" sheetId="12" state="visible" r:id="rId12"/>
  </sheets>
  <definedNames>
    <definedName name="p_ModoCot">'10 Configurações'!$C$6</definedName>
    <definedName name="p_FonteCripto">'10 Configurações'!$C$7</definedName>
    <definedName name="p_IOF">'10 Configurações'!$C$8</definedName>
    <definedName name="p_Spread">'10 Configurações'!$C$9</definedName>
    <definedName name="p_CorrPct">'10 Configurações'!$C$10</definedName>
    <definedName name="p_CorrFixa">'10 Configurações'!$C$11</definedName>
    <definedName name="p_CompraMin">'10 Configurações'!$C$12</definedName>
    <definedName name="p_DifMin">'10 Configurações'!$C$13</definedName>
    <definedName name="p_MaxClasses">'10 Configurações'!$C$14</definedName>
    <definedName name="p_MaxAtivos">'10 Configurações'!$C$15</definedName>
    <definedName name="p_LimAtivo">'10 Configurações'!$C$16</definedName>
    <definedName name="p_LimSetor">'10 Configurações'!$C$17</definedName>
    <definedName name="moeda_cod">'10 Configurações'!$B$21:$B$30</definedName>
    <definedName name="moeda_fx">'10 Configurações'!$G$21:$G$30</definedName>
    <definedName name="p_Aporte">'01 Dashboard'!$V$2</definedName>
    <definedName name="_xlnm._FilterDatabase" localSheetId="11" hidden="1">'12 Base de Dados'!$A$5:$Q$925</definedName>
  </definedNames>
  <calcPr calcId="124519" fullCalcOnLoad="1"/>
</workbook>
</file>

<file path=xl/styles.xml><?xml version="1.0" encoding="utf-8"?>
<styleSheet xmlns="http://schemas.openxmlformats.org/spreadsheetml/2006/main">
  <numFmts count="15">
    <numFmt numFmtId="164" formatCode="&quot;R$ &quot;#,##0.00;-&quot;R$ &quot;#,##0.00;&quot;–&quot;"/>
    <numFmt numFmtId="165" formatCode="0.0%;-0.0%;&quot;–&quot;"/>
    <numFmt numFmtId="166" formatCode="#,##0.00##"/>
    <numFmt numFmtId="167" formatCode="#,##0.00;-#,##0.00;&quot;–&quot;"/>
    <numFmt numFmtId="168" formatCode="+0.0%;-0.0%;&quot;–&quot;"/>
    <numFmt numFmtId="169" formatCode="#,##0;-#,##0;&quot;–&quot;"/>
    <numFmt numFmtId="170" formatCode="0.0%;-0.0%;0.0%"/>
    <numFmt numFmtId="171" formatCode="dd/mm/yyyy"/>
    <numFmt numFmtId="172" formatCode="0.00%;-0.00%;&quot;–&quot;"/>
    <numFmt numFmtId="173" formatCode="0.000000"/>
    <numFmt numFmtId="174" formatCode="0.0%"/>
    <numFmt numFmtId="175" formatCode="0.0000"/>
    <numFmt numFmtId="176" formatCode="0.0"/>
    <numFmt numFmtId="177" formatCode="General;-General;&quot;–&quot;"/>
    <numFmt numFmtId="178" formatCode="#,##0.00##;-#,##0.00##;&quot;–&quot;"/>
  </numFmts>
  <fonts count="29">
    <font>
      <name val="Calibri"/>
      <family val="2"/>
      <color theme="1"/>
      <sz val="11"/>
      <scheme val="minor"/>
    </font>
    <font>
      <name val="Arial"/>
      <b val="1"/>
      <color rgb="00F8FAFC"/>
      <sz val="18"/>
    </font>
    <font>
      <name val="Arial"/>
      <color rgb="0094A3B8"/>
      <sz val="9"/>
    </font>
    <font>
      <name val="Arial"/>
      <b val="1"/>
      <color rgb="000F172A"/>
      <sz val="9"/>
    </font>
    <font>
      <name val="Arial"/>
      <color rgb="0094A3B8"/>
      <sz val="8"/>
    </font>
    <font>
      <name val="Arial"/>
      <color rgb="00F8FAFC"/>
      <sz val="9"/>
    </font>
    <font>
      <name val="Arial"/>
      <i val="1"/>
      <color rgb="0094A3B8"/>
      <sz val="8"/>
    </font>
    <font>
      <name val="Arial"/>
      <b val="1"/>
      <color rgb="00F8FAFC"/>
      <sz val="8"/>
    </font>
    <font>
      <name val="Arial"/>
      <b val="1"/>
      <color rgb="0038BDF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b val="1"/>
      <color rgb="0038BDF8"/>
      <sz val="10"/>
    </font>
    <font>
      <name val="Arial"/>
      <b val="1"/>
      <color rgb="00F8FAFC"/>
      <sz val="10"/>
    </font>
    <font>
      <name val="Arial"/>
      <b val="1"/>
      <color rgb="00F8FAFC"/>
      <sz val="9"/>
    </font>
    <font>
      <name val="Arial"/>
      <color rgb="007DD3FC"/>
      <sz val="10"/>
    </font>
    <font>
      <name val="Arial"/>
      <color rgb="00F8FAFC"/>
      <sz val="10"/>
    </font>
    <font>
      <name val="Arial"/>
      <b val="1"/>
      <color rgb="00F8FAFC"/>
      <sz val="14"/>
    </font>
    <font>
      <name val="Arial"/>
      <b val="1"/>
      <color rgb="00F59E0B"/>
      <sz val="8"/>
    </font>
    <font>
      <name val="Arial"/>
      <color rgb="0094A3B8"/>
      <sz val="10"/>
    </font>
    <font>
      <name val="Arial"/>
      <b val="1"/>
      <color rgb="00F8FAFC"/>
      <sz val="24"/>
    </font>
    <font>
      <name val="Arial"/>
      <b val="1"/>
      <color rgb="00F8FAFC"/>
      <sz val="11"/>
    </font>
    <font>
      <name val="Arial"/>
      <b val="1"/>
      <color rgb="007DD3FC"/>
      <sz val="18"/>
    </font>
    <font>
      <name val="Arial"/>
      <b val="1"/>
      <color rgb="000F172A"/>
      <sz val="8"/>
    </font>
    <font>
      <name val="Arial"/>
      <b val="1"/>
      <color rgb="00F8FAFC"/>
      <sz val="17"/>
    </font>
    <font>
      <name val="Arial"/>
      <b val="1"/>
      <color rgb="00F8FAFC"/>
      <sz val="13"/>
    </font>
    <font>
      <name val="Arial"/>
      <b val="1"/>
      <color rgb="00F59E0B"/>
      <sz val="9"/>
    </font>
    <font>
      <name val="Arial"/>
      <b val="1"/>
      <color rgb="0022C55E"/>
      <sz val="10"/>
    </font>
    <font>
      <name val="Arial"/>
      <b val="1"/>
      <color rgb="0022C55E"/>
      <sz val="9"/>
    </font>
    <font>
      <name val="Arial"/>
      <i val="1"/>
      <color rgb="0094A3B8"/>
      <sz val="7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8BDF8"/>
        <bgColor rgb="0038BDF8"/>
      </patternFill>
    </fill>
    <fill>
      <patternFill patternType="solid">
        <fgColor rgb="00334155"/>
        <bgColor rgb="00334155"/>
      </patternFill>
    </fill>
    <fill>
      <patternFill patternType="solid">
        <fgColor rgb="001D4ED8"/>
        <bgColor rgb="001D4ED8"/>
      </patternFill>
    </fill>
    <fill>
      <patternFill patternType="solid">
        <fgColor rgb="000E7490"/>
        <bgColor rgb="000E7490"/>
      </patternFill>
    </fill>
    <fill>
      <patternFill patternType="solid">
        <fgColor rgb="0015803D"/>
        <bgColor rgb="0015803D"/>
      </patternFill>
    </fill>
    <fill>
      <patternFill patternType="solid">
        <fgColor rgb="00B45309"/>
        <bgColor rgb="00B45309"/>
      </patternFill>
    </fill>
    <fill>
      <patternFill patternType="solid">
        <fgColor rgb="001E293B"/>
        <bgColor rgb="001E293B"/>
      </patternFill>
    </fill>
    <fill>
      <patternFill patternType="solid">
        <fgColor rgb="0016314D"/>
        <bgColor rgb="0016314D"/>
      </patternFill>
    </fill>
    <fill>
      <patternFill patternType="solid">
        <fgColor rgb="00182236"/>
        <bgColor rgb="00182236"/>
      </patternFill>
    </fill>
  </fills>
  <borders count="15">
    <border>
      <left/>
      <right/>
      <top/>
      <bottom/>
      <diagonal/>
    </border>
    <border>
      <bottom style="medium">
        <color rgb="0038BDF8"/>
      </bottom>
    </border>
    <border>
      <bottom style="medium">
        <color rgb="00334155"/>
      </bottom>
    </border>
    <border>
      <top style="medium">
        <color rgb="0038BDF8"/>
      </top>
    </border>
    <border>
      <top style="medium">
        <color rgb="0022C55E"/>
      </top>
    </border>
    <border>
      <top style="medium">
        <color rgb="00F59E0B"/>
      </top>
    </border>
    <border>
      <left/>
      <right/>
      <top/>
      <bottom style="medium">
        <color rgb="00334155"/>
      </bottom>
      <diagonal/>
    </border>
    <border>
      <left style="medium">
        <color rgb="0038BDF8"/>
      </left>
      <right/>
      <top style="medium">
        <color rgb="0038BDF8"/>
      </top>
      <bottom style="medium">
        <color rgb="0038BDF8"/>
      </bottom>
    </border>
    <border>
      <left/>
      <right/>
      <top style="medium">
        <color rgb="0038BDF8"/>
      </top>
      <bottom style="medium">
        <color rgb="0038BDF8"/>
      </bottom>
    </border>
    <border>
      <left/>
      <right style="medium">
        <color rgb="0038BDF8"/>
      </right>
      <top style="medium">
        <color rgb="0038BDF8"/>
      </top>
      <bottom style="medium">
        <color rgb="0038BDF8"/>
      </bottom>
    </border>
    <border>
      <left style="thin">
        <color rgb="000F172A"/>
      </left>
      <right style="thin">
        <color rgb="000F172A"/>
      </right>
    </border>
    <border>
      <left/>
      <right style="thin">
        <color rgb="000F172A"/>
      </right>
      <top/>
      <bottom/>
      <diagonal/>
    </border>
    <border>
      <left/>
      <right/>
      <top/>
      <bottom style="medium">
        <color rgb="0038BDF8"/>
      </bottom>
      <diagonal/>
    </border>
    <border>
      <top style="thin">
        <color rgb="00334155"/>
      </top>
    </border>
    <border>
      <bottom style="thin">
        <color rgb="00334155"/>
      </bottom>
    </border>
  </borders>
  <cellStyleXfs count="1">
    <xf numFmtId="0" fontId="0" fillId="0" borderId="0"/>
  </cellStyleXfs>
  <cellXfs count="148">
    <xf numFmtId="0" fontId="0" fillId="0" borderId="0" pivotButton="0" quotePrefix="0" xfId="0"/>
    <xf numFmtId="0" fontId="0" fillId="2" borderId="0" pivotButton="0" quotePrefix="0" xfId="0"/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164" fontId="21" fillId="10" borderId="7" applyAlignment="1" pivotButton="0" quotePrefix="0" xfId="0">
      <alignment horizontal="center" vertical="center"/>
    </xf>
    <xf numFmtId="0" fontId="0" fillId="10" borderId="8" pivotButton="0" quotePrefix="0" xfId="0"/>
    <xf numFmtId="0" fontId="0" fillId="10" borderId="9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22" fillId="3" borderId="10" applyAlignment="1" pivotButton="0" quotePrefix="0" xfId="0">
      <alignment horizontal="center" vertical="center"/>
    </xf>
    <xf numFmtId="0" fontId="0" fillId="2" borderId="11" pivotButton="0" quotePrefix="0" xfId="0"/>
    <xf numFmtId="0" fontId="10" fillId="9" borderId="3" applyAlignment="1" pivotButton="0" quotePrefix="0" xfId="0">
      <alignment horizontal="left" vertical="center" indent="1"/>
    </xf>
    <xf numFmtId="0" fontId="0" fillId="2" borderId="3" pivotButton="0" quotePrefix="0" xfId="0"/>
    <xf numFmtId="0" fontId="10" fillId="9" borderId="4" applyAlignment="1" pivotButton="0" quotePrefix="0" xfId="0">
      <alignment horizontal="left" vertical="center" indent="1"/>
    </xf>
    <xf numFmtId="0" fontId="0" fillId="2" borderId="4" pivotButton="0" quotePrefix="0" xfId="0"/>
    <xf numFmtId="0" fontId="10" fillId="9" borderId="5" applyAlignment="1" pivotButton="0" quotePrefix="0" xfId="0">
      <alignment horizontal="left" vertical="center" indent="1"/>
    </xf>
    <xf numFmtId="0" fontId="0" fillId="2" borderId="5" pivotButton="0" quotePrefix="0" xfId="0"/>
    <xf numFmtId="164" fontId="23" fillId="9" borderId="0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left" vertical="center" indent="1"/>
    </xf>
    <xf numFmtId="169" fontId="23" fillId="9" borderId="0" applyAlignment="1" pivotButton="0" quotePrefix="0" xfId="0">
      <alignment horizontal="left" vertical="center" indent="1"/>
    </xf>
    <xf numFmtId="0" fontId="24" fillId="9" borderId="0" applyAlignment="1" pivotButton="0" quotePrefix="0" xfId="0">
      <alignment horizontal="left" vertical="center" indent="1"/>
    </xf>
    <xf numFmtId="176" fontId="23" fillId="9" borderId="0" applyAlignment="1" pivotButton="0" quotePrefix="0" xfId="0">
      <alignment horizontal="left" vertical="center" indent="1"/>
    </xf>
    <xf numFmtId="1" fontId="23" fillId="9" borderId="0" applyAlignment="1" pivotButton="0" quotePrefix="0" xfId="0">
      <alignment horizontal="left" vertical="center" indent="1"/>
    </xf>
    <xf numFmtId="0" fontId="1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12" fillId="2" borderId="1" applyAlignment="1" pivotButton="0" quotePrefix="0" xfId="0">
      <alignment horizontal="right" vertical="center"/>
    </xf>
    <xf numFmtId="0" fontId="0" fillId="2" borderId="12" pivotButton="0" quotePrefix="0" xfId="0"/>
    <xf numFmtId="0" fontId="9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12" fillId="9" borderId="0" applyAlignment="1" pivotButton="0" quotePrefix="0" xfId="0">
      <alignment horizontal="left" vertical="center" indent="1"/>
    </xf>
    <xf numFmtId="165" fontId="15" fillId="9" borderId="0" applyAlignment="1" pivotButton="0" quotePrefix="0" xfId="0">
      <alignment horizontal="right" vertical="center"/>
    </xf>
    <xf numFmtId="0" fontId="0" fillId="9" borderId="0" pivotButton="0" quotePrefix="0" xfId="0"/>
    <xf numFmtId="165" fontId="18" fillId="9" borderId="0" applyAlignment="1" pivotButton="0" quotePrefix="0" xfId="0">
      <alignment horizontal="right" vertical="center"/>
    </xf>
    <xf numFmtId="0" fontId="13" fillId="9" borderId="0" applyAlignment="1" pivotButton="0" quotePrefix="0" xfId="0">
      <alignment horizontal="center" vertical="center"/>
    </xf>
    <xf numFmtId="167" fontId="12" fillId="9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left" vertical="center" indent="1"/>
    </xf>
    <xf numFmtId="177" fontId="15" fillId="9" borderId="0" applyAlignment="1" pivotButton="0" quotePrefix="0" xfId="0">
      <alignment horizontal="right" vertical="center"/>
    </xf>
    <xf numFmtId="178" fontId="18" fillId="9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center" vertical="center"/>
    </xf>
    <xf numFmtId="167" fontId="26" fillId="9" borderId="0" applyAlignment="1" pivotButton="0" quotePrefix="0" xfId="0">
      <alignment horizontal="right" vertical="center"/>
    </xf>
    <xf numFmtId="0" fontId="11" fillId="9" borderId="13" applyAlignment="1" pivotButton="0" quotePrefix="0" xfId="0">
      <alignment horizontal="left" vertical="center" indent="1"/>
    </xf>
    <xf numFmtId="0" fontId="0" fillId="2" borderId="13" pivotButton="0" quotePrefix="0" xfId="0"/>
    <xf numFmtId="165" fontId="12" fillId="9" borderId="13" applyAlignment="1" pivotButton="0" quotePrefix="0" xfId="0">
      <alignment horizontal="right" vertical="center"/>
    </xf>
    <xf numFmtId="0" fontId="0" fillId="9" borderId="13" pivotButton="0" quotePrefix="0" xfId="0"/>
    <xf numFmtId="170" fontId="12" fillId="9" borderId="13" applyAlignment="1" pivotButton="0" quotePrefix="0" xfId="0">
      <alignment horizontal="right" vertical="center"/>
    </xf>
    <xf numFmtId="167" fontId="12" fillId="9" borderId="13" applyAlignment="1" pivotButton="0" quotePrefix="0" xfId="0">
      <alignment horizontal="right" vertical="center"/>
    </xf>
    <xf numFmtId="0" fontId="6" fillId="9" borderId="0" applyAlignment="1" pivotButton="0" quotePrefix="0" xfId="0">
      <alignment horizontal="left" vertical="center" indent="1"/>
    </xf>
    <xf numFmtId="167" fontId="25" fillId="9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8" fillId="9" borderId="14" applyAlignment="1" pivotButton="0" quotePrefix="0" xfId="0">
      <alignment horizontal="left" vertical="center" indent="1"/>
    </xf>
    <xf numFmtId="0" fontId="0" fillId="2" borderId="14" pivotButton="0" quotePrefix="0" xfId="0"/>
    <xf numFmtId="0" fontId="12" fillId="9" borderId="0" applyAlignment="1" pivotButton="0" quotePrefix="0" xfId="0">
      <alignment horizontal="right" vertical="center"/>
    </xf>
    <xf numFmtId="0" fontId="27" fillId="9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 indent="1"/>
    </xf>
    <xf numFmtId="0" fontId="10" fillId="9" borderId="0" applyAlignment="1" pivotButton="0" quotePrefix="0" xfId="0">
      <alignment horizontal="right" vertical="center"/>
    </xf>
    <xf numFmtId="165" fontId="12" fillId="9" borderId="0" applyAlignment="1" pivotButton="0" quotePrefix="0" xfId="0">
      <alignment horizontal="right" vertical="center"/>
    </xf>
    <xf numFmtId="170" fontId="12" fillId="9" borderId="0" applyAlignment="1" pivotButton="0" quotePrefix="0" xfId="0">
      <alignment horizontal="right" vertical="center"/>
    </xf>
    <xf numFmtId="176" fontId="12" fillId="9" borderId="0" applyAlignment="1" pivotButton="0" quotePrefix="0" xfId="0">
      <alignment horizontal="right" vertical="center"/>
    </xf>
    <xf numFmtId="169" fontId="12" fillId="9" borderId="0" applyAlignment="1" pivotButton="0" quotePrefix="0" xfId="0">
      <alignment horizontal="right" vertical="center"/>
    </xf>
    <xf numFmtId="1" fontId="12" fillId="9" borderId="0" applyAlignment="1" pivotButton="0" quotePrefix="0" xfId="0">
      <alignment horizontal="right" vertical="center"/>
    </xf>
    <xf numFmtId="0" fontId="28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164" fontId="16" fillId="9" borderId="0" applyAlignment="1" pivotButton="0" quotePrefix="0" xfId="0">
      <alignment horizontal="left" vertical="center" indent="1"/>
    </xf>
    <xf numFmtId="169" fontId="16" fillId="9" borderId="0" applyAlignment="1" pivotButton="0" quotePrefix="0" xfId="0">
      <alignment horizontal="left" vertical="center" indent="1"/>
    </xf>
    <xf numFmtId="170" fontId="16" fillId="9" borderId="0" applyAlignment="1" pivotButton="0" quotePrefix="0" xfId="0">
      <alignment horizontal="left" vertical="center" indent="1"/>
    </xf>
    <xf numFmtId="0" fontId="9" fillId="9" borderId="2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8" fillId="9" borderId="0" applyAlignment="1" pivotButton="0" quotePrefix="0" xfId="0">
      <alignment horizontal="left" vertical="center" indent="1"/>
    </xf>
    <xf numFmtId="164" fontId="15" fillId="9" borderId="0" applyAlignment="1" pivotButton="0" quotePrefix="0" xfId="0">
      <alignment horizontal="right" vertical="center"/>
    </xf>
    <xf numFmtId="170" fontId="14" fillId="10" borderId="0" applyAlignment="1" pivotButton="0" quotePrefix="0" xfId="0">
      <alignment horizontal="right" vertical="center"/>
    </xf>
    <xf numFmtId="168" fontId="15" fillId="9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center" vertical="center"/>
    </xf>
    <xf numFmtId="1" fontId="15" fillId="9" borderId="0" applyAlignment="1" pivotButton="0" quotePrefix="0" xfId="0">
      <alignment horizontal="center" vertical="center"/>
    </xf>
    <xf numFmtId="164" fontId="12" fillId="9" borderId="0" applyAlignment="1" pivotButton="0" quotePrefix="0" xfId="0">
      <alignment horizontal="right" vertical="center"/>
    </xf>
    <xf numFmtId="167" fontId="4" fillId="2" borderId="0" applyAlignment="1" pivotButton="0" quotePrefix="0" xfId="0">
      <alignment horizontal="right" vertical="center"/>
    </xf>
    <xf numFmtId="0" fontId="11" fillId="9" borderId="3" applyAlignment="1" pivotButton="0" quotePrefix="0" xfId="0">
      <alignment horizontal="left" vertical="center" indent="1"/>
    </xf>
    <xf numFmtId="0" fontId="0" fillId="9" borderId="3" pivotButton="0" quotePrefix="0" xfId="0"/>
    <xf numFmtId="164" fontId="12" fillId="9" borderId="3" applyAlignment="1" pivotButton="0" quotePrefix="0" xfId="0">
      <alignment horizontal="right" vertical="center"/>
    </xf>
    <xf numFmtId="165" fontId="12" fillId="9" borderId="3" applyAlignment="1" pivotButton="0" quotePrefix="0" xfId="0">
      <alignment horizontal="right" vertical="center"/>
    </xf>
    <xf numFmtId="170" fontId="12" fillId="9" borderId="3" applyAlignment="1" pivotButton="0" quotePrefix="0" xfId="0">
      <alignment horizontal="right" vertical="center"/>
    </xf>
    <xf numFmtId="167" fontId="4" fillId="2" borderId="0" pivotButton="0" quotePrefix="0" xfId="0"/>
    <xf numFmtId="0" fontId="6" fillId="2" borderId="0" applyAlignment="1" pivotButton="0" quotePrefix="0" xfId="0">
      <alignment horizontal="left" vertical="center" wrapText="1" indent="1"/>
    </xf>
    <xf numFmtId="0" fontId="0" fillId="2" borderId="6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11" fillId="9" borderId="0" applyAlignment="1" pivotButton="0" quotePrefix="0" xfId="0">
      <alignment horizontal="left" vertical="center" indent="1"/>
    </xf>
    <xf numFmtId="0" fontId="13" fillId="2" borderId="0" pivotButton="0" quotePrefix="0" xfId="0"/>
    <xf numFmtId="0" fontId="7" fillId="4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7" fillId="8" borderId="0" applyAlignment="1" pivotButton="0" quotePrefix="0" xfId="0">
      <alignment horizontal="left" vertical="center" indent="1"/>
    </xf>
    <xf numFmtId="0" fontId="10" fillId="2" borderId="0" pivotButton="0" quotePrefix="0" xfId="0"/>
    <xf numFmtId="0" fontId="14" fillId="10" borderId="0" applyAlignment="1" pivotButton="0" quotePrefix="0" xfId="0">
      <alignment horizontal="left" vertical="center" indent="1"/>
    </xf>
    <xf numFmtId="0" fontId="14" fillId="10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right" vertical="center"/>
    </xf>
    <xf numFmtId="165" fontId="14" fillId="10" borderId="0" applyAlignment="1" pivotButton="0" quotePrefix="0" xfId="0">
      <alignment horizontal="right" vertical="center"/>
    </xf>
    <xf numFmtId="166" fontId="14" fillId="10" borderId="0" applyAlignment="1" pivotButton="0" quotePrefix="0" xfId="0">
      <alignment horizontal="right" vertical="center"/>
    </xf>
    <xf numFmtId="166" fontId="15" fillId="9" borderId="0" applyAlignment="1" pivotButton="0" quotePrefix="0" xfId="0">
      <alignment horizontal="right" vertical="center"/>
    </xf>
    <xf numFmtId="167" fontId="15" fillId="9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right" vertical="center"/>
    </xf>
    <xf numFmtId="166" fontId="15" fillId="11" borderId="0" applyAlignment="1" pivotButton="0" quotePrefix="0" xfId="0">
      <alignment horizontal="right" vertical="center"/>
    </xf>
    <xf numFmtId="0" fontId="15" fillId="11" borderId="0" applyAlignment="1" pivotButton="0" quotePrefix="0" xfId="0">
      <alignment horizontal="center" vertical="center"/>
    </xf>
    <xf numFmtId="167" fontId="15" fillId="11" borderId="0" applyAlignment="1" pivotButton="0" quotePrefix="0" xfId="0">
      <alignment horizontal="right" vertical="center"/>
    </xf>
    <xf numFmtId="164" fontId="15" fillId="11" borderId="0" applyAlignment="1" pivotButton="0" quotePrefix="0" xfId="0">
      <alignment horizontal="right" vertical="center"/>
    </xf>
    <xf numFmtId="165" fontId="15" fillId="11" borderId="0" applyAlignment="1" pivotButton="0" quotePrefix="0" xfId="0">
      <alignment horizontal="right" vertical="center"/>
    </xf>
    <xf numFmtId="168" fontId="15" fillId="11" borderId="0" applyAlignment="1" pivotButton="0" quotePrefix="0" xfId="0">
      <alignment horizontal="right" vertical="center"/>
    </xf>
    <xf numFmtId="1" fontId="15" fillId="11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right" vertical="center"/>
    </xf>
    <xf numFmtId="171" fontId="14" fillId="10" borderId="0" applyAlignment="1" pivotButton="0" quotePrefix="0" xfId="0">
      <alignment horizontal="center" vertical="center"/>
    </xf>
    <xf numFmtId="167" fontId="14" fillId="10" borderId="0" applyAlignment="1" pivotButton="0" quotePrefix="0" xfId="0">
      <alignment horizontal="right" vertical="center"/>
    </xf>
    <xf numFmtId="169" fontId="15" fillId="9" borderId="0" applyAlignment="1" pivotButton="0" quotePrefix="0" xfId="0">
      <alignment horizontal="right" vertical="center"/>
    </xf>
    <xf numFmtId="169" fontId="15" fillId="11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left" vertical="center" indent="1"/>
    </xf>
    <xf numFmtId="0" fontId="17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left" vertical="center" wrapText="1" indent="1"/>
    </xf>
    <xf numFmtId="10" fontId="14" fillId="10" borderId="0" applyAlignment="1" pivotButton="0" quotePrefix="0" xfId="0">
      <alignment horizontal="right" vertical="center"/>
    </xf>
    <xf numFmtId="164" fontId="14" fillId="10" borderId="0" applyAlignment="1" pivotButton="0" quotePrefix="0" xfId="0">
      <alignment horizontal="right" vertical="center"/>
    </xf>
    <xf numFmtId="1" fontId="14" fillId="10" borderId="0" applyAlignment="1" pivotButton="0" quotePrefix="0" xfId="0">
      <alignment horizontal="right" vertical="center"/>
    </xf>
    <xf numFmtId="174" fontId="14" fillId="10" borderId="0" applyAlignment="1" pivotButton="0" quotePrefix="0" xfId="0">
      <alignment horizontal="right" vertical="center"/>
    </xf>
    <xf numFmtId="175" fontId="15" fillId="9" borderId="0" applyAlignment="1" pivotButton="0" quotePrefix="0" xfId="0">
      <alignment horizontal="right" vertical="center"/>
    </xf>
    <xf numFmtId="175" fontId="14" fillId="10" borderId="0" applyAlignment="1" pivotButton="0" quotePrefix="0" xfId="0">
      <alignment horizontal="right" vertical="center"/>
    </xf>
    <xf numFmtId="175" fontId="12" fillId="9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 indent="1"/>
    </xf>
    <xf numFmtId="1" fontId="14" fillId="10" borderId="0" applyAlignment="1" pivotButton="0" quotePrefix="0" xfId="0">
      <alignment horizontal="center" vertical="center"/>
    </xf>
    <xf numFmtId="10" fontId="12" fillId="9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 wrapText="1" indent="1"/>
    </xf>
    <xf numFmtId="0" fontId="8" fillId="9" borderId="0" applyAlignment="1" pivotButton="0" quotePrefix="0" xfId="0">
      <alignment horizontal="left" vertical="center" indent="1"/>
    </xf>
    <xf numFmtId="1" fontId="12" fillId="9" borderId="0" applyAlignment="1" pivotButton="0" quotePrefix="0" xfId="0">
      <alignment horizontal="center" vertical="center"/>
    </xf>
    <xf numFmtId="173" fontId="4" fillId="2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 indent="1"/>
    </xf>
    <xf numFmtId="0" fontId="5" fillId="9" borderId="0" applyAlignment="1" pivotButton="0" quotePrefix="0" xfId="0">
      <alignment horizontal="right" vertical="center"/>
    </xf>
    <xf numFmtId="166" fontId="5" fillId="9" borderId="0" applyAlignment="1" pivotButton="0" quotePrefix="0" xfId="0">
      <alignment horizontal="right" vertical="center"/>
    </xf>
    <xf numFmtId="167" fontId="5" fillId="9" borderId="0" applyAlignment="1" pivotButton="0" quotePrefix="0" xfId="0">
      <alignment horizontal="right" vertical="center"/>
    </xf>
    <xf numFmtId="164" fontId="5" fillId="9" borderId="0" applyAlignment="1" pivotButton="0" quotePrefix="0" xfId="0">
      <alignment horizontal="right" vertical="center"/>
    </xf>
    <xf numFmtId="172" fontId="5" fillId="9" borderId="0" applyAlignment="1" pivotButton="0" quotePrefix="0" xfId="0">
      <alignment horizontal="right" vertical="center"/>
    </xf>
    <xf numFmtId="173" fontId="5" fillId="9" borderId="0" applyAlignment="1" pivotButton="0" quotePrefix="0" xfId="0">
      <alignment horizontal="right" vertical="center"/>
    </xf>
    <xf numFmtId="0" fontId="5" fillId="11" borderId="0" applyAlignment="1" pivotButton="0" quotePrefix="0" xfId="0">
      <alignment horizontal="left" vertical="center" indent="1"/>
    </xf>
    <xf numFmtId="0" fontId="5" fillId="11" borderId="0" applyAlignment="1" pivotButton="0" quotePrefix="0" xfId="0">
      <alignment horizontal="right" vertical="center"/>
    </xf>
    <xf numFmtId="166" fontId="5" fillId="11" borderId="0" applyAlignment="1" pivotButton="0" quotePrefix="0" xfId="0">
      <alignment horizontal="right" vertical="center"/>
    </xf>
    <xf numFmtId="167" fontId="5" fillId="11" borderId="0" applyAlignment="1" pivotButton="0" quotePrefix="0" xfId="0">
      <alignment horizontal="right" vertical="center"/>
    </xf>
    <xf numFmtId="164" fontId="5" fillId="11" borderId="0" applyAlignment="1" pivotButton="0" quotePrefix="0" xfId="0">
      <alignment horizontal="right" vertical="center"/>
    </xf>
    <xf numFmtId="172" fontId="5" fillId="11" borderId="0" applyAlignment="1" pivotButton="0" quotePrefix="0" xfId="0">
      <alignment horizontal="right" vertical="center"/>
    </xf>
    <xf numFmtId="173" fontId="5" fillId="11" borderId="0" applyAlignment="1" pivotButton="0" quotePrefix="0" xfId="0">
      <alignment horizontal="right" vertical="center"/>
    </xf>
  </cellXfs>
  <cellStyles count="1">
    <cellStyle name="Normal" xfId="0" builtinId="0" hidden="0"/>
  </cellStyles>
  <dxfs count="10">
    <dxf>
      <font>
        <name val="Arial"/>
        <b val="1"/>
        <color rgb="00F59E0B"/>
        <sz val="17"/>
      </font>
    </dxf>
    <dxf>
      <font>
        <name val="Arial"/>
        <b val="1"/>
        <color rgb="0022C55E"/>
      </font>
      <fill>
        <patternFill patternType="solid">
          <fgColor rgb="0014532D"/>
          <bgColor rgb="0014532D"/>
        </patternFill>
      </fill>
    </dxf>
    <dxf>
      <font>
        <name val="Arial"/>
        <color rgb="0094A3B8"/>
      </font>
      <fill>
        <patternFill patternType="solid">
          <fgColor rgb="00334155"/>
          <bgColor rgb="00334155"/>
        </patternFill>
      </fill>
    </dxf>
    <dxf>
      <font>
        <name val="Arial"/>
        <b val="1"/>
        <color rgb="00F59E0B"/>
      </font>
    </dxf>
    <dxf>
      <font>
        <name val="Arial"/>
        <b val="1"/>
        <color rgb="0022C55E"/>
      </font>
    </dxf>
    <dxf>
      <font>
        <name val="Arial"/>
        <b val="1"/>
        <color rgb="00F59E0B"/>
        <sz val="14"/>
      </font>
    </dxf>
    <dxf>
      <font>
        <name val="Arial"/>
        <b val="1"/>
        <color rgb="0022C55E"/>
        <sz val="14"/>
      </font>
    </dxf>
    <dxf>
      <font>
        <name val="Arial"/>
        <color rgb="0094A3B8"/>
      </font>
    </dxf>
    <dxf>
      <font>
        <name val="Arial"/>
        <color rgb="00F87171"/>
      </font>
    </dxf>
    <dxf>
      <font>
        <name val="Arial"/>
        <color rgb="0022C55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ALOCAÇÃO POR CLASSE</a:t>
            </a:r>
          </a:p>
        </rich>
      </tx>
      <overlay val="0"/>
    </title>
    <plotArea>
      <pieChart>
        <varyColors val="1"/>
        <ser>
          <idx val="0"/>
          <order val="0"/>
          <tx>
            <strRef>
              <f>'11 Auxiliar'!C50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8BDF8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2C55E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9E0B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A78BFA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472B6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2DD4BF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64748B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cat>
            <numRef>
              <f>'11 Auxiliar'!$B$51:$B$57</f>
            </numRef>
          </cat>
          <val>
            <numRef>
              <f>'11 Auxiliar'!$C$51:$C$57</f>
            </numRef>
          </val>
        </ser>
        <dLbls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F8FAFC"/>
                  </a:solidFill>
                  <a:latin typeface="Arial"/>
                </a:defRPr>
              </a:pPr>
              <a:r>
                <a:t/>
              </a:r>
              <a:endParaRPr sz="800" b="1">
                <a:solidFill>
                  <a:srgbClr val="F8FAFC"/>
                </a:solidFill>
                <a:latin typeface="Arial"/>
              </a:endParaRPr>
            </a:p>
          </txPr>
          <showLegendKey val="0"/>
          <showVal val="0"/>
          <showCatName val="0"/>
          <showSerName val="0"/>
          <showPercent val="1"/>
          <showLeaderLines val="0"/>
        </dLbls>
        <firstSliceAng val="0"/>
      </pieChart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94A3B8"/>
              </a:solidFill>
              <a:latin typeface="Arial"/>
            </a:defRPr>
          </a:pPr>
          <a:r>
            <a:t/>
          </a:r>
          <a:endParaRPr sz="800" b="0">
            <a:solidFill>
              <a:srgbClr val="94A3B8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BRASIL × EXTERIOR × ALTERNATIVOS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'11 Auxiliar'!C61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2C55E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8BDF8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9E0B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cat>
            <numRef>
              <f>'11 Auxiliar'!$B$62:$B$64</f>
            </numRef>
          </cat>
          <val>
            <numRef>
              <f>'11 Auxiliar'!$C$62:$C$64</f>
            </numRef>
          </val>
        </ser>
        <dLbls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F8FAFC"/>
                  </a:solidFill>
                  <a:latin typeface="Arial"/>
                </a:defRPr>
              </a:pPr>
              <a:r>
                <a:t/>
              </a:r>
              <a:endParaRPr sz="800" b="1">
                <a:solidFill>
                  <a:srgbClr val="F8FAFC"/>
                </a:solidFill>
                <a:latin typeface="Arial"/>
              </a:endParaRPr>
            </a:p>
          </txPr>
          <showLegendKey val="0"/>
          <showVal val="0"/>
          <showCatName val="0"/>
          <showSerName val="0"/>
          <showPercent val="1"/>
          <showLeaderLines val="0"/>
        </dLbls>
        <firstSliceAng val="0"/>
        <holeSize val="60"/>
      </doughnutChart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94A3B8"/>
              </a:solidFill>
              <a:latin typeface="Arial"/>
            </a:defRPr>
          </a:pPr>
          <a:r>
            <a:t/>
          </a:r>
          <a:endParaRPr sz="800" b="0">
            <a:solidFill>
              <a:srgbClr val="94A3B8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DISTRIBUIÇÃO POR ATIVO (TOP 10, R$)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'11 Auxiliar'!D68</f>
            </strRef>
          </tx>
          <spPr>
            <a:solidFill xmlns:a="http://schemas.openxmlformats.org/drawingml/2006/main">
              <a:srgbClr val="38BDF8"/>
            </a:solidFill>
            <a:ln xmlns:a="http://schemas.openxmlformats.org/drawingml/2006/main">
              <a:solidFill>
                <a:srgbClr val="38BDF8"/>
              </a:solidFill>
              <a:prstDash val="solid"/>
            </a:ln>
          </spPr>
          <cat>
            <numRef>
              <f>'11 Auxiliar'!$C$69:$C$78</f>
            </numRef>
          </cat>
          <val>
            <numRef>
              <f>'11 Auxiliar'!$D$69:$D$78</f>
            </numRef>
          </val>
        </ser>
        <dLbls>
          <numFmt formatCode="#,##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/>
            <a:p xmlns:a="http://schemas.openxmlformats.org/drawingml/2006/main">
              <a:pPr>
                <a:defRPr sz="700" b="1">
                  <a:solidFill>
                    <a:srgbClr val="F8FAFC"/>
                  </a:solidFill>
                  <a:latin typeface="Arial"/>
                </a:defRPr>
              </a:pPr>
              <a:r>
                <a:t/>
              </a:r>
              <a:endParaRPr sz="700" b="1">
                <a:solidFill>
                  <a:srgbClr val="F8FAFC"/>
                </a:solidFill>
                <a:latin typeface="Arial"/>
              </a:endParaRPr>
            </a:p>
          </txPr>
          <showLegendKey val="0"/>
          <showVal val="1"/>
          <showCatName val="0"/>
          <showSerName val="0"/>
          <showPercent val="0"/>
          <showLeaderLines val="0"/>
        </dLbls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334155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  <crosses val="max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ATUAL × OBJETIVO POR CLASSE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'11 Auxiliar'!D50</f>
            </strRef>
          </tx>
          <spPr>
            <a:solidFill xmlns:a="http://schemas.openxmlformats.org/drawingml/2006/main">
              <a:srgbClr val="38BDF8"/>
            </a:solidFill>
            <a:ln xmlns:a="http://schemas.openxmlformats.org/drawingml/2006/main">
              <a:solidFill>
                <a:srgbClr val="38BDF8"/>
              </a:solidFill>
              <a:prstDash val="solid"/>
            </a:ln>
          </spPr>
          <cat>
            <numRef>
              <f>'11 Auxiliar'!$B$51:$B$57</f>
            </numRef>
          </cat>
          <val>
            <numRef>
              <f>'11 Auxiliar'!$D$51:$D$57</f>
            </numRef>
          </val>
        </ser>
        <ser>
          <idx val="1"/>
          <order val="1"/>
          <tx>
            <strRef>
              <f>'11 Auxiliar'!E50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solidFill>
                <a:srgbClr val="F59E0B"/>
              </a:solidFill>
              <a:prstDash val="solid"/>
            </a:ln>
          </spPr>
          <cat>
            <numRef>
              <f>'11 Auxiliar'!$B$51:$B$57</f>
            </numRef>
          </cat>
          <val>
            <numRef>
              <f>'11 Auxiliar'!$E$51:$E$57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334155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94A3B8"/>
              </a:solidFill>
              <a:latin typeface="Arial"/>
            </a:defRPr>
          </a:pPr>
          <a:r>
            <a:t/>
          </a:r>
          <a:endParaRPr sz="800" b="0">
            <a:solidFill>
              <a:srgbClr val="94A3B8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CONCENTRAÇÃO POR SETOR (TOP 6)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'11 Auxiliar'!E128</f>
            </strRef>
          </tx>
          <spPr>
            <a:solidFill xmlns:a="http://schemas.openxmlformats.org/drawingml/2006/main">
              <a:srgbClr val="A78BFA"/>
            </a:solidFill>
            <a:ln xmlns:a="http://schemas.openxmlformats.org/drawingml/2006/main">
              <a:solidFill>
                <a:srgbClr val="A78BFA"/>
              </a:solidFill>
              <a:prstDash val="solid"/>
            </a:ln>
          </spPr>
          <cat>
            <numRef>
              <f>'11 Auxiliar'!$C$129:$C$134</f>
            </numRef>
          </cat>
          <val>
            <numRef>
              <f>'11 Auxiliar'!$E$129:$E$134</f>
            </numRef>
          </val>
        </ser>
        <dLbls>
          <numFmt formatCode="0.0%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F8FAFC"/>
                  </a:solidFill>
                  <a:latin typeface="Arial"/>
                </a:defRPr>
              </a:pPr>
              <a:r>
                <a:t/>
              </a:r>
              <a:endParaRPr sz="800" b="1">
                <a:solidFill>
                  <a:srgbClr val="F8FAFC"/>
                </a:solidFill>
                <a:latin typeface="Arial"/>
              </a:endParaRPr>
            </a:p>
          </txPr>
          <showLegendKey val="0"/>
          <showVal val="1"/>
          <showCatName val="0"/>
          <showSerName val="0"/>
          <showPercent val="0"/>
          <showLeaderLines val="0"/>
        </dLbls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334155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  <crosses val="max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EXPOSIÇÃO POR MOEDA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'11 Auxiliar'!C138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2C55E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8BDF8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472B6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64748B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cat>
            <numRef>
              <f>'11 Auxiliar'!$B$139:$B$142</f>
            </numRef>
          </cat>
          <val>
            <numRef>
              <f>'11 Auxiliar'!$C$139:$C$142</f>
            </numRef>
          </val>
        </ser>
        <dLbls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F8FAFC"/>
                  </a:solidFill>
                  <a:latin typeface="Arial"/>
                </a:defRPr>
              </a:pPr>
              <a:r>
                <a:t/>
              </a:r>
              <a:endParaRPr sz="800" b="1">
                <a:solidFill>
                  <a:srgbClr val="F8FAFC"/>
                </a:solidFill>
                <a:latin typeface="Arial"/>
              </a:endParaRPr>
            </a:p>
          </txPr>
          <showLegendKey val="0"/>
          <showVal val="0"/>
          <showCatName val="0"/>
          <showSerName val="0"/>
          <showPercent val="1"/>
          <showLeaderLines val="0"/>
        </dLbls>
        <firstSliceAng val="0"/>
        <holeSize val="60"/>
      </doughnutChart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94A3B8"/>
              </a:solidFill>
              <a:latin typeface="Arial"/>
            </a:defRPr>
          </a:pPr>
          <a:r>
            <a:t/>
          </a:r>
          <a:endParaRPr sz="800" b="0">
            <a:solidFill>
              <a:srgbClr val="94A3B8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28</row>
      <rowOff>0</rowOff>
    </from>
    <ext cx="3809523" cy="29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28</row>
      <rowOff>0</rowOff>
    </from>
    <ext cx="3809523" cy="29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17</col>
      <colOff>0</colOff>
      <row>28</row>
      <rowOff>0</rowOff>
    </from>
    <ext cx="3809523" cy="29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44</row>
      <rowOff>0</rowOff>
    </from>
    <ext cx="3809523" cy="29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9</col>
      <colOff>0</colOff>
      <row>44</row>
      <rowOff>0</rowOff>
    </from>
    <ext cx="3809523" cy="29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17</col>
      <colOff>0</colOff>
      <row>44</row>
      <rowOff>0</rowOff>
    </from>
    <ext cx="3809523" cy="29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38BDF8"/>
    <outlinePr summaryBelow="1" summaryRight="1"/>
    <pageSetUpPr fitToPage="1"/>
  </sheetPr>
  <dimension ref="B2:X73"/>
  <sheetViews>
    <sheetView showGridLines="0" tabSelected="1" zoomScale="90" workbookViewId="0">
      <pane ySplit="4" topLeftCell="A5" activePane="bottomLeft" state="frozen"/>
      <selection pane="bottomLeft" activeCell="A1" sqref="A1"/>
    </sheetView>
  </sheetViews>
  <sheetFormatPr baseColWidth="8" defaultRowHeight="16"/>
  <cols>
    <col width="2" customWidth="1" style="1" min="1" max="1"/>
    <col width="8.5" customWidth="1" style="1" min="2" max="2"/>
    <col width="8.5" customWidth="1" style="1" min="3" max="3"/>
    <col width="8.5" customWidth="1" style="1" min="4" max="4"/>
    <col width="1.6" customWidth="1" style="1" min="5" max="5"/>
    <col width="8.5" customWidth="1" style="1" min="6" max="6"/>
    <col width="8.5" customWidth="1" style="1" min="7" max="7"/>
    <col width="8.5" customWidth="1" style="1" min="8" max="8"/>
    <col width="1.6" customWidth="1" style="1" min="9" max="9"/>
    <col width="8.5" customWidth="1" style="1" min="10" max="10"/>
    <col width="8.5" customWidth="1" style="1" min="11" max="11"/>
    <col width="8.5" customWidth="1" style="1" min="12" max="12"/>
    <col width="1.6" customWidth="1" style="1" min="13" max="13"/>
    <col width="8.5" customWidth="1" style="1" min="14" max="14"/>
    <col width="8.5" customWidth="1" style="1" min="15" max="15"/>
    <col width="8.5" customWidth="1" style="1" min="16" max="16"/>
    <col width="1.6" customWidth="1" style="1" min="17" max="17"/>
    <col width="8.5" customWidth="1" style="1" min="18" max="18"/>
    <col width="8.5" customWidth="1" style="1" min="19" max="19"/>
    <col width="8.5" customWidth="1" style="1" min="20" max="20"/>
    <col width="1.6" customWidth="1" style="1" min="21" max="21"/>
    <col width="8.5" customWidth="1" style="1" min="22" max="22"/>
    <col width="8.5" customWidth="1" style="1" min="23" max="23"/>
    <col width="8.5" customWidth="1" style="1" min="24" max="24"/>
    <col width="2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8" customHeight="1"/>
    <row r="2" ht="36" customHeight="1">
      <c r="B2" s="2" t="inlineStr">
        <is>
          <t>HOLDER PREMIUM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N2" s="3" t="inlineStr">
        <is>
          <t>VALOR DO APORTE (R$)  ►</t>
        </is>
      </c>
      <c r="O2" s="1" t="n"/>
      <c r="P2" s="1" t="n"/>
      <c r="Q2" s="1" t="n"/>
      <c r="R2" s="1" t="n"/>
      <c r="S2" s="1" t="n"/>
      <c r="T2" s="1" t="n"/>
      <c r="U2" s="1" t="n"/>
      <c r="V2" s="4" t="n">
        <v>500</v>
      </c>
      <c r="W2" s="5" t="n"/>
      <c r="X2" s="6" t="n"/>
    </row>
    <row r="3" ht="16" customHeight="1">
      <c r="B3" s="7" t="inlineStr">
        <is>
          <t>Realocação inteligente por aportes  ·  Carteira consolidada em R$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N3" s="8" t="str">
        <f>"Digite o aporte na célula azul  ·  Cotações: "&amp;p_ModoCot&amp;"  ·  o plano de compras atualiza sozinho"</f>
        <v>Digite o aporte na célula azul  ·  Cotações: Automático  ·  o plano de compras atualiza sozinho</v>
      </c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</row>
    <row r="4" ht="16" customHeight="1">
      <c r="B4" s="9" t="inlineStr">
        <is>
          <t>Macro</t>
        </is>
      </c>
      <c r="C4" s="10" t="n"/>
      <c r="D4" s="9" t="inlineStr">
        <is>
          <t>Ações BR</t>
        </is>
      </c>
      <c r="E4" s="10" t="n"/>
      <c r="F4" s="9" t="inlineStr">
        <is>
          <t>FIIs</t>
        </is>
      </c>
      <c r="G4" s="10" t="n"/>
      <c r="H4" s="9" t="inlineStr">
        <is>
          <t>Stocks</t>
        </is>
      </c>
      <c r="I4" s="10" t="n"/>
      <c r="J4" s="9" t="inlineStr">
        <is>
          <t>REITs</t>
        </is>
      </c>
      <c r="K4" s="10" t="n"/>
      <c r="L4" s="9" t="inlineStr">
        <is>
          <t>Renda Fixa</t>
        </is>
      </c>
      <c r="M4" s="10" t="n"/>
      <c r="N4" s="9" t="inlineStr">
        <is>
          <t>Cripto</t>
        </is>
      </c>
      <c r="O4" s="10" t="n"/>
      <c r="P4" s="9" t="inlineStr">
        <is>
          <t>Ilíquidos</t>
        </is>
      </c>
      <c r="Q4" s="10" t="n"/>
      <c r="R4" s="9" t="inlineStr">
        <is>
          <t>Config.</t>
        </is>
      </c>
      <c r="S4" s="10" t="n"/>
      <c r="T4" s="9" t="inlineStr">
        <is>
          <t>Auxiliar</t>
        </is>
      </c>
      <c r="U4" s="10" t="n"/>
      <c r="V4" s="9" t="inlineStr">
        <is>
          <t>Base</t>
        </is>
      </c>
      <c r="W4" s="10" t="n"/>
    </row>
    <row r="5" ht="6" customHeight="1"/>
    <row r="6" ht="16" customHeight="1">
      <c r="B6" s="11" t="inlineStr">
        <is>
          <t>PATRIMÔNIO TOTAL</t>
        </is>
      </c>
      <c r="C6" s="12" t="n"/>
      <c r="D6" s="12" t="n"/>
      <c r="F6" s="13" t="inlineStr">
        <is>
          <t>PATRIMÔNIO BRASIL</t>
        </is>
      </c>
      <c r="G6" s="14" t="n"/>
      <c r="H6" s="14" t="n"/>
      <c r="J6" s="11" t="inlineStr">
        <is>
          <t>PATRIMÔNIO EXTERIOR</t>
        </is>
      </c>
      <c r="K6" s="12" t="n"/>
      <c r="L6" s="12" t="n"/>
      <c r="N6" s="15" t="inlineStr">
        <is>
          <t>ALTERNATIVOS</t>
        </is>
      </c>
      <c r="O6" s="16" t="n"/>
      <c r="P6" s="16" t="n"/>
      <c r="R6" s="13" t="inlineStr">
        <is>
          <t>COMPRA EFETIVA DO MÊS</t>
        </is>
      </c>
      <c r="S6" s="14" t="n"/>
      <c r="T6" s="14" t="n"/>
      <c r="V6" s="15" t="inlineStr">
        <is>
          <t>SOBRA DO APORTE</t>
        </is>
      </c>
      <c r="W6" s="16" t="n"/>
      <c r="X6" s="16" t="n"/>
    </row>
    <row r="7" ht="32" customHeight="1">
      <c r="B7" s="17">
        <f>'02 Macro Alocação'!$D$16</f>
        <v>0</v>
      </c>
      <c r="C7" s="1" t="n"/>
      <c r="D7" s="1" t="n"/>
      <c r="F7" s="17">
        <f>'02 Macro Alocação'!$D$20</f>
        <v>0</v>
      </c>
      <c r="G7" s="1" t="n"/>
      <c r="H7" s="1" t="n"/>
      <c r="J7" s="17">
        <f>'02 Macro Alocação'!$D$21</f>
        <v>0</v>
      </c>
      <c r="K7" s="1" t="n"/>
      <c r="L7" s="1" t="n"/>
      <c r="N7" s="17">
        <f>'02 Macro Alocação'!$D$22</f>
        <v>0</v>
      </c>
      <c r="O7" s="1" t="n"/>
      <c r="P7" s="1" t="n"/>
      <c r="R7" s="17">
        <f>'02 Macro Alocação'!$Q$16</f>
        <v>0</v>
      </c>
      <c r="S7" s="1" t="n"/>
      <c r="T7" s="1" t="n"/>
      <c r="V7" s="17">
        <f>'02 Macro Alocação'!$R$16</f>
        <v>500</v>
      </c>
      <c r="W7" s="1" t="n"/>
      <c r="X7" s="1" t="n"/>
    </row>
    <row r="8" ht="16" customHeight="1">
      <c r="B8" s="18" t="str">
        <f>SUMPRODUCT(--('12 Base de Dados'!$C$6:$C$925&lt;&gt;""))&amp;" ativos em 7 classes"</f>
        <v>0 ativos em 7 classes</v>
      </c>
      <c r="C8" s="1" t="n"/>
      <c r="D8" s="1" t="n"/>
      <c r="F8" s="18" t="str">
        <f>ROUND('02 Macro Alocação'!$E$20*100,1)&amp;"% do patrimônio"</f>
        <v>0% do patrimônio</v>
      </c>
      <c r="G8" s="1" t="n"/>
      <c r="H8" s="1" t="n"/>
      <c r="J8" s="18" t="str">
        <f>ROUND('02 Macro Alocação'!$E$21*100,1)&amp;"% do patrimônio"</f>
        <v>0% do patrimônio</v>
      </c>
      <c r="K8" s="1" t="n"/>
      <c r="L8" s="1" t="n"/>
      <c r="N8" s="18" t="str">
        <f>ROUND('02 Macro Alocação'!$E$22*100,1)&amp;"% · cripto + ilíquidos"</f>
        <v>0% · cripto + ilíquidos</v>
      </c>
      <c r="O8" s="1" t="n"/>
      <c r="P8" s="1" t="n"/>
      <c r="R8" s="18" t="str">
        <f>"de R$ "&amp;FIXED(p_Aporte,2)&amp;" planejados"</f>
        <v>de R$ 500.00 planejados</v>
      </c>
      <c r="S8" s="1" t="n"/>
      <c r="T8" s="1" t="n"/>
      <c r="V8" s="18" t="str">
        <f>"Fica para o próximo aporte"</f>
        <v>Fica para o próximo aporte</v>
      </c>
      <c r="W8" s="1" t="n"/>
      <c r="X8" s="1" t="n"/>
    </row>
    <row r="9" ht="8" customHeight="1"/>
    <row r="10" ht="16" customHeight="1">
      <c r="B10" s="13" t="inlineStr">
        <is>
          <t>CLASSES A APORTAR</t>
        </is>
      </c>
      <c r="C10" s="14" t="n"/>
      <c r="D10" s="14" t="n"/>
      <c r="F10" s="13" t="inlineStr">
        <is>
          <t>ORDENS DE COMPRA</t>
        </is>
      </c>
      <c r="G10" s="14" t="n"/>
      <c r="H10" s="14" t="n"/>
      <c r="J10" s="11" t="inlineStr">
        <is>
          <t>MAIOR POSIÇÃO</t>
        </is>
      </c>
      <c r="K10" s="12" t="n"/>
      <c r="L10" s="12" t="n"/>
      <c r="N10" s="11" t="inlineStr">
        <is>
          <t>ATIVOS EFETIVOS (1/HHI)</t>
        </is>
      </c>
      <c r="O10" s="12" t="n"/>
      <c r="P10" s="12" t="n"/>
      <c r="R10" s="15" t="inlineStr">
        <is>
          <t>SETOR MAIS CONCENTRADO</t>
        </is>
      </c>
      <c r="S10" s="16" t="n"/>
      <c r="T10" s="16" t="n"/>
      <c r="V10" s="13" t="inlineStr">
        <is>
          <t>COTAÇÕES SEM PREÇO</t>
        </is>
      </c>
      <c r="W10" s="14" t="n"/>
      <c r="X10" s="14" t="n"/>
    </row>
    <row r="11" ht="32" customHeight="1">
      <c r="B11" s="19">
        <f>COUNTIF('02 Macro Alocação'!$L$9:$L$15,"BUY")</f>
        <v>6</v>
      </c>
      <c r="C11" s="1" t="n"/>
      <c r="D11" s="1" t="n"/>
      <c r="F11" s="19">
        <f>COUNTIF('12 Base de Dados'!$M$6:$M$925,"&gt;0")</f>
        <v>0</v>
      </c>
      <c r="G11" s="1" t="n"/>
      <c r="H11" s="1" t="n"/>
      <c r="J11" s="20" t="str">
        <f>'11 Auxiliar'!$C$69</f>
        <v>—</v>
      </c>
      <c r="K11" s="1" t="n"/>
      <c r="L11" s="1" t="n"/>
      <c r="N11" s="21">
        <f>IFERROR(1/SUMSQ('12 Base de Dados'!$N$6:$N$925),0)</f>
        <v>0</v>
      </c>
      <c r="O11" s="1" t="n"/>
      <c r="P11" s="1" t="n"/>
      <c r="R11" s="20" t="str">
        <f>'11 Auxiliar'!$C$129</f>
        <v>—</v>
      </c>
      <c r="S11" s="1" t="n"/>
      <c r="T11" s="1" t="n"/>
      <c r="V11" s="22">
        <f>COUNTIF('12 Base de Dados'!$O$6:$O$925,"Sem cotação")+COUNTIF('12 Base de Dados'!$O$6:$O$925,"Sem câmbio")</f>
        <v>0</v>
      </c>
      <c r="W11" s="1" t="n"/>
      <c r="X11" s="1" t="n"/>
    </row>
    <row r="12" ht="16" customHeight="1">
      <c r="B12" s="18" t="str">
        <f>"de "&amp;ROWS('02 Macro Alocação'!$L$9:$L$15)&amp;" classes"</f>
        <v>de 7 classes</v>
      </c>
      <c r="C12" s="1" t="n"/>
      <c r="D12" s="1" t="n"/>
      <c r="F12" s="18" t="str">
        <f>"ativos com ordem sugerida"</f>
        <v>ativos com ordem sugerida</v>
      </c>
      <c r="G12" s="1" t="n"/>
      <c r="H12" s="1" t="n"/>
      <c r="J12" s="18" t="str">
        <f>IF('11 Auxiliar'!$C$69="—","sem posições",ROUND('11 Auxiliar'!$E$69*100,1)&amp;"% do patrimônio")</f>
        <v>sem posições</v>
      </c>
      <c r="K12" s="1" t="n"/>
      <c r="L12" s="1" t="n"/>
      <c r="N12" s="18" t="str">
        <f>"Quanto maior, mais diversificada"</f>
        <v>Quanto maior, mais diversificada</v>
      </c>
      <c r="O12" s="1" t="n"/>
      <c r="P12" s="1" t="n"/>
      <c r="R12" s="18" t="str">
        <f>ROUND('11 Auxiliar'!$E$129*100,1)&amp;"% do patrimônio"</f>
        <v>0% do patrimônio</v>
      </c>
      <c r="S12" s="1" t="n"/>
      <c r="T12" s="1" t="n"/>
      <c r="V12" s="18" t="str">
        <f>"Auto: "&amp;COUNTIF('12 Base de Dados'!$O$6:$O$925,"Auto")&amp;"  ·  Manual: "&amp;COUNTIF('12 Base de Dados'!$O$6:$O$925,"Manual")</f>
        <v>Auto: 0  ·  Manual: 0</v>
      </c>
      <c r="W12" s="1" t="n"/>
      <c r="X12" s="1" t="n"/>
    </row>
    <row r="13" ht="10" customHeight="1"/>
    <row r="14" ht="22" customHeight="1">
      <c r="B14" s="23" t="inlineStr">
        <is>
          <t>APORTE INTELIGENTE</t>
        </is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5" t="str">
        <f>"Aporte: R$ "&amp;FIXED(p_Aporte,2)&amp;"  ·  compra efetiva: R$ "&amp;FIXED('02 Macro Alocação'!$Q$16,2)</f>
        <v>Aporte: R$ 500.00  ·  compra efetiva: R$ 0.00</v>
      </c>
      <c r="S14" s="26" t="n"/>
      <c r="T14" s="26" t="n"/>
      <c r="U14" s="26" t="n"/>
      <c r="V14" s="26" t="n"/>
      <c r="W14" s="26" t="n"/>
      <c r="X14" s="26" t="n"/>
    </row>
    <row r="15" ht="28" customHeight="1">
      <c r="B15" s="27" t="inlineStr">
        <is>
          <t>Classe</t>
        </is>
      </c>
      <c r="C15" s="24" t="n"/>
      <c r="D15" s="27" t="inlineStr">
        <is>
          <t>% Atual</t>
        </is>
      </c>
      <c r="E15" s="28" t="n"/>
      <c r="F15" s="27" t="inlineStr">
        <is>
          <t>% Obj.</t>
        </is>
      </c>
      <c r="G15" s="27" t="inlineStr">
        <is>
          <t>Ação</t>
        </is>
      </c>
      <c r="H15" s="27" t="inlineStr">
        <is>
          <t>Aporte (R$)</t>
        </is>
      </c>
      <c r="J15" s="27" t="inlineStr">
        <is>
          <t>Ativo</t>
        </is>
      </c>
      <c r="K15" s="24" t="n"/>
      <c r="L15" s="27" t="inlineStr">
        <is>
          <t>Classe</t>
        </is>
      </c>
      <c r="M15" s="24" t="n"/>
      <c r="N15" s="24" t="n"/>
      <c r="O15" s="27" t="inlineStr">
        <is>
          <t>Qtd. a Comprar</t>
        </is>
      </c>
      <c r="P15" s="24" t="n"/>
      <c r="Q15" s="24" t="n"/>
      <c r="R15" s="27" t="inlineStr">
        <is>
          <t>Cotação</t>
        </is>
      </c>
      <c r="S15" s="24" t="n"/>
      <c r="T15" s="27" t="inlineStr">
        <is>
          <t>Moeda</t>
        </is>
      </c>
      <c r="U15" s="24" t="n"/>
      <c r="V15" s="27" t="inlineStr">
        <is>
          <t>Valor Efetivo (R$)</t>
        </is>
      </c>
      <c r="W15" s="24" t="n"/>
      <c r="X15" s="24" t="n"/>
    </row>
    <row r="16" ht="20" customHeight="1">
      <c r="B16" s="29" t="str">
        <f>'02 Macro Alocação'!$B$9</f>
        <v>Ações</v>
      </c>
      <c r="C16" s="1" t="n"/>
      <c r="D16" s="30">
        <f>'02 Macro Alocação'!$E$9</f>
        <v>0</v>
      </c>
      <c r="E16" s="31" t="n"/>
      <c r="F16" s="32">
        <f>'02 Macro Alocação'!$F$9</f>
        <v>0.4</v>
      </c>
      <c r="G16" s="33" t="str">
        <f>'02 Macro Alocação'!$L$9</f>
        <v>BUY</v>
      </c>
      <c r="H16" s="34">
        <f>'02 Macro Alocação'!$M$9</f>
        <v>200</v>
      </c>
      <c r="J16" s="29" t="str">
        <f>IFERROR(INDEX('12 Base de Dados'!$C$6:$C$925,MATCH(LARGE('12 Base de Dados'!$Q$6:$Q$925,1),'12 Base de Dados'!$Q$6:$Q$925,0)),"")</f>
        <v/>
      </c>
      <c r="K16" s="1" t="n"/>
      <c r="L16" s="35" t="str">
        <f>IFERROR(INDEX('12 Base de Dados'!$A$6:$A$925,MATCH(LARGE('12 Base de Dados'!$Q$6:$Q$925,1),'12 Base de Dados'!$Q$6:$Q$925,0)),"")</f>
        <v/>
      </c>
      <c r="M16" s="1" t="n"/>
      <c r="N16" s="1" t="n"/>
      <c r="O16" s="36" t="str">
        <f>IFERROR(INDEX('12 Base de Dados'!$L$6:$L$925,MATCH(LARGE('12 Base de Dados'!$Q$6:$Q$925,1),'12 Base de Dados'!$Q$6:$Q$925,0)),"")</f>
        <v/>
      </c>
      <c r="P16" s="1" t="n"/>
      <c r="Q16" s="1" t="n"/>
      <c r="R16" s="37" t="str">
        <f>IFERROR(INDEX('12 Base de Dados'!$H$6:$H$925,MATCH(LARGE('12 Base de Dados'!$Q$6:$Q$925,1),'12 Base de Dados'!$Q$6:$Q$925,0)),"")</f>
        <v/>
      </c>
      <c r="S16" s="1" t="n"/>
      <c r="T16" s="38" t="str">
        <f>IFERROR(INDEX('12 Base de Dados'!$F$6:$F$925,MATCH(LARGE('12 Base de Dados'!$Q$6:$Q$925,1),'12 Base de Dados'!$Q$6:$Q$925,0)),"")</f>
        <v/>
      </c>
      <c r="U16" s="1" t="n"/>
      <c r="V16" s="39" t="str">
        <f>IFERROR(INDEX('12 Base de Dados'!$M$6:$M$925,MATCH(LARGE('12 Base de Dados'!$Q$6:$Q$925,1),'12 Base de Dados'!$Q$6:$Q$925,0)),"")</f>
        <v/>
      </c>
      <c r="W16" s="1" t="n"/>
      <c r="X16" s="1" t="n"/>
    </row>
    <row r="17" ht="20" customHeight="1">
      <c r="B17" s="29" t="str">
        <f>'02 Macro Alocação'!$B$10</f>
        <v>FIIs</v>
      </c>
      <c r="C17" s="1" t="n"/>
      <c r="D17" s="30">
        <f>'02 Macro Alocação'!$E$10</f>
        <v>0</v>
      </c>
      <c r="E17" s="31" t="n"/>
      <c r="F17" s="32">
        <f>'02 Macro Alocação'!$F$10</f>
        <v>0.2</v>
      </c>
      <c r="G17" s="33" t="str">
        <f>'02 Macro Alocação'!$L$10</f>
        <v>BUY</v>
      </c>
      <c r="H17" s="34">
        <f>'02 Macro Alocação'!$M$10</f>
        <v>100</v>
      </c>
      <c r="J17" s="29" t="str">
        <f>IFERROR(INDEX('12 Base de Dados'!$C$6:$C$925,MATCH(LARGE('12 Base de Dados'!$Q$6:$Q$925,2),'12 Base de Dados'!$Q$6:$Q$925,0)),"")</f>
        <v/>
      </c>
      <c r="K17" s="1" t="n"/>
      <c r="L17" s="35" t="str">
        <f>IFERROR(INDEX('12 Base de Dados'!$A$6:$A$925,MATCH(LARGE('12 Base de Dados'!$Q$6:$Q$925,2),'12 Base de Dados'!$Q$6:$Q$925,0)),"")</f>
        <v/>
      </c>
      <c r="M17" s="1" t="n"/>
      <c r="N17" s="1" t="n"/>
      <c r="O17" s="36" t="str">
        <f>IFERROR(INDEX('12 Base de Dados'!$L$6:$L$925,MATCH(LARGE('12 Base de Dados'!$Q$6:$Q$925,2),'12 Base de Dados'!$Q$6:$Q$925,0)),"")</f>
        <v/>
      </c>
      <c r="P17" s="1" t="n"/>
      <c r="Q17" s="1" t="n"/>
      <c r="R17" s="37" t="str">
        <f>IFERROR(INDEX('12 Base de Dados'!$H$6:$H$925,MATCH(LARGE('12 Base de Dados'!$Q$6:$Q$925,2),'12 Base de Dados'!$Q$6:$Q$925,0)),"")</f>
        <v/>
      </c>
      <c r="S17" s="1" t="n"/>
      <c r="T17" s="38" t="str">
        <f>IFERROR(INDEX('12 Base de Dados'!$F$6:$F$925,MATCH(LARGE('12 Base de Dados'!$Q$6:$Q$925,2),'12 Base de Dados'!$Q$6:$Q$925,0)),"")</f>
        <v/>
      </c>
      <c r="U17" s="1" t="n"/>
      <c r="V17" s="39" t="str">
        <f>IFERROR(INDEX('12 Base de Dados'!$M$6:$M$925,MATCH(LARGE('12 Base de Dados'!$Q$6:$Q$925,2),'12 Base de Dados'!$Q$6:$Q$925,0)),"")</f>
        <v/>
      </c>
      <c r="W17" s="1" t="n"/>
      <c r="X17" s="1" t="n"/>
    </row>
    <row r="18" ht="20" customHeight="1">
      <c r="B18" s="29" t="str">
        <f>'02 Macro Alocação'!$B$11</f>
        <v>Renda Fixa</v>
      </c>
      <c r="C18" s="1" t="n"/>
      <c r="D18" s="30">
        <f>'02 Macro Alocação'!$E$11</f>
        <v>0</v>
      </c>
      <c r="E18" s="31" t="n"/>
      <c r="F18" s="32">
        <f>'02 Macro Alocação'!$F$11</f>
        <v>0.05</v>
      </c>
      <c r="G18" s="33" t="str">
        <f>'02 Macro Alocação'!$L$11</f>
        <v>BUY</v>
      </c>
      <c r="H18" s="34">
        <f>'02 Macro Alocação'!$M$11</f>
        <v>25</v>
      </c>
      <c r="J18" s="29" t="str">
        <f>IFERROR(INDEX('12 Base de Dados'!$C$6:$C$925,MATCH(LARGE('12 Base de Dados'!$Q$6:$Q$925,3),'12 Base de Dados'!$Q$6:$Q$925,0)),"")</f>
        <v/>
      </c>
      <c r="K18" s="1" t="n"/>
      <c r="L18" s="35" t="str">
        <f>IFERROR(INDEX('12 Base de Dados'!$A$6:$A$925,MATCH(LARGE('12 Base de Dados'!$Q$6:$Q$925,3),'12 Base de Dados'!$Q$6:$Q$925,0)),"")</f>
        <v/>
      </c>
      <c r="M18" s="1" t="n"/>
      <c r="N18" s="1" t="n"/>
      <c r="O18" s="36" t="str">
        <f>IFERROR(INDEX('12 Base de Dados'!$L$6:$L$925,MATCH(LARGE('12 Base de Dados'!$Q$6:$Q$925,3),'12 Base de Dados'!$Q$6:$Q$925,0)),"")</f>
        <v/>
      </c>
      <c r="P18" s="1" t="n"/>
      <c r="Q18" s="1" t="n"/>
      <c r="R18" s="37" t="str">
        <f>IFERROR(INDEX('12 Base de Dados'!$H$6:$H$925,MATCH(LARGE('12 Base de Dados'!$Q$6:$Q$925,3),'12 Base de Dados'!$Q$6:$Q$925,0)),"")</f>
        <v/>
      </c>
      <c r="S18" s="1" t="n"/>
      <c r="T18" s="38" t="str">
        <f>IFERROR(INDEX('12 Base de Dados'!$F$6:$F$925,MATCH(LARGE('12 Base de Dados'!$Q$6:$Q$925,3),'12 Base de Dados'!$Q$6:$Q$925,0)),"")</f>
        <v/>
      </c>
      <c r="U18" s="1" t="n"/>
      <c r="V18" s="39" t="str">
        <f>IFERROR(INDEX('12 Base de Dados'!$M$6:$M$925,MATCH(LARGE('12 Base de Dados'!$Q$6:$Q$925,3),'12 Base de Dados'!$Q$6:$Q$925,0)),"")</f>
        <v/>
      </c>
      <c r="W18" s="1" t="n"/>
      <c r="X18" s="1" t="n"/>
    </row>
    <row r="19" ht="20" customHeight="1">
      <c r="B19" s="29" t="str">
        <f>'02 Macro Alocação'!$B$12</f>
        <v>Stocks</v>
      </c>
      <c r="C19" s="1" t="n"/>
      <c r="D19" s="30">
        <f>'02 Macro Alocação'!$E$12</f>
        <v>0</v>
      </c>
      <c r="E19" s="31" t="n"/>
      <c r="F19" s="32">
        <f>'02 Macro Alocação'!$F$12</f>
        <v>0.2</v>
      </c>
      <c r="G19" s="33" t="str">
        <f>'02 Macro Alocação'!$L$12</f>
        <v>BUY</v>
      </c>
      <c r="H19" s="34">
        <f>'02 Macro Alocação'!$M$12</f>
        <v>100</v>
      </c>
      <c r="J19" s="29" t="str">
        <f>IFERROR(INDEX('12 Base de Dados'!$C$6:$C$925,MATCH(LARGE('12 Base de Dados'!$Q$6:$Q$925,4),'12 Base de Dados'!$Q$6:$Q$925,0)),"")</f>
        <v/>
      </c>
      <c r="K19" s="1" t="n"/>
      <c r="L19" s="35" t="str">
        <f>IFERROR(INDEX('12 Base de Dados'!$A$6:$A$925,MATCH(LARGE('12 Base de Dados'!$Q$6:$Q$925,4),'12 Base de Dados'!$Q$6:$Q$925,0)),"")</f>
        <v/>
      </c>
      <c r="M19" s="1" t="n"/>
      <c r="N19" s="1" t="n"/>
      <c r="O19" s="36" t="str">
        <f>IFERROR(INDEX('12 Base de Dados'!$L$6:$L$925,MATCH(LARGE('12 Base de Dados'!$Q$6:$Q$925,4),'12 Base de Dados'!$Q$6:$Q$925,0)),"")</f>
        <v/>
      </c>
      <c r="P19" s="1" t="n"/>
      <c r="Q19" s="1" t="n"/>
      <c r="R19" s="37" t="str">
        <f>IFERROR(INDEX('12 Base de Dados'!$H$6:$H$925,MATCH(LARGE('12 Base de Dados'!$Q$6:$Q$925,4),'12 Base de Dados'!$Q$6:$Q$925,0)),"")</f>
        <v/>
      </c>
      <c r="S19" s="1" t="n"/>
      <c r="T19" s="38" t="str">
        <f>IFERROR(INDEX('12 Base de Dados'!$F$6:$F$925,MATCH(LARGE('12 Base de Dados'!$Q$6:$Q$925,4),'12 Base de Dados'!$Q$6:$Q$925,0)),"")</f>
        <v/>
      </c>
      <c r="U19" s="1" t="n"/>
      <c r="V19" s="39" t="str">
        <f>IFERROR(INDEX('12 Base de Dados'!$M$6:$M$925,MATCH(LARGE('12 Base de Dados'!$Q$6:$Q$925,4),'12 Base de Dados'!$Q$6:$Q$925,0)),"")</f>
        <v/>
      </c>
      <c r="W19" s="1" t="n"/>
      <c r="X19" s="1" t="n"/>
    </row>
    <row r="20" ht="20" customHeight="1">
      <c r="B20" s="29" t="str">
        <f>'02 Macro Alocação'!$B$13</f>
        <v>REITs</v>
      </c>
      <c r="C20" s="1" t="n"/>
      <c r="D20" s="30">
        <f>'02 Macro Alocação'!$E$13</f>
        <v>0</v>
      </c>
      <c r="E20" s="31" t="n"/>
      <c r="F20" s="32">
        <f>'02 Macro Alocação'!$F$13</f>
        <v>0.1</v>
      </c>
      <c r="G20" s="33" t="str">
        <f>'02 Macro Alocação'!$L$13</f>
        <v>BUY</v>
      </c>
      <c r="H20" s="34">
        <f>'02 Macro Alocação'!$M$13</f>
        <v>50</v>
      </c>
      <c r="J20" s="29" t="str">
        <f>IFERROR(INDEX('12 Base de Dados'!$C$6:$C$925,MATCH(LARGE('12 Base de Dados'!$Q$6:$Q$925,5),'12 Base de Dados'!$Q$6:$Q$925,0)),"")</f>
        <v/>
      </c>
      <c r="K20" s="1" t="n"/>
      <c r="L20" s="35" t="str">
        <f>IFERROR(INDEX('12 Base de Dados'!$A$6:$A$925,MATCH(LARGE('12 Base de Dados'!$Q$6:$Q$925,5),'12 Base de Dados'!$Q$6:$Q$925,0)),"")</f>
        <v/>
      </c>
      <c r="M20" s="1" t="n"/>
      <c r="N20" s="1" t="n"/>
      <c r="O20" s="36" t="str">
        <f>IFERROR(INDEX('12 Base de Dados'!$L$6:$L$925,MATCH(LARGE('12 Base de Dados'!$Q$6:$Q$925,5),'12 Base de Dados'!$Q$6:$Q$925,0)),"")</f>
        <v/>
      </c>
      <c r="P20" s="1" t="n"/>
      <c r="Q20" s="1" t="n"/>
      <c r="R20" s="37" t="str">
        <f>IFERROR(INDEX('12 Base de Dados'!$H$6:$H$925,MATCH(LARGE('12 Base de Dados'!$Q$6:$Q$925,5),'12 Base de Dados'!$Q$6:$Q$925,0)),"")</f>
        <v/>
      </c>
      <c r="S20" s="1" t="n"/>
      <c r="T20" s="38" t="str">
        <f>IFERROR(INDEX('12 Base de Dados'!$F$6:$F$925,MATCH(LARGE('12 Base de Dados'!$Q$6:$Q$925,5),'12 Base de Dados'!$Q$6:$Q$925,0)),"")</f>
        <v/>
      </c>
      <c r="U20" s="1" t="n"/>
      <c r="V20" s="39" t="str">
        <f>IFERROR(INDEX('12 Base de Dados'!$M$6:$M$925,MATCH(LARGE('12 Base de Dados'!$Q$6:$Q$925,5),'12 Base de Dados'!$Q$6:$Q$925,0)),"")</f>
        <v/>
      </c>
      <c r="W20" s="1" t="n"/>
      <c r="X20" s="1" t="n"/>
    </row>
    <row r="21" ht="20" customHeight="1">
      <c r="B21" s="29" t="str">
        <f>'02 Macro Alocação'!$B$14</f>
        <v>Criptomoedas</v>
      </c>
      <c r="C21" s="1" t="n"/>
      <c r="D21" s="30">
        <f>'02 Macro Alocação'!$E$14</f>
        <v>0</v>
      </c>
      <c r="E21" s="31" t="n"/>
      <c r="F21" s="32">
        <f>'02 Macro Alocação'!$F$14</f>
        <v>0.05</v>
      </c>
      <c r="G21" s="33" t="str">
        <f>'02 Macro Alocação'!$L$14</f>
        <v>BUY</v>
      </c>
      <c r="H21" s="34">
        <f>'02 Macro Alocação'!$M$14</f>
        <v>25</v>
      </c>
      <c r="J21" s="29" t="str">
        <f>IFERROR(INDEX('12 Base de Dados'!$C$6:$C$925,MATCH(LARGE('12 Base de Dados'!$Q$6:$Q$925,6),'12 Base de Dados'!$Q$6:$Q$925,0)),"")</f>
        <v/>
      </c>
      <c r="K21" s="1" t="n"/>
      <c r="L21" s="35" t="str">
        <f>IFERROR(INDEX('12 Base de Dados'!$A$6:$A$925,MATCH(LARGE('12 Base de Dados'!$Q$6:$Q$925,6),'12 Base de Dados'!$Q$6:$Q$925,0)),"")</f>
        <v/>
      </c>
      <c r="M21" s="1" t="n"/>
      <c r="N21" s="1" t="n"/>
      <c r="O21" s="36" t="str">
        <f>IFERROR(INDEX('12 Base de Dados'!$L$6:$L$925,MATCH(LARGE('12 Base de Dados'!$Q$6:$Q$925,6),'12 Base de Dados'!$Q$6:$Q$925,0)),"")</f>
        <v/>
      </c>
      <c r="P21" s="1" t="n"/>
      <c r="Q21" s="1" t="n"/>
      <c r="R21" s="37" t="str">
        <f>IFERROR(INDEX('12 Base de Dados'!$H$6:$H$925,MATCH(LARGE('12 Base de Dados'!$Q$6:$Q$925,6),'12 Base de Dados'!$Q$6:$Q$925,0)),"")</f>
        <v/>
      </c>
      <c r="S21" s="1" t="n"/>
      <c r="T21" s="38" t="str">
        <f>IFERROR(INDEX('12 Base de Dados'!$F$6:$F$925,MATCH(LARGE('12 Base de Dados'!$Q$6:$Q$925,6),'12 Base de Dados'!$Q$6:$Q$925,0)),"")</f>
        <v/>
      </c>
      <c r="U21" s="1" t="n"/>
      <c r="V21" s="39" t="str">
        <f>IFERROR(INDEX('12 Base de Dados'!$M$6:$M$925,MATCH(LARGE('12 Base de Dados'!$Q$6:$Q$925,6),'12 Base de Dados'!$Q$6:$Q$925,0)),"")</f>
        <v/>
      </c>
      <c r="W21" s="1" t="n"/>
      <c r="X21" s="1" t="n"/>
    </row>
    <row r="22" ht="20" customHeight="1">
      <c r="B22" s="29" t="str">
        <f>'02 Macro Alocação'!$B$15</f>
        <v>Ativos Ilíquidos</v>
      </c>
      <c r="C22" s="1" t="n"/>
      <c r="D22" s="30">
        <f>'02 Macro Alocação'!$E$15</f>
        <v>0</v>
      </c>
      <c r="E22" s="31" t="n"/>
      <c r="F22" s="32">
        <f>'02 Macro Alocação'!$F$15</f>
        <v>0</v>
      </c>
      <c r="G22" s="33" t="str">
        <f>'02 Macro Alocação'!$L$15</f>
        <v>HOLD</v>
      </c>
      <c r="H22" s="34">
        <f>'02 Macro Alocação'!$M$15</f>
        <v>0</v>
      </c>
      <c r="J22" s="29" t="str">
        <f>IFERROR(INDEX('12 Base de Dados'!$C$6:$C$925,MATCH(LARGE('12 Base de Dados'!$Q$6:$Q$925,7),'12 Base de Dados'!$Q$6:$Q$925,0)),"")</f>
        <v/>
      </c>
      <c r="K22" s="1" t="n"/>
      <c r="L22" s="35" t="str">
        <f>IFERROR(INDEX('12 Base de Dados'!$A$6:$A$925,MATCH(LARGE('12 Base de Dados'!$Q$6:$Q$925,7),'12 Base de Dados'!$Q$6:$Q$925,0)),"")</f>
        <v/>
      </c>
      <c r="M22" s="1" t="n"/>
      <c r="N22" s="1" t="n"/>
      <c r="O22" s="36" t="str">
        <f>IFERROR(INDEX('12 Base de Dados'!$L$6:$L$925,MATCH(LARGE('12 Base de Dados'!$Q$6:$Q$925,7),'12 Base de Dados'!$Q$6:$Q$925,0)),"")</f>
        <v/>
      </c>
      <c r="P22" s="1" t="n"/>
      <c r="Q22" s="1" t="n"/>
      <c r="R22" s="37" t="str">
        <f>IFERROR(INDEX('12 Base de Dados'!$H$6:$H$925,MATCH(LARGE('12 Base de Dados'!$Q$6:$Q$925,7),'12 Base de Dados'!$Q$6:$Q$925,0)),"")</f>
        <v/>
      </c>
      <c r="S22" s="1" t="n"/>
      <c r="T22" s="38" t="str">
        <f>IFERROR(INDEX('12 Base de Dados'!$F$6:$F$925,MATCH(LARGE('12 Base de Dados'!$Q$6:$Q$925,7),'12 Base de Dados'!$Q$6:$Q$925,0)),"")</f>
        <v/>
      </c>
      <c r="U22" s="1" t="n"/>
      <c r="V22" s="39" t="str">
        <f>IFERROR(INDEX('12 Base de Dados'!$M$6:$M$925,MATCH(LARGE('12 Base de Dados'!$Q$6:$Q$925,7),'12 Base de Dados'!$Q$6:$Q$925,0)),"")</f>
        <v/>
      </c>
      <c r="W22" s="1" t="n"/>
      <c r="X22" s="1" t="n"/>
    </row>
    <row r="23" ht="20" customHeight="1">
      <c r="B23" s="40" t="inlineStr">
        <is>
          <t>TOTAL</t>
        </is>
      </c>
      <c r="C23" s="41" t="n"/>
      <c r="D23" s="42">
        <f>'02 Macro Alocação'!$E$16</f>
        <v>0</v>
      </c>
      <c r="E23" s="43" t="n"/>
      <c r="F23" s="44">
        <f>'02 Macro Alocação'!$F$16</f>
        <v>1</v>
      </c>
      <c r="G23" s="43" t="n"/>
      <c r="H23" s="45">
        <f>'02 Macro Alocação'!$M$16</f>
        <v>500</v>
      </c>
      <c r="J23" s="29" t="str">
        <f>IFERROR(INDEX('12 Base de Dados'!$C$6:$C$925,MATCH(LARGE('12 Base de Dados'!$Q$6:$Q$925,8),'12 Base de Dados'!$Q$6:$Q$925,0)),"")</f>
        <v/>
      </c>
      <c r="K23" s="1" t="n"/>
      <c r="L23" s="35" t="str">
        <f>IFERROR(INDEX('12 Base de Dados'!$A$6:$A$925,MATCH(LARGE('12 Base de Dados'!$Q$6:$Q$925,8),'12 Base de Dados'!$Q$6:$Q$925,0)),"")</f>
        <v/>
      </c>
      <c r="M23" s="1" t="n"/>
      <c r="N23" s="1" t="n"/>
      <c r="O23" s="36" t="str">
        <f>IFERROR(INDEX('12 Base de Dados'!$L$6:$L$925,MATCH(LARGE('12 Base de Dados'!$Q$6:$Q$925,8),'12 Base de Dados'!$Q$6:$Q$925,0)),"")</f>
        <v/>
      </c>
      <c r="P23" s="1" t="n"/>
      <c r="Q23" s="1" t="n"/>
      <c r="R23" s="37" t="str">
        <f>IFERROR(INDEX('12 Base de Dados'!$H$6:$H$925,MATCH(LARGE('12 Base de Dados'!$Q$6:$Q$925,8),'12 Base de Dados'!$Q$6:$Q$925,0)),"")</f>
        <v/>
      </c>
      <c r="S23" s="1" t="n"/>
      <c r="T23" s="38" t="str">
        <f>IFERROR(INDEX('12 Base de Dados'!$F$6:$F$925,MATCH(LARGE('12 Base de Dados'!$Q$6:$Q$925,8),'12 Base de Dados'!$Q$6:$Q$925,0)),"")</f>
        <v/>
      </c>
      <c r="U23" s="1" t="n"/>
      <c r="V23" s="39" t="str">
        <f>IFERROR(INDEX('12 Base de Dados'!$M$6:$M$925,MATCH(LARGE('12 Base de Dados'!$Q$6:$Q$925,8),'12 Base de Dados'!$Q$6:$Q$925,0)),"")</f>
        <v/>
      </c>
      <c r="W23" s="1" t="n"/>
      <c r="X23" s="1" t="n"/>
    </row>
    <row r="24" ht="20" customHeight="1">
      <c r="B24" s="46" t="inlineStr">
        <is>
          <t>Sobra após lotes/frações/custos</t>
        </is>
      </c>
      <c r="C24" s="1" t="n"/>
      <c r="D24" s="1" t="n"/>
      <c r="E24" s="1" t="n"/>
      <c r="F24" s="1" t="n"/>
      <c r="G24" s="1" t="n"/>
      <c r="H24" s="47">
        <f>'02 Macro Alocação'!$R$16</f>
        <v>500</v>
      </c>
      <c r="J24" s="29" t="str">
        <f>IFERROR(INDEX('12 Base de Dados'!$C$6:$C$925,MATCH(LARGE('12 Base de Dados'!$Q$6:$Q$925,9),'12 Base de Dados'!$Q$6:$Q$925,0)),"")</f>
        <v/>
      </c>
      <c r="K24" s="1" t="n"/>
      <c r="L24" s="35" t="str">
        <f>IFERROR(INDEX('12 Base de Dados'!$A$6:$A$925,MATCH(LARGE('12 Base de Dados'!$Q$6:$Q$925,9),'12 Base de Dados'!$Q$6:$Q$925,0)),"")</f>
        <v/>
      </c>
      <c r="M24" s="1" t="n"/>
      <c r="N24" s="1" t="n"/>
      <c r="O24" s="36" t="str">
        <f>IFERROR(INDEX('12 Base de Dados'!$L$6:$L$925,MATCH(LARGE('12 Base de Dados'!$Q$6:$Q$925,9),'12 Base de Dados'!$Q$6:$Q$925,0)),"")</f>
        <v/>
      </c>
      <c r="P24" s="1" t="n"/>
      <c r="Q24" s="1" t="n"/>
      <c r="R24" s="37" t="str">
        <f>IFERROR(INDEX('12 Base de Dados'!$H$6:$H$925,MATCH(LARGE('12 Base de Dados'!$Q$6:$Q$925,9),'12 Base de Dados'!$Q$6:$Q$925,0)),"")</f>
        <v/>
      </c>
      <c r="S24" s="1" t="n"/>
      <c r="T24" s="38" t="str">
        <f>IFERROR(INDEX('12 Base de Dados'!$F$6:$F$925,MATCH(LARGE('12 Base de Dados'!$Q$6:$Q$925,9),'12 Base de Dados'!$Q$6:$Q$925,0)),"")</f>
        <v/>
      </c>
      <c r="U24" s="1" t="n"/>
      <c r="V24" s="39" t="str">
        <f>IFERROR(INDEX('12 Base de Dados'!$M$6:$M$925,MATCH(LARGE('12 Base de Dados'!$Q$6:$Q$925,9),'12 Base de Dados'!$Q$6:$Q$925,0)),"")</f>
        <v/>
      </c>
      <c r="W24" s="1" t="n"/>
      <c r="X24" s="1" t="n"/>
    </row>
    <row r="25" ht="20" customHeight="1">
      <c r="B25" s="31" t="n"/>
      <c r="C25" s="31" t="n"/>
      <c r="D25" s="31" t="n"/>
      <c r="E25" s="31" t="n"/>
      <c r="F25" s="31" t="n"/>
      <c r="G25" s="31" t="n"/>
      <c r="H25" s="31" t="n"/>
      <c r="J25" s="29" t="str">
        <f>IFERROR(INDEX('12 Base de Dados'!$C$6:$C$925,MATCH(LARGE('12 Base de Dados'!$Q$6:$Q$925,10),'12 Base de Dados'!$Q$6:$Q$925,0)),"")</f>
        <v/>
      </c>
      <c r="K25" s="1" t="n"/>
      <c r="L25" s="35" t="str">
        <f>IFERROR(INDEX('12 Base de Dados'!$A$6:$A$925,MATCH(LARGE('12 Base de Dados'!$Q$6:$Q$925,10),'12 Base de Dados'!$Q$6:$Q$925,0)),"")</f>
        <v/>
      </c>
      <c r="M25" s="1" t="n"/>
      <c r="N25" s="1" t="n"/>
      <c r="O25" s="36" t="str">
        <f>IFERROR(INDEX('12 Base de Dados'!$L$6:$L$925,MATCH(LARGE('12 Base de Dados'!$Q$6:$Q$925,10),'12 Base de Dados'!$Q$6:$Q$925,0)),"")</f>
        <v/>
      </c>
      <c r="P25" s="1" t="n"/>
      <c r="Q25" s="1" t="n"/>
      <c r="R25" s="37" t="str">
        <f>IFERROR(INDEX('12 Base de Dados'!$H$6:$H$925,MATCH(LARGE('12 Base de Dados'!$Q$6:$Q$925,10),'12 Base de Dados'!$Q$6:$Q$925,0)),"")</f>
        <v/>
      </c>
      <c r="S25" s="1" t="n"/>
      <c r="T25" s="38" t="str">
        <f>IFERROR(INDEX('12 Base de Dados'!$F$6:$F$925,MATCH(LARGE('12 Base de Dados'!$Q$6:$Q$925,10),'12 Base de Dados'!$Q$6:$Q$925,0)),"")</f>
        <v/>
      </c>
      <c r="U25" s="1" t="n"/>
      <c r="V25" s="39" t="str">
        <f>IFERROR(INDEX('12 Base de Dados'!$M$6:$M$925,MATCH(LARGE('12 Base de Dados'!$Q$6:$Q$925,10),'12 Base de Dados'!$Q$6:$Q$925,0)),"")</f>
        <v/>
      </c>
      <c r="W25" s="1" t="n"/>
      <c r="X25" s="1" t="n"/>
    </row>
    <row r="26" ht="14" customHeight="1">
      <c r="J26" s="48" t="inlineStr">
        <is>
          <t>PLANO DE COMPRAS: as 10 maiores ordens (quantidade, lote e custos já aplicados). Detalhes nas abas de cada classe.</t>
        </is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</row>
    <row r="27" ht="8" customHeight="1"/>
    <row r="28" ht="22" customHeight="1">
      <c r="B28" s="23" t="inlineStr">
        <is>
          <t>ALOCAÇÃO E EXPOSIÇÃO</t>
        </is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</row>
    <row r="44" ht="8" customHeight="1"/>
    <row r="60" ht="8" customHeight="1"/>
    <row r="61" ht="22" customHeight="1">
      <c r="B61" s="23" t="inlineStr">
        <is>
          <t>CONTROLE DE RISCO</t>
        </is>
      </c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</row>
    <row r="62" ht="22" customHeight="1">
      <c r="B62" s="49" t="inlineStr">
        <is>
          <t>CONCENTRAÇÃO POR ATIVO</t>
        </is>
      </c>
      <c r="C62" s="50" t="n"/>
      <c r="D62" s="50" t="n"/>
      <c r="E62" s="50" t="n"/>
      <c r="F62" s="50" t="n"/>
      <c r="G62" s="50" t="n"/>
      <c r="H62" s="50" t="n"/>
      <c r="J62" s="49" t="inlineStr">
        <is>
          <t>CONCENTRAÇÃO POR SETOR (TOP 6)</t>
        </is>
      </c>
      <c r="K62" s="50" t="n"/>
      <c r="L62" s="50" t="n"/>
      <c r="M62" s="50" t="n"/>
      <c r="N62" s="50" t="n"/>
      <c r="O62" s="50" t="n"/>
      <c r="P62" s="50" t="n"/>
      <c r="R62" s="49" t="inlineStr">
        <is>
          <t>EXPOSIÇÃO GEOGRÁFICA E CAMBIAL</t>
        </is>
      </c>
      <c r="S62" s="50" t="n"/>
      <c r="T62" s="50" t="n"/>
      <c r="U62" s="50" t="n"/>
      <c r="V62" s="50" t="n"/>
      <c r="W62" s="50" t="n"/>
      <c r="X62" s="50" t="n"/>
    </row>
    <row r="63">
      <c r="B63" s="35" t="inlineStr">
        <is>
          <t>Maior posição</t>
        </is>
      </c>
      <c r="C63" s="1" t="n"/>
      <c r="D63" s="1" t="n"/>
      <c r="E63" s="31" t="n"/>
      <c r="F63" s="51" t="str">
        <f>IF('11 Auxiliar'!$C$69="—","—",'11 Auxiliar'!$C$69&amp;"  ·  "&amp;ROUND('11 Auxiliar'!$E$69*100,1)&amp;"%")</f>
        <v>—</v>
      </c>
      <c r="G63" s="1" t="n"/>
      <c r="H63" s="1" t="n"/>
      <c r="J63" s="29" t="str">
        <f>'11 Auxiliar'!$C$129</f>
        <v>—</v>
      </c>
      <c r="K63" s="1" t="n"/>
      <c r="L63" s="1" t="n"/>
      <c r="M63" s="31" t="n"/>
      <c r="N63" s="30">
        <f>'11 Auxiliar'!$E$129</f>
        <v>0</v>
      </c>
      <c r="O63" s="1" t="n"/>
      <c r="P63" s="52" t="str">
        <f>IF(N63&gt;p_LimSetor,"ALERTA","OK")</f>
        <v>OK</v>
      </c>
      <c r="R63" s="53" t="inlineStr">
        <is>
          <t>Grupo</t>
        </is>
      </c>
      <c r="S63" s="1" t="n"/>
      <c r="T63" s="1" t="n"/>
      <c r="U63" s="31" t="n"/>
      <c r="V63" s="54" t="inlineStr">
        <is>
          <t>Atual</t>
        </is>
      </c>
      <c r="W63" s="31" t="n"/>
      <c r="X63" s="54" t="inlineStr">
        <is>
          <t>Objetivo</t>
        </is>
      </c>
    </row>
    <row r="64">
      <c r="B64" s="35" t="inlineStr">
        <is>
          <t>Menor posição</t>
        </is>
      </c>
      <c r="C64" s="1" t="n"/>
      <c r="D64" s="1" t="n"/>
      <c r="E64" s="31" t="n"/>
      <c r="F64" s="51" t="str">
        <f>IFERROR(INDEX('12 Base de Dados'!$C$6:$C$925,MATCH(SMALL('12 Base de Dados'!$P$6:$P$925,1),'12 Base de Dados'!$P$6:$P$925,0))&amp;"  ·  "&amp;ROUND(INDEX('12 Base de Dados'!$N$6:$N$925,MATCH(SMALL('12 Base de Dados'!$P$6:$P$925,1),'12 Base de Dados'!$P$6:$P$925,0))*100,2)&amp;"%","—")</f>
        <v>—</v>
      </c>
      <c r="G64" s="1" t="n"/>
      <c r="H64" s="1" t="n"/>
      <c r="J64" s="29" t="str">
        <f>'11 Auxiliar'!$C$130</f>
        <v>—</v>
      </c>
      <c r="K64" s="1" t="n"/>
      <c r="L64" s="1" t="n"/>
      <c r="M64" s="31" t="n"/>
      <c r="N64" s="30">
        <f>'11 Auxiliar'!$E$130</f>
        <v>0</v>
      </c>
      <c r="O64" s="1" t="n"/>
      <c r="P64" s="52" t="str">
        <f>IF(N64&gt;p_LimSetor,"ALERTA","OK")</f>
        <v>OK</v>
      </c>
      <c r="R64" s="29" t="inlineStr">
        <is>
          <t>Brasil</t>
        </is>
      </c>
      <c r="S64" s="1" t="n"/>
      <c r="T64" s="1" t="n"/>
      <c r="U64" s="31" t="n"/>
      <c r="V64" s="55">
        <f>'02 Macro Alocação'!$E$20</f>
        <v>0</v>
      </c>
      <c r="W64" s="1" t="n"/>
      <c r="X64" s="32">
        <f>'02 Macro Alocação'!$F$20</f>
        <v>0.65</v>
      </c>
    </row>
    <row r="65">
      <c r="B65" s="35" t="inlineStr">
        <is>
          <t>Top 5 posições</t>
        </is>
      </c>
      <c r="C65" s="1" t="n"/>
      <c r="D65" s="1" t="n"/>
      <c r="E65" s="31" t="n"/>
      <c r="F65" s="56">
        <f>SUM('11 Auxiliar'!$E$69:$E$73)</f>
        <v>0</v>
      </c>
      <c r="G65" s="1" t="n"/>
      <c r="H65" s="1" t="n"/>
      <c r="J65" s="29" t="str">
        <f>'11 Auxiliar'!$C$131</f>
        <v>—</v>
      </c>
      <c r="K65" s="1" t="n"/>
      <c r="L65" s="1" t="n"/>
      <c r="M65" s="31" t="n"/>
      <c r="N65" s="30">
        <f>'11 Auxiliar'!$E$131</f>
        <v>0</v>
      </c>
      <c r="O65" s="1" t="n"/>
      <c r="P65" s="52" t="str">
        <f>IF(N65&gt;p_LimSetor,"ALERTA","OK")</f>
        <v>OK</v>
      </c>
      <c r="R65" s="29" t="inlineStr">
        <is>
          <t>Exterior</t>
        </is>
      </c>
      <c r="S65" s="1" t="n"/>
      <c r="T65" s="1" t="n"/>
      <c r="U65" s="31" t="n"/>
      <c r="V65" s="55">
        <f>'02 Macro Alocação'!$E$21</f>
        <v>0</v>
      </c>
      <c r="W65" s="1" t="n"/>
      <c r="X65" s="32">
        <f>'02 Macro Alocação'!$F$21</f>
        <v>0.3</v>
      </c>
    </row>
    <row r="66">
      <c r="B66" s="35" t="inlineStr">
        <is>
          <t>Top 10 posições</t>
        </is>
      </c>
      <c r="C66" s="1" t="n"/>
      <c r="D66" s="1" t="n"/>
      <c r="E66" s="31" t="n"/>
      <c r="F66" s="56">
        <f>SUM('11 Auxiliar'!$E$69:$E$78)</f>
        <v>0</v>
      </c>
      <c r="G66" s="1" t="n"/>
      <c r="H66" s="1" t="n"/>
      <c r="J66" s="29" t="str">
        <f>'11 Auxiliar'!$C$132</f>
        <v>—</v>
      </c>
      <c r="K66" s="1" t="n"/>
      <c r="L66" s="1" t="n"/>
      <c r="M66" s="31" t="n"/>
      <c r="N66" s="30">
        <f>'11 Auxiliar'!$E$132</f>
        <v>0</v>
      </c>
      <c r="O66" s="1" t="n"/>
      <c r="P66" s="52" t="str">
        <f>IF(N66&gt;p_LimSetor,"ALERTA","OK")</f>
        <v>OK</v>
      </c>
      <c r="R66" s="29" t="inlineStr">
        <is>
          <t>Alternativos</t>
        </is>
      </c>
      <c r="S66" s="1" t="n"/>
      <c r="T66" s="1" t="n"/>
      <c r="U66" s="31" t="n"/>
      <c r="V66" s="55">
        <f>'02 Macro Alocação'!$E$22</f>
        <v>0</v>
      </c>
      <c r="W66" s="1" t="n"/>
      <c r="X66" s="32">
        <f>'02 Macro Alocação'!$F$22</f>
        <v>0.05</v>
      </c>
    </row>
    <row r="67">
      <c r="B67" s="35" t="inlineStr">
        <is>
          <t>Ativos efetivos (1/HHI)</t>
        </is>
      </c>
      <c r="C67" s="1" t="n"/>
      <c r="D67" s="1" t="n"/>
      <c r="E67" s="31" t="n"/>
      <c r="F67" s="57">
        <f>IFERROR(1/SUMSQ('12 Base de Dados'!$N$6:$N$925),0)</f>
        <v>0</v>
      </c>
      <c r="G67" s="1" t="n"/>
      <c r="H67" s="1" t="n"/>
      <c r="J67" s="29" t="str">
        <f>'11 Auxiliar'!$C$133</f>
        <v>—</v>
      </c>
      <c r="K67" s="1" t="n"/>
      <c r="L67" s="1" t="n"/>
      <c r="M67" s="31" t="n"/>
      <c r="N67" s="30">
        <f>'11 Auxiliar'!$E$133</f>
        <v>0</v>
      </c>
      <c r="O67" s="1" t="n"/>
      <c r="P67" s="52" t="str">
        <f>IF(N67&gt;p_LimSetor,"ALERTA","OK")</f>
        <v>OK</v>
      </c>
      <c r="R67" s="53" t="inlineStr">
        <is>
          <t>Moeda</t>
        </is>
      </c>
      <c r="S67" s="1" t="n"/>
      <c r="T67" s="1" t="n"/>
      <c r="U67" s="31" t="n"/>
      <c r="V67" s="54" t="inlineStr">
        <is>
          <t>Atual</t>
        </is>
      </c>
      <c r="W67" s="31" t="n"/>
      <c r="X67" s="31" t="n"/>
    </row>
    <row r="68">
      <c r="B68" s="35" t="inlineStr">
        <is>
          <t>Nº de ativos</t>
        </is>
      </c>
      <c r="C68" s="1" t="n"/>
      <c r="D68" s="1" t="n"/>
      <c r="E68" s="31" t="n"/>
      <c r="F68" s="58">
        <f>SUMPRODUCT(--('12 Base de Dados'!$C$6:$C$925&lt;&gt;""))</f>
        <v>0</v>
      </c>
      <c r="G68" s="1" t="n"/>
      <c r="H68" s="1" t="n"/>
      <c r="J68" s="29" t="str">
        <f>'11 Auxiliar'!$C$134</f>
        <v>—</v>
      </c>
      <c r="K68" s="1" t="n"/>
      <c r="L68" s="1" t="n"/>
      <c r="M68" s="31" t="n"/>
      <c r="N68" s="30">
        <f>'11 Auxiliar'!$E$134</f>
        <v>0</v>
      </c>
      <c r="O68" s="1" t="n"/>
      <c r="P68" s="52" t="str">
        <f>IF(N68&gt;p_LimSetor,"ALERTA","OK")</f>
        <v>OK</v>
      </c>
      <c r="R68" s="29" t="str">
        <f>'11 Auxiliar'!$B$139</f>
        <v>BRL</v>
      </c>
      <c r="S68" s="1" t="n"/>
      <c r="T68" s="1" t="n"/>
      <c r="U68" s="31" t="n"/>
      <c r="V68" s="55">
        <f>'11 Auxiliar'!$D$139</f>
        <v>0</v>
      </c>
      <c r="W68" s="1" t="n"/>
      <c r="X68" s="31" t="n"/>
    </row>
    <row r="69">
      <c r="B69" s="35" t="inlineStr">
        <is>
          <t>Limite por ativo</t>
        </is>
      </c>
      <c r="C69" s="1" t="n"/>
      <c r="D69" s="1" t="n"/>
      <c r="E69" s="31" t="n"/>
      <c r="F69" s="56">
        <f>p_LimAtivo</f>
        <v>0.1</v>
      </c>
      <c r="G69" s="1" t="n"/>
      <c r="H69" s="1" t="n"/>
      <c r="J69" s="35" t="inlineStr">
        <is>
          <t>Limite por setor</t>
        </is>
      </c>
      <c r="K69" s="1" t="n"/>
      <c r="L69" s="1" t="n"/>
      <c r="M69" s="31" t="n"/>
      <c r="N69" s="56">
        <f>p_LimSetor</f>
        <v>0.3</v>
      </c>
      <c r="O69" s="1" t="n"/>
      <c r="P69" s="1" t="n"/>
      <c r="R69" s="29" t="str">
        <f>'11 Auxiliar'!$B$140</f>
        <v>USD</v>
      </c>
      <c r="S69" s="1" t="n"/>
      <c r="T69" s="1" t="n"/>
      <c r="U69" s="31" t="n"/>
      <c r="V69" s="55">
        <f>'11 Auxiliar'!$D$140</f>
        <v>0</v>
      </c>
      <c r="W69" s="1" t="n"/>
      <c r="X69" s="31" t="n"/>
    </row>
    <row r="70">
      <c r="B70" s="35" t="inlineStr">
        <is>
          <t>Posições acima do limite</t>
        </is>
      </c>
      <c r="C70" s="1" t="n"/>
      <c r="D70" s="1" t="n"/>
      <c r="E70" s="31" t="n"/>
      <c r="F70" s="59">
        <f>COUNTIF('12 Base de Dados'!$N$6:$N$925,"&gt;"&amp;p_LimAtivo)</f>
        <v>0</v>
      </c>
      <c r="G70" s="1" t="n"/>
      <c r="H70" s="1" t="n"/>
      <c r="J70" s="35" t="inlineStr">
        <is>
          <t>Setores acima do limite</t>
        </is>
      </c>
      <c r="K70" s="1" t="n"/>
      <c r="L70" s="1" t="n"/>
      <c r="M70" s="31" t="n"/>
      <c r="N70" s="59">
        <f>COUNTIF('11 Auxiliar'!$E$129:$E$134,"&gt;"&amp;p_LimSetor)</f>
        <v>0</v>
      </c>
      <c r="O70" s="1" t="n"/>
      <c r="P70" s="1" t="n"/>
      <c r="R70" s="29" t="str">
        <f>'11 Auxiliar'!$B$141</f>
        <v>EUR</v>
      </c>
      <c r="S70" s="1" t="n"/>
      <c r="T70" s="1" t="n"/>
      <c r="U70" s="31" t="n"/>
      <c r="V70" s="55">
        <f>'11 Auxiliar'!$D$141</f>
        <v>0</v>
      </c>
      <c r="W70" s="1" t="n"/>
      <c r="X70" s="31" t="n"/>
    </row>
    <row r="71">
      <c r="B71" s="31" t="n"/>
      <c r="C71" s="31" t="n"/>
      <c r="D71" s="31" t="n"/>
      <c r="E71" s="31" t="n"/>
      <c r="F71" s="31" t="n"/>
      <c r="G71" s="31" t="n"/>
      <c r="H71" s="31" t="n"/>
      <c r="J71" s="31" t="n"/>
      <c r="K71" s="31" t="n"/>
      <c r="L71" s="31" t="n"/>
      <c r="M71" s="31" t="n"/>
      <c r="N71" s="31" t="n"/>
      <c r="O71" s="31" t="n"/>
      <c r="P71" s="31" t="n"/>
      <c r="R71" s="29" t="str">
        <f>'11 Auxiliar'!$B$142</f>
        <v>Outras</v>
      </c>
      <c r="S71" s="1" t="n"/>
      <c r="T71" s="1" t="n"/>
      <c r="U71" s="31" t="n"/>
      <c r="V71" s="55">
        <f>'11 Auxiliar'!$D$142</f>
        <v>0</v>
      </c>
      <c r="W71" s="1" t="n"/>
      <c r="X71" s="31" t="n"/>
    </row>
    <row r="72" ht="8" customHeight="1"/>
    <row r="73" ht="14" customHeight="1">
      <c r="B73" s="60" t="inlineStr">
        <is>
          <t>HOLDER PREMIUM  ·  Informativo, não constitui recomendação de investimento. Cotações dependem da fonte configurada.</t>
        </is>
      </c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</row>
  </sheetData>
  <mergeCells count="182">
    <mergeCell ref="B11:D11"/>
    <mergeCell ref="V10:X10"/>
    <mergeCell ref="V24:X24"/>
    <mergeCell ref="O22:Q22"/>
    <mergeCell ref="F8:H8"/>
    <mergeCell ref="B22:C22"/>
    <mergeCell ref="J19:K19"/>
    <mergeCell ref="F66:H66"/>
    <mergeCell ref="N66:O66"/>
    <mergeCell ref="J62:P62"/>
    <mergeCell ref="J11:L11"/>
    <mergeCell ref="J26:X26"/>
    <mergeCell ref="O21:Q21"/>
    <mergeCell ref="B21:C21"/>
    <mergeCell ref="L25:N25"/>
    <mergeCell ref="N3:X3"/>
    <mergeCell ref="N68:O68"/>
    <mergeCell ref="J66:L66"/>
    <mergeCell ref="N69:P69"/>
    <mergeCell ref="B6:D6"/>
    <mergeCell ref="J4:K4"/>
    <mergeCell ref="L4:M4"/>
    <mergeCell ref="V22:X22"/>
    <mergeCell ref="V12:X12"/>
    <mergeCell ref="D4:E4"/>
    <mergeCell ref="F64:H64"/>
    <mergeCell ref="V21:X21"/>
    <mergeCell ref="V70:W70"/>
    <mergeCell ref="F65:H65"/>
    <mergeCell ref="O19:Q19"/>
    <mergeCell ref="J21:K21"/>
    <mergeCell ref="V23:X23"/>
    <mergeCell ref="B70:D70"/>
    <mergeCell ref="R18:S18"/>
    <mergeCell ref="F12:H12"/>
    <mergeCell ref="F7:H7"/>
    <mergeCell ref="J23:K23"/>
    <mergeCell ref="N65:O65"/>
    <mergeCell ref="L15:N15"/>
    <mergeCell ref="B16:C16"/>
    <mergeCell ref="L24:N24"/>
    <mergeCell ref="T24:U24"/>
    <mergeCell ref="L18:N18"/>
    <mergeCell ref="N63:O63"/>
    <mergeCell ref="R65:T65"/>
    <mergeCell ref="B8:D8"/>
    <mergeCell ref="J65:L65"/>
    <mergeCell ref="B3:L3"/>
    <mergeCell ref="J70:L70"/>
    <mergeCell ref="N8:P8"/>
    <mergeCell ref="R19:S19"/>
    <mergeCell ref="B18:C18"/>
    <mergeCell ref="J7:L7"/>
    <mergeCell ref="B10:D10"/>
    <mergeCell ref="J63:L63"/>
    <mergeCell ref="R16:S16"/>
    <mergeCell ref="R14:X14"/>
    <mergeCell ref="R25:S25"/>
    <mergeCell ref="N10:P10"/>
    <mergeCell ref="T25:U25"/>
    <mergeCell ref="R66:T66"/>
    <mergeCell ref="B68:D68"/>
    <mergeCell ref="V25:X25"/>
    <mergeCell ref="R68:T68"/>
    <mergeCell ref="J20:K20"/>
    <mergeCell ref="O23:Q23"/>
    <mergeCell ref="N67:O67"/>
    <mergeCell ref="V17:X17"/>
    <mergeCell ref="J22:K22"/>
    <mergeCell ref="T22:U22"/>
    <mergeCell ref="F11:H11"/>
    <mergeCell ref="F69:H69"/>
    <mergeCell ref="V66:W66"/>
    <mergeCell ref="J67:L67"/>
    <mergeCell ref="O15:Q15"/>
    <mergeCell ref="R11:T11"/>
    <mergeCell ref="B15:C15"/>
    <mergeCell ref="O24:Q24"/>
    <mergeCell ref="O18:Q18"/>
    <mergeCell ref="J69:L69"/>
    <mergeCell ref="V20:X20"/>
    <mergeCell ref="N12:P12"/>
    <mergeCell ref="R23:S23"/>
    <mergeCell ref="V65:W65"/>
    <mergeCell ref="N4:O4"/>
    <mergeCell ref="R6:T6"/>
    <mergeCell ref="F4:G4"/>
    <mergeCell ref="P4:Q4"/>
    <mergeCell ref="J6:L6"/>
    <mergeCell ref="T15:U15"/>
    <mergeCell ref="L23:N23"/>
    <mergeCell ref="R62:X62"/>
    <mergeCell ref="R12:T12"/>
    <mergeCell ref="R70:T70"/>
    <mergeCell ref="O25:Q25"/>
    <mergeCell ref="V15:X15"/>
    <mergeCell ref="V64:W64"/>
    <mergeCell ref="J24:K24"/>
    <mergeCell ref="B2:L2"/>
    <mergeCell ref="B62:H62"/>
    <mergeCell ref="O17:Q17"/>
    <mergeCell ref="B65:D65"/>
    <mergeCell ref="B17:C17"/>
    <mergeCell ref="F67:H67"/>
    <mergeCell ref="V7:X7"/>
    <mergeCell ref="V16:X16"/>
    <mergeCell ref="B24:G24"/>
    <mergeCell ref="B63:D63"/>
    <mergeCell ref="R20:S20"/>
    <mergeCell ref="B19:C19"/>
    <mergeCell ref="J16:K16"/>
    <mergeCell ref="B73:X73"/>
    <mergeCell ref="J25:K25"/>
    <mergeCell ref="J8:L8"/>
    <mergeCell ref="V18:X18"/>
    <mergeCell ref="R17:S17"/>
    <mergeCell ref="L17:N17"/>
    <mergeCell ref="T17:U17"/>
    <mergeCell ref="R22:S22"/>
    <mergeCell ref="V2:X2"/>
    <mergeCell ref="N11:P11"/>
    <mergeCell ref="F63:H63"/>
    <mergeCell ref="R67:T67"/>
    <mergeCell ref="F6:H6"/>
    <mergeCell ref="B66:D66"/>
    <mergeCell ref="J10:L10"/>
    <mergeCell ref="F68:H68"/>
    <mergeCell ref="B20:C20"/>
    <mergeCell ref="L19:N19"/>
    <mergeCell ref="T19:U19"/>
    <mergeCell ref="R69:T69"/>
    <mergeCell ref="B12:D12"/>
    <mergeCell ref="B4:C4"/>
    <mergeCell ref="J68:L68"/>
    <mergeCell ref="V19:X19"/>
    <mergeCell ref="V68:W68"/>
    <mergeCell ref="B67:D67"/>
    <mergeCell ref="T20:U20"/>
    <mergeCell ref="F70:H70"/>
    <mergeCell ref="H4:I4"/>
    <mergeCell ref="L20:N20"/>
    <mergeCell ref="O16:Q16"/>
    <mergeCell ref="R4:S4"/>
    <mergeCell ref="V6:X6"/>
    <mergeCell ref="B69:D69"/>
    <mergeCell ref="T4:U4"/>
    <mergeCell ref="V11:X11"/>
    <mergeCell ref="V4:W4"/>
    <mergeCell ref="V69:W69"/>
    <mergeCell ref="R15:S15"/>
    <mergeCell ref="J15:K15"/>
    <mergeCell ref="L22:N22"/>
    <mergeCell ref="R24:S24"/>
    <mergeCell ref="B23:C23"/>
    <mergeCell ref="N2:U2"/>
    <mergeCell ref="J12:L12"/>
    <mergeCell ref="R21:S21"/>
    <mergeCell ref="N6:P6"/>
    <mergeCell ref="B64:D64"/>
    <mergeCell ref="L21:N21"/>
    <mergeCell ref="T21:U21"/>
    <mergeCell ref="N64:O64"/>
    <mergeCell ref="R71:T71"/>
    <mergeCell ref="T23:U23"/>
    <mergeCell ref="N70:P70"/>
    <mergeCell ref="R8:T8"/>
    <mergeCell ref="R64:T64"/>
    <mergeCell ref="B7:D7"/>
    <mergeCell ref="J64:L64"/>
    <mergeCell ref="N7:P7"/>
    <mergeCell ref="F10:H10"/>
    <mergeCell ref="L16:N16"/>
    <mergeCell ref="T16:U16"/>
    <mergeCell ref="R63:T63"/>
    <mergeCell ref="R10:T10"/>
    <mergeCell ref="V8:X8"/>
    <mergeCell ref="J18:K18"/>
    <mergeCell ref="V71:W71"/>
    <mergeCell ref="T18:U18"/>
    <mergeCell ref="R7:T7"/>
    <mergeCell ref="O20:Q20"/>
    <mergeCell ref="J17:K17"/>
  </mergeCells>
  <conditionalFormatting sqref="V11">
    <cfRule type="expression" priority="1" dxfId="0">
      <formula>V11&gt;0</formula>
    </cfRule>
  </conditionalFormatting>
  <conditionalFormatting sqref="G16:G22">
    <cfRule type="cellIs" priority="2" operator="equal" dxfId="1">
      <formula>"BUY"</formula>
    </cfRule>
    <cfRule type="cellIs" priority="3" operator="equal" dxfId="2">
      <formula>"HOLD"</formula>
    </cfRule>
  </conditionalFormatting>
  <conditionalFormatting sqref="F70">
    <cfRule type="cellIs" priority="4" operator="greaterThan" dxfId="3">
      <formula>0</formula>
    </cfRule>
    <cfRule type="cellIs" priority="5" operator="equal" dxfId="4">
      <formula>0</formula>
    </cfRule>
  </conditionalFormatting>
  <conditionalFormatting sqref="P63:P68">
    <cfRule type="cellIs" priority="6" operator="equal" dxfId="3">
      <formula>"ALERTA"</formula>
    </cfRule>
    <cfRule type="cellIs" priority="7" operator="equal" dxfId="4">
      <formula>"OK"</formula>
    </cfRule>
  </conditionalFormatting>
  <conditionalFormatting sqref="N70">
    <cfRule type="cellIs" priority="8" operator="greaterThan" dxfId="3">
      <formula>0</formula>
    </cfRule>
    <cfRule type="cellIs" priority="9" operator="equal" dxfId="4">
      <formula>0</formula>
    </cfRule>
  </conditionalFormatting>
  <dataValidations count="1">
    <dataValidation sqref="V2" showDropDown="0" showInputMessage="0" showErrorMessage="0" allowBlank="0" errorTitle="Aporte inválido" error="Informe um valor em reais maior ou igual a zero." type="decimal" operator="greaterThanOrEqual">
      <formula1>0</formula1>
    </dataValidation>
  </dataValidations>
  <hyperlinks>
    <hyperlink ref="B4" location="'02 Macro Alocação'!A1" display="Macro"/>
    <hyperlink ref="D4" location="'03 Ações BR'!A1" display="Ações BR"/>
    <hyperlink ref="F4" location="'04 FIIs'!A1" display="FIIs"/>
    <hyperlink ref="H4" location="'05 Stocks'!A1" display="Stocks"/>
    <hyperlink ref="J4" location="'06 REITs'!A1" display="REITs"/>
    <hyperlink ref="L4" location="'07 Renda Fixa'!A1" display="Renda Fixa"/>
    <hyperlink ref="N4" location="'08 Criptomoedas'!A1" display="Cripto"/>
    <hyperlink ref="P4" location="'09 Ativos Ilíquidos'!A1" display="Ilíquidos"/>
    <hyperlink ref="R4" location="'10 Configurações'!A1" display="Config."/>
    <hyperlink ref="T4" location="'11 Auxiliar'!A1" display="Auxiliar"/>
    <hyperlink ref="V4" location="'12 Base de Dados'!A1" display="Base"/>
  </hyperlink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 fitToPage="1"/>
  </sheetPr>
  <dimension ref="A1:U23"/>
  <sheetViews>
    <sheetView showGridLines="0" tabSelected="0" zoomScale="95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" customWidth="1" style="1" min="1" max="1"/>
    <col width="18" customWidth="1" style="1" min="2" max="2"/>
    <col width="13" customWidth="1" style="1" min="3" max="3"/>
    <col width="16" customWidth="1" style="1" min="4" max="4"/>
    <col width="10" customWidth="1" style="1" min="5" max="5"/>
    <col width="11" customWidth="1" style="1" min="6" max="6"/>
    <col width="11" customWidth="1" style="1" min="7" max="7"/>
    <col width="12" customWidth="1" style="1" min="8" max="8"/>
    <col width="15" customWidth="1" style="1" min="9" max="9"/>
    <col width="12" customWidth="1" style="1" min="10" max="10"/>
    <col width="8" customWidth="1" style="1" min="11" max="11"/>
    <col width="10" customWidth="1" style="1" min="12" max="12"/>
    <col width="16" customWidth="1" style="1" min="13" max="13"/>
    <col width="10" customWidth="1" style="1" min="14" max="14"/>
    <col width="16" customWidth="1" style="1" min="15" max="15"/>
    <col width="10" customWidth="1" style="1" min="16" max="16"/>
    <col width="16" customWidth="1" style="1" min="17" max="17"/>
    <col width="14" customWidth="1" style="1" min="18" max="18"/>
    <col width="2" customWidth="1" style="1" min="19" max="19"/>
    <col hidden="1" outlineLevel="1" width="14" customWidth="1" style="1" min="20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MACRO ALOCAÇÃO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2" t="inlineStr">
        <is>
          <t>◄ Dashboard</t>
        </is>
      </c>
    </row>
    <row r="2" ht="18" customHeight="1">
      <c r="A2" s="63" t="inlineStr">
        <is>
          <t>Defina o % objetivo de cada classe. A planilha calcula o percentual atual, a diferença, BUY/HOLD e distribui o aporte pelas classes mais distantes do objetivo.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6" customHeight="1"/>
    <row r="4" ht="16" customHeight="1">
      <c r="B4" s="13" t="inlineStr">
        <is>
          <t>APORTE DO MÊS (digite no Dashboard)</t>
        </is>
      </c>
      <c r="C4" s="14" t="n"/>
      <c r="D4" s="11" t="inlineStr">
        <is>
          <t>PATRIMÔNIO ATUAL</t>
        </is>
      </c>
      <c r="E4" s="12" t="n"/>
      <c r="F4" s="11" t="inlineStr">
        <is>
          <t>PATRIMÔNIO PÓS-APORTE</t>
        </is>
      </c>
      <c r="G4" s="12" t="n"/>
      <c r="H4" s="12" t="n"/>
      <c r="I4" s="13" t="inlineStr">
        <is>
          <t>CLASSES A APORTAR</t>
        </is>
      </c>
      <c r="J4" s="14" t="n"/>
      <c r="K4" s="15" t="inlineStr">
        <is>
          <t>SOMA DOS OBJETIVOS</t>
        </is>
      </c>
      <c r="L4" s="16" t="n"/>
      <c r="M4" s="16" t="n"/>
      <c r="N4" s="13" t="inlineStr">
        <is>
          <t>COMPRA EFETIVA (R$)</t>
        </is>
      </c>
      <c r="O4" s="14" t="n"/>
      <c r="P4" s="14" t="n"/>
      <c r="Q4" s="15" t="inlineStr">
        <is>
          <t>SOBRA (R$)</t>
        </is>
      </c>
      <c r="R4" s="16" t="n"/>
    </row>
    <row r="5" ht="28" customHeight="1">
      <c r="B5" s="64">
        <f>p_Aporte</f>
        <v>500</v>
      </c>
      <c r="C5" s="1" t="n"/>
      <c r="D5" s="64">
        <f>D16</f>
        <v>0</v>
      </c>
      <c r="E5" s="1" t="n"/>
      <c r="F5" s="64">
        <f>D16+p_Aporte</f>
        <v>500</v>
      </c>
      <c r="G5" s="1" t="n"/>
      <c r="H5" s="1" t="n"/>
      <c r="I5" s="65">
        <f>COUNTIF($L$9:$L$15,"BUY")</f>
        <v>6</v>
      </c>
      <c r="J5" s="1" t="n"/>
      <c r="K5" s="66">
        <f>F16</f>
        <v>1</v>
      </c>
      <c r="L5" s="1" t="n"/>
      <c r="M5" s="1" t="n"/>
      <c r="N5" s="64">
        <f>Q16</f>
        <v>0</v>
      </c>
      <c r="O5" s="1" t="n"/>
      <c r="P5" s="1" t="n"/>
      <c r="Q5" s="64">
        <f>R16</f>
        <v>500</v>
      </c>
      <c r="R5" s="1" t="n"/>
    </row>
    <row r="6" ht="8" customHeight="1"/>
    <row r="7" ht="22" customHeight="1">
      <c r="B7" s="23" t="inlineStr">
        <is>
          <t>ALOCAÇÃO-ALVO POR CLASSE E APORTE INTELIGENTE</t>
        </is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</row>
    <row r="8" ht="34" customHeight="1">
      <c r="B8" s="67" t="inlineStr">
        <is>
          <t>Classe</t>
        </is>
      </c>
      <c r="C8" s="67" t="inlineStr">
        <is>
          <t>Grupo</t>
        </is>
      </c>
      <c r="D8" s="67" t="inlineStr">
        <is>
          <t>Valor Atual (R$)</t>
        </is>
      </c>
      <c r="E8" s="67" t="inlineStr">
        <is>
          <t>% Atual</t>
        </is>
      </c>
      <c r="F8" s="68" t="inlineStr">
        <is>
          <t>% Objetivo</t>
        </is>
      </c>
      <c r="G8" s="67" t="inlineStr">
        <is>
          <t>Diferença (p.p.)</t>
        </is>
      </c>
      <c r="H8" s="67" t="inlineStr">
        <is>
          <t>Situação</t>
        </is>
      </c>
      <c r="I8" s="67" t="inlineStr">
        <is>
          <t>Déficit p/ Objetivo (R$)</t>
        </is>
      </c>
      <c r="J8" s="67" t="inlineStr">
        <is>
          <t>Rebalance Score</t>
        </is>
      </c>
      <c r="K8" s="67" t="inlineStr">
        <is>
          <t>Prior.</t>
        </is>
      </c>
      <c r="L8" s="67" t="inlineStr">
        <is>
          <t>BUY / HOLD</t>
        </is>
      </c>
      <c r="M8" s="67" t="inlineStr">
        <is>
          <t>Aporte Sugerido (R$)</t>
        </is>
      </c>
      <c r="N8" s="67" t="inlineStr">
        <is>
          <t>% do Aporte</t>
        </is>
      </c>
      <c r="O8" s="67" t="inlineStr">
        <is>
          <t>Valor Pós-Aporte (R$)</t>
        </is>
      </c>
      <c r="P8" s="67" t="inlineStr">
        <is>
          <t>% Pós-Aporte</t>
        </is>
      </c>
      <c r="Q8" s="67" t="inlineStr">
        <is>
          <t>Compra Efetiva (R$)</t>
        </is>
      </c>
      <c r="R8" s="67" t="inlineStr">
        <is>
          <t>Sobra (R$)</t>
        </is>
      </c>
      <c r="T8" s="67" t="inlineStr">
        <is>
          <t>Déficit elegível</t>
        </is>
      </c>
      <c r="U8" s="67" t="inlineStr">
        <is>
          <t>Déficit final</t>
        </is>
      </c>
    </row>
    <row r="9" ht="22" customHeight="1">
      <c r="B9" s="29" t="inlineStr">
        <is>
          <t>Ações</t>
        </is>
      </c>
      <c r="C9" s="69" t="inlineStr">
        <is>
          <t>Brasil</t>
        </is>
      </c>
      <c r="D9" s="70">
        <f>'03 Ações BR'!$K$6</f>
        <v>0</v>
      </c>
      <c r="E9" s="30">
        <f>IF($D$16&gt;0,D9/$D$16,0)</f>
        <v>0</v>
      </c>
      <c r="F9" s="71" t="n">
        <v>0.4</v>
      </c>
      <c r="G9" s="72">
        <f>F9-E9</f>
        <v>0.4</v>
      </c>
      <c r="H9" s="73" t="str">
        <f>IF(ABS(G9)&lt;p_DifMin,"Alinhado",IF(G9&gt;0,"Subpeso","Sobrepeso"))</f>
        <v>Subpeso</v>
      </c>
      <c r="I9" s="70">
        <f>ROUND(MAX(0,F9*($D$16+p_Aporte)-D9),2)</f>
        <v>200</v>
      </c>
      <c r="J9" s="30">
        <f>IF($T$16&gt;0,T9/$T$16,0)</f>
        <v>0.4</v>
      </c>
      <c r="K9" s="74">
        <f>IF(T9&lt;=0,"",COUNTIF($T$9:$T$15,"&gt;"&amp;T9)+COUNTIF($T$9:T9,T9))</f>
        <v>1</v>
      </c>
      <c r="L9" s="73" t="str">
        <f>IF(M9&gt;0,"BUY","HOLD")</f>
        <v>BUY</v>
      </c>
      <c r="M9" s="75">
        <f>IF(p_Aporte&lt;=0,0,IF($U$16&gt;0,p_Aporte*U9/$U$16,IF($F$16&gt;0,p_Aporte*F9/$F$16,0)))</f>
        <v>200</v>
      </c>
      <c r="N9" s="30">
        <f>IF(p_Aporte&gt;0,M9/p_Aporte,0)</f>
        <v>0.4</v>
      </c>
      <c r="O9" s="70">
        <f>D9+M9</f>
        <v>200</v>
      </c>
      <c r="P9" s="30">
        <f>IF($D$16+p_Aporte&gt;0,O9/($D$16+p_Aporte),0)</f>
        <v>0.4</v>
      </c>
      <c r="Q9" s="70">
        <f>'03 Ações BR'!$T$6</f>
        <v>0</v>
      </c>
      <c r="R9" s="70">
        <f>M9-Q9</f>
        <v>200</v>
      </c>
      <c r="T9" s="76">
        <f>IF(AND(G9&gt;0,G9&gt;=p_DifMin),I9,0)</f>
        <v>200</v>
      </c>
      <c r="U9" s="76">
        <f>IF(AND(T9&gt;0,N(K9)&lt;=p_MaxClasses),T9,0)</f>
        <v>200</v>
      </c>
    </row>
    <row r="10" ht="22" customHeight="1">
      <c r="B10" s="29" t="inlineStr">
        <is>
          <t>FIIs</t>
        </is>
      </c>
      <c r="C10" s="69" t="inlineStr">
        <is>
          <t>Brasil</t>
        </is>
      </c>
      <c r="D10" s="70">
        <f>'04 FIIs'!$K$6</f>
        <v>0</v>
      </c>
      <c r="E10" s="30">
        <f>IF($D$16&gt;0,D10/$D$16,0)</f>
        <v>0</v>
      </c>
      <c r="F10" s="71" t="n">
        <v>0.2</v>
      </c>
      <c r="G10" s="72">
        <f>F10-E10</f>
        <v>0.2</v>
      </c>
      <c r="H10" s="73" t="str">
        <f>IF(ABS(G10)&lt;p_DifMin,"Alinhado",IF(G10&gt;0,"Subpeso","Sobrepeso"))</f>
        <v>Subpeso</v>
      </c>
      <c r="I10" s="70">
        <f>ROUND(MAX(0,F10*($D$16+p_Aporte)-D10),2)</f>
        <v>100</v>
      </c>
      <c r="J10" s="30">
        <f>IF($T$16&gt;0,T10/$T$16,0)</f>
        <v>0.2</v>
      </c>
      <c r="K10" s="74">
        <f>IF(T10&lt;=0,"",COUNTIF($T$9:$T$15,"&gt;"&amp;T10)+COUNTIF($T$9:T10,T10))</f>
        <v>2</v>
      </c>
      <c r="L10" s="73" t="str">
        <f>IF(M10&gt;0,"BUY","HOLD")</f>
        <v>BUY</v>
      </c>
      <c r="M10" s="75">
        <f>IF(p_Aporte&lt;=0,0,IF($U$16&gt;0,p_Aporte*U10/$U$16,IF($F$16&gt;0,p_Aporte*F10/$F$16,0)))</f>
        <v>100</v>
      </c>
      <c r="N10" s="30">
        <f>IF(p_Aporte&gt;0,M10/p_Aporte,0)</f>
        <v>0.2</v>
      </c>
      <c r="O10" s="70">
        <f>D10+M10</f>
        <v>100</v>
      </c>
      <c r="P10" s="30">
        <f>IF($D$16+p_Aporte&gt;0,O10/($D$16+p_Aporte),0)</f>
        <v>0.2</v>
      </c>
      <c r="Q10" s="70">
        <f>'04 FIIs'!$T$6</f>
        <v>0</v>
      </c>
      <c r="R10" s="70">
        <f>M10-Q10</f>
        <v>100</v>
      </c>
      <c r="T10" s="76">
        <f>IF(AND(G10&gt;0,G10&gt;=p_DifMin),I10,0)</f>
        <v>100</v>
      </c>
      <c r="U10" s="76">
        <f>IF(AND(T10&gt;0,N(K10)&lt;=p_MaxClasses),T10,0)</f>
        <v>100</v>
      </c>
    </row>
    <row r="11" ht="22" customHeight="1">
      <c r="B11" s="29" t="inlineStr">
        <is>
          <t>Renda Fixa</t>
        </is>
      </c>
      <c r="C11" s="69" t="inlineStr">
        <is>
          <t>Brasil</t>
        </is>
      </c>
      <c r="D11" s="70">
        <f>'07 Renda Fixa'!$J$6</f>
        <v>0</v>
      </c>
      <c r="E11" s="30">
        <f>IF($D$16&gt;0,D11/$D$16,0)</f>
        <v>0</v>
      </c>
      <c r="F11" s="71" t="n">
        <v>0.05</v>
      </c>
      <c r="G11" s="72">
        <f>F11-E11</f>
        <v>0.05</v>
      </c>
      <c r="H11" s="73" t="str">
        <f>IF(ABS(G11)&lt;p_DifMin,"Alinhado",IF(G11&gt;0,"Subpeso","Sobrepeso"))</f>
        <v>Subpeso</v>
      </c>
      <c r="I11" s="70">
        <f>ROUND(MAX(0,F11*($D$16+p_Aporte)-D11),2)</f>
        <v>25</v>
      </c>
      <c r="J11" s="30">
        <f>IF($T$16&gt;0,T11/$T$16,0)</f>
        <v>0.05</v>
      </c>
      <c r="K11" s="74">
        <f>IF(T11&lt;=0,"",COUNTIF($T$9:$T$15,"&gt;"&amp;T11)+COUNTIF($T$9:T11,T11))</f>
        <v>5</v>
      </c>
      <c r="L11" s="73" t="str">
        <f>IF(M11&gt;0,"BUY","HOLD")</f>
        <v>BUY</v>
      </c>
      <c r="M11" s="75">
        <f>IF(p_Aporte&lt;=0,0,IF($U$16&gt;0,p_Aporte*U11/$U$16,IF($F$16&gt;0,p_Aporte*F11/$F$16,0)))</f>
        <v>25</v>
      </c>
      <c r="N11" s="30">
        <f>IF(p_Aporte&gt;0,M11/p_Aporte,0)</f>
        <v>0.05</v>
      </c>
      <c r="O11" s="70">
        <f>D11+M11</f>
        <v>25</v>
      </c>
      <c r="P11" s="30">
        <f>IF($D$16+p_Aporte&gt;0,O11/($D$16+p_Aporte),0)</f>
        <v>0.05</v>
      </c>
      <c r="Q11" s="70">
        <f>'07 Renda Fixa'!$Q$6</f>
        <v>0</v>
      </c>
      <c r="R11" s="70">
        <f>M11-Q11</f>
        <v>25</v>
      </c>
      <c r="T11" s="76">
        <f>IF(AND(G11&gt;0,G11&gt;=p_DifMin),I11,0)</f>
        <v>25</v>
      </c>
      <c r="U11" s="76">
        <f>IF(AND(T11&gt;0,N(K11)&lt;=p_MaxClasses),T11,0)</f>
        <v>25</v>
      </c>
    </row>
    <row r="12" ht="22" customHeight="1">
      <c r="B12" s="29" t="inlineStr">
        <is>
          <t>Stocks</t>
        </is>
      </c>
      <c r="C12" s="69" t="inlineStr">
        <is>
          <t>Exterior</t>
        </is>
      </c>
      <c r="D12" s="70">
        <f>'05 Stocks'!$K$6</f>
        <v>0</v>
      </c>
      <c r="E12" s="30">
        <f>IF($D$16&gt;0,D12/$D$16,0)</f>
        <v>0</v>
      </c>
      <c r="F12" s="71" t="n">
        <v>0.2</v>
      </c>
      <c r="G12" s="72">
        <f>F12-E12</f>
        <v>0.2</v>
      </c>
      <c r="H12" s="73" t="str">
        <f>IF(ABS(G12)&lt;p_DifMin,"Alinhado",IF(G12&gt;0,"Subpeso","Sobrepeso"))</f>
        <v>Subpeso</v>
      </c>
      <c r="I12" s="70">
        <f>ROUND(MAX(0,F12*($D$16+p_Aporte)-D12),2)</f>
        <v>100</v>
      </c>
      <c r="J12" s="30">
        <f>IF($T$16&gt;0,T12/$T$16,0)</f>
        <v>0.2</v>
      </c>
      <c r="K12" s="74">
        <f>IF(T12&lt;=0,"",COUNTIF($T$9:$T$15,"&gt;"&amp;T12)+COUNTIF($T$9:T12,T12))</f>
        <v>3</v>
      </c>
      <c r="L12" s="73" t="str">
        <f>IF(M12&gt;0,"BUY","HOLD")</f>
        <v>BUY</v>
      </c>
      <c r="M12" s="75">
        <f>IF(p_Aporte&lt;=0,0,IF($U$16&gt;0,p_Aporte*U12/$U$16,IF($F$16&gt;0,p_Aporte*F12/$F$16,0)))</f>
        <v>100</v>
      </c>
      <c r="N12" s="30">
        <f>IF(p_Aporte&gt;0,M12/p_Aporte,0)</f>
        <v>0.2</v>
      </c>
      <c r="O12" s="70">
        <f>D12+M12</f>
        <v>100</v>
      </c>
      <c r="P12" s="30">
        <f>IF($D$16+p_Aporte&gt;0,O12/($D$16+p_Aporte),0)</f>
        <v>0.2</v>
      </c>
      <c r="Q12" s="70">
        <f>'05 Stocks'!$T$6</f>
        <v>0</v>
      </c>
      <c r="R12" s="70">
        <f>M12-Q12</f>
        <v>100</v>
      </c>
      <c r="T12" s="76">
        <f>IF(AND(G12&gt;0,G12&gt;=p_DifMin),I12,0)</f>
        <v>100</v>
      </c>
      <c r="U12" s="76">
        <f>IF(AND(T12&gt;0,N(K12)&lt;=p_MaxClasses),T12,0)</f>
        <v>100</v>
      </c>
    </row>
    <row r="13" ht="22" customHeight="1">
      <c r="B13" s="29" t="inlineStr">
        <is>
          <t>REITs</t>
        </is>
      </c>
      <c r="C13" s="69" t="inlineStr">
        <is>
          <t>Exterior</t>
        </is>
      </c>
      <c r="D13" s="70">
        <f>'06 REITs'!$K$6</f>
        <v>0</v>
      </c>
      <c r="E13" s="30">
        <f>IF($D$16&gt;0,D13/$D$16,0)</f>
        <v>0</v>
      </c>
      <c r="F13" s="71" t="n">
        <v>0.1</v>
      </c>
      <c r="G13" s="72">
        <f>F13-E13</f>
        <v>0.1</v>
      </c>
      <c r="H13" s="73" t="str">
        <f>IF(ABS(G13)&lt;p_DifMin,"Alinhado",IF(G13&gt;0,"Subpeso","Sobrepeso"))</f>
        <v>Subpeso</v>
      </c>
      <c r="I13" s="70">
        <f>ROUND(MAX(0,F13*($D$16+p_Aporte)-D13),2)</f>
        <v>50</v>
      </c>
      <c r="J13" s="30">
        <f>IF($T$16&gt;0,T13/$T$16,0)</f>
        <v>0.1</v>
      </c>
      <c r="K13" s="74">
        <f>IF(T13&lt;=0,"",COUNTIF($T$9:$T$15,"&gt;"&amp;T13)+COUNTIF($T$9:T13,T13))</f>
        <v>4</v>
      </c>
      <c r="L13" s="73" t="str">
        <f>IF(M13&gt;0,"BUY","HOLD")</f>
        <v>BUY</v>
      </c>
      <c r="M13" s="75">
        <f>IF(p_Aporte&lt;=0,0,IF($U$16&gt;0,p_Aporte*U13/$U$16,IF($F$16&gt;0,p_Aporte*F13/$F$16,0)))</f>
        <v>50</v>
      </c>
      <c r="N13" s="30">
        <f>IF(p_Aporte&gt;0,M13/p_Aporte,0)</f>
        <v>0.1</v>
      </c>
      <c r="O13" s="70">
        <f>D13+M13</f>
        <v>50</v>
      </c>
      <c r="P13" s="30">
        <f>IF($D$16+p_Aporte&gt;0,O13/($D$16+p_Aporte),0)</f>
        <v>0.1</v>
      </c>
      <c r="Q13" s="70">
        <f>'06 REITs'!$T$6</f>
        <v>0</v>
      </c>
      <c r="R13" s="70">
        <f>M13-Q13</f>
        <v>50</v>
      </c>
      <c r="T13" s="76">
        <f>IF(AND(G13&gt;0,G13&gt;=p_DifMin),I13,0)</f>
        <v>50</v>
      </c>
      <c r="U13" s="76">
        <f>IF(AND(T13&gt;0,N(K13)&lt;=p_MaxClasses),T13,0)</f>
        <v>50</v>
      </c>
    </row>
    <row r="14" ht="22" customHeight="1">
      <c r="B14" s="29" t="inlineStr">
        <is>
          <t>Criptomoedas</t>
        </is>
      </c>
      <c r="C14" s="69" t="inlineStr">
        <is>
          <t>Alternativos</t>
        </is>
      </c>
      <c r="D14" s="70">
        <f>'08 Criptomoedas'!$L$6</f>
        <v>0</v>
      </c>
      <c r="E14" s="30">
        <f>IF($D$16&gt;0,D14/$D$16,0)</f>
        <v>0</v>
      </c>
      <c r="F14" s="71" t="n">
        <v>0.05</v>
      </c>
      <c r="G14" s="72">
        <f>F14-E14</f>
        <v>0.05</v>
      </c>
      <c r="H14" s="73" t="str">
        <f>IF(ABS(G14)&lt;p_DifMin,"Alinhado",IF(G14&gt;0,"Subpeso","Sobrepeso"))</f>
        <v>Subpeso</v>
      </c>
      <c r="I14" s="70">
        <f>ROUND(MAX(0,F14*($D$16+p_Aporte)-D14),2)</f>
        <v>25</v>
      </c>
      <c r="J14" s="30">
        <f>IF($T$16&gt;0,T14/$T$16,0)</f>
        <v>0.05</v>
      </c>
      <c r="K14" s="74">
        <f>IF(T14&lt;=0,"",COUNTIF($T$9:$T$15,"&gt;"&amp;T14)+COUNTIF($T$9:T14,T14))</f>
        <v>6</v>
      </c>
      <c r="L14" s="73" t="str">
        <f>IF(M14&gt;0,"BUY","HOLD")</f>
        <v>BUY</v>
      </c>
      <c r="M14" s="75">
        <f>IF(p_Aporte&lt;=0,0,IF($U$16&gt;0,p_Aporte*U14/$U$16,IF($F$16&gt;0,p_Aporte*F14/$F$16,0)))</f>
        <v>25</v>
      </c>
      <c r="N14" s="30">
        <f>IF(p_Aporte&gt;0,M14/p_Aporte,0)</f>
        <v>0.05</v>
      </c>
      <c r="O14" s="70">
        <f>D14+M14</f>
        <v>25</v>
      </c>
      <c r="P14" s="30">
        <f>IF($D$16+p_Aporte&gt;0,O14/($D$16+p_Aporte),0)</f>
        <v>0.05</v>
      </c>
      <c r="Q14" s="70">
        <f>'08 Criptomoedas'!$U$6</f>
        <v>0</v>
      </c>
      <c r="R14" s="70">
        <f>M14-Q14</f>
        <v>25</v>
      </c>
      <c r="T14" s="76">
        <f>IF(AND(G14&gt;0,G14&gt;=p_DifMin),I14,0)</f>
        <v>25</v>
      </c>
      <c r="U14" s="76">
        <f>IF(AND(T14&gt;0,N(K14)&lt;=p_MaxClasses),T14,0)</f>
        <v>25</v>
      </c>
    </row>
    <row r="15" ht="22" customHeight="1">
      <c r="B15" s="29" t="inlineStr">
        <is>
          <t>Ativos Ilíquidos</t>
        </is>
      </c>
      <c r="C15" s="69" t="inlineStr">
        <is>
          <t>Alternativos</t>
        </is>
      </c>
      <c r="D15" s="70">
        <f>'09 Ativos Ilíquidos'!$H$6</f>
        <v>0</v>
      </c>
      <c r="E15" s="30">
        <f>IF($D$16&gt;0,D15/$D$16,0)</f>
        <v>0</v>
      </c>
      <c r="F15" s="71" t="n">
        <v>0</v>
      </c>
      <c r="G15" s="72">
        <f>F15-E15</f>
        <v>0</v>
      </c>
      <c r="H15" s="73" t="str">
        <f>IF(ABS(G15)&lt;p_DifMin,"Alinhado",IF(G15&gt;0,"Subpeso","Sobrepeso"))</f>
        <v>Alinhado</v>
      </c>
      <c r="I15" s="70">
        <f>ROUND(MAX(0,F15*($D$16+p_Aporte)-D15),2)</f>
        <v>0</v>
      </c>
      <c r="J15" s="30">
        <f>IF($T$16&gt;0,T15/$T$16,0)</f>
        <v>0</v>
      </c>
      <c r="K15" s="74" t="str">
        <f>IF(T15&lt;=0,"",COUNTIF($T$9:$T$15,"&gt;"&amp;T15)+COUNTIF($T$9:T15,T15))</f>
        <v/>
      </c>
      <c r="L15" s="73" t="str">
        <f>IF(M15&gt;0,"BUY","HOLD")</f>
        <v>HOLD</v>
      </c>
      <c r="M15" s="75">
        <f>IF(p_Aporte&lt;=0,0,IF($U$16&gt;0,p_Aporte*U15/$U$16,IF($F$16&gt;0,p_Aporte*F15/$F$16,0)))</f>
        <v>0</v>
      </c>
      <c r="N15" s="30">
        <f>IF(p_Aporte&gt;0,M15/p_Aporte,0)</f>
        <v>0</v>
      </c>
      <c r="O15" s="70">
        <f>D15+M15</f>
        <v>0</v>
      </c>
      <c r="P15" s="30">
        <f>IF($D$16+p_Aporte&gt;0,O15/($D$16+p_Aporte),0)</f>
        <v>0</v>
      </c>
      <c r="Q15" s="70">
        <f>'09 Ativos Ilíquidos'!$O$6</f>
        <v>0</v>
      </c>
      <c r="R15" s="70">
        <f>M15-Q15</f>
        <v>0</v>
      </c>
      <c r="T15" s="76">
        <f>IF(AND(G15&gt;0,G15&gt;=p_DifMin),I15,0)</f>
        <v>0</v>
      </c>
      <c r="U15" s="76">
        <f>IF(AND(T15&gt;0,N(K15)&lt;=p_MaxClasses),T15,0)</f>
        <v>0</v>
      </c>
    </row>
    <row r="16" ht="24" customHeight="1">
      <c r="B16" s="77" t="inlineStr">
        <is>
          <t>TOTAL</t>
        </is>
      </c>
      <c r="C16" s="78" t="n"/>
      <c r="D16" s="79">
        <f>SUM(D9:D15)</f>
        <v>0</v>
      </c>
      <c r="E16" s="80">
        <f>SUM(E9:E15)</f>
        <v>0</v>
      </c>
      <c r="F16" s="81">
        <f>SUM(F9:F15)</f>
        <v>1</v>
      </c>
      <c r="G16" s="78" t="n"/>
      <c r="H16" s="78" t="n"/>
      <c r="I16" s="79">
        <f>SUM(I9:I15)</f>
        <v>500</v>
      </c>
      <c r="J16" s="80">
        <f>SUM(J9:J15)</f>
        <v>1</v>
      </c>
      <c r="K16" s="78" t="n"/>
      <c r="L16" s="78" t="n"/>
      <c r="M16" s="79">
        <f>SUM(M9:M15)</f>
        <v>500</v>
      </c>
      <c r="N16" s="80">
        <f>SUM(N9:N15)</f>
        <v>1</v>
      </c>
      <c r="O16" s="79">
        <f>SUM(O9:O15)</f>
        <v>500</v>
      </c>
      <c r="P16" s="80">
        <f>SUM(P9:P15)</f>
        <v>1</v>
      </c>
      <c r="Q16" s="79">
        <f>SUM(Q9:Q15)</f>
        <v>0</v>
      </c>
      <c r="R16" s="79">
        <f>SUM(R9:R15)</f>
        <v>500</v>
      </c>
      <c r="T16" s="82">
        <f>SUM(T9:T15)</f>
        <v>500</v>
      </c>
      <c r="U16" s="82">
        <f>SUM(U9:U15)</f>
        <v>500</v>
      </c>
    </row>
    <row r="17" ht="30" customHeight="1">
      <c r="B17" s="83" t="inlineStr">
        <is>
          <t>Como funciona: Déficit = máx(0; % Objetivo × (Patrimônio + Aporte) − Valor Atual). O Rebalance Score é o déficit da classe ÷ soma dos déficits das classes elegíveis (diferença ≥ valor mínimo em Configurações). O aporte é dividido proporcionalmente ao Score entre as N classes de maior prioridade. Classes em sobrepeso recebem HOLD. A Compra Efetiva usa as ordens reais das abas de cada classe (lote, fração, custos e reaproveitamento da sobra).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 ht="22" customHeight="1">
      <c r="B18" s="23" t="inlineStr">
        <is>
          <t>EXPOSIÇÃO GEOGRÁFICA: BRASIL × EXTERIOR × ALTERNATIVOS</t>
        </is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</row>
    <row r="19" ht="30" customHeight="1">
      <c r="B19" s="67" t="inlineStr">
        <is>
          <t>Grupo</t>
        </is>
      </c>
      <c r="C19" s="84" t="n"/>
      <c r="D19" s="67" t="inlineStr">
        <is>
          <t>Valor Atual (R$)</t>
        </is>
      </c>
      <c r="E19" s="67" t="inlineStr">
        <is>
          <t>% Atual</t>
        </is>
      </c>
      <c r="F19" s="67" t="inlineStr">
        <is>
          <t>% Objetivo</t>
        </is>
      </c>
      <c r="G19" s="67" t="inlineStr">
        <is>
          <t>Diferença (p.p.)</t>
        </is>
      </c>
      <c r="H19" s="67" t="inlineStr">
        <is>
          <t>Situação</t>
        </is>
      </c>
      <c r="M19" s="67" t="inlineStr">
        <is>
          <t>Aporte Sugerido (R$)</t>
        </is>
      </c>
      <c r="O19" s="67" t="inlineStr">
        <is>
          <t>Valor Pós-Aporte (R$)</t>
        </is>
      </c>
      <c r="P19" s="67" t="inlineStr">
        <is>
          <t>% Pós-Aporte</t>
        </is>
      </c>
    </row>
    <row r="20" ht="20" customHeight="1">
      <c r="B20" s="29" t="inlineStr">
        <is>
          <t>Brasil</t>
        </is>
      </c>
      <c r="C20" s="31" t="n"/>
      <c r="D20" s="70">
        <f>SUMIF($C$9:$C$15,"Brasil",$D$9:$D$15)</f>
        <v>0</v>
      </c>
      <c r="E20" s="30">
        <f>SUMIF($C$9:$C$15,"Brasil",$E$9:$E$15)</f>
        <v>0</v>
      </c>
      <c r="F20" s="30">
        <f>SUMIF($C$9:$C$15,"Brasil",$F$9:$F$15)</f>
        <v>0.65</v>
      </c>
      <c r="G20" s="72">
        <f>F20-E20</f>
        <v>0.65</v>
      </c>
      <c r="H20" s="73" t="str">
        <f>IF(ABS(G20)&lt;p_DifMin,"Alinhado",IF(G20&gt;0,"Subpeso","Sobrepeso"))</f>
        <v>Subpeso</v>
      </c>
      <c r="I20" s="31" t="n"/>
      <c r="J20" s="31" t="n"/>
      <c r="K20" s="31" t="n"/>
      <c r="L20" s="31" t="n"/>
      <c r="M20" s="70">
        <f>SUMIF($C$9:$C$15,"Brasil",$M$9:$M$15)</f>
        <v>325</v>
      </c>
      <c r="N20" s="31" t="n"/>
      <c r="O20" s="70">
        <f>SUMIF($C$9:$C$15,"Brasil",$O$9:$O$15)</f>
        <v>325</v>
      </c>
      <c r="P20" s="30">
        <f>SUMIF($C$9:$C$15,"Brasil",$P$9:$P$15)</f>
        <v>0.65</v>
      </c>
    </row>
    <row r="21" ht="20" customHeight="1">
      <c r="B21" s="29" t="inlineStr">
        <is>
          <t>Exterior</t>
        </is>
      </c>
      <c r="C21" s="31" t="n"/>
      <c r="D21" s="70">
        <f>SUMIF($C$9:$C$15,"Exterior",$D$9:$D$15)</f>
        <v>0</v>
      </c>
      <c r="E21" s="30">
        <f>SUMIF($C$9:$C$15,"Exterior",$E$9:$E$15)</f>
        <v>0</v>
      </c>
      <c r="F21" s="30">
        <f>SUMIF($C$9:$C$15,"Exterior",$F$9:$F$15)</f>
        <v>0.3</v>
      </c>
      <c r="G21" s="72">
        <f>F21-E21</f>
        <v>0.3</v>
      </c>
      <c r="H21" s="73" t="str">
        <f>IF(ABS(G21)&lt;p_DifMin,"Alinhado",IF(G21&gt;0,"Subpeso","Sobrepeso"))</f>
        <v>Subpeso</v>
      </c>
      <c r="I21" s="31" t="n"/>
      <c r="J21" s="31" t="n"/>
      <c r="K21" s="31" t="n"/>
      <c r="L21" s="31" t="n"/>
      <c r="M21" s="70">
        <f>SUMIF($C$9:$C$15,"Exterior",$M$9:$M$15)</f>
        <v>150</v>
      </c>
      <c r="N21" s="31" t="n"/>
      <c r="O21" s="70">
        <f>SUMIF($C$9:$C$15,"Exterior",$O$9:$O$15)</f>
        <v>150</v>
      </c>
      <c r="P21" s="30">
        <f>SUMIF($C$9:$C$15,"Exterior",$P$9:$P$15)</f>
        <v>0.3</v>
      </c>
    </row>
    <row r="22" ht="20" customHeight="1">
      <c r="B22" s="29" t="inlineStr">
        <is>
          <t>Alternativos</t>
        </is>
      </c>
      <c r="C22" s="31" t="n"/>
      <c r="D22" s="70">
        <f>SUMIF($C$9:$C$15,"Alternativos",$D$9:$D$15)</f>
        <v>0</v>
      </c>
      <c r="E22" s="30">
        <f>SUMIF($C$9:$C$15,"Alternativos",$E$9:$E$15)</f>
        <v>0</v>
      </c>
      <c r="F22" s="30">
        <f>SUMIF($C$9:$C$15,"Alternativos",$F$9:$F$15)</f>
        <v>0.05</v>
      </c>
      <c r="G22" s="72">
        <f>F22-E22</f>
        <v>0.05</v>
      </c>
      <c r="H22" s="73" t="str">
        <f>IF(ABS(G22)&lt;p_DifMin,"Alinhado",IF(G22&gt;0,"Subpeso","Sobrepeso"))</f>
        <v>Subpeso</v>
      </c>
      <c r="I22" s="31" t="n"/>
      <c r="J22" s="31" t="n"/>
      <c r="K22" s="31" t="n"/>
      <c r="L22" s="31" t="n"/>
      <c r="M22" s="70">
        <f>SUMIF($C$9:$C$15,"Alternativos",$M$9:$M$15)</f>
        <v>25</v>
      </c>
      <c r="N22" s="31" t="n"/>
      <c r="O22" s="70">
        <f>SUMIF($C$9:$C$15,"Alternativos",$O$9:$O$15)</f>
        <v>25</v>
      </c>
      <c r="P22" s="30">
        <f>SUMIF($C$9:$C$15,"Alternativos",$P$9:$P$15)</f>
        <v>0.05</v>
      </c>
    </row>
    <row r="23">
      <c r="B23" s="77" t="inlineStr">
        <is>
          <t>TOTAL</t>
        </is>
      </c>
      <c r="C23" s="78" t="n"/>
      <c r="D23" s="79">
        <f>SUM(D20:D22)</f>
        <v>0</v>
      </c>
      <c r="E23" s="80">
        <f>SUM(E20:E22)</f>
        <v>0</v>
      </c>
      <c r="F23" s="80">
        <f>SUM(F20:F22)</f>
        <v>1</v>
      </c>
      <c r="G23" s="78" t="n"/>
      <c r="H23" s="78" t="n"/>
      <c r="I23" s="78" t="n"/>
      <c r="J23" s="78" t="n"/>
      <c r="K23" s="78" t="n"/>
      <c r="L23" s="78" t="n"/>
      <c r="M23" s="79">
        <f>SUM(M20:M22)</f>
        <v>500</v>
      </c>
      <c r="N23" s="78" t="n"/>
      <c r="O23" s="79">
        <f>SUM(O20:O22)</f>
        <v>500</v>
      </c>
      <c r="P23" s="80">
        <f>SUM(P20:P22)</f>
        <v>1</v>
      </c>
    </row>
  </sheetData>
  <mergeCells count="20">
    <mergeCell ref="F5:H5"/>
    <mergeCell ref="N5:P5"/>
    <mergeCell ref="B22:C22"/>
    <mergeCell ref="B21:C21"/>
    <mergeCell ref="Q5:R5"/>
    <mergeCell ref="B23:C23"/>
    <mergeCell ref="Q4:R4"/>
    <mergeCell ref="B17:R17"/>
    <mergeCell ref="K4:M4"/>
    <mergeCell ref="B19:C19"/>
    <mergeCell ref="F4:H4"/>
    <mergeCell ref="D4:E4"/>
    <mergeCell ref="I5:J5"/>
    <mergeCell ref="N4:P4"/>
    <mergeCell ref="I4:J4"/>
    <mergeCell ref="B5:C5"/>
    <mergeCell ref="K5:M5"/>
    <mergeCell ref="B20:C20"/>
    <mergeCell ref="D5:E5"/>
    <mergeCell ref="B4:C4"/>
  </mergeCells>
  <conditionalFormatting sqref="K5">
    <cfRule type="expression" priority="1" dxfId="5">
      <formula>ABS(K5-1)&gt;0.0001</formula>
    </cfRule>
    <cfRule type="expression" priority="2" dxfId="6">
      <formula>ABS(K5-1)&lt;=0.0001</formula>
    </cfRule>
  </conditionalFormatting>
  <conditionalFormatting sqref="L9:L15">
    <cfRule type="cellIs" priority="3" operator="equal" dxfId="1">
      <formula>"BUY"</formula>
    </cfRule>
    <cfRule type="cellIs" priority="4" operator="equal" dxfId="2">
      <formula>"HOLD"</formula>
    </cfRule>
  </conditionalFormatting>
  <conditionalFormatting sqref="H9:H15">
    <cfRule type="cellIs" priority="5" operator="equal" dxfId="4">
      <formula>"Subpeso"</formula>
    </cfRule>
    <cfRule type="cellIs" priority="6" operator="equal" dxfId="3">
      <formula>"Sobrepeso"</formula>
    </cfRule>
    <cfRule type="cellIs" priority="7" operator="equal" dxfId="7">
      <formula>"Alinhado"</formula>
    </cfRule>
  </conditionalFormatting>
  <conditionalFormatting sqref="H20:H22">
    <cfRule type="cellIs" priority="8" operator="equal" dxfId="4">
      <formula>"Subpeso"</formula>
    </cfRule>
    <cfRule type="cellIs" priority="9" operator="equal" dxfId="3">
      <formula>"Sobrepeso"</formula>
    </cfRule>
    <cfRule type="cellIs" priority="10" operator="equal" dxfId="7">
      <formula>"Alinhado"</formula>
    </cfRule>
  </conditionalFormatting>
  <conditionalFormatting sqref="G9:G15">
    <cfRule type="expression" priority="11" dxfId="8">
      <formula>AND(ISNUMBER(G9),G9&lt;0)</formula>
    </cfRule>
    <cfRule type="expression" priority="12" dxfId="9">
      <formula>AND(ISNUMBER(G9),G9&gt;0)</formula>
    </cfRule>
  </conditionalFormatting>
  <conditionalFormatting sqref="G20:G22">
    <cfRule type="expression" priority="13" dxfId="8">
      <formula>AND(ISNUMBER(G20),G20&lt;0)</formula>
    </cfRule>
    <cfRule type="expression" priority="14" dxfId="9">
      <formula>AND(ISNUMBER(G20),G20&gt;0)</formula>
    </cfRule>
  </conditionalFormatting>
  <conditionalFormatting sqref="F16">
    <cfRule type="expression" priority="15" dxfId="3">
      <formula>ABS(F16-1)&gt;0.0001</formula>
    </cfRule>
  </conditionalFormatting>
  <dataValidations count="1">
    <dataValidation sqref="F9:F15" showDropDown="0" showInputMessage="0" showErrorMessage="0" allowBlank="0" errorTitle="Objetivo inválido" error="Informe um percentual entre 0% e 100%." type="decimal" operator="between">
      <formula1>0</formula1>
      <formula2>1</formula2>
    </dataValidation>
  </dataValidations>
  <hyperlinks>
    <hyperlink ref="R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38BDF8"/>
    <outlinePr summaryBelow="1" summaryRight="1"/>
    <pageSetUpPr fitToPage="1"/>
  </sheetPr>
  <dimension ref="A1:AI208"/>
  <sheetViews>
    <sheetView showGridLines="0" tabSelected="0" zoomScale="9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2" customWidth="1" style="1" min="1" max="1"/>
    <col width="28" customWidth="1" style="1" min="2" max="2"/>
    <col width="20" customWidth="1" style="1" min="3" max="3"/>
    <col width="8" customWidth="1" style="1" min="4" max="4"/>
    <col width="13" customWidth="1" style="1" min="5" max="5"/>
    <col width="12" customWidth="1" style="1" min="6" max="6"/>
    <col width="13" customWidth="1" style="1" min="7" max="7"/>
    <col width="12" customWidth="1" style="1" min="8" max="8"/>
    <col width="12" customWidth="1" style="1" min="9" max="9"/>
    <col width="14" customWidth="1" style="1" min="10" max="10"/>
    <col width="15" customWidth="1" style="1" min="11" max="11"/>
    <col width="10" customWidth="1" style="1" min="12" max="12"/>
    <col width="10" customWidth="1" style="1" min="13" max="13"/>
    <col width="11" customWidth="1" style="1" min="14" max="14"/>
    <col width="7" customWidth="1" style="1" min="15" max="15"/>
    <col width="9" customWidth="1" style="1" min="16" max="16"/>
    <col width="14" customWidth="1" style="1" min="17" max="17"/>
    <col width="12" customWidth="1" style="1" min="18" max="18"/>
    <col width="12" customWidth="1" style="1" min="19" max="19"/>
    <col width="14" customWidth="1" style="1" min="20" max="20"/>
    <col width="3" customWidth="1" style="1" min="21" max="21"/>
    <col hidden="1" outlineLevel="1" width="16" customWidth="1" style="1" min="22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AÇÕES BR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62" t="inlineStr">
        <is>
          <t>◄ Dashboard</t>
        </is>
      </c>
      <c r="V1" s="85" t="inlineStr">
        <is>
          <t>Moeda padrão da classe</t>
        </is>
      </c>
      <c r="W1" s="86" t="str">
        <f>INDEX('10 Configurações'!$D$35:$D$41,MATCH("Ações",'10 Configurações'!$B$35:$B$41,0))&amp;""</f>
        <v>BRL</v>
      </c>
      <c r="X1" s="85" t="inlineStr">
        <is>
          <t>Sobra da 1ª passada (R$)</t>
        </is>
      </c>
      <c r="Y1" s="86">
        <f>MAX(0,$W$7-SUM($AE$9:$AE$208))</f>
        <v>200</v>
      </c>
    </row>
    <row r="2" ht="18" customHeight="1">
      <c r="A2" s="63" t="str">
        <f>"Moeda padrão: "&amp;$W$1&amp;"   ·   Fração: "&amp;$W$3&amp;" ("&amp;$W$4&amp;" casas)   ·   Lote: "&amp;$W$5&amp;"   ·   Custo efetivo de compra: "&amp;ROUND(($W$6-1)*100,2)&amp;"%   ·   Cotações: "&amp;p_ModoCot</f>
        <v>Moeda padrão: BRL   ·   Fração: Não (0 casas)   ·   Lote: 1   ·   Custo efetivo de compra: 0%   ·   Cotações: Automático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V2" s="85" t="inlineStr">
        <is>
          <t>Sufixo Yahoo</t>
        </is>
      </c>
      <c r="W2" s="86" t="str">
        <f>INDEX('10 Configurações'!$E$35:$E$41,MATCH("Ações",'10 Configurações'!$B$35:$B$41,0))&amp;""</f>
        <v>.SA</v>
      </c>
    </row>
    <row r="3" ht="16" customHeight="1">
      <c r="A3" s="11" t="inlineStr">
        <is>
          <t>VALOR DA CLASSE (R$)</t>
        </is>
      </c>
      <c r="B3" s="12" t="n"/>
      <c r="C3" s="11" t="inlineStr">
        <is>
          <t>Nº DE ATIVOS</t>
        </is>
      </c>
      <c r="D3" s="12" t="n"/>
      <c r="E3" s="12" t="n"/>
      <c r="F3" s="12" t="n"/>
      <c r="G3" s="13" t="inlineStr">
        <is>
          <t>APORTE DESTINADO (R$)</t>
        </is>
      </c>
      <c r="H3" s="14" t="n"/>
      <c r="I3" s="14" t="n"/>
      <c r="J3" s="14" t="n"/>
      <c r="K3" s="13" t="inlineStr">
        <is>
          <t>COMPRA EFETIVA (R$)</t>
        </is>
      </c>
      <c r="L3" s="14" t="n"/>
      <c r="M3" s="14" t="n"/>
      <c r="N3" s="14" t="n"/>
      <c r="O3" s="15" t="inlineStr">
        <is>
          <t>SOBRA DA CLASSE (R$)</t>
        </is>
      </c>
      <c r="P3" s="16" t="n"/>
      <c r="Q3" s="16" t="n"/>
      <c r="R3" s="16" t="n"/>
      <c r="S3" s="16" t="n"/>
      <c r="T3" s="15" t="inlineStr">
        <is>
          <t>SOMA DOS OBJETIVOS</t>
        </is>
      </c>
      <c r="V3" s="85" t="inlineStr">
        <is>
          <t>Permite fração?</t>
        </is>
      </c>
      <c r="W3" s="86" t="str">
        <f>INDEX('10 Configurações'!$G$35:$G$41,MATCH("Ações",'10 Configurações'!$B$35:$B$41,0))&amp;""</f>
        <v>Não</v>
      </c>
    </row>
    <row r="4" ht="26" customHeight="1">
      <c r="A4" s="64">
        <f>$K$6</f>
        <v>0</v>
      </c>
      <c r="B4" s="1" t="n"/>
      <c r="C4" s="65">
        <f>SUMPRODUCT(--($A$9:$A$208&lt;&gt;""))</f>
        <v>0</v>
      </c>
      <c r="D4" s="1" t="n"/>
      <c r="E4" s="1" t="n"/>
      <c r="F4" s="1" t="n"/>
      <c r="G4" s="64">
        <f>$W$7</f>
        <v>200</v>
      </c>
      <c r="H4" s="1" t="n"/>
      <c r="I4" s="1" t="n"/>
      <c r="J4" s="1" t="n"/>
      <c r="K4" s="64">
        <f>$T$6</f>
        <v>0</v>
      </c>
      <c r="L4" s="1" t="n"/>
      <c r="M4" s="1" t="n"/>
      <c r="N4" s="1" t="n"/>
      <c r="O4" s="64">
        <f>$W$7-$T$6</f>
        <v>200</v>
      </c>
      <c r="P4" s="1" t="n"/>
      <c r="Q4" s="1" t="n"/>
      <c r="R4" s="1" t="n"/>
      <c r="S4" s="1" t="n"/>
      <c r="T4" s="66">
        <f>$F$6</f>
        <v>0</v>
      </c>
      <c r="V4" s="85" t="inlineStr">
        <is>
          <t>Casas decimais</t>
        </is>
      </c>
      <c r="W4" s="86">
        <f>N(INDEX('10 Configurações'!$H$35:$H$41,MATCH("Ações",'10 Configurações'!$B$35:$B$41,0)))</f>
        <v>0</v>
      </c>
    </row>
    <row r="5" ht="14" customHeight="1">
      <c r="A5" s="87" t="inlineStr">
        <is>
          <t>■ Azul = entrada de dados (você só altera Quantidade, Objetivo e, se quiser, Cotação Manual)     ■ Demais células = fórmulas     ■ Depois de comprar: copie 'Qtd. Após Compra' e cole como valores em 'Quantidade'</t>
        </is>
      </c>
      <c r="V5" s="85" t="inlineStr">
        <is>
          <t>Lote efetivo</t>
        </is>
      </c>
      <c r="W5" s="86">
        <f>IF(INDEX('10 Configurações'!$I$35:$I$41,MATCH("Ações",'10 Configurações'!$B$35:$B$41,0))="Sim",MAX(1,N(INDEX('10 Configurações'!$J$35:$J$41,MATCH("Ações",'10 Configurações'!$B$35:$B$41,0)))),1)</f>
        <v>1</v>
      </c>
    </row>
    <row r="6" ht="24" customHeight="1">
      <c r="A6" s="88" t="inlineStr">
        <is>
          <t>TOTAL</t>
        </is>
      </c>
      <c r="B6" s="31" t="n"/>
      <c r="C6" s="31" t="n"/>
      <c r="D6" s="31" t="n"/>
      <c r="E6" s="31" t="n"/>
      <c r="F6" s="55">
        <f>SUM($F$9:$F$208)</f>
        <v>0</v>
      </c>
      <c r="G6" s="31" t="n"/>
      <c r="H6" s="31" t="n"/>
      <c r="I6" s="31" t="n"/>
      <c r="J6" s="31" t="n"/>
      <c r="K6" s="75">
        <f>SUM($K$9:$K$208)</f>
        <v>0</v>
      </c>
      <c r="L6" s="55">
        <f>SUM($L$9:$L$208)</f>
        <v>0</v>
      </c>
      <c r="M6" s="31" t="n"/>
      <c r="N6" s="55">
        <f>SUM($N$9:$N$208)</f>
        <v>0</v>
      </c>
      <c r="O6" s="31" t="n"/>
      <c r="P6" s="31" t="n"/>
      <c r="Q6" s="75">
        <f>SUM($Q$9:$Q$208)</f>
        <v>0</v>
      </c>
      <c r="R6" s="31" t="n"/>
      <c r="S6" s="31" t="n"/>
      <c r="T6" s="75">
        <f>SUM($T$9:$T$208)</f>
        <v>0</v>
      </c>
      <c r="V6" s="85" t="inlineStr">
        <is>
          <t>Fator de custo (1 + custos)</t>
        </is>
      </c>
      <c r="W6" s="86">
        <f>1+N(INDEX('10 Configurações'!$K$35:$K$41,MATCH("Ações",'10 Configurações'!$B$35:$B$41,0)))</f>
        <v>1</v>
      </c>
      <c r="AB6" s="89">
        <f>SUM($AB$9:$AB$208)</f>
        <v>0</v>
      </c>
      <c r="AC6" s="89">
        <f>SUM($AC$9:$AC$208)</f>
        <v>0</v>
      </c>
      <c r="AH6" s="89">
        <f>MAX($AH$9:$AH$208)</f>
        <v>0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1" t="inlineStr">
        <is>
          <t>POSIÇÃO E OBJETIVO</t>
        </is>
      </c>
      <c r="F7" s="91" t="n"/>
      <c r="G7" s="92" t="inlineStr">
        <is>
          <t>COTAÇÃO</t>
        </is>
      </c>
      <c r="H7" s="92" t="n"/>
      <c r="I7" s="92" t="n"/>
      <c r="J7" s="93" t="inlineStr">
        <is>
          <t>VALOR</t>
        </is>
      </c>
      <c r="K7" s="93" t="n"/>
      <c r="L7" s="93" t="n"/>
      <c r="M7" s="94" t="inlineStr">
        <is>
          <t>REBALANCEAMENTO</t>
        </is>
      </c>
      <c r="N7" s="94" t="n"/>
      <c r="O7" s="94" t="n"/>
      <c r="P7" s="94" t="n"/>
      <c r="Q7" s="94" t="n"/>
      <c r="R7" s="94" t="n"/>
      <c r="S7" s="94" t="n"/>
      <c r="T7" s="94" t="n"/>
      <c r="V7" s="85" t="inlineStr">
        <is>
          <t>Aporte destinado à classe (R$)</t>
        </is>
      </c>
      <c r="W7" s="86">
        <f>'02 Macro Alocação'!$M$9</f>
        <v>200</v>
      </c>
    </row>
    <row r="8" ht="34" customHeight="1">
      <c r="A8" s="68" t="inlineStr">
        <is>
          <t>Ticker</t>
        </is>
      </c>
      <c r="B8" s="68" t="inlineStr">
        <is>
          <t>Nome / Descrição</t>
        </is>
      </c>
      <c r="C8" s="68" t="inlineStr">
        <is>
          <t>Setor / Segmento</t>
        </is>
      </c>
      <c r="D8" s="68" t="inlineStr">
        <is>
          <t>Moeda</t>
        </is>
      </c>
      <c r="E8" s="68" t="inlineStr">
        <is>
          <t>Quantidade</t>
        </is>
      </c>
      <c r="F8" s="68" t="inlineStr">
        <is>
          <t>Objetivo (% da classe)</t>
        </is>
      </c>
      <c r="G8" s="68" t="inlineStr">
        <is>
          <t>Cotação Manual (opcional)</t>
        </is>
      </c>
      <c r="H8" s="67" t="inlineStr">
        <is>
          <t>Cotação</t>
        </is>
      </c>
      <c r="I8" s="67" t="inlineStr">
        <is>
          <t>Fonte</t>
        </is>
      </c>
      <c r="J8" s="67" t="inlineStr">
        <is>
          <t>Valor Atual (Moeda)</t>
        </is>
      </c>
      <c r="K8" s="67" t="inlineStr">
        <is>
          <t>Valor Atual (R$)</t>
        </is>
      </c>
      <c r="L8" s="67" t="inlineStr">
        <is>
          <t>Part. na Classe</t>
        </is>
      </c>
      <c r="M8" s="67" t="inlineStr">
        <is>
          <t>Diferença</t>
        </is>
      </c>
      <c r="N8" s="67" t="inlineStr">
        <is>
          <t>Rebalance Score</t>
        </is>
      </c>
      <c r="O8" s="67" t="inlineStr">
        <is>
          <t>Prior.</t>
        </is>
      </c>
      <c r="P8" s="67" t="inlineStr">
        <is>
          <t>Ação</t>
        </is>
      </c>
      <c r="Q8" s="67" t="inlineStr">
        <is>
          <t>Valor Sugerido (R$)</t>
        </is>
      </c>
      <c r="R8" s="67" t="inlineStr">
        <is>
          <t>Qtd. Sugerida</t>
        </is>
      </c>
      <c r="S8" s="67" t="inlineStr">
        <is>
          <t>Qtd. Após Compra</t>
        </is>
      </c>
      <c r="T8" s="67" t="inlineStr">
        <is>
          <t>Valor Efetivo (R$)</t>
        </is>
      </c>
      <c r="V8" s="95" t="inlineStr">
        <is>
          <t>Moeda efetiva</t>
        </is>
      </c>
      <c r="W8" s="95" t="inlineStr">
        <is>
          <t>Câmbio (R$)</t>
        </is>
      </c>
      <c r="X8" s="95" t="inlineStr">
        <is>
          <t>Ticker Yahoo</t>
        </is>
      </c>
      <c r="Y8" s="95" t="inlineStr">
        <is>
          <t>Resposta da API</t>
        </is>
      </c>
      <c r="Z8" s="95" t="inlineStr">
        <is>
          <t>Cotação auto</t>
        </is>
      </c>
      <c r="AA8" s="95" t="inlineStr">
        <is>
          <t>Déficit (R$)</t>
        </is>
      </c>
      <c r="AB8" s="95" t="inlineStr">
        <is>
          <t>Déficit elegível</t>
        </is>
      </c>
      <c r="AC8" s="95" t="inlineStr">
        <is>
          <t>Déficit final</t>
        </is>
      </c>
      <c r="AD8" s="95" t="inlineStr">
        <is>
          <t>Qtd 1ª passada</t>
        </is>
      </c>
      <c r="AE8" s="95" t="inlineStr">
        <is>
          <t>Valor 1ª passada (R$)</t>
        </is>
      </c>
      <c r="AF8" s="95" t="inlineStr">
        <is>
          <t>Qtd extra (bruta)</t>
        </is>
      </c>
      <c r="AG8" s="95" t="inlineStr">
        <is>
          <t>Qtd extra</t>
        </is>
      </c>
      <c r="AH8" s="95" t="inlineStr">
        <is>
          <t>Prioridade extra</t>
        </is>
      </c>
      <c r="AI8" s="95" t="inlineStr">
        <is>
          <t>Recebe a sobra</t>
        </is>
      </c>
    </row>
    <row r="9">
      <c r="A9" s="96" t="n"/>
      <c r="B9" s="96" t="n"/>
      <c r="C9" s="96" t="n"/>
      <c r="D9" s="97" t="n"/>
      <c r="E9" s="98" t="n"/>
      <c r="F9" s="99" t="n"/>
      <c r="G9" s="100" t="n"/>
      <c r="H9" s="101" t="str">
        <f>IF(A9="","",IF(AND(p_ModoCot="Automático",ISNUMBER(Z9)),Z9,IF(N(G9)&gt;0,G9,0)))</f>
        <v/>
      </c>
      <c r="I9" s="73" t="str">
        <f>IF(A9="","",IF(W9=0,"Sem câmbio",IF(AND(p_ModoCot="Automático",ISNUMBER(Z9)),"Auto",IF(N(G9)&gt;0,"Manual","Sem cotação"))))</f>
        <v/>
      </c>
      <c r="J9" s="102" t="str">
        <f>IF(A9="","",N(E9)*H9)</f>
        <v/>
      </c>
      <c r="K9" s="70" t="str">
        <f>IF(A9="","",J9*W9)</f>
        <v/>
      </c>
      <c r="L9" s="30" t="str">
        <f>IF(A9="","",IF($K$6&gt;0,K9/$K$6,0))</f>
        <v/>
      </c>
      <c r="M9" s="72" t="str">
        <f>IF(A9="","",N(F9)-L9)</f>
        <v/>
      </c>
      <c r="N9" s="30" t="str">
        <f>IF(A9="","",IF($AB$6&gt;0,AB9/$AB$6,0))</f>
        <v/>
      </c>
      <c r="O9" s="74" t="str">
        <f>IF(A9="","",IF(AB9&lt;=0,"",COUNTIF($AB$9:$AB$208,"&gt;"&amp;AB9)+COUNTIF($AB$9:AB9,AB9)))</f>
        <v/>
      </c>
      <c r="P9" s="73" t="str">
        <f>IF(A9="","",IF(Q9&gt;0,"BUY","HOLD"))</f>
        <v/>
      </c>
      <c r="Q9" s="70" t="str">
        <f>IF(A9="","",IF($W$7&lt;=0,0,IF($AC$6&gt;0,$W$7*AC9/$AC$6,IF($F$6&gt;0,$W$7*N(F9)/$F$6,0))))</f>
        <v/>
      </c>
      <c r="R9" s="103" t="str">
        <f>IF(A9="","",N(AD9)+IF(AI9=1,N(AG9),0))</f>
        <v/>
      </c>
      <c r="S9" s="103" t="str">
        <f>IF(A9="","",N(E9)+N(R9))</f>
        <v/>
      </c>
      <c r="T9" s="70" t="str">
        <f>IF(A9="","",IF(N(R9)&gt;0,R9*H9*W9*$W$6+p_CorrFixa,0))</f>
        <v/>
      </c>
      <c r="V9" s="85" t="str">
        <f>IF(A9="","",IF(D9="",$W$1,D9))</f>
        <v/>
      </c>
      <c r="W9" s="85" t="str">
        <f>IF(A9="","",IFERROR(INDEX(moeda_fx,MATCH(V9,moeda_cod,0)),0))</f>
        <v/>
      </c>
      <c r="X9" s="85" t="str">
        <f>IF(A9="","",IF($W$2="",UPPER(TRIM(A9)),IF(RIGHT(UPPER(TRIM(A9)),LEN($W$2))=$W$2,UPPER(TRIM(A9)),UPPER(TRIM(A9))&amp;$W$2)))</f>
        <v/>
      </c>
      <c r="Y9" s="85" t="str">
        <f>IF(OR(A9="",p_ModoCot&lt;&gt;"Automático"),"",IFERROR(_xlfn.WEBSERVICE("https://query1.finance.yahoo.com/v8/finance/chart/"&amp;X9&amp;"?range=1d&amp;interval=1d"),""))</f>
        <v/>
      </c>
      <c r="Z9" s="85" t="str">
        <f>IF(Y9="","",IFERROR(_xlfn.NUMBERVALUE(MID(Y9,SEARCH("""regularMarketPrice"":",Y9)+21,SEARCH(",",Y9&amp;",",SEARCH("""regularMarketPrice"":",Y9)+21)-SEARCH("""regularMarketPrice"":",Y9)-21),".",","),""))</f>
        <v/>
      </c>
      <c r="AA9" s="85" t="str">
        <f>IF(A9="","",ROUND(MAX(0,N(F9)*($K$6+$W$7)-K9),2))</f>
        <v/>
      </c>
      <c r="AB9" s="85" t="str">
        <f>IF(A9="","",IF(AND(M9&gt;0,M9&gt;=p_DifMin),AA9,0))</f>
        <v/>
      </c>
      <c r="AC9" s="85" t="str">
        <f>IF(A9="","",IF(AND(AB9&gt;0,N(O9)&lt;=p_MaxAtivos),AB9,0))</f>
        <v/>
      </c>
      <c r="AD9" s="85" t="str">
        <f>IF(A9="","",IF(OR(Q9&lt;=0,Q9&lt;p_CompraMin,N(H9)&lt;=0,N(W9)&lt;=0),0,IF($W$3="Sim",TRUNC(ROUND(MAX(0,(Q9-p_CorrFixa)/(H9*W9*$W$6)),9),$W$4),TRUNC(ROUND(MAX(0,(Q9-p_CorrFixa)/(H9*W9*$W$6)),9)/$W$5)*$W$5)))</f>
        <v/>
      </c>
      <c r="AE9" s="85" t="str">
        <f>IF(A9="","",IF(N(AD9)&gt;0,AD9*H9*W9*$W$6+p_CorrFixa,0))</f>
        <v/>
      </c>
      <c r="AF9" s="85" t="str">
        <f>IF(A9="","",IF(OR($Y$1&lt;=0,N(H9)&lt;=0,N(W9)&lt;=0,N(AB9)&lt;=0),0,IF($W$3="Sim",TRUNC(ROUND(MAX(0,($Y$1-IF(N(AD9)&gt;0,0,p_CorrFixa))/(H9*W9*$W$6)),9),$W$4),TRUNC(ROUND(MAX(0,($Y$1-IF(N(AD9)&gt;0,0,p_CorrFixa))/(H9*W9*$W$6)),9)/$W$5)*$W$5)))</f>
        <v/>
      </c>
      <c r="AG9" s="85" t="str">
        <f>IF(A9="","",IF(AND(N(AD9)=0,N(AF9)*(H9*W9*$W$6)+p_CorrFixa&lt;p_CompraMin),0,AF9))</f>
        <v/>
      </c>
      <c r="AH9" s="85" t="str">
        <f>IF(A9="","",IF(N(AG9)&gt;0,AB9,0))</f>
        <v/>
      </c>
      <c r="AI9" s="85" t="str">
        <f>IF(A9="","",IF(AND(AH9&gt;0,AH9=$AH$6,COUNTIF($AH$9:AH9,AH9)=1),1,0))</f>
        <v/>
      </c>
    </row>
    <row r="10">
      <c r="A10" s="96" t="n"/>
      <c r="B10" s="96" t="n"/>
      <c r="C10" s="96" t="n"/>
      <c r="D10" s="97" t="n"/>
      <c r="E10" s="98" t="n"/>
      <c r="F10" s="99" t="n"/>
      <c r="G10" s="100" t="n"/>
      <c r="H10" s="104" t="str">
        <f>IF(A10="","",IF(AND(p_ModoCot="Automático",ISNUMBER(Z10)),Z10,IF(N(G10)&gt;0,G10,0)))</f>
        <v/>
      </c>
      <c r="I10" s="105" t="str">
        <f>IF(A10="","",IF(W10=0,"Sem câmbio",IF(AND(p_ModoCot="Automático",ISNUMBER(Z10)),"Auto",IF(N(G10)&gt;0,"Manual","Sem cotação"))))</f>
        <v/>
      </c>
      <c r="J10" s="106" t="str">
        <f>IF(A10="","",N(E10)*H10)</f>
        <v/>
      </c>
      <c r="K10" s="107" t="str">
        <f>IF(A10="","",J10*W10)</f>
        <v/>
      </c>
      <c r="L10" s="108" t="str">
        <f>IF(A10="","",IF($K$6&gt;0,K10/$K$6,0))</f>
        <v/>
      </c>
      <c r="M10" s="109" t="str">
        <f>IF(A10="","",N(F10)-L10)</f>
        <v/>
      </c>
      <c r="N10" s="108" t="str">
        <f>IF(A10="","",IF($AB$6&gt;0,AB10/$AB$6,0))</f>
        <v/>
      </c>
      <c r="O10" s="110" t="str">
        <f>IF(A10="","",IF(AB10&lt;=0,"",COUNTIF($AB$9:$AB$208,"&gt;"&amp;AB10)+COUNTIF($AB$9:AB10,AB10)))</f>
        <v/>
      </c>
      <c r="P10" s="105" t="str">
        <f>IF(A10="","",IF(Q10&gt;0,"BUY","HOLD"))</f>
        <v/>
      </c>
      <c r="Q10" s="107" t="str">
        <f>IF(A10="","",IF($W$7&lt;=0,0,IF($AC$6&gt;0,$W$7*AC10/$AC$6,IF($F$6&gt;0,$W$7*N(F10)/$F$6,0))))</f>
        <v/>
      </c>
      <c r="R10" s="111" t="str">
        <f>IF(A10="","",N(AD10)+IF(AI10=1,N(AG10),0))</f>
        <v/>
      </c>
      <c r="S10" s="111" t="str">
        <f>IF(A10="","",N(E10)+N(R10))</f>
        <v/>
      </c>
      <c r="T10" s="107" t="str">
        <f>IF(A10="","",IF(N(R10)&gt;0,R10*H10*W10*$W$6+p_CorrFixa,0))</f>
        <v/>
      </c>
      <c r="V10" s="85" t="str">
        <f>IF(A10="","",IF(D10="",$W$1,D10))</f>
        <v/>
      </c>
      <c r="W10" s="85" t="str">
        <f>IF(A10="","",IFERROR(INDEX(moeda_fx,MATCH(V10,moeda_cod,0)),0))</f>
        <v/>
      </c>
      <c r="X10" s="85" t="str">
        <f>IF(A10="","",IF($W$2="",UPPER(TRIM(A10)),IF(RIGHT(UPPER(TRIM(A10)),LEN($W$2))=$W$2,UPPER(TRIM(A10)),UPPER(TRIM(A10))&amp;$W$2)))</f>
        <v/>
      </c>
      <c r="Y10" s="85" t="str">
        <f>IF(OR(A10="",p_ModoCot&lt;&gt;"Automático"),"",IFERROR(_xlfn.WEBSERVICE("https://query1.finance.yahoo.com/v8/finance/chart/"&amp;X10&amp;"?range=1d&amp;interval=1d"),""))</f>
        <v/>
      </c>
      <c r="Z10" s="85" t="str">
        <f>IF(Y10="","",IFERROR(_xlfn.NUMBERVALUE(MID(Y10,SEARCH("""regularMarketPrice"":",Y10)+21,SEARCH(",",Y10&amp;",",SEARCH("""regularMarketPrice"":",Y10)+21)-SEARCH("""regularMarketPrice"":",Y10)-21),".",","),""))</f>
        <v/>
      </c>
      <c r="AA10" s="85" t="str">
        <f>IF(A10="","",ROUND(MAX(0,N(F10)*($K$6+$W$7)-K10),2))</f>
        <v/>
      </c>
      <c r="AB10" s="85" t="str">
        <f>IF(A10="","",IF(AND(M10&gt;0,M10&gt;=p_DifMin),AA10,0))</f>
        <v/>
      </c>
      <c r="AC10" s="85" t="str">
        <f>IF(A10="","",IF(AND(AB10&gt;0,N(O10)&lt;=p_MaxAtivos),AB10,0))</f>
        <v/>
      </c>
      <c r="AD10" s="85" t="str">
        <f>IF(A10="","",IF(OR(Q10&lt;=0,Q10&lt;p_CompraMin,N(H10)&lt;=0,N(W10)&lt;=0),0,IF($W$3="Sim",TRUNC(ROUND(MAX(0,(Q10-p_CorrFixa)/(H10*W10*$W$6)),9),$W$4),TRUNC(ROUND(MAX(0,(Q10-p_CorrFixa)/(H10*W10*$W$6)),9)/$W$5)*$W$5)))</f>
        <v/>
      </c>
      <c r="AE10" s="85" t="str">
        <f>IF(A10="","",IF(N(AD10)&gt;0,AD10*H10*W10*$W$6+p_CorrFixa,0))</f>
        <v/>
      </c>
      <c r="AF10" s="85" t="str">
        <f>IF(A10="","",IF(OR($Y$1&lt;=0,N(H10)&lt;=0,N(W10)&lt;=0,N(AB10)&lt;=0),0,IF($W$3="Sim",TRUNC(ROUND(MAX(0,($Y$1-IF(N(AD10)&gt;0,0,p_CorrFixa))/(H10*W10*$W$6)),9),$W$4),TRUNC(ROUND(MAX(0,($Y$1-IF(N(AD10)&gt;0,0,p_CorrFixa))/(H10*W10*$W$6)),9)/$W$5)*$W$5)))</f>
        <v/>
      </c>
      <c r="AG10" s="85" t="str">
        <f>IF(A10="","",IF(AND(N(AD10)=0,N(AF10)*(H10*W10*$W$6)+p_CorrFixa&lt;p_CompraMin),0,AF10))</f>
        <v/>
      </c>
      <c r="AH10" s="85" t="str">
        <f>IF(A10="","",IF(N(AG10)&gt;0,AB10,0))</f>
        <v/>
      </c>
      <c r="AI10" s="85" t="str">
        <f>IF(A10="","",IF(AND(AH10&gt;0,AH10=$AH$6,COUNTIF($AH$9:AH10,AH10)=1),1,0))</f>
        <v/>
      </c>
    </row>
    <row r="11">
      <c r="A11" s="96" t="n"/>
      <c r="B11" s="96" t="n"/>
      <c r="C11" s="96" t="n"/>
      <c r="D11" s="97" t="n"/>
      <c r="E11" s="98" t="n"/>
      <c r="F11" s="99" t="n"/>
      <c r="G11" s="100" t="n"/>
      <c r="H11" s="101" t="str">
        <f>IF(A11="","",IF(AND(p_ModoCot="Automático",ISNUMBER(Z11)),Z11,IF(N(G11)&gt;0,G11,0)))</f>
        <v/>
      </c>
      <c r="I11" s="73" t="str">
        <f>IF(A11="","",IF(W11=0,"Sem câmbio",IF(AND(p_ModoCot="Automático",ISNUMBER(Z11)),"Auto",IF(N(G11)&gt;0,"Manual","Sem cotação"))))</f>
        <v/>
      </c>
      <c r="J11" s="102" t="str">
        <f>IF(A11="","",N(E11)*H11)</f>
        <v/>
      </c>
      <c r="K11" s="70" t="str">
        <f>IF(A11="","",J11*W11)</f>
        <v/>
      </c>
      <c r="L11" s="30" t="str">
        <f>IF(A11="","",IF($K$6&gt;0,K11/$K$6,0))</f>
        <v/>
      </c>
      <c r="M11" s="72" t="str">
        <f>IF(A11="","",N(F11)-L11)</f>
        <v/>
      </c>
      <c r="N11" s="30" t="str">
        <f>IF(A11="","",IF($AB$6&gt;0,AB11/$AB$6,0))</f>
        <v/>
      </c>
      <c r="O11" s="74" t="str">
        <f>IF(A11="","",IF(AB11&lt;=0,"",COUNTIF($AB$9:$AB$208,"&gt;"&amp;AB11)+COUNTIF($AB$9:AB11,AB11)))</f>
        <v/>
      </c>
      <c r="P11" s="73" t="str">
        <f>IF(A11="","",IF(Q11&gt;0,"BUY","HOLD"))</f>
        <v/>
      </c>
      <c r="Q11" s="70" t="str">
        <f>IF(A11="","",IF($W$7&lt;=0,0,IF($AC$6&gt;0,$W$7*AC11/$AC$6,IF($F$6&gt;0,$W$7*N(F11)/$F$6,0))))</f>
        <v/>
      </c>
      <c r="R11" s="103" t="str">
        <f>IF(A11="","",N(AD11)+IF(AI11=1,N(AG11),0))</f>
        <v/>
      </c>
      <c r="S11" s="103" t="str">
        <f>IF(A11="","",N(E11)+N(R11))</f>
        <v/>
      </c>
      <c r="T11" s="70" t="str">
        <f>IF(A11="","",IF(N(R11)&gt;0,R11*H11*W11*$W$6+p_CorrFixa,0))</f>
        <v/>
      </c>
      <c r="V11" s="85" t="str">
        <f>IF(A11="","",IF(D11="",$W$1,D11))</f>
        <v/>
      </c>
      <c r="W11" s="85" t="str">
        <f>IF(A11="","",IFERROR(INDEX(moeda_fx,MATCH(V11,moeda_cod,0)),0))</f>
        <v/>
      </c>
      <c r="X11" s="85" t="str">
        <f>IF(A11="","",IF($W$2="",UPPER(TRIM(A11)),IF(RIGHT(UPPER(TRIM(A11)),LEN($W$2))=$W$2,UPPER(TRIM(A11)),UPPER(TRIM(A11))&amp;$W$2)))</f>
        <v/>
      </c>
      <c r="Y11" s="85" t="str">
        <f>IF(OR(A11="",p_ModoCot&lt;&gt;"Automático"),"",IFERROR(_xlfn.WEBSERVICE("https://query1.finance.yahoo.com/v8/finance/chart/"&amp;X11&amp;"?range=1d&amp;interval=1d"),""))</f>
        <v/>
      </c>
      <c r="Z11" s="85" t="str">
        <f>IF(Y11="","",IFERROR(_xlfn.NUMBERVALUE(MID(Y11,SEARCH("""regularMarketPrice"":",Y11)+21,SEARCH(",",Y11&amp;",",SEARCH("""regularMarketPrice"":",Y11)+21)-SEARCH("""regularMarketPrice"":",Y11)-21),".",","),""))</f>
        <v/>
      </c>
      <c r="AA11" s="85" t="str">
        <f>IF(A11="","",ROUND(MAX(0,N(F11)*($K$6+$W$7)-K11),2))</f>
        <v/>
      </c>
      <c r="AB11" s="85" t="str">
        <f>IF(A11="","",IF(AND(M11&gt;0,M11&gt;=p_DifMin),AA11,0))</f>
        <v/>
      </c>
      <c r="AC11" s="85" t="str">
        <f>IF(A11="","",IF(AND(AB11&gt;0,N(O11)&lt;=p_MaxAtivos),AB11,0))</f>
        <v/>
      </c>
      <c r="AD11" s="85" t="str">
        <f>IF(A11="","",IF(OR(Q11&lt;=0,Q11&lt;p_CompraMin,N(H11)&lt;=0,N(W11)&lt;=0),0,IF($W$3="Sim",TRUNC(ROUND(MAX(0,(Q11-p_CorrFixa)/(H11*W11*$W$6)),9),$W$4),TRUNC(ROUND(MAX(0,(Q11-p_CorrFixa)/(H11*W11*$W$6)),9)/$W$5)*$W$5)))</f>
        <v/>
      </c>
      <c r="AE11" s="85" t="str">
        <f>IF(A11="","",IF(N(AD11)&gt;0,AD11*H11*W11*$W$6+p_CorrFixa,0))</f>
        <v/>
      </c>
      <c r="AF11" s="85" t="str">
        <f>IF(A11="","",IF(OR($Y$1&lt;=0,N(H11)&lt;=0,N(W11)&lt;=0,N(AB11)&lt;=0),0,IF($W$3="Sim",TRUNC(ROUND(MAX(0,($Y$1-IF(N(AD11)&gt;0,0,p_CorrFixa))/(H11*W11*$W$6)),9),$W$4),TRUNC(ROUND(MAX(0,($Y$1-IF(N(AD11)&gt;0,0,p_CorrFixa))/(H11*W11*$W$6)),9)/$W$5)*$W$5)))</f>
        <v/>
      </c>
      <c r="AG11" s="85" t="str">
        <f>IF(A11="","",IF(AND(N(AD11)=0,N(AF11)*(H11*W11*$W$6)+p_CorrFixa&lt;p_CompraMin),0,AF11))</f>
        <v/>
      </c>
      <c r="AH11" s="85" t="str">
        <f>IF(A11="","",IF(N(AG11)&gt;0,AB11,0))</f>
        <v/>
      </c>
      <c r="AI11" s="85" t="str">
        <f>IF(A11="","",IF(AND(AH11&gt;0,AH11=$AH$6,COUNTIF($AH$9:AH11,AH11)=1),1,0))</f>
        <v/>
      </c>
    </row>
    <row r="12">
      <c r="A12" s="96" t="n"/>
      <c r="B12" s="96" t="n"/>
      <c r="C12" s="96" t="n"/>
      <c r="D12" s="97" t="n"/>
      <c r="E12" s="98" t="n"/>
      <c r="F12" s="99" t="n"/>
      <c r="G12" s="100" t="n"/>
      <c r="H12" s="104" t="str">
        <f>IF(A12="","",IF(AND(p_ModoCot="Automático",ISNUMBER(Z12)),Z12,IF(N(G12)&gt;0,G12,0)))</f>
        <v/>
      </c>
      <c r="I12" s="105" t="str">
        <f>IF(A12="","",IF(W12=0,"Sem câmbio",IF(AND(p_ModoCot="Automático",ISNUMBER(Z12)),"Auto",IF(N(G12)&gt;0,"Manual","Sem cotação"))))</f>
        <v/>
      </c>
      <c r="J12" s="106" t="str">
        <f>IF(A12="","",N(E12)*H12)</f>
        <v/>
      </c>
      <c r="K12" s="107" t="str">
        <f>IF(A12="","",J12*W12)</f>
        <v/>
      </c>
      <c r="L12" s="108" t="str">
        <f>IF(A12="","",IF($K$6&gt;0,K12/$K$6,0))</f>
        <v/>
      </c>
      <c r="M12" s="109" t="str">
        <f>IF(A12="","",N(F12)-L12)</f>
        <v/>
      </c>
      <c r="N12" s="108" t="str">
        <f>IF(A12="","",IF($AB$6&gt;0,AB12/$AB$6,0))</f>
        <v/>
      </c>
      <c r="O12" s="110" t="str">
        <f>IF(A12="","",IF(AB12&lt;=0,"",COUNTIF($AB$9:$AB$208,"&gt;"&amp;AB12)+COUNTIF($AB$9:AB12,AB12)))</f>
        <v/>
      </c>
      <c r="P12" s="105" t="str">
        <f>IF(A12="","",IF(Q12&gt;0,"BUY","HOLD"))</f>
        <v/>
      </c>
      <c r="Q12" s="107" t="str">
        <f>IF(A12="","",IF($W$7&lt;=0,0,IF($AC$6&gt;0,$W$7*AC12/$AC$6,IF($F$6&gt;0,$W$7*N(F12)/$F$6,0))))</f>
        <v/>
      </c>
      <c r="R12" s="111" t="str">
        <f>IF(A12="","",N(AD12)+IF(AI12=1,N(AG12),0))</f>
        <v/>
      </c>
      <c r="S12" s="111" t="str">
        <f>IF(A12="","",N(E12)+N(R12))</f>
        <v/>
      </c>
      <c r="T12" s="107" t="str">
        <f>IF(A12="","",IF(N(R12)&gt;0,R12*H12*W12*$W$6+p_CorrFixa,0))</f>
        <v/>
      </c>
      <c r="V12" s="85" t="str">
        <f>IF(A12="","",IF(D12="",$W$1,D12))</f>
        <v/>
      </c>
      <c r="W12" s="85" t="str">
        <f>IF(A12="","",IFERROR(INDEX(moeda_fx,MATCH(V12,moeda_cod,0)),0))</f>
        <v/>
      </c>
      <c r="X12" s="85" t="str">
        <f>IF(A12="","",IF($W$2="",UPPER(TRIM(A12)),IF(RIGHT(UPPER(TRIM(A12)),LEN($W$2))=$W$2,UPPER(TRIM(A12)),UPPER(TRIM(A12))&amp;$W$2)))</f>
        <v/>
      </c>
      <c r="Y12" s="85" t="str">
        <f>IF(OR(A12="",p_ModoCot&lt;&gt;"Automático"),"",IFERROR(_xlfn.WEBSERVICE("https://query1.finance.yahoo.com/v8/finance/chart/"&amp;X12&amp;"?range=1d&amp;interval=1d"),""))</f>
        <v/>
      </c>
      <c r="Z12" s="85" t="str">
        <f>IF(Y12="","",IFERROR(_xlfn.NUMBERVALUE(MID(Y12,SEARCH("""regularMarketPrice"":",Y12)+21,SEARCH(",",Y12&amp;",",SEARCH("""regularMarketPrice"":",Y12)+21)-SEARCH("""regularMarketPrice"":",Y12)-21),".",","),""))</f>
        <v/>
      </c>
      <c r="AA12" s="85" t="str">
        <f>IF(A12="","",ROUND(MAX(0,N(F12)*($K$6+$W$7)-K12),2))</f>
        <v/>
      </c>
      <c r="AB12" s="85" t="str">
        <f>IF(A12="","",IF(AND(M12&gt;0,M12&gt;=p_DifMin),AA12,0))</f>
        <v/>
      </c>
      <c r="AC12" s="85" t="str">
        <f>IF(A12="","",IF(AND(AB12&gt;0,N(O12)&lt;=p_MaxAtivos),AB12,0))</f>
        <v/>
      </c>
      <c r="AD12" s="85" t="str">
        <f>IF(A12="","",IF(OR(Q12&lt;=0,Q12&lt;p_CompraMin,N(H12)&lt;=0,N(W12)&lt;=0),0,IF($W$3="Sim",TRUNC(ROUND(MAX(0,(Q12-p_CorrFixa)/(H12*W12*$W$6)),9),$W$4),TRUNC(ROUND(MAX(0,(Q12-p_CorrFixa)/(H12*W12*$W$6)),9)/$W$5)*$W$5)))</f>
        <v/>
      </c>
      <c r="AE12" s="85" t="str">
        <f>IF(A12="","",IF(N(AD12)&gt;0,AD12*H12*W12*$W$6+p_CorrFixa,0))</f>
        <v/>
      </c>
      <c r="AF12" s="85" t="str">
        <f>IF(A12="","",IF(OR($Y$1&lt;=0,N(H12)&lt;=0,N(W12)&lt;=0,N(AB12)&lt;=0),0,IF($W$3="Sim",TRUNC(ROUND(MAX(0,($Y$1-IF(N(AD12)&gt;0,0,p_CorrFixa))/(H12*W12*$W$6)),9),$W$4),TRUNC(ROUND(MAX(0,($Y$1-IF(N(AD12)&gt;0,0,p_CorrFixa))/(H12*W12*$W$6)),9)/$W$5)*$W$5)))</f>
        <v/>
      </c>
      <c r="AG12" s="85" t="str">
        <f>IF(A12="","",IF(AND(N(AD12)=0,N(AF12)*(H12*W12*$W$6)+p_CorrFixa&lt;p_CompraMin),0,AF12))</f>
        <v/>
      </c>
      <c r="AH12" s="85" t="str">
        <f>IF(A12="","",IF(N(AG12)&gt;0,AB12,0))</f>
        <v/>
      </c>
      <c r="AI12" s="85" t="str">
        <f>IF(A12="","",IF(AND(AH12&gt;0,AH12=$AH$6,COUNTIF($AH$9:AH12,AH12)=1),1,0))</f>
        <v/>
      </c>
    </row>
    <row r="13">
      <c r="A13" s="96" t="n"/>
      <c r="B13" s="96" t="n"/>
      <c r="C13" s="96" t="n"/>
      <c r="D13" s="97" t="n"/>
      <c r="E13" s="98" t="n"/>
      <c r="F13" s="99" t="n"/>
      <c r="G13" s="100" t="n"/>
      <c r="H13" s="101" t="str">
        <f>IF(A13="","",IF(AND(p_ModoCot="Automático",ISNUMBER(Z13)),Z13,IF(N(G13)&gt;0,G13,0)))</f>
        <v/>
      </c>
      <c r="I13" s="73" t="str">
        <f>IF(A13="","",IF(W13=0,"Sem câmbio",IF(AND(p_ModoCot="Automático",ISNUMBER(Z13)),"Auto",IF(N(G13)&gt;0,"Manual","Sem cotação"))))</f>
        <v/>
      </c>
      <c r="J13" s="102" t="str">
        <f>IF(A13="","",N(E13)*H13)</f>
        <v/>
      </c>
      <c r="K13" s="70" t="str">
        <f>IF(A13="","",J13*W13)</f>
        <v/>
      </c>
      <c r="L13" s="30" t="str">
        <f>IF(A13="","",IF($K$6&gt;0,K13/$K$6,0))</f>
        <v/>
      </c>
      <c r="M13" s="72" t="str">
        <f>IF(A13="","",N(F13)-L13)</f>
        <v/>
      </c>
      <c r="N13" s="30" t="str">
        <f>IF(A13="","",IF($AB$6&gt;0,AB13/$AB$6,0))</f>
        <v/>
      </c>
      <c r="O13" s="74" t="str">
        <f>IF(A13="","",IF(AB13&lt;=0,"",COUNTIF($AB$9:$AB$208,"&gt;"&amp;AB13)+COUNTIF($AB$9:AB13,AB13)))</f>
        <v/>
      </c>
      <c r="P13" s="73" t="str">
        <f>IF(A13="","",IF(Q13&gt;0,"BUY","HOLD"))</f>
        <v/>
      </c>
      <c r="Q13" s="70" t="str">
        <f>IF(A13="","",IF($W$7&lt;=0,0,IF($AC$6&gt;0,$W$7*AC13/$AC$6,IF($F$6&gt;0,$W$7*N(F13)/$F$6,0))))</f>
        <v/>
      </c>
      <c r="R13" s="103" t="str">
        <f>IF(A13="","",N(AD13)+IF(AI13=1,N(AG13),0))</f>
        <v/>
      </c>
      <c r="S13" s="103" t="str">
        <f>IF(A13="","",N(E13)+N(R13))</f>
        <v/>
      </c>
      <c r="T13" s="70" t="str">
        <f>IF(A13="","",IF(N(R13)&gt;0,R13*H13*W13*$W$6+p_CorrFixa,0))</f>
        <v/>
      </c>
      <c r="V13" s="85" t="str">
        <f>IF(A13="","",IF(D13="",$W$1,D13))</f>
        <v/>
      </c>
      <c r="W13" s="85" t="str">
        <f>IF(A13="","",IFERROR(INDEX(moeda_fx,MATCH(V13,moeda_cod,0)),0))</f>
        <v/>
      </c>
      <c r="X13" s="85" t="str">
        <f>IF(A13="","",IF($W$2="",UPPER(TRIM(A13)),IF(RIGHT(UPPER(TRIM(A13)),LEN($W$2))=$W$2,UPPER(TRIM(A13)),UPPER(TRIM(A13))&amp;$W$2)))</f>
        <v/>
      </c>
      <c r="Y13" s="85" t="str">
        <f>IF(OR(A13="",p_ModoCot&lt;&gt;"Automático"),"",IFERROR(_xlfn.WEBSERVICE("https://query1.finance.yahoo.com/v8/finance/chart/"&amp;X13&amp;"?range=1d&amp;interval=1d"),""))</f>
        <v/>
      </c>
      <c r="Z13" s="85" t="str">
        <f>IF(Y13="","",IFERROR(_xlfn.NUMBERVALUE(MID(Y13,SEARCH("""regularMarketPrice"":",Y13)+21,SEARCH(",",Y13&amp;",",SEARCH("""regularMarketPrice"":",Y13)+21)-SEARCH("""regularMarketPrice"":",Y13)-21),".",","),""))</f>
        <v/>
      </c>
      <c r="AA13" s="85" t="str">
        <f>IF(A13="","",ROUND(MAX(0,N(F13)*($K$6+$W$7)-K13),2))</f>
        <v/>
      </c>
      <c r="AB13" s="85" t="str">
        <f>IF(A13="","",IF(AND(M13&gt;0,M13&gt;=p_DifMin),AA13,0))</f>
        <v/>
      </c>
      <c r="AC13" s="85" t="str">
        <f>IF(A13="","",IF(AND(AB13&gt;0,N(O13)&lt;=p_MaxAtivos),AB13,0))</f>
        <v/>
      </c>
      <c r="AD13" s="85" t="str">
        <f>IF(A13="","",IF(OR(Q13&lt;=0,Q13&lt;p_CompraMin,N(H13)&lt;=0,N(W13)&lt;=0),0,IF($W$3="Sim",TRUNC(ROUND(MAX(0,(Q13-p_CorrFixa)/(H13*W13*$W$6)),9),$W$4),TRUNC(ROUND(MAX(0,(Q13-p_CorrFixa)/(H13*W13*$W$6)),9)/$W$5)*$W$5)))</f>
        <v/>
      </c>
      <c r="AE13" s="85" t="str">
        <f>IF(A13="","",IF(N(AD13)&gt;0,AD13*H13*W13*$W$6+p_CorrFixa,0))</f>
        <v/>
      </c>
      <c r="AF13" s="85" t="str">
        <f>IF(A13="","",IF(OR($Y$1&lt;=0,N(H13)&lt;=0,N(W13)&lt;=0,N(AB13)&lt;=0),0,IF($W$3="Sim",TRUNC(ROUND(MAX(0,($Y$1-IF(N(AD13)&gt;0,0,p_CorrFixa))/(H13*W13*$W$6)),9),$W$4),TRUNC(ROUND(MAX(0,($Y$1-IF(N(AD13)&gt;0,0,p_CorrFixa))/(H13*W13*$W$6)),9)/$W$5)*$W$5)))</f>
        <v/>
      </c>
      <c r="AG13" s="85" t="str">
        <f>IF(A13="","",IF(AND(N(AD13)=0,N(AF13)*(H13*W13*$W$6)+p_CorrFixa&lt;p_CompraMin),0,AF13))</f>
        <v/>
      </c>
      <c r="AH13" s="85" t="str">
        <f>IF(A13="","",IF(N(AG13)&gt;0,AB13,0))</f>
        <v/>
      </c>
      <c r="AI13" s="85" t="str">
        <f>IF(A13="","",IF(AND(AH13&gt;0,AH13=$AH$6,COUNTIF($AH$9:AH13,AH13)=1),1,0))</f>
        <v/>
      </c>
    </row>
    <row r="14">
      <c r="A14" s="96" t="n"/>
      <c r="B14" s="96" t="n"/>
      <c r="C14" s="96" t="n"/>
      <c r="D14" s="97" t="n"/>
      <c r="E14" s="98" t="n"/>
      <c r="F14" s="99" t="n"/>
      <c r="G14" s="100" t="n"/>
      <c r="H14" s="104" t="str">
        <f>IF(A14="","",IF(AND(p_ModoCot="Automático",ISNUMBER(Z14)),Z14,IF(N(G14)&gt;0,G14,0)))</f>
        <v/>
      </c>
      <c r="I14" s="105" t="str">
        <f>IF(A14="","",IF(W14=0,"Sem câmbio",IF(AND(p_ModoCot="Automático",ISNUMBER(Z14)),"Auto",IF(N(G14)&gt;0,"Manual","Sem cotação"))))</f>
        <v/>
      </c>
      <c r="J14" s="106" t="str">
        <f>IF(A14="","",N(E14)*H14)</f>
        <v/>
      </c>
      <c r="K14" s="107" t="str">
        <f>IF(A14="","",J14*W14)</f>
        <v/>
      </c>
      <c r="L14" s="108" t="str">
        <f>IF(A14="","",IF($K$6&gt;0,K14/$K$6,0))</f>
        <v/>
      </c>
      <c r="M14" s="109" t="str">
        <f>IF(A14="","",N(F14)-L14)</f>
        <v/>
      </c>
      <c r="N14" s="108" t="str">
        <f>IF(A14="","",IF($AB$6&gt;0,AB14/$AB$6,0))</f>
        <v/>
      </c>
      <c r="O14" s="110" t="str">
        <f>IF(A14="","",IF(AB14&lt;=0,"",COUNTIF($AB$9:$AB$208,"&gt;"&amp;AB14)+COUNTIF($AB$9:AB14,AB14)))</f>
        <v/>
      </c>
      <c r="P14" s="105" t="str">
        <f>IF(A14="","",IF(Q14&gt;0,"BUY","HOLD"))</f>
        <v/>
      </c>
      <c r="Q14" s="107" t="str">
        <f>IF(A14="","",IF($W$7&lt;=0,0,IF($AC$6&gt;0,$W$7*AC14/$AC$6,IF($F$6&gt;0,$W$7*N(F14)/$F$6,0))))</f>
        <v/>
      </c>
      <c r="R14" s="111" t="str">
        <f>IF(A14="","",N(AD14)+IF(AI14=1,N(AG14),0))</f>
        <v/>
      </c>
      <c r="S14" s="111" t="str">
        <f>IF(A14="","",N(E14)+N(R14))</f>
        <v/>
      </c>
      <c r="T14" s="107" t="str">
        <f>IF(A14="","",IF(N(R14)&gt;0,R14*H14*W14*$W$6+p_CorrFixa,0))</f>
        <v/>
      </c>
      <c r="V14" s="85" t="str">
        <f>IF(A14="","",IF(D14="",$W$1,D14))</f>
        <v/>
      </c>
      <c r="W14" s="85" t="str">
        <f>IF(A14="","",IFERROR(INDEX(moeda_fx,MATCH(V14,moeda_cod,0)),0))</f>
        <v/>
      </c>
      <c r="X14" s="85" t="str">
        <f>IF(A14="","",IF($W$2="",UPPER(TRIM(A14)),IF(RIGHT(UPPER(TRIM(A14)),LEN($W$2))=$W$2,UPPER(TRIM(A14)),UPPER(TRIM(A14))&amp;$W$2)))</f>
        <v/>
      </c>
      <c r="Y14" s="85" t="str">
        <f>IF(OR(A14="",p_ModoCot&lt;&gt;"Automático"),"",IFERROR(_xlfn.WEBSERVICE("https://query1.finance.yahoo.com/v8/finance/chart/"&amp;X14&amp;"?range=1d&amp;interval=1d"),""))</f>
        <v/>
      </c>
      <c r="Z14" s="85" t="str">
        <f>IF(Y14="","",IFERROR(_xlfn.NUMBERVALUE(MID(Y14,SEARCH("""regularMarketPrice"":",Y14)+21,SEARCH(",",Y14&amp;",",SEARCH("""regularMarketPrice"":",Y14)+21)-SEARCH("""regularMarketPrice"":",Y14)-21),".",","),""))</f>
        <v/>
      </c>
      <c r="AA14" s="85" t="str">
        <f>IF(A14="","",ROUND(MAX(0,N(F14)*($K$6+$W$7)-K14),2))</f>
        <v/>
      </c>
      <c r="AB14" s="85" t="str">
        <f>IF(A14="","",IF(AND(M14&gt;0,M14&gt;=p_DifMin),AA14,0))</f>
        <v/>
      </c>
      <c r="AC14" s="85" t="str">
        <f>IF(A14="","",IF(AND(AB14&gt;0,N(O14)&lt;=p_MaxAtivos),AB14,0))</f>
        <v/>
      </c>
      <c r="AD14" s="85" t="str">
        <f>IF(A14="","",IF(OR(Q14&lt;=0,Q14&lt;p_CompraMin,N(H14)&lt;=0,N(W14)&lt;=0),0,IF($W$3="Sim",TRUNC(ROUND(MAX(0,(Q14-p_CorrFixa)/(H14*W14*$W$6)),9),$W$4),TRUNC(ROUND(MAX(0,(Q14-p_CorrFixa)/(H14*W14*$W$6)),9)/$W$5)*$W$5)))</f>
        <v/>
      </c>
      <c r="AE14" s="85" t="str">
        <f>IF(A14="","",IF(N(AD14)&gt;0,AD14*H14*W14*$W$6+p_CorrFixa,0))</f>
        <v/>
      </c>
      <c r="AF14" s="85" t="str">
        <f>IF(A14="","",IF(OR($Y$1&lt;=0,N(H14)&lt;=0,N(W14)&lt;=0,N(AB14)&lt;=0),0,IF($W$3="Sim",TRUNC(ROUND(MAX(0,($Y$1-IF(N(AD14)&gt;0,0,p_CorrFixa))/(H14*W14*$W$6)),9),$W$4),TRUNC(ROUND(MAX(0,($Y$1-IF(N(AD14)&gt;0,0,p_CorrFixa))/(H14*W14*$W$6)),9)/$W$5)*$W$5)))</f>
        <v/>
      </c>
      <c r="AG14" s="85" t="str">
        <f>IF(A14="","",IF(AND(N(AD14)=0,N(AF14)*(H14*W14*$W$6)+p_CorrFixa&lt;p_CompraMin),0,AF14))</f>
        <v/>
      </c>
      <c r="AH14" s="85" t="str">
        <f>IF(A14="","",IF(N(AG14)&gt;0,AB14,0))</f>
        <v/>
      </c>
      <c r="AI14" s="85" t="str">
        <f>IF(A14="","",IF(AND(AH14&gt;0,AH14=$AH$6,COUNTIF($AH$9:AH14,AH14)=1),1,0))</f>
        <v/>
      </c>
    </row>
    <row r="15">
      <c r="A15" s="96" t="n"/>
      <c r="B15" s="96" t="n"/>
      <c r="C15" s="96" t="n"/>
      <c r="D15" s="97" t="n"/>
      <c r="E15" s="98" t="n"/>
      <c r="F15" s="99" t="n"/>
      <c r="G15" s="100" t="n"/>
      <c r="H15" s="101" t="str">
        <f>IF(A15="","",IF(AND(p_ModoCot="Automático",ISNUMBER(Z15)),Z15,IF(N(G15)&gt;0,G15,0)))</f>
        <v/>
      </c>
      <c r="I15" s="73" t="str">
        <f>IF(A15="","",IF(W15=0,"Sem câmbio",IF(AND(p_ModoCot="Automático",ISNUMBER(Z15)),"Auto",IF(N(G15)&gt;0,"Manual","Sem cotação"))))</f>
        <v/>
      </c>
      <c r="J15" s="102" t="str">
        <f>IF(A15="","",N(E15)*H15)</f>
        <v/>
      </c>
      <c r="K15" s="70" t="str">
        <f>IF(A15="","",J15*W15)</f>
        <v/>
      </c>
      <c r="L15" s="30" t="str">
        <f>IF(A15="","",IF($K$6&gt;0,K15/$K$6,0))</f>
        <v/>
      </c>
      <c r="M15" s="72" t="str">
        <f>IF(A15="","",N(F15)-L15)</f>
        <v/>
      </c>
      <c r="N15" s="30" t="str">
        <f>IF(A15="","",IF($AB$6&gt;0,AB15/$AB$6,0))</f>
        <v/>
      </c>
      <c r="O15" s="74" t="str">
        <f>IF(A15="","",IF(AB15&lt;=0,"",COUNTIF($AB$9:$AB$208,"&gt;"&amp;AB15)+COUNTIF($AB$9:AB15,AB15)))</f>
        <v/>
      </c>
      <c r="P15" s="73" t="str">
        <f>IF(A15="","",IF(Q15&gt;0,"BUY","HOLD"))</f>
        <v/>
      </c>
      <c r="Q15" s="70" t="str">
        <f>IF(A15="","",IF($W$7&lt;=0,0,IF($AC$6&gt;0,$W$7*AC15/$AC$6,IF($F$6&gt;0,$W$7*N(F15)/$F$6,0))))</f>
        <v/>
      </c>
      <c r="R15" s="103" t="str">
        <f>IF(A15="","",N(AD15)+IF(AI15=1,N(AG15),0))</f>
        <v/>
      </c>
      <c r="S15" s="103" t="str">
        <f>IF(A15="","",N(E15)+N(R15))</f>
        <v/>
      </c>
      <c r="T15" s="70" t="str">
        <f>IF(A15="","",IF(N(R15)&gt;0,R15*H15*W15*$W$6+p_CorrFixa,0))</f>
        <v/>
      </c>
      <c r="V15" s="85" t="str">
        <f>IF(A15="","",IF(D15="",$W$1,D15))</f>
        <v/>
      </c>
      <c r="W15" s="85" t="str">
        <f>IF(A15="","",IFERROR(INDEX(moeda_fx,MATCH(V15,moeda_cod,0)),0))</f>
        <v/>
      </c>
      <c r="X15" s="85" t="str">
        <f>IF(A15="","",IF($W$2="",UPPER(TRIM(A15)),IF(RIGHT(UPPER(TRIM(A15)),LEN($W$2))=$W$2,UPPER(TRIM(A15)),UPPER(TRIM(A15))&amp;$W$2)))</f>
        <v/>
      </c>
      <c r="Y15" s="85" t="str">
        <f>IF(OR(A15="",p_ModoCot&lt;&gt;"Automático"),"",IFERROR(_xlfn.WEBSERVICE("https://query1.finance.yahoo.com/v8/finance/chart/"&amp;X15&amp;"?range=1d&amp;interval=1d"),""))</f>
        <v/>
      </c>
      <c r="Z15" s="85" t="str">
        <f>IF(Y15="","",IFERROR(_xlfn.NUMBERVALUE(MID(Y15,SEARCH("""regularMarketPrice"":",Y15)+21,SEARCH(",",Y15&amp;",",SEARCH("""regularMarketPrice"":",Y15)+21)-SEARCH("""regularMarketPrice"":",Y15)-21),".",","),""))</f>
        <v/>
      </c>
      <c r="AA15" s="85" t="str">
        <f>IF(A15="","",ROUND(MAX(0,N(F15)*($K$6+$W$7)-K15),2))</f>
        <v/>
      </c>
      <c r="AB15" s="85" t="str">
        <f>IF(A15="","",IF(AND(M15&gt;0,M15&gt;=p_DifMin),AA15,0))</f>
        <v/>
      </c>
      <c r="AC15" s="85" t="str">
        <f>IF(A15="","",IF(AND(AB15&gt;0,N(O15)&lt;=p_MaxAtivos),AB15,0))</f>
        <v/>
      </c>
      <c r="AD15" s="85" t="str">
        <f>IF(A15="","",IF(OR(Q15&lt;=0,Q15&lt;p_CompraMin,N(H15)&lt;=0,N(W15)&lt;=0),0,IF($W$3="Sim",TRUNC(ROUND(MAX(0,(Q15-p_CorrFixa)/(H15*W15*$W$6)),9),$W$4),TRUNC(ROUND(MAX(0,(Q15-p_CorrFixa)/(H15*W15*$W$6)),9)/$W$5)*$W$5)))</f>
        <v/>
      </c>
      <c r="AE15" s="85" t="str">
        <f>IF(A15="","",IF(N(AD15)&gt;0,AD15*H15*W15*$W$6+p_CorrFixa,0))</f>
        <v/>
      </c>
      <c r="AF15" s="85" t="str">
        <f>IF(A15="","",IF(OR($Y$1&lt;=0,N(H15)&lt;=0,N(W15)&lt;=0,N(AB15)&lt;=0),0,IF($W$3="Sim",TRUNC(ROUND(MAX(0,($Y$1-IF(N(AD15)&gt;0,0,p_CorrFixa))/(H15*W15*$W$6)),9),$W$4),TRUNC(ROUND(MAX(0,($Y$1-IF(N(AD15)&gt;0,0,p_CorrFixa))/(H15*W15*$W$6)),9)/$W$5)*$W$5)))</f>
        <v/>
      </c>
      <c r="AG15" s="85" t="str">
        <f>IF(A15="","",IF(AND(N(AD15)=0,N(AF15)*(H15*W15*$W$6)+p_CorrFixa&lt;p_CompraMin),0,AF15))</f>
        <v/>
      </c>
      <c r="AH15" s="85" t="str">
        <f>IF(A15="","",IF(N(AG15)&gt;0,AB15,0))</f>
        <v/>
      </c>
      <c r="AI15" s="85" t="str">
        <f>IF(A15="","",IF(AND(AH15&gt;0,AH15=$AH$6,COUNTIF($AH$9:AH15,AH15)=1),1,0))</f>
        <v/>
      </c>
    </row>
    <row r="16">
      <c r="A16" s="96" t="n"/>
      <c r="B16" s="96" t="n"/>
      <c r="C16" s="96" t="n"/>
      <c r="D16" s="97" t="n"/>
      <c r="E16" s="98" t="n"/>
      <c r="F16" s="99" t="n"/>
      <c r="G16" s="100" t="n"/>
      <c r="H16" s="104" t="str">
        <f>IF(A16="","",IF(AND(p_ModoCot="Automático",ISNUMBER(Z16)),Z16,IF(N(G16)&gt;0,G16,0)))</f>
        <v/>
      </c>
      <c r="I16" s="105" t="str">
        <f>IF(A16="","",IF(W16=0,"Sem câmbio",IF(AND(p_ModoCot="Automático",ISNUMBER(Z16)),"Auto",IF(N(G16)&gt;0,"Manual","Sem cotação"))))</f>
        <v/>
      </c>
      <c r="J16" s="106" t="str">
        <f>IF(A16="","",N(E16)*H16)</f>
        <v/>
      </c>
      <c r="K16" s="107" t="str">
        <f>IF(A16="","",J16*W16)</f>
        <v/>
      </c>
      <c r="L16" s="108" t="str">
        <f>IF(A16="","",IF($K$6&gt;0,K16/$K$6,0))</f>
        <v/>
      </c>
      <c r="M16" s="109" t="str">
        <f>IF(A16="","",N(F16)-L16)</f>
        <v/>
      </c>
      <c r="N16" s="108" t="str">
        <f>IF(A16="","",IF($AB$6&gt;0,AB16/$AB$6,0))</f>
        <v/>
      </c>
      <c r="O16" s="110" t="str">
        <f>IF(A16="","",IF(AB16&lt;=0,"",COUNTIF($AB$9:$AB$208,"&gt;"&amp;AB16)+COUNTIF($AB$9:AB16,AB16)))</f>
        <v/>
      </c>
      <c r="P16" s="105" t="str">
        <f>IF(A16="","",IF(Q16&gt;0,"BUY","HOLD"))</f>
        <v/>
      </c>
      <c r="Q16" s="107" t="str">
        <f>IF(A16="","",IF($W$7&lt;=0,0,IF($AC$6&gt;0,$W$7*AC16/$AC$6,IF($F$6&gt;0,$W$7*N(F16)/$F$6,0))))</f>
        <v/>
      </c>
      <c r="R16" s="111" t="str">
        <f>IF(A16="","",N(AD16)+IF(AI16=1,N(AG16),0))</f>
        <v/>
      </c>
      <c r="S16" s="111" t="str">
        <f>IF(A16="","",N(E16)+N(R16))</f>
        <v/>
      </c>
      <c r="T16" s="107" t="str">
        <f>IF(A16="","",IF(N(R16)&gt;0,R16*H16*W16*$W$6+p_CorrFixa,0))</f>
        <v/>
      </c>
      <c r="V16" s="85" t="str">
        <f>IF(A16="","",IF(D16="",$W$1,D16))</f>
        <v/>
      </c>
      <c r="W16" s="85" t="str">
        <f>IF(A16="","",IFERROR(INDEX(moeda_fx,MATCH(V16,moeda_cod,0)),0))</f>
        <v/>
      </c>
      <c r="X16" s="85" t="str">
        <f>IF(A16="","",IF($W$2="",UPPER(TRIM(A16)),IF(RIGHT(UPPER(TRIM(A16)),LEN($W$2))=$W$2,UPPER(TRIM(A16)),UPPER(TRIM(A16))&amp;$W$2)))</f>
        <v/>
      </c>
      <c r="Y16" s="85" t="str">
        <f>IF(OR(A16="",p_ModoCot&lt;&gt;"Automático"),"",IFERROR(_xlfn.WEBSERVICE("https://query1.finance.yahoo.com/v8/finance/chart/"&amp;X16&amp;"?range=1d&amp;interval=1d"),""))</f>
        <v/>
      </c>
      <c r="Z16" s="85" t="str">
        <f>IF(Y16="","",IFERROR(_xlfn.NUMBERVALUE(MID(Y16,SEARCH("""regularMarketPrice"":",Y16)+21,SEARCH(",",Y16&amp;",",SEARCH("""regularMarketPrice"":",Y16)+21)-SEARCH("""regularMarketPrice"":",Y16)-21),".",","),""))</f>
        <v/>
      </c>
      <c r="AA16" s="85" t="str">
        <f>IF(A16="","",ROUND(MAX(0,N(F16)*($K$6+$W$7)-K16),2))</f>
        <v/>
      </c>
      <c r="AB16" s="85" t="str">
        <f>IF(A16="","",IF(AND(M16&gt;0,M16&gt;=p_DifMin),AA16,0))</f>
        <v/>
      </c>
      <c r="AC16" s="85" t="str">
        <f>IF(A16="","",IF(AND(AB16&gt;0,N(O16)&lt;=p_MaxAtivos),AB16,0))</f>
        <v/>
      </c>
      <c r="AD16" s="85" t="str">
        <f>IF(A16="","",IF(OR(Q16&lt;=0,Q16&lt;p_CompraMin,N(H16)&lt;=0,N(W16)&lt;=0),0,IF($W$3="Sim",TRUNC(ROUND(MAX(0,(Q16-p_CorrFixa)/(H16*W16*$W$6)),9),$W$4),TRUNC(ROUND(MAX(0,(Q16-p_CorrFixa)/(H16*W16*$W$6)),9)/$W$5)*$W$5)))</f>
        <v/>
      </c>
      <c r="AE16" s="85" t="str">
        <f>IF(A16="","",IF(N(AD16)&gt;0,AD16*H16*W16*$W$6+p_CorrFixa,0))</f>
        <v/>
      </c>
      <c r="AF16" s="85" t="str">
        <f>IF(A16="","",IF(OR($Y$1&lt;=0,N(H16)&lt;=0,N(W16)&lt;=0,N(AB16)&lt;=0),0,IF($W$3="Sim",TRUNC(ROUND(MAX(0,($Y$1-IF(N(AD16)&gt;0,0,p_CorrFixa))/(H16*W16*$W$6)),9),$W$4),TRUNC(ROUND(MAX(0,($Y$1-IF(N(AD16)&gt;0,0,p_CorrFixa))/(H16*W16*$W$6)),9)/$W$5)*$W$5)))</f>
        <v/>
      </c>
      <c r="AG16" s="85" t="str">
        <f>IF(A16="","",IF(AND(N(AD16)=0,N(AF16)*(H16*W16*$W$6)+p_CorrFixa&lt;p_CompraMin),0,AF16))</f>
        <v/>
      </c>
      <c r="AH16" s="85" t="str">
        <f>IF(A16="","",IF(N(AG16)&gt;0,AB16,0))</f>
        <v/>
      </c>
      <c r="AI16" s="85" t="str">
        <f>IF(A16="","",IF(AND(AH16&gt;0,AH16=$AH$6,COUNTIF($AH$9:AH16,AH16)=1),1,0))</f>
        <v/>
      </c>
    </row>
    <row r="17">
      <c r="A17" s="96" t="n"/>
      <c r="B17" s="96" t="n"/>
      <c r="C17" s="96" t="n"/>
      <c r="D17" s="97" t="n"/>
      <c r="E17" s="98" t="n"/>
      <c r="F17" s="99" t="n"/>
      <c r="G17" s="100" t="n"/>
      <c r="H17" s="101" t="str">
        <f>IF(A17="","",IF(AND(p_ModoCot="Automático",ISNUMBER(Z17)),Z17,IF(N(G17)&gt;0,G17,0)))</f>
        <v/>
      </c>
      <c r="I17" s="73" t="str">
        <f>IF(A17="","",IF(W17=0,"Sem câmbio",IF(AND(p_ModoCot="Automático",ISNUMBER(Z17)),"Auto",IF(N(G17)&gt;0,"Manual","Sem cotação"))))</f>
        <v/>
      </c>
      <c r="J17" s="102" t="str">
        <f>IF(A17="","",N(E17)*H17)</f>
        <v/>
      </c>
      <c r="K17" s="70" t="str">
        <f>IF(A17="","",J17*W17)</f>
        <v/>
      </c>
      <c r="L17" s="30" t="str">
        <f>IF(A17="","",IF($K$6&gt;0,K17/$K$6,0))</f>
        <v/>
      </c>
      <c r="M17" s="72" t="str">
        <f>IF(A17="","",N(F17)-L17)</f>
        <v/>
      </c>
      <c r="N17" s="30" t="str">
        <f>IF(A17="","",IF($AB$6&gt;0,AB17/$AB$6,0))</f>
        <v/>
      </c>
      <c r="O17" s="74" t="str">
        <f>IF(A17="","",IF(AB17&lt;=0,"",COUNTIF($AB$9:$AB$208,"&gt;"&amp;AB17)+COUNTIF($AB$9:AB17,AB17)))</f>
        <v/>
      </c>
      <c r="P17" s="73" t="str">
        <f>IF(A17="","",IF(Q17&gt;0,"BUY","HOLD"))</f>
        <v/>
      </c>
      <c r="Q17" s="70" t="str">
        <f>IF(A17="","",IF($W$7&lt;=0,0,IF($AC$6&gt;0,$W$7*AC17/$AC$6,IF($F$6&gt;0,$W$7*N(F17)/$F$6,0))))</f>
        <v/>
      </c>
      <c r="R17" s="103" t="str">
        <f>IF(A17="","",N(AD17)+IF(AI17=1,N(AG17),0))</f>
        <v/>
      </c>
      <c r="S17" s="103" t="str">
        <f>IF(A17="","",N(E17)+N(R17))</f>
        <v/>
      </c>
      <c r="T17" s="70" t="str">
        <f>IF(A17="","",IF(N(R17)&gt;0,R17*H17*W17*$W$6+p_CorrFixa,0))</f>
        <v/>
      </c>
      <c r="V17" s="85" t="str">
        <f>IF(A17="","",IF(D17="",$W$1,D17))</f>
        <v/>
      </c>
      <c r="W17" s="85" t="str">
        <f>IF(A17="","",IFERROR(INDEX(moeda_fx,MATCH(V17,moeda_cod,0)),0))</f>
        <v/>
      </c>
      <c r="X17" s="85" t="str">
        <f>IF(A17="","",IF($W$2="",UPPER(TRIM(A17)),IF(RIGHT(UPPER(TRIM(A17)),LEN($W$2))=$W$2,UPPER(TRIM(A17)),UPPER(TRIM(A17))&amp;$W$2)))</f>
        <v/>
      </c>
      <c r="Y17" s="85" t="str">
        <f>IF(OR(A17="",p_ModoCot&lt;&gt;"Automático"),"",IFERROR(_xlfn.WEBSERVICE("https://query1.finance.yahoo.com/v8/finance/chart/"&amp;X17&amp;"?range=1d&amp;interval=1d"),""))</f>
        <v/>
      </c>
      <c r="Z17" s="85" t="str">
        <f>IF(Y17="","",IFERROR(_xlfn.NUMBERVALUE(MID(Y17,SEARCH("""regularMarketPrice"":",Y17)+21,SEARCH(",",Y17&amp;",",SEARCH("""regularMarketPrice"":",Y17)+21)-SEARCH("""regularMarketPrice"":",Y17)-21),".",","),""))</f>
        <v/>
      </c>
      <c r="AA17" s="85" t="str">
        <f>IF(A17="","",ROUND(MAX(0,N(F17)*($K$6+$W$7)-K17),2))</f>
        <v/>
      </c>
      <c r="AB17" s="85" t="str">
        <f>IF(A17="","",IF(AND(M17&gt;0,M17&gt;=p_DifMin),AA17,0))</f>
        <v/>
      </c>
      <c r="AC17" s="85" t="str">
        <f>IF(A17="","",IF(AND(AB17&gt;0,N(O17)&lt;=p_MaxAtivos),AB17,0))</f>
        <v/>
      </c>
      <c r="AD17" s="85" t="str">
        <f>IF(A17="","",IF(OR(Q17&lt;=0,Q17&lt;p_CompraMin,N(H17)&lt;=0,N(W17)&lt;=0),0,IF($W$3="Sim",TRUNC(ROUND(MAX(0,(Q17-p_CorrFixa)/(H17*W17*$W$6)),9),$W$4),TRUNC(ROUND(MAX(0,(Q17-p_CorrFixa)/(H17*W17*$W$6)),9)/$W$5)*$W$5)))</f>
        <v/>
      </c>
      <c r="AE17" s="85" t="str">
        <f>IF(A17="","",IF(N(AD17)&gt;0,AD17*H17*W17*$W$6+p_CorrFixa,0))</f>
        <v/>
      </c>
      <c r="AF17" s="85" t="str">
        <f>IF(A17="","",IF(OR($Y$1&lt;=0,N(H17)&lt;=0,N(W17)&lt;=0,N(AB17)&lt;=0),0,IF($W$3="Sim",TRUNC(ROUND(MAX(0,($Y$1-IF(N(AD17)&gt;0,0,p_CorrFixa))/(H17*W17*$W$6)),9),$W$4),TRUNC(ROUND(MAX(0,($Y$1-IF(N(AD17)&gt;0,0,p_CorrFixa))/(H17*W17*$W$6)),9)/$W$5)*$W$5)))</f>
        <v/>
      </c>
      <c r="AG17" s="85" t="str">
        <f>IF(A17="","",IF(AND(N(AD17)=0,N(AF17)*(H17*W17*$W$6)+p_CorrFixa&lt;p_CompraMin),0,AF17))</f>
        <v/>
      </c>
      <c r="AH17" s="85" t="str">
        <f>IF(A17="","",IF(N(AG17)&gt;0,AB17,0))</f>
        <v/>
      </c>
      <c r="AI17" s="85" t="str">
        <f>IF(A17="","",IF(AND(AH17&gt;0,AH17=$AH$6,COUNTIF($AH$9:AH17,AH17)=1),1,0))</f>
        <v/>
      </c>
    </row>
    <row r="18">
      <c r="A18" s="96" t="n"/>
      <c r="B18" s="96" t="n"/>
      <c r="C18" s="96" t="n"/>
      <c r="D18" s="97" t="n"/>
      <c r="E18" s="98" t="n"/>
      <c r="F18" s="99" t="n"/>
      <c r="G18" s="100" t="n"/>
      <c r="H18" s="104" t="str">
        <f>IF(A18="","",IF(AND(p_ModoCot="Automático",ISNUMBER(Z18)),Z18,IF(N(G18)&gt;0,G18,0)))</f>
        <v/>
      </c>
      <c r="I18" s="105" t="str">
        <f>IF(A18="","",IF(W18=0,"Sem câmbio",IF(AND(p_ModoCot="Automático",ISNUMBER(Z18)),"Auto",IF(N(G18)&gt;0,"Manual","Sem cotação"))))</f>
        <v/>
      </c>
      <c r="J18" s="106" t="str">
        <f>IF(A18="","",N(E18)*H18)</f>
        <v/>
      </c>
      <c r="K18" s="107" t="str">
        <f>IF(A18="","",J18*W18)</f>
        <v/>
      </c>
      <c r="L18" s="108" t="str">
        <f>IF(A18="","",IF($K$6&gt;0,K18/$K$6,0))</f>
        <v/>
      </c>
      <c r="M18" s="109" t="str">
        <f>IF(A18="","",N(F18)-L18)</f>
        <v/>
      </c>
      <c r="N18" s="108" t="str">
        <f>IF(A18="","",IF($AB$6&gt;0,AB18/$AB$6,0))</f>
        <v/>
      </c>
      <c r="O18" s="110" t="str">
        <f>IF(A18="","",IF(AB18&lt;=0,"",COUNTIF($AB$9:$AB$208,"&gt;"&amp;AB18)+COUNTIF($AB$9:AB18,AB18)))</f>
        <v/>
      </c>
      <c r="P18" s="105" t="str">
        <f>IF(A18="","",IF(Q18&gt;0,"BUY","HOLD"))</f>
        <v/>
      </c>
      <c r="Q18" s="107" t="str">
        <f>IF(A18="","",IF($W$7&lt;=0,0,IF($AC$6&gt;0,$W$7*AC18/$AC$6,IF($F$6&gt;0,$W$7*N(F18)/$F$6,0))))</f>
        <v/>
      </c>
      <c r="R18" s="111" t="str">
        <f>IF(A18="","",N(AD18)+IF(AI18=1,N(AG18),0))</f>
        <v/>
      </c>
      <c r="S18" s="111" t="str">
        <f>IF(A18="","",N(E18)+N(R18))</f>
        <v/>
      </c>
      <c r="T18" s="107" t="str">
        <f>IF(A18="","",IF(N(R18)&gt;0,R18*H18*W18*$W$6+p_CorrFixa,0))</f>
        <v/>
      </c>
      <c r="V18" s="85" t="str">
        <f>IF(A18="","",IF(D18="",$W$1,D18))</f>
        <v/>
      </c>
      <c r="W18" s="85" t="str">
        <f>IF(A18="","",IFERROR(INDEX(moeda_fx,MATCH(V18,moeda_cod,0)),0))</f>
        <v/>
      </c>
      <c r="X18" s="85" t="str">
        <f>IF(A18="","",IF($W$2="",UPPER(TRIM(A18)),IF(RIGHT(UPPER(TRIM(A18)),LEN($W$2))=$W$2,UPPER(TRIM(A18)),UPPER(TRIM(A18))&amp;$W$2)))</f>
        <v/>
      </c>
      <c r="Y18" s="85" t="str">
        <f>IF(OR(A18="",p_ModoCot&lt;&gt;"Automático"),"",IFERROR(_xlfn.WEBSERVICE("https://query1.finance.yahoo.com/v8/finance/chart/"&amp;X18&amp;"?range=1d&amp;interval=1d"),""))</f>
        <v/>
      </c>
      <c r="Z18" s="85" t="str">
        <f>IF(Y18="","",IFERROR(_xlfn.NUMBERVALUE(MID(Y18,SEARCH("""regularMarketPrice"":",Y18)+21,SEARCH(",",Y18&amp;",",SEARCH("""regularMarketPrice"":",Y18)+21)-SEARCH("""regularMarketPrice"":",Y18)-21),".",","),""))</f>
        <v/>
      </c>
      <c r="AA18" s="85" t="str">
        <f>IF(A18="","",ROUND(MAX(0,N(F18)*($K$6+$W$7)-K18),2))</f>
        <v/>
      </c>
      <c r="AB18" s="85" t="str">
        <f>IF(A18="","",IF(AND(M18&gt;0,M18&gt;=p_DifMin),AA18,0))</f>
        <v/>
      </c>
      <c r="AC18" s="85" t="str">
        <f>IF(A18="","",IF(AND(AB18&gt;0,N(O18)&lt;=p_MaxAtivos),AB18,0))</f>
        <v/>
      </c>
      <c r="AD18" s="85" t="str">
        <f>IF(A18="","",IF(OR(Q18&lt;=0,Q18&lt;p_CompraMin,N(H18)&lt;=0,N(W18)&lt;=0),0,IF($W$3="Sim",TRUNC(ROUND(MAX(0,(Q18-p_CorrFixa)/(H18*W18*$W$6)),9),$W$4),TRUNC(ROUND(MAX(0,(Q18-p_CorrFixa)/(H18*W18*$W$6)),9)/$W$5)*$W$5)))</f>
        <v/>
      </c>
      <c r="AE18" s="85" t="str">
        <f>IF(A18="","",IF(N(AD18)&gt;0,AD18*H18*W18*$W$6+p_CorrFixa,0))</f>
        <v/>
      </c>
      <c r="AF18" s="85" t="str">
        <f>IF(A18="","",IF(OR($Y$1&lt;=0,N(H18)&lt;=0,N(W18)&lt;=0,N(AB18)&lt;=0),0,IF($W$3="Sim",TRUNC(ROUND(MAX(0,($Y$1-IF(N(AD18)&gt;0,0,p_CorrFixa))/(H18*W18*$W$6)),9),$W$4),TRUNC(ROUND(MAX(0,($Y$1-IF(N(AD18)&gt;0,0,p_CorrFixa))/(H18*W18*$W$6)),9)/$W$5)*$W$5)))</f>
        <v/>
      </c>
      <c r="AG18" s="85" t="str">
        <f>IF(A18="","",IF(AND(N(AD18)=0,N(AF18)*(H18*W18*$W$6)+p_CorrFixa&lt;p_CompraMin),0,AF18))</f>
        <v/>
      </c>
      <c r="AH18" s="85" t="str">
        <f>IF(A18="","",IF(N(AG18)&gt;0,AB18,0))</f>
        <v/>
      </c>
      <c r="AI18" s="85" t="str">
        <f>IF(A18="","",IF(AND(AH18&gt;0,AH18=$AH$6,COUNTIF($AH$9:AH18,AH18)=1),1,0))</f>
        <v/>
      </c>
    </row>
    <row r="19">
      <c r="A19" s="96" t="n"/>
      <c r="B19" s="96" t="n"/>
      <c r="C19" s="96" t="n"/>
      <c r="D19" s="97" t="n"/>
      <c r="E19" s="98" t="n"/>
      <c r="F19" s="99" t="n"/>
      <c r="G19" s="100" t="n"/>
      <c r="H19" s="101" t="str">
        <f>IF(A19="","",IF(AND(p_ModoCot="Automático",ISNUMBER(Z19)),Z19,IF(N(G19)&gt;0,G19,0)))</f>
        <v/>
      </c>
      <c r="I19" s="73" t="str">
        <f>IF(A19="","",IF(W19=0,"Sem câmbio",IF(AND(p_ModoCot="Automático",ISNUMBER(Z19)),"Auto",IF(N(G19)&gt;0,"Manual","Sem cotação"))))</f>
        <v/>
      </c>
      <c r="J19" s="102" t="str">
        <f>IF(A19="","",N(E19)*H19)</f>
        <v/>
      </c>
      <c r="K19" s="70" t="str">
        <f>IF(A19="","",J19*W19)</f>
        <v/>
      </c>
      <c r="L19" s="30" t="str">
        <f>IF(A19="","",IF($K$6&gt;0,K19/$K$6,0))</f>
        <v/>
      </c>
      <c r="M19" s="72" t="str">
        <f>IF(A19="","",N(F19)-L19)</f>
        <v/>
      </c>
      <c r="N19" s="30" t="str">
        <f>IF(A19="","",IF($AB$6&gt;0,AB19/$AB$6,0))</f>
        <v/>
      </c>
      <c r="O19" s="74" t="str">
        <f>IF(A19="","",IF(AB19&lt;=0,"",COUNTIF($AB$9:$AB$208,"&gt;"&amp;AB19)+COUNTIF($AB$9:AB19,AB19)))</f>
        <v/>
      </c>
      <c r="P19" s="73" t="str">
        <f>IF(A19="","",IF(Q19&gt;0,"BUY","HOLD"))</f>
        <v/>
      </c>
      <c r="Q19" s="70" t="str">
        <f>IF(A19="","",IF($W$7&lt;=0,0,IF($AC$6&gt;0,$W$7*AC19/$AC$6,IF($F$6&gt;0,$W$7*N(F19)/$F$6,0))))</f>
        <v/>
      </c>
      <c r="R19" s="103" t="str">
        <f>IF(A19="","",N(AD19)+IF(AI19=1,N(AG19),0))</f>
        <v/>
      </c>
      <c r="S19" s="103" t="str">
        <f>IF(A19="","",N(E19)+N(R19))</f>
        <v/>
      </c>
      <c r="T19" s="70" t="str">
        <f>IF(A19="","",IF(N(R19)&gt;0,R19*H19*W19*$W$6+p_CorrFixa,0))</f>
        <v/>
      </c>
      <c r="V19" s="85" t="str">
        <f>IF(A19="","",IF(D19="",$W$1,D19))</f>
        <v/>
      </c>
      <c r="W19" s="85" t="str">
        <f>IF(A19="","",IFERROR(INDEX(moeda_fx,MATCH(V19,moeda_cod,0)),0))</f>
        <v/>
      </c>
      <c r="X19" s="85" t="str">
        <f>IF(A19="","",IF($W$2="",UPPER(TRIM(A19)),IF(RIGHT(UPPER(TRIM(A19)),LEN($W$2))=$W$2,UPPER(TRIM(A19)),UPPER(TRIM(A19))&amp;$W$2)))</f>
        <v/>
      </c>
      <c r="Y19" s="85" t="str">
        <f>IF(OR(A19="",p_ModoCot&lt;&gt;"Automático"),"",IFERROR(_xlfn.WEBSERVICE("https://query1.finance.yahoo.com/v8/finance/chart/"&amp;X19&amp;"?range=1d&amp;interval=1d"),""))</f>
        <v/>
      </c>
      <c r="Z19" s="85" t="str">
        <f>IF(Y19="","",IFERROR(_xlfn.NUMBERVALUE(MID(Y19,SEARCH("""regularMarketPrice"":",Y19)+21,SEARCH(",",Y19&amp;",",SEARCH("""regularMarketPrice"":",Y19)+21)-SEARCH("""regularMarketPrice"":",Y19)-21),".",","),""))</f>
        <v/>
      </c>
      <c r="AA19" s="85" t="str">
        <f>IF(A19="","",ROUND(MAX(0,N(F19)*($K$6+$W$7)-K19),2))</f>
        <v/>
      </c>
      <c r="AB19" s="85" t="str">
        <f>IF(A19="","",IF(AND(M19&gt;0,M19&gt;=p_DifMin),AA19,0))</f>
        <v/>
      </c>
      <c r="AC19" s="85" t="str">
        <f>IF(A19="","",IF(AND(AB19&gt;0,N(O19)&lt;=p_MaxAtivos),AB19,0))</f>
        <v/>
      </c>
      <c r="AD19" s="85" t="str">
        <f>IF(A19="","",IF(OR(Q19&lt;=0,Q19&lt;p_CompraMin,N(H19)&lt;=0,N(W19)&lt;=0),0,IF($W$3="Sim",TRUNC(ROUND(MAX(0,(Q19-p_CorrFixa)/(H19*W19*$W$6)),9),$W$4),TRUNC(ROUND(MAX(0,(Q19-p_CorrFixa)/(H19*W19*$W$6)),9)/$W$5)*$W$5)))</f>
        <v/>
      </c>
      <c r="AE19" s="85" t="str">
        <f>IF(A19="","",IF(N(AD19)&gt;0,AD19*H19*W19*$W$6+p_CorrFixa,0))</f>
        <v/>
      </c>
      <c r="AF19" s="85" t="str">
        <f>IF(A19="","",IF(OR($Y$1&lt;=0,N(H19)&lt;=0,N(W19)&lt;=0,N(AB19)&lt;=0),0,IF($W$3="Sim",TRUNC(ROUND(MAX(0,($Y$1-IF(N(AD19)&gt;0,0,p_CorrFixa))/(H19*W19*$W$6)),9),$W$4),TRUNC(ROUND(MAX(0,($Y$1-IF(N(AD19)&gt;0,0,p_CorrFixa))/(H19*W19*$W$6)),9)/$W$5)*$W$5)))</f>
        <v/>
      </c>
      <c r="AG19" s="85" t="str">
        <f>IF(A19="","",IF(AND(N(AD19)=0,N(AF19)*(H19*W19*$W$6)+p_CorrFixa&lt;p_CompraMin),0,AF19))</f>
        <v/>
      </c>
      <c r="AH19" s="85" t="str">
        <f>IF(A19="","",IF(N(AG19)&gt;0,AB19,0))</f>
        <v/>
      </c>
      <c r="AI19" s="85" t="str">
        <f>IF(A19="","",IF(AND(AH19&gt;0,AH19=$AH$6,COUNTIF($AH$9:AH19,AH19)=1),1,0))</f>
        <v/>
      </c>
    </row>
    <row r="20">
      <c r="A20" s="96" t="n"/>
      <c r="B20" s="96" t="n"/>
      <c r="C20" s="96" t="n"/>
      <c r="D20" s="97" t="n"/>
      <c r="E20" s="98" t="n"/>
      <c r="F20" s="99" t="n"/>
      <c r="G20" s="100" t="n"/>
      <c r="H20" s="104" t="str">
        <f>IF(A20="","",IF(AND(p_ModoCot="Automático",ISNUMBER(Z20)),Z20,IF(N(G20)&gt;0,G20,0)))</f>
        <v/>
      </c>
      <c r="I20" s="105" t="str">
        <f>IF(A20="","",IF(W20=0,"Sem câmbio",IF(AND(p_ModoCot="Automático",ISNUMBER(Z20)),"Auto",IF(N(G20)&gt;0,"Manual","Sem cotação"))))</f>
        <v/>
      </c>
      <c r="J20" s="106" t="str">
        <f>IF(A20="","",N(E20)*H20)</f>
        <v/>
      </c>
      <c r="K20" s="107" t="str">
        <f>IF(A20="","",J20*W20)</f>
        <v/>
      </c>
      <c r="L20" s="108" t="str">
        <f>IF(A20="","",IF($K$6&gt;0,K20/$K$6,0))</f>
        <v/>
      </c>
      <c r="M20" s="109" t="str">
        <f>IF(A20="","",N(F20)-L20)</f>
        <v/>
      </c>
      <c r="N20" s="108" t="str">
        <f>IF(A20="","",IF($AB$6&gt;0,AB20/$AB$6,0))</f>
        <v/>
      </c>
      <c r="O20" s="110" t="str">
        <f>IF(A20="","",IF(AB20&lt;=0,"",COUNTIF($AB$9:$AB$208,"&gt;"&amp;AB20)+COUNTIF($AB$9:AB20,AB20)))</f>
        <v/>
      </c>
      <c r="P20" s="105" t="str">
        <f>IF(A20="","",IF(Q20&gt;0,"BUY","HOLD"))</f>
        <v/>
      </c>
      <c r="Q20" s="107" t="str">
        <f>IF(A20="","",IF($W$7&lt;=0,0,IF($AC$6&gt;0,$W$7*AC20/$AC$6,IF($F$6&gt;0,$W$7*N(F20)/$F$6,0))))</f>
        <v/>
      </c>
      <c r="R20" s="111" t="str">
        <f>IF(A20="","",N(AD20)+IF(AI20=1,N(AG20),0))</f>
        <v/>
      </c>
      <c r="S20" s="111" t="str">
        <f>IF(A20="","",N(E20)+N(R20))</f>
        <v/>
      </c>
      <c r="T20" s="107" t="str">
        <f>IF(A20="","",IF(N(R20)&gt;0,R20*H20*W20*$W$6+p_CorrFixa,0))</f>
        <v/>
      </c>
      <c r="V20" s="85" t="str">
        <f>IF(A20="","",IF(D20="",$W$1,D20))</f>
        <v/>
      </c>
      <c r="W20" s="85" t="str">
        <f>IF(A20="","",IFERROR(INDEX(moeda_fx,MATCH(V20,moeda_cod,0)),0))</f>
        <v/>
      </c>
      <c r="X20" s="85" t="str">
        <f>IF(A20="","",IF($W$2="",UPPER(TRIM(A20)),IF(RIGHT(UPPER(TRIM(A20)),LEN($W$2))=$W$2,UPPER(TRIM(A20)),UPPER(TRIM(A20))&amp;$W$2)))</f>
        <v/>
      </c>
      <c r="Y20" s="85" t="str">
        <f>IF(OR(A20="",p_ModoCot&lt;&gt;"Automático"),"",IFERROR(_xlfn.WEBSERVICE("https://query1.finance.yahoo.com/v8/finance/chart/"&amp;X20&amp;"?range=1d&amp;interval=1d"),""))</f>
        <v/>
      </c>
      <c r="Z20" s="85" t="str">
        <f>IF(Y20="","",IFERROR(_xlfn.NUMBERVALUE(MID(Y20,SEARCH("""regularMarketPrice"":",Y20)+21,SEARCH(",",Y20&amp;",",SEARCH("""regularMarketPrice"":",Y20)+21)-SEARCH("""regularMarketPrice"":",Y20)-21),".",","),""))</f>
        <v/>
      </c>
      <c r="AA20" s="85" t="str">
        <f>IF(A20="","",ROUND(MAX(0,N(F20)*($K$6+$W$7)-K20),2))</f>
        <v/>
      </c>
      <c r="AB20" s="85" t="str">
        <f>IF(A20="","",IF(AND(M20&gt;0,M20&gt;=p_DifMin),AA20,0))</f>
        <v/>
      </c>
      <c r="AC20" s="85" t="str">
        <f>IF(A20="","",IF(AND(AB20&gt;0,N(O20)&lt;=p_MaxAtivos),AB20,0))</f>
        <v/>
      </c>
      <c r="AD20" s="85" t="str">
        <f>IF(A20="","",IF(OR(Q20&lt;=0,Q20&lt;p_CompraMin,N(H20)&lt;=0,N(W20)&lt;=0),0,IF($W$3="Sim",TRUNC(ROUND(MAX(0,(Q20-p_CorrFixa)/(H20*W20*$W$6)),9),$W$4),TRUNC(ROUND(MAX(0,(Q20-p_CorrFixa)/(H20*W20*$W$6)),9)/$W$5)*$W$5)))</f>
        <v/>
      </c>
      <c r="AE20" s="85" t="str">
        <f>IF(A20="","",IF(N(AD20)&gt;0,AD20*H20*W20*$W$6+p_CorrFixa,0))</f>
        <v/>
      </c>
      <c r="AF20" s="85" t="str">
        <f>IF(A20="","",IF(OR($Y$1&lt;=0,N(H20)&lt;=0,N(W20)&lt;=0,N(AB20)&lt;=0),0,IF($W$3="Sim",TRUNC(ROUND(MAX(0,($Y$1-IF(N(AD20)&gt;0,0,p_CorrFixa))/(H20*W20*$W$6)),9),$W$4),TRUNC(ROUND(MAX(0,($Y$1-IF(N(AD20)&gt;0,0,p_CorrFixa))/(H20*W20*$W$6)),9)/$W$5)*$W$5)))</f>
        <v/>
      </c>
      <c r="AG20" s="85" t="str">
        <f>IF(A20="","",IF(AND(N(AD20)=0,N(AF20)*(H20*W20*$W$6)+p_CorrFixa&lt;p_CompraMin),0,AF20))</f>
        <v/>
      </c>
      <c r="AH20" s="85" t="str">
        <f>IF(A20="","",IF(N(AG20)&gt;0,AB20,0))</f>
        <v/>
      </c>
      <c r="AI20" s="85" t="str">
        <f>IF(A20="","",IF(AND(AH20&gt;0,AH20=$AH$6,COUNTIF($AH$9:AH20,AH20)=1),1,0))</f>
        <v/>
      </c>
    </row>
    <row r="21">
      <c r="A21" s="96" t="n"/>
      <c r="B21" s="96" t="n"/>
      <c r="C21" s="96" t="n"/>
      <c r="D21" s="97" t="n"/>
      <c r="E21" s="98" t="n"/>
      <c r="F21" s="99" t="n"/>
      <c r="G21" s="100" t="n"/>
      <c r="H21" s="101" t="str">
        <f>IF(A21="","",IF(AND(p_ModoCot="Automático",ISNUMBER(Z21)),Z21,IF(N(G21)&gt;0,G21,0)))</f>
        <v/>
      </c>
      <c r="I21" s="73" t="str">
        <f>IF(A21="","",IF(W21=0,"Sem câmbio",IF(AND(p_ModoCot="Automático",ISNUMBER(Z21)),"Auto",IF(N(G21)&gt;0,"Manual","Sem cotação"))))</f>
        <v/>
      </c>
      <c r="J21" s="102" t="str">
        <f>IF(A21="","",N(E21)*H21)</f>
        <v/>
      </c>
      <c r="K21" s="70" t="str">
        <f>IF(A21="","",J21*W21)</f>
        <v/>
      </c>
      <c r="L21" s="30" t="str">
        <f>IF(A21="","",IF($K$6&gt;0,K21/$K$6,0))</f>
        <v/>
      </c>
      <c r="M21" s="72" t="str">
        <f>IF(A21="","",N(F21)-L21)</f>
        <v/>
      </c>
      <c r="N21" s="30" t="str">
        <f>IF(A21="","",IF($AB$6&gt;0,AB21/$AB$6,0))</f>
        <v/>
      </c>
      <c r="O21" s="74" t="str">
        <f>IF(A21="","",IF(AB21&lt;=0,"",COUNTIF($AB$9:$AB$208,"&gt;"&amp;AB21)+COUNTIF($AB$9:AB21,AB21)))</f>
        <v/>
      </c>
      <c r="P21" s="73" t="str">
        <f>IF(A21="","",IF(Q21&gt;0,"BUY","HOLD"))</f>
        <v/>
      </c>
      <c r="Q21" s="70" t="str">
        <f>IF(A21="","",IF($W$7&lt;=0,0,IF($AC$6&gt;0,$W$7*AC21/$AC$6,IF($F$6&gt;0,$W$7*N(F21)/$F$6,0))))</f>
        <v/>
      </c>
      <c r="R21" s="103" t="str">
        <f>IF(A21="","",N(AD21)+IF(AI21=1,N(AG21),0))</f>
        <v/>
      </c>
      <c r="S21" s="103" t="str">
        <f>IF(A21="","",N(E21)+N(R21))</f>
        <v/>
      </c>
      <c r="T21" s="70" t="str">
        <f>IF(A21="","",IF(N(R21)&gt;0,R21*H21*W21*$W$6+p_CorrFixa,0))</f>
        <v/>
      </c>
      <c r="V21" s="85" t="str">
        <f>IF(A21="","",IF(D21="",$W$1,D21))</f>
        <v/>
      </c>
      <c r="W21" s="85" t="str">
        <f>IF(A21="","",IFERROR(INDEX(moeda_fx,MATCH(V21,moeda_cod,0)),0))</f>
        <v/>
      </c>
      <c r="X21" s="85" t="str">
        <f>IF(A21="","",IF($W$2="",UPPER(TRIM(A21)),IF(RIGHT(UPPER(TRIM(A21)),LEN($W$2))=$W$2,UPPER(TRIM(A21)),UPPER(TRIM(A21))&amp;$W$2)))</f>
        <v/>
      </c>
      <c r="Y21" s="85" t="str">
        <f>IF(OR(A21="",p_ModoCot&lt;&gt;"Automático"),"",IFERROR(_xlfn.WEBSERVICE("https://query1.finance.yahoo.com/v8/finance/chart/"&amp;X21&amp;"?range=1d&amp;interval=1d"),""))</f>
        <v/>
      </c>
      <c r="Z21" s="85" t="str">
        <f>IF(Y21="","",IFERROR(_xlfn.NUMBERVALUE(MID(Y21,SEARCH("""regularMarketPrice"":",Y21)+21,SEARCH(",",Y21&amp;",",SEARCH("""regularMarketPrice"":",Y21)+21)-SEARCH("""regularMarketPrice"":",Y21)-21),".",","),""))</f>
        <v/>
      </c>
      <c r="AA21" s="85" t="str">
        <f>IF(A21="","",ROUND(MAX(0,N(F21)*($K$6+$W$7)-K21),2))</f>
        <v/>
      </c>
      <c r="AB21" s="85" t="str">
        <f>IF(A21="","",IF(AND(M21&gt;0,M21&gt;=p_DifMin),AA21,0))</f>
        <v/>
      </c>
      <c r="AC21" s="85" t="str">
        <f>IF(A21="","",IF(AND(AB21&gt;0,N(O21)&lt;=p_MaxAtivos),AB21,0))</f>
        <v/>
      </c>
      <c r="AD21" s="85" t="str">
        <f>IF(A21="","",IF(OR(Q21&lt;=0,Q21&lt;p_CompraMin,N(H21)&lt;=0,N(W21)&lt;=0),0,IF($W$3="Sim",TRUNC(ROUND(MAX(0,(Q21-p_CorrFixa)/(H21*W21*$W$6)),9),$W$4),TRUNC(ROUND(MAX(0,(Q21-p_CorrFixa)/(H21*W21*$W$6)),9)/$W$5)*$W$5)))</f>
        <v/>
      </c>
      <c r="AE21" s="85" t="str">
        <f>IF(A21="","",IF(N(AD21)&gt;0,AD21*H21*W21*$W$6+p_CorrFixa,0))</f>
        <v/>
      </c>
      <c r="AF21" s="85" t="str">
        <f>IF(A21="","",IF(OR($Y$1&lt;=0,N(H21)&lt;=0,N(W21)&lt;=0,N(AB21)&lt;=0),0,IF($W$3="Sim",TRUNC(ROUND(MAX(0,($Y$1-IF(N(AD21)&gt;0,0,p_CorrFixa))/(H21*W21*$W$6)),9),$W$4),TRUNC(ROUND(MAX(0,($Y$1-IF(N(AD21)&gt;0,0,p_CorrFixa))/(H21*W21*$W$6)),9)/$W$5)*$W$5)))</f>
        <v/>
      </c>
      <c r="AG21" s="85" t="str">
        <f>IF(A21="","",IF(AND(N(AD21)=0,N(AF21)*(H21*W21*$W$6)+p_CorrFixa&lt;p_CompraMin),0,AF21))</f>
        <v/>
      </c>
      <c r="AH21" s="85" t="str">
        <f>IF(A21="","",IF(N(AG21)&gt;0,AB21,0))</f>
        <v/>
      </c>
      <c r="AI21" s="85" t="str">
        <f>IF(A21="","",IF(AND(AH21&gt;0,AH21=$AH$6,COUNTIF($AH$9:AH21,AH21)=1),1,0))</f>
        <v/>
      </c>
    </row>
    <row r="22">
      <c r="A22" s="96" t="n"/>
      <c r="B22" s="96" t="n"/>
      <c r="C22" s="96" t="n"/>
      <c r="D22" s="97" t="n"/>
      <c r="E22" s="98" t="n"/>
      <c r="F22" s="99" t="n"/>
      <c r="G22" s="100" t="n"/>
      <c r="H22" s="104" t="str">
        <f>IF(A22="","",IF(AND(p_ModoCot="Automático",ISNUMBER(Z22)),Z22,IF(N(G22)&gt;0,G22,0)))</f>
        <v/>
      </c>
      <c r="I22" s="105" t="str">
        <f>IF(A22="","",IF(W22=0,"Sem câmbio",IF(AND(p_ModoCot="Automático",ISNUMBER(Z22)),"Auto",IF(N(G22)&gt;0,"Manual","Sem cotação"))))</f>
        <v/>
      </c>
      <c r="J22" s="106" t="str">
        <f>IF(A22="","",N(E22)*H22)</f>
        <v/>
      </c>
      <c r="K22" s="107" t="str">
        <f>IF(A22="","",J22*W22)</f>
        <v/>
      </c>
      <c r="L22" s="108" t="str">
        <f>IF(A22="","",IF($K$6&gt;0,K22/$K$6,0))</f>
        <v/>
      </c>
      <c r="M22" s="109" t="str">
        <f>IF(A22="","",N(F22)-L22)</f>
        <v/>
      </c>
      <c r="N22" s="108" t="str">
        <f>IF(A22="","",IF($AB$6&gt;0,AB22/$AB$6,0))</f>
        <v/>
      </c>
      <c r="O22" s="110" t="str">
        <f>IF(A22="","",IF(AB22&lt;=0,"",COUNTIF($AB$9:$AB$208,"&gt;"&amp;AB22)+COUNTIF($AB$9:AB22,AB22)))</f>
        <v/>
      </c>
      <c r="P22" s="105" t="str">
        <f>IF(A22="","",IF(Q22&gt;0,"BUY","HOLD"))</f>
        <v/>
      </c>
      <c r="Q22" s="107" t="str">
        <f>IF(A22="","",IF($W$7&lt;=0,0,IF($AC$6&gt;0,$W$7*AC22/$AC$6,IF($F$6&gt;0,$W$7*N(F22)/$F$6,0))))</f>
        <v/>
      </c>
      <c r="R22" s="111" t="str">
        <f>IF(A22="","",N(AD22)+IF(AI22=1,N(AG22),0))</f>
        <v/>
      </c>
      <c r="S22" s="111" t="str">
        <f>IF(A22="","",N(E22)+N(R22))</f>
        <v/>
      </c>
      <c r="T22" s="107" t="str">
        <f>IF(A22="","",IF(N(R22)&gt;0,R22*H22*W22*$W$6+p_CorrFixa,0))</f>
        <v/>
      </c>
      <c r="V22" s="85" t="str">
        <f>IF(A22="","",IF(D22="",$W$1,D22))</f>
        <v/>
      </c>
      <c r="W22" s="85" t="str">
        <f>IF(A22="","",IFERROR(INDEX(moeda_fx,MATCH(V22,moeda_cod,0)),0))</f>
        <v/>
      </c>
      <c r="X22" s="85" t="str">
        <f>IF(A22="","",IF($W$2="",UPPER(TRIM(A22)),IF(RIGHT(UPPER(TRIM(A22)),LEN($W$2))=$W$2,UPPER(TRIM(A22)),UPPER(TRIM(A22))&amp;$W$2)))</f>
        <v/>
      </c>
      <c r="Y22" s="85" t="str">
        <f>IF(OR(A22="",p_ModoCot&lt;&gt;"Automático"),"",IFERROR(_xlfn.WEBSERVICE("https://query1.finance.yahoo.com/v8/finance/chart/"&amp;X22&amp;"?range=1d&amp;interval=1d"),""))</f>
        <v/>
      </c>
      <c r="Z22" s="85" t="str">
        <f>IF(Y22="","",IFERROR(_xlfn.NUMBERVALUE(MID(Y22,SEARCH("""regularMarketPrice"":",Y22)+21,SEARCH(",",Y22&amp;",",SEARCH("""regularMarketPrice"":",Y22)+21)-SEARCH("""regularMarketPrice"":",Y22)-21),".",","),""))</f>
        <v/>
      </c>
      <c r="AA22" s="85" t="str">
        <f>IF(A22="","",ROUND(MAX(0,N(F22)*($K$6+$W$7)-K22),2))</f>
        <v/>
      </c>
      <c r="AB22" s="85" t="str">
        <f>IF(A22="","",IF(AND(M22&gt;0,M22&gt;=p_DifMin),AA22,0))</f>
        <v/>
      </c>
      <c r="AC22" s="85" t="str">
        <f>IF(A22="","",IF(AND(AB22&gt;0,N(O22)&lt;=p_MaxAtivos),AB22,0))</f>
        <v/>
      </c>
      <c r="AD22" s="85" t="str">
        <f>IF(A22="","",IF(OR(Q22&lt;=0,Q22&lt;p_CompraMin,N(H22)&lt;=0,N(W22)&lt;=0),0,IF($W$3="Sim",TRUNC(ROUND(MAX(0,(Q22-p_CorrFixa)/(H22*W22*$W$6)),9),$W$4),TRUNC(ROUND(MAX(0,(Q22-p_CorrFixa)/(H22*W22*$W$6)),9)/$W$5)*$W$5)))</f>
        <v/>
      </c>
      <c r="AE22" s="85" t="str">
        <f>IF(A22="","",IF(N(AD22)&gt;0,AD22*H22*W22*$W$6+p_CorrFixa,0))</f>
        <v/>
      </c>
      <c r="AF22" s="85" t="str">
        <f>IF(A22="","",IF(OR($Y$1&lt;=0,N(H22)&lt;=0,N(W22)&lt;=0,N(AB22)&lt;=0),0,IF($W$3="Sim",TRUNC(ROUND(MAX(0,($Y$1-IF(N(AD22)&gt;0,0,p_CorrFixa))/(H22*W22*$W$6)),9),$W$4),TRUNC(ROUND(MAX(0,($Y$1-IF(N(AD22)&gt;0,0,p_CorrFixa))/(H22*W22*$W$6)),9)/$W$5)*$W$5)))</f>
        <v/>
      </c>
      <c r="AG22" s="85" t="str">
        <f>IF(A22="","",IF(AND(N(AD22)=0,N(AF22)*(H22*W22*$W$6)+p_CorrFixa&lt;p_CompraMin),0,AF22))</f>
        <v/>
      </c>
      <c r="AH22" s="85" t="str">
        <f>IF(A22="","",IF(N(AG22)&gt;0,AB22,0))</f>
        <v/>
      </c>
      <c r="AI22" s="85" t="str">
        <f>IF(A22="","",IF(AND(AH22&gt;0,AH22=$AH$6,COUNTIF($AH$9:AH22,AH22)=1),1,0))</f>
        <v/>
      </c>
    </row>
    <row r="23">
      <c r="A23" s="96" t="n"/>
      <c r="B23" s="96" t="n"/>
      <c r="C23" s="96" t="n"/>
      <c r="D23" s="97" t="n"/>
      <c r="E23" s="98" t="n"/>
      <c r="F23" s="99" t="n"/>
      <c r="G23" s="100" t="n"/>
      <c r="H23" s="101" t="str">
        <f>IF(A23="","",IF(AND(p_ModoCot="Automático",ISNUMBER(Z23)),Z23,IF(N(G23)&gt;0,G23,0)))</f>
        <v/>
      </c>
      <c r="I23" s="73" t="str">
        <f>IF(A23="","",IF(W23=0,"Sem câmbio",IF(AND(p_ModoCot="Automático",ISNUMBER(Z23)),"Auto",IF(N(G23)&gt;0,"Manual","Sem cotação"))))</f>
        <v/>
      </c>
      <c r="J23" s="102" t="str">
        <f>IF(A23="","",N(E23)*H23)</f>
        <v/>
      </c>
      <c r="K23" s="70" t="str">
        <f>IF(A23="","",J23*W23)</f>
        <v/>
      </c>
      <c r="L23" s="30" t="str">
        <f>IF(A23="","",IF($K$6&gt;0,K23/$K$6,0))</f>
        <v/>
      </c>
      <c r="M23" s="72" t="str">
        <f>IF(A23="","",N(F23)-L23)</f>
        <v/>
      </c>
      <c r="N23" s="30" t="str">
        <f>IF(A23="","",IF($AB$6&gt;0,AB23/$AB$6,0))</f>
        <v/>
      </c>
      <c r="O23" s="74" t="str">
        <f>IF(A23="","",IF(AB23&lt;=0,"",COUNTIF($AB$9:$AB$208,"&gt;"&amp;AB23)+COUNTIF($AB$9:AB23,AB23)))</f>
        <v/>
      </c>
      <c r="P23" s="73" t="str">
        <f>IF(A23="","",IF(Q23&gt;0,"BUY","HOLD"))</f>
        <v/>
      </c>
      <c r="Q23" s="70" t="str">
        <f>IF(A23="","",IF($W$7&lt;=0,0,IF($AC$6&gt;0,$W$7*AC23/$AC$6,IF($F$6&gt;0,$W$7*N(F23)/$F$6,0))))</f>
        <v/>
      </c>
      <c r="R23" s="103" t="str">
        <f>IF(A23="","",N(AD23)+IF(AI23=1,N(AG23),0))</f>
        <v/>
      </c>
      <c r="S23" s="103" t="str">
        <f>IF(A23="","",N(E23)+N(R23))</f>
        <v/>
      </c>
      <c r="T23" s="70" t="str">
        <f>IF(A23="","",IF(N(R23)&gt;0,R23*H23*W23*$W$6+p_CorrFixa,0))</f>
        <v/>
      </c>
      <c r="V23" s="85" t="str">
        <f>IF(A23="","",IF(D23="",$W$1,D23))</f>
        <v/>
      </c>
      <c r="W23" s="85" t="str">
        <f>IF(A23="","",IFERROR(INDEX(moeda_fx,MATCH(V23,moeda_cod,0)),0))</f>
        <v/>
      </c>
      <c r="X23" s="85" t="str">
        <f>IF(A23="","",IF($W$2="",UPPER(TRIM(A23)),IF(RIGHT(UPPER(TRIM(A23)),LEN($W$2))=$W$2,UPPER(TRIM(A23)),UPPER(TRIM(A23))&amp;$W$2)))</f>
        <v/>
      </c>
      <c r="Y23" s="85" t="str">
        <f>IF(OR(A23="",p_ModoCot&lt;&gt;"Automático"),"",IFERROR(_xlfn.WEBSERVICE("https://query1.finance.yahoo.com/v8/finance/chart/"&amp;X23&amp;"?range=1d&amp;interval=1d"),""))</f>
        <v/>
      </c>
      <c r="Z23" s="85" t="str">
        <f>IF(Y23="","",IFERROR(_xlfn.NUMBERVALUE(MID(Y23,SEARCH("""regularMarketPrice"":",Y23)+21,SEARCH(",",Y23&amp;",",SEARCH("""regularMarketPrice"":",Y23)+21)-SEARCH("""regularMarketPrice"":",Y23)-21),".",","),""))</f>
        <v/>
      </c>
      <c r="AA23" s="85" t="str">
        <f>IF(A23="","",ROUND(MAX(0,N(F23)*($K$6+$W$7)-K23),2))</f>
        <v/>
      </c>
      <c r="AB23" s="85" t="str">
        <f>IF(A23="","",IF(AND(M23&gt;0,M23&gt;=p_DifMin),AA23,0))</f>
        <v/>
      </c>
      <c r="AC23" s="85" t="str">
        <f>IF(A23="","",IF(AND(AB23&gt;0,N(O23)&lt;=p_MaxAtivos),AB23,0))</f>
        <v/>
      </c>
      <c r="AD23" s="85" t="str">
        <f>IF(A23="","",IF(OR(Q23&lt;=0,Q23&lt;p_CompraMin,N(H23)&lt;=0,N(W23)&lt;=0),0,IF($W$3="Sim",TRUNC(ROUND(MAX(0,(Q23-p_CorrFixa)/(H23*W23*$W$6)),9),$W$4),TRUNC(ROUND(MAX(0,(Q23-p_CorrFixa)/(H23*W23*$W$6)),9)/$W$5)*$W$5)))</f>
        <v/>
      </c>
      <c r="AE23" s="85" t="str">
        <f>IF(A23="","",IF(N(AD23)&gt;0,AD23*H23*W23*$W$6+p_CorrFixa,0))</f>
        <v/>
      </c>
      <c r="AF23" s="85" t="str">
        <f>IF(A23="","",IF(OR($Y$1&lt;=0,N(H23)&lt;=0,N(W23)&lt;=0,N(AB23)&lt;=0),0,IF($W$3="Sim",TRUNC(ROUND(MAX(0,($Y$1-IF(N(AD23)&gt;0,0,p_CorrFixa))/(H23*W23*$W$6)),9),$W$4),TRUNC(ROUND(MAX(0,($Y$1-IF(N(AD23)&gt;0,0,p_CorrFixa))/(H23*W23*$W$6)),9)/$W$5)*$W$5)))</f>
        <v/>
      </c>
      <c r="AG23" s="85" t="str">
        <f>IF(A23="","",IF(AND(N(AD23)=0,N(AF23)*(H23*W23*$W$6)+p_CorrFixa&lt;p_CompraMin),0,AF23))</f>
        <v/>
      </c>
      <c r="AH23" s="85" t="str">
        <f>IF(A23="","",IF(N(AG23)&gt;0,AB23,0))</f>
        <v/>
      </c>
      <c r="AI23" s="85" t="str">
        <f>IF(A23="","",IF(AND(AH23&gt;0,AH23=$AH$6,COUNTIF($AH$9:AH23,AH23)=1),1,0))</f>
        <v/>
      </c>
    </row>
    <row r="24">
      <c r="A24" s="96" t="n"/>
      <c r="B24" s="96" t="n"/>
      <c r="C24" s="96" t="n"/>
      <c r="D24" s="97" t="n"/>
      <c r="E24" s="98" t="n"/>
      <c r="F24" s="99" t="n"/>
      <c r="G24" s="100" t="n"/>
      <c r="H24" s="104" t="str">
        <f>IF(A24="","",IF(AND(p_ModoCot="Automático",ISNUMBER(Z24)),Z24,IF(N(G24)&gt;0,G24,0)))</f>
        <v/>
      </c>
      <c r="I24" s="105" t="str">
        <f>IF(A24="","",IF(W24=0,"Sem câmbio",IF(AND(p_ModoCot="Automático",ISNUMBER(Z24)),"Auto",IF(N(G24)&gt;0,"Manual","Sem cotação"))))</f>
        <v/>
      </c>
      <c r="J24" s="106" t="str">
        <f>IF(A24="","",N(E24)*H24)</f>
        <v/>
      </c>
      <c r="K24" s="107" t="str">
        <f>IF(A24="","",J24*W24)</f>
        <v/>
      </c>
      <c r="L24" s="108" t="str">
        <f>IF(A24="","",IF($K$6&gt;0,K24/$K$6,0))</f>
        <v/>
      </c>
      <c r="M24" s="109" t="str">
        <f>IF(A24="","",N(F24)-L24)</f>
        <v/>
      </c>
      <c r="N24" s="108" t="str">
        <f>IF(A24="","",IF($AB$6&gt;0,AB24/$AB$6,0))</f>
        <v/>
      </c>
      <c r="O24" s="110" t="str">
        <f>IF(A24="","",IF(AB24&lt;=0,"",COUNTIF($AB$9:$AB$208,"&gt;"&amp;AB24)+COUNTIF($AB$9:AB24,AB24)))</f>
        <v/>
      </c>
      <c r="P24" s="105" t="str">
        <f>IF(A24="","",IF(Q24&gt;0,"BUY","HOLD"))</f>
        <v/>
      </c>
      <c r="Q24" s="107" t="str">
        <f>IF(A24="","",IF($W$7&lt;=0,0,IF($AC$6&gt;0,$W$7*AC24/$AC$6,IF($F$6&gt;0,$W$7*N(F24)/$F$6,0))))</f>
        <v/>
      </c>
      <c r="R24" s="111" t="str">
        <f>IF(A24="","",N(AD24)+IF(AI24=1,N(AG24),0))</f>
        <v/>
      </c>
      <c r="S24" s="111" t="str">
        <f>IF(A24="","",N(E24)+N(R24))</f>
        <v/>
      </c>
      <c r="T24" s="107" t="str">
        <f>IF(A24="","",IF(N(R24)&gt;0,R24*H24*W24*$W$6+p_CorrFixa,0))</f>
        <v/>
      </c>
      <c r="V24" s="85" t="str">
        <f>IF(A24="","",IF(D24="",$W$1,D24))</f>
        <v/>
      </c>
      <c r="W24" s="85" t="str">
        <f>IF(A24="","",IFERROR(INDEX(moeda_fx,MATCH(V24,moeda_cod,0)),0))</f>
        <v/>
      </c>
      <c r="X24" s="85" t="str">
        <f>IF(A24="","",IF($W$2="",UPPER(TRIM(A24)),IF(RIGHT(UPPER(TRIM(A24)),LEN($W$2))=$W$2,UPPER(TRIM(A24)),UPPER(TRIM(A24))&amp;$W$2)))</f>
        <v/>
      </c>
      <c r="Y24" s="85" t="str">
        <f>IF(OR(A24="",p_ModoCot&lt;&gt;"Automático"),"",IFERROR(_xlfn.WEBSERVICE("https://query1.finance.yahoo.com/v8/finance/chart/"&amp;X24&amp;"?range=1d&amp;interval=1d"),""))</f>
        <v/>
      </c>
      <c r="Z24" s="85" t="str">
        <f>IF(Y24="","",IFERROR(_xlfn.NUMBERVALUE(MID(Y24,SEARCH("""regularMarketPrice"":",Y24)+21,SEARCH(",",Y24&amp;",",SEARCH("""regularMarketPrice"":",Y24)+21)-SEARCH("""regularMarketPrice"":",Y24)-21),".",","),""))</f>
        <v/>
      </c>
      <c r="AA24" s="85" t="str">
        <f>IF(A24="","",ROUND(MAX(0,N(F24)*($K$6+$W$7)-K24),2))</f>
        <v/>
      </c>
      <c r="AB24" s="85" t="str">
        <f>IF(A24="","",IF(AND(M24&gt;0,M24&gt;=p_DifMin),AA24,0))</f>
        <v/>
      </c>
      <c r="AC24" s="85" t="str">
        <f>IF(A24="","",IF(AND(AB24&gt;0,N(O24)&lt;=p_MaxAtivos),AB24,0))</f>
        <v/>
      </c>
      <c r="AD24" s="85" t="str">
        <f>IF(A24="","",IF(OR(Q24&lt;=0,Q24&lt;p_CompraMin,N(H24)&lt;=0,N(W24)&lt;=0),0,IF($W$3="Sim",TRUNC(ROUND(MAX(0,(Q24-p_CorrFixa)/(H24*W24*$W$6)),9),$W$4),TRUNC(ROUND(MAX(0,(Q24-p_CorrFixa)/(H24*W24*$W$6)),9)/$W$5)*$W$5)))</f>
        <v/>
      </c>
      <c r="AE24" s="85" t="str">
        <f>IF(A24="","",IF(N(AD24)&gt;0,AD24*H24*W24*$W$6+p_CorrFixa,0))</f>
        <v/>
      </c>
      <c r="AF24" s="85" t="str">
        <f>IF(A24="","",IF(OR($Y$1&lt;=0,N(H24)&lt;=0,N(W24)&lt;=0,N(AB24)&lt;=0),0,IF($W$3="Sim",TRUNC(ROUND(MAX(0,($Y$1-IF(N(AD24)&gt;0,0,p_CorrFixa))/(H24*W24*$W$6)),9),$W$4),TRUNC(ROUND(MAX(0,($Y$1-IF(N(AD24)&gt;0,0,p_CorrFixa))/(H24*W24*$W$6)),9)/$W$5)*$W$5)))</f>
        <v/>
      </c>
      <c r="AG24" s="85" t="str">
        <f>IF(A24="","",IF(AND(N(AD24)=0,N(AF24)*(H24*W24*$W$6)+p_CorrFixa&lt;p_CompraMin),0,AF24))</f>
        <v/>
      </c>
      <c r="AH24" s="85" t="str">
        <f>IF(A24="","",IF(N(AG24)&gt;0,AB24,0))</f>
        <v/>
      </c>
      <c r="AI24" s="85" t="str">
        <f>IF(A24="","",IF(AND(AH24&gt;0,AH24=$AH$6,COUNTIF($AH$9:AH24,AH24)=1),1,0))</f>
        <v/>
      </c>
    </row>
    <row r="25">
      <c r="A25" s="96" t="n"/>
      <c r="B25" s="96" t="n"/>
      <c r="C25" s="96" t="n"/>
      <c r="D25" s="97" t="n"/>
      <c r="E25" s="98" t="n"/>
      <c r="F25" s="99" t="n"/>
      <c r="G25" s="100" t="n"/>
      <c r="H25" s="101" t="str">
        <f>IF(A25="","",IF(AND(p_ModoCot="Automático",ISNUMBER(Z25)),Z25,IF(N(G25)&gt;0,G25,0)))</f>
        <v/>
      </c>
      <c r="I25" s="73" t="str">
        <f>IF(A25="","",IF(W25=0,"Sem câmbio",IF(AND(p_ModoCot="Automático",ISNUMBER(Z25)),"Auto",IF(N(G25)&gt;0,"Manual","Sem cotação"))))</f>
        <v/>
      </c>
      <c r="J25" s="102" t="str">
        <f>IF(A25="","",N(E25)*H25)</f>
        <v/>
      </c>
      <c r="K25" s="70" t="str">
        <f>IF(A25="","",J25*W25)</f>
        <v/>
      </c>
      <c r="L25" s="30" t="str">
        <f>IF(A25="","",IF($K$6&gt;0,K25/$K$6,0))</f>
        <v/>
      </c>
      <c r="M25" s="72" t="str">
        <f>IF(A25="","",N(F25)-L25)</f>
        <v/>
      </c>
      <c r="N25" s="30" t="str">
        <f>IF(A25="","",IF($AB$6&gt;0,AB25/$AB$6,0))</f>
        <v/>
      </c>
      <c r="O25" s="74" t="str">
        <f>IF(A25="","",IF(AB25&lt;=0,"",COUNTIF($AB$9:$AB$208,"&gt;"&amp;AB25)+COUNTIF($AB$9:AB25,AB25)))</f>
        <v/>
      </c>
      <c r="P25" s="73" t="str">
        <f>IF(A25="","",IF(Q25&gt;0,"BUY","HOLD"))</f>
        <v/>
      </c>
      <c r="Q25" s="70" t="str">
        <f>IF(A25="","",IF($W$7&lt;=0,0,IF($AC$6&gt;0,$W$7*AC25/$AC$6,IF($F$6&gt;0,$W$7*N(F25)/$F$6,0))))</f>
        <v/>
      </c>
      <c r="R25" s="103" t="str">
        <f>IF(A25="","",N(AD25)+IF(AI25=1,N(AG25),0))</f>
        <v/>
      </c>
      <c r="S25" s="103" t="str">
        <f>IF(A25="","",N(E25)+N(R25))</f>
        <v/>
      </c>
      <c r="T25" s="70" t="str">
        <f>IF(A25="","",IF(N(R25)&gt;0,R25*H25*W25*$W$6+p_CorrFixa,0))</f>
        <v/>
      </c>
      <c r="V25" s="85" t="str">
        <f>IF(A25="","",IF(D25="",$W$1,D25))</f>
        <v/>
      </c>
      <c r="W25" s="85" t="str">
        <f>IF(A25="","",IFERROR(INDEX(moeda_fx,MATCH(V25,moeda_cod,0)),0))</f>
        <v/>
      </c>
      <c r="X25" s="85" t="str">
        <f>IF(A25="","",IF($W$2="",UPPER(TRIM(A25)),IF(RIGHT(UPPER(TRIM(A25)),LEN($W$2))=$W$2,UPPER(TRIM(A25)),UPPER(TRIM(A25))&amp;$W$2)))</f>
        <v/>
      </c>
      <c r="Y25" s="85" t="str">
        <f>IF(OR(A25="",p_ModoCot&lt;&gt;"Automático"),"",IFERROR(_xlfn.WEBSERVICE("https://query1.finance.yahoo.com/v8/finance/chart/"&amp;X25&amp;"?range=1d&amp;interval=1d"),""))</f>
        <v/>
      </c>
      <c r="Z25" s="85" t="str">
        <f>IF(Y25="","",IFERROR(_xlfn.NUMBERVALUE(MID(Y25,SEARCH("""regularMarketPrice"":",Y25)+21,SEARCH(",",Y25&amp;",",SEARCH("""regularMarketPrice"":",Y25)+21)-SEARCH("""regularMarketPrice"":",Y25)-21),".",","),""))</f>
        <v/>
      </c>
      <c r="AA25" s="85" t="str">
        <f>IF(A25="","",ROUND(MAX(0,N(F25)*($K$6+$W$7)-K25),2))</f>
        <v/>
      </c>
      <c r="AB25" s="85" t="str">
        <f>IF(A25="","",IF(AND(M25&gt;0,M25&gt;=p_DifMin),AA25,0))</f>
        <v/>
      </c>
      <c r="AC25" s="85" t="str">
        <f>IF(A25="","",IF(AND(AB25&gt;0,N(O25)&lt;=p_MaxAtivos),AB25,0))</f>
        <v/>
      </c>
      <c r="AD25" s="85" t="str">
        <f>IF(A25="","",IF(OR(Q25&lt;=0,Q25&lt;p_CompraMin,N(H25)&lt;=0,N(W25)&lt;=0),0,IF($W$3="Sim",TRUNC(ROUND(MAX(0,(Q25-p_CorrFixa)/(H25*W25*$W$6)),9),$W$4),TRUNC(ROUND(MAX(0,(Q25-p_CorrFixa)/(H25*W25*$W$6)),9)/$W$5)*$W$5)))</f>
        <v/>
      </c>
      <c r="AE25" s="85" t="str">
        <f>IF(A25="","",IF(N(AD25)&gt;0,AD25*H25*W25*$W$6+p_CorrFixa,0))</f>
        <v/>
      </c>
      <c r="AF25" s="85" t="str">
        <f>IF(A25="","",IF(OR($Y$1&lt;=0,N(H25)&lt;=0,N(W25)&lt;=0,N(AB25)&lt;=0),0,IF($W$3="Sim",TRUNC(ROUND(MAX(0,($Y$1-IF(N(AD25)&gt;0,0,p_CorrFixa))/(H25*W25*$W$6)),9),$W$4),TRUNC(ROUND(MAX(0,($Y$1-IF(N(AD25)&gt;0,0,p_CorrFixa))/(H25*W25*$W$6)),9)/$W$5)*$W$5)))</f>
        <v/>
      </c>
      <c r="AG25" s="85" t="str">
        <f>IF(A25="","",IF(AND(N(AD25)=0,N(AF25)*(H25*W25*$W$6)+p_CorrFixa&lt;p_CompraMin),0,AF25))</f>
        <v/>
      </c>
      <c r="AH25" s="85" t="str">
        <f>IF(A25="","",IF(N(AG25)&gt;0,AB25,0))</f>
        <v/>
      </c>
      <c r="AI25" s="85" t="str">
        <f>IF(A25="","",IF(AND(AH25&gt;0,AH25=$AH$6,COUNTIF($AH$9:AH25,AH25)=1),1,0))</f>
        <v/>
      </c>
    </row>
    <row r="26">
      <c r="A26" s="96" t="n"/>
      <c r="B26" s="96" t="n"/>
      <c r="C26" s="96" t="n"/>
      <c r="D26" s="97" t="n"/>
      <c r="E26" s="98" t="n"/>
      <c r="F26" s="99" t="n"/>
      <c r="G26" s="100" t="n"/>
      <c r="H26" s="104" t="str">
        <f>IF(A26="","",IF(AND(p_ModoCot="Automático",ISNUMBER(Z26)),Z26,IF(N(G26)&gt;0,G26,0)))</f>
        <v/>
      </c>
      <c r="I26" s="105" t="str">
        <f>IF(A26="","",IF(W26=0,"Sem câmbio",IF(AND(p_ModoCot="Automático",ISNUMBER(Z26)),"Auto",IF(N(G26)&gt;0,"Manual","Sem cotação"))))</f>
        <v/>
      </c>
      <c r="J26" s="106" t="str">
        <f>IF(A26="","",N(E26)*H26)</f>
        <v/>
      </c>
      <c r="K26" s="107" t="str">
        <f>IF(A26="","",J26*W26)</f>
        <v/>
      </c>
      <c r="L26" s="108" t="str">
        <f>IF(A26="","",IF($K$6&gt;0,K26/$K$6,0))</f>
        <v/>
      </c>
      <c r="M26" s="109" t="str">
        <f>IF(A26="","",N(F26)-L26)</f>
        <v/>
      </c>
      <c r="N26" s="108" t="str">
        <f>IF(A26="","",IF($AB$6&gt;0,AB26/$AB$6,0))</f>
        <v/>
      </c>
      <c r="O26" s="110" t="str">
        <f>IF(A26="","",IF(AB26&lt;=0,"",COUNTIF($AB$9:$AB$208,"&gt;"&amp;AB26)+COUNTIF($AB$9:AB26,AB26)))</f>
        <v/>
      </c>
      <c r="P26" s="105" t="str">
        <f>IF(A26="","",IF(Q26&gt;0,"BUY","HOLD"))</f>
        <v/>
      </c>
      <c r="Q26" s="107" t="str">
        <f>IF(A26="","",IF($W$7&lt;=0,0,IF($AC$6&gt;0,$W$7*AC26/$AC$6,IF($F$6&gt;0,$W$7*N(F26)/$F$6,0))))</f>
        <v/>
      </c>
      <c r="R26" s="111" t="str">
        <f>IF(A26="","",N(AD26)+IF(AI26=1,N(AG26),0))</f>
        <v/>
      </c>
      <c r="S26" s="111" t="str">
        <f>IF(A26="","",N(E26)+N(R26))</f>
        <v/>
      </c>
      <c r="T26" s="107" t="str">
        <f>IF(A26="","",IF(N(R26)&gt;0,R26*H26*W26*$W$6+p_CorrFixa,0))</f>
        <v/>
      </c>
      <c r="V26" s="85" t="str">
        <f>IF(A26="","",IF(D26="",$W$1,D26))</f>
        <v/>
      </c>
      <c r="W26" s="85" t="str">
        <f>IF(A26="","",IFERROR(INDEX(moeda_fx,MATCH(V26,moeda_cod,0)),0))</f>
        <v/>
      </c>
      <c r="X26" s="85" t="str">
        <f>IF(A26="","",IF($W$2="",UPPER(TRIM(A26)),IF(RIGHT(UPPER(TRIM(A26)),LEN($W$2))=$W$2,UPPER(TRIM(A26)),UPPER(TRIM(A26))&amp;$W$2)))</f>
        <v/>
      </c>
      <c r="Y26" s="85" t="str">
        <f>IF(OR(A26="",p_ModoCot&lt;&gt;"Automático"),"",IFERROR(_xlfn.WEBSERVICE("https://query1.finance.yahoo.com/v8/finance/chart/"&amp;X26&amp;"?range=1d&amp;interval=1d"),""))</f>
        <v/>
      </c>
      <c r="Z26" s="85" t="str">
        <f>IF(Y26="","",IFERROR(_xlfn.NUMBERVALUE(MID(Y26,SEARCH("""regularMarketPrice"":",Y26)+21,SEARCH(",",Y26&amp;",",SEARCH("""regularMarketPrice"":",Y26)+21)-SEARCH("""regularMarketPrice"":",Y26)-21),".",","),""))</f>
        <v/>
      </c>
      <c r="AA26" s="85" t="str">
        <f>IF(A26="","",ROUND(MAX(0,N(F26)*($K$6+$W$7)-K26),2))</f>
        <v/>
      </c>
      <c r="AB26" s="85" t="str">
        <f>IF(A26="","",IF(AND(M26&gt;0,M26&gt;=p_DifMin),AA26,0))</f>
        <v/>
      </c>
      <c r="AC26" s="85" t="str">
        <f>IF(A26="","",IF(AND(AB26&gt;0,N(O26)&lt;=p_MaxAtivos),AB26,0))</f>
        <v/>
      </c>
      <c r="AD26" s="85" t="str">
        <f>IF(A26="","",IF(OR(Q26&lt;=0,Q26&lt;p_CompraMin,N(H26)&lt;=0,N(W26)&lt;=0),0,IF($W$3="Sim",TRUNC(ROUND(MAX(0,(Q26-p_CorrFixa)/(H26*W26*$W$6)),9),$W$4),TRUNC(ROUND(MAX(0,(Q26-p_CorrFixa)/(H26*W26*$W$6)),9)/$W$5)*$W$5)))</f>
        <v/>
      </c>
      <c r="AE26" s="85" t="str">
        <f>IF(A26="","",IF(N(AD26)&gt;0,AD26*H26*W26*$W$6+p_CorrFixa,0))</f>
        <v/>
      </c>
      <c r="AF26" s="85" t="str">
        <f>IF(A26="","",IF(OR($Y$1&lt;=0,N(H26)&lt;=0,N(W26)&lt;=0,N(AB26)&lt;=0),0,IF($W$3="Sim",TRUNC(ROUND(MAX(0,($Y$1-IF(N(AD26)&gt;0,0,p_CorrFixa))/(H26*W26*$W$6)),9),$W$4),TRUNC(ROUND(MAX(0,($Y$1-IF(N(AD26)&gt;0,0,p_CorrFixa))/(H26*W26*$W$6)),9)/$W$5)*$W$5)))</f>
        <v/>
      </c>
      <c r="AG26" s="85" t="str">
        <f>IF(A26="","",IF(AND(N(AD26)=0,N(AF26)*(H26*W26*$W$6)+p_CorrFixa&lt;p_CompraMin),0,AF26))</f>
        <v/>
      </c>
      <c r="AH26" s="85" t="str">
        <f>IF(A26="","",IF(N(AG26)&gt;0,AB26,0))</f>
        <v/>
      </c>
      <c r="AI26" s="85" t="str">
        <f>IF(A26="","",IF(AND(AH26&gt;0,AH26=$AH$6,COUNTIF($AH$9:AH26,AH26)=1),1,0))</f>
        <v/>
      </c>
    </row>
    <row r="27">
      <c r="A27" s="96" t="n"/>
      <c r="B27" s="96" t="n"/>
      <c r="C27" s="96" t="n"/>
      <c r="D27" s="97" t="n"/>
      <c r="E27" s="98" t="n"/>
      <c r="F27" s="99" t="n"/>
      <c r="G27" s="100" t="n"/>
      <c r="H27" s="101" t="str">
        <f>IF(A27="","",IF(AND(p_ModoCot="Automático",ISNUMBER(Z27)),Z27,IF(N(G27)&gt;0,G27,0)))</f>
        <v/>
      </c>
      <c r="I27" s="73" t="str">
        <f>IF(A27="","",IF(W27=0,"Sem câmbio",IF(AND(p_ModoCot="Automático",ISNUMBER(Z27)),"Auto",IF(N(G27)&gt;0,"Manual","Sem cotação"))))</f>
        <v/>
      </c>
      <c r="J27" s="102" t="str">
        <f>IF(A27="","",N(E27)*H27)</f>
        <v/>
      </c>
      <c r="K27" s="70" t="str">
        <f>IF(A27="","",J27*W27)</f>
        <v/>
      </c>
      <c r="L27" s="30" t="str">
        <f>IF(A27="","",IF($K$6&gt;0,K27/$K$6,0))</f>
        <v/>
      </c>
      <c r="M27" s="72" t="str">
        <f>IF(A27="","",N(F27)-L27)</f>
        <v/>
      </c>
      <c r="N27" s="30" t="str">
        <f>IF(A27="","",IF($AB$6&gt;0,AB27/$AB$6,0))</f>
        <v/>
      </c>
      <c r="O27" s="74" t="str">
        <f>IF(A27="","",IF(AB27&lt;=0,"",COUNTIF($AB$9:$AB$208,"&gt;"&amp;AB27)+COUNTIF($AB$9:AB27,AB27)))</f>
        <v/>
      </c>
      <c r="P27" s="73" t="str">
        <f>IF(A27="","",IF(Q27&gt;0,"BUY","HOLD"))</f>
        <v/>
      </c>
      <c r="Q27" s="70" t="str">
        <f>IF(A27="","",IF($W$7&lt;=0,0,IF($AC$6&gt;0,$W$7*AC27/$AC$6,IF($F$6&gt;0,$W$7*N(F27)/$F$6,0))))</f>
        <v/>
      </c>
      <c r="R27" s="103" t="str">
        <f>IF(A27="","",N(AD27)+IF(AI27=1,N(AG27),0))</f>
        <v/>
      </c>
      <c r="S27" s="103" t="str">
        <f>IF(A27="","",N(E27)+N(R27))</f>
        <v/>
      </c>
      <c r="T27" s="70" t="str">
        <f>IF(A27="","",IF(N(R27)&gt;0,R27*H27*W27*$W$6+p_CorrFixa,0))</f>
        <v/>
      </c>
      <c r="V27" s="85" t="str">
        <f>IF(A27="","",IF(D27="",$W$1,D27))</f>
        <v/>
      </c>
      <c r="W27" s="85" t="str">
        <f>IF(A27="","",IFERROR(INDEX(moeda_fx,MATCH(V27,moeda_cod,0)),0))</f>
        <v/>
      </c>
      <c r="X27" s="85" t="str">
        <f>IF(A27="","",IF($W$2="",UPPER(TRIM(A27)),IF(RIGHT(UPPER(TRIM(A27)),LEN($W$2))=$W$2,UPPER(TRIM(A27)),UPPER(TRIM(A27))&amp;$W$2)))</f>
        <v/>
      </c>
      <c r="Y27" s="85" t="str">
        <f>IF(OR(A27="",p_ModoCot&lt;&gt;"Automático"),"",IFERROR(_xlfn.WEBSERVICE("https://query1.finance.yahoo.com/v8/finance/chart/"&amp;X27&amp;"?range=1d&amp;interval=1d"),""))</f>
        <v/>
      </c>
      <c r="Z27" s="85" t="str">
        <f>IF(Y27="","",IFERROR(_xlfn.NUMBERVALUE(MID(Y27,SEARCH("""regularMarketPrice"":",Y27)+21,SEARCH(",",Y27&amp;",",SEARCH("""regularMarketPrice"":",Y27)+21)-SEARCH("""regularMarketPrice"":",Y27)-21),".",","),""))</f>
        <v/>
      </c>
      <c r="AA27" s="85" t="str">
        <f>IF(A27="","",ROUND(MAX(0,N(F27)*($K$6+$W$7)-K27),2))</f>
        <v/>
      </c>
      <c r="AB27" s="85" t="str">
        <f>IF(A27="","",IF(AND(M27&gt;0,M27&gt;=p_DifMin),AA27,0))</f>
        <v/>
      </c>
      <c r="AC27" s="85" t="str">
        <f>IF(A27="","",IF(AND(AB27&gt;0,N(O27)&lt;=p_MaxAtivos),AB27,0))</f>
        <v/>
      </c>
      <c r="AD27" s="85" t="str">
        <f>IF(A27="","",IF(OR(Q27&lt;=0,Q27&lt;p_CompraMin,N(H27)&lt;=0,N(W27)&lt;=0),0,IF($W$3="Sim",TRUNC(ROUND(MAX(0,(Q27-p_CorrFixa)/(H27*W27*$W$6)),9),$W$4),TRUNC(ROUND(MAX(0,(Q27-p_CorrFixa)/(H27*W27*$W$6)),9)/$W$5)*$W$5)))</f>
        <v/>
      </c>
      <c r="AE27" s="85" t="str">
        <f>IF(A27="","",IF(N(AD27)&gt;0,AD27*H27*W27*$W$6+p_CorrFixa,0))</f>
        <v/>
      </c>
      <c r="AF27" s="85" t="str">
        <f>IF(A27="","",IF(OR($Y$1&lt;=0,N(H27)&lt;=0,N(W27)&lt;=0,N(AB27)&lt;=0),0,IF($W$3="Sim",TRUNC(ROUND(MAX(0,($Y$1-IF(N(AD27)&gt;0,0,p_CorrFixa))/(H27*W27*$W$6)),9),$W$4),TRUNC(ROUND(MAX(0,($Y$1-IF(N(AD27)&gt;0,0,p_CorrFixa))/(H27*W27*$W$6)),9)/$W$5)*$W$5)))</f>
        <v/>
      </c>
      <c r="AG27" s="85" t="str">
        <f>IF(A27="","",IF(AND(N(AD27)=0,N(AF27)*(H27*W27*$W$6)+p_CorrFixa&lt;p_CompraMin),0,AF27))</f>
        <v/>
      </c>
      <c r="AH27" s="85" t="str">
        <f>IF(A27="","",IF(N(AG27)&gt;0,AB27,0))</f>
        <v/>
      </c>
      <c r="AI27" s="85" t="str">
        <f>IF(A27="","",IF(AND(AH27&gt;0,AH27=$AH$6,COUNTIF($AH$9:AH27,AH27)=1),1,0))</f>
        <v/>
      </c>
    </row>
    <row r="28">
      <c r="A28" s="96" t="n"/>
      <c r="B28" s="96" t="n"/>
      <c r="C28" s="96" t="n"/>
      <c r="D28" s="97" t="n"/>
      <c r="E28" s="98" t="n"/>
      <c r="F28" s="99" t="n"/>
      <c r="G28" s="100" t="n"/>
      <c r="H28" s="104" t="str">
        <f>IF(A28="","",IF(AND(p_ModoCot="Automático",ISNUMBER(Z28)),Z28,IF(N(G28)&gt;0,G28,0)))</f>
        <v/>
      </c>
      <c r="I28" s="105" t="str">
        <f>IF(A28="","",IF(W28=0,"Sem câmbio",IF(AND(p_ModoCot="Automático",ISNUMBER(Z28)),"Auto",IF(N(G28)&gt;0,"Manual","Sem cotação"))))</f>
        <v/>
      </c>
      <c r="J28" s="106" t="str">
        <f>IF(A28="","",N(E28)*H28)</f>
        <v/>
      </c>
      <c r="K28" s="107" t="str">
        <f>IF(A28="","",J28*W28)</f>
        <v/>
      </c>
      <c r="L28" s="108" t="str">
        <f>IF(A28="","",IF($K$6&gt;0,K28/$K$6,0))</f>
        <v/>
      </c>
      <c r="M28" s="109" t="str">
        <f>IF(A28="","",N(F28)-L28)</f>
        <v/>
      </c>
      <c r="N28" s="108" t="str">
        <f>IF(A28="","",IF($AB$6&gt;0,AB28/$AB$6,0))</f>
        <v/>
      </c>
      <c r="O28" s="110" t="str">
        <f>IF(A28="","",IF(AB28&lt;=0,"",COUNTIF($AB$9:$AB$208,"&gt;"&amp;AB28)+COUNTIF($AB$9:AB28,AB28)))</f>
        <v/>
      </c>
      <c r="P28" s="105" t="str">
        <f>IF(A28="","",IF(Q28&gt;0,"BUY","HOLD"))</f>
        <v/>
      </c>
      <c r="Q28" s="107" t="str">
        <f>IF(A28="","",IF($W$7&lt;=0,0,IF($AC$6&gt;0,$W$7*AC28/$AC$6,IF($F$6&gt;0,$W$7*N(F28)/$F$6,0))))</f>
        <v/>
      </c>
      <c r="R28" s="111" t="str">
        <f>IF(A28="","",N(AD28)+IF(AI28=1,N(AG28),0))</f>
        <v/>
      </c>
      <c r="S28" s="111" t="str">
        <f>IF(A28="","",N(E28)+N(R28))</f>
        <v/>
      </c>
      <c r="T28" s="107" t="str">
        <f>IF(A28="","",IF(N(R28)&gt;0,R28*H28*W28*$W$6+p_CorrFixa,0))</f>
        <v/>
      </c>
      <c r="V28" s="85" t="str">
        <f>IF(A28="","",IF(D28="",$W$1,D28))</f>
        <v/>
      </c>
      <c r="W28" s="85" t="str">
        <f>IF(A28="","",IFERROR(INDEX(moeda_fx,MATCH(V28,moeda_cod,0)),0))</f>
        <v/>
      </c>
      <c r="X28" s="85" t="str">
        <f>IF(A28="","",IF($W$2="",UPPER(TRIM(A28)),IF(RIGHT(UPPER(TRIM(A28)),LEN($W$2))=$W$2,UPPER(TRIM(A28)),UPPER(TRIM(A28))&amp;$W$2)))</f>
        <v/>
      </c>
      <c r="Y28" s="85" t="str">
        <f>IF(OR(A28="",p_ModoCot&lt;&gt;"Automático"),"",IFERROR(_xlfn.WEBSERVICE("https://query1.finance.yahoo.com/v8/finance/chart/"&amp;X28&amp;"?range=1d&amp;interval=1d"),""))</f>
        <v/>
      </c>
      <c r="Z28" s="85" t="str">
        <f>IF(Y28="","",IFERROR(_xlfn.NUMBERVALUE(MID(Y28,SEARCH("""regularMarketPrice"":",Y28)+21,SEARCH(",",Y28&amp;",",SEARCH("""regularMarketPrice"":",Y28)+21)-SEARCH("""regularMarketPrice"":",Y28)-21),".",","),""))</f>
        <v/>
      </c>
      <c r="AA28" s="85" t="str">
        <f>IF(A28="","",ROUND(MAX(0,N(F28)*($K$6+$W$7)-K28),2))</f>
        <v/>
      </c>
      <c r="AB28" s="85" t="str">
        <f>IF(A28="","",IF(AND(M28&gt;0,M28&gt;=p_DifMin),AA28,0))</f>
        <v/>
      </c>
      <c r="AC28" s="85" t="str">
        <f>IF(A28="","",IF(AND(AB28&gt;0,N(O28)&lt;=p_MaxAtivos),AB28,0))</f>
        <v/>
      </c>
      <c r="AD28" s="85" t="str">
        <f>IF(A28="","",IF(OR(Q28&lt;=0,Q28&lt;p_CompraMin,N(H28)&lt;=0,N(W28)&lt;=0),0,IF($W$3="Sim",TRUNC(ROUND(MAX(0,(Q28-p_CorrFixa)/(H28*W28*$W$6)),9),$W$4),TRUNC(ROUND(MAX(0,(Q28-p_CorrFixa)/(H28*W28*$W$6)),9)/$W$5)*$W$5)))</f>
        <v/>
      </c>
      <c r="AE28" s="85" t="str">
        <f>IF(A28="","",IF(N(AD28)&gt;0,AD28*H28*W28*$W$6+p_CorrFixa,0))</f>
        <v/>
      </c>
      <c r="AF28" s="85" t="str">
        <f>IF(A28="","",IF(OR($Y$1&lt;=0,N(H28)&lt;=0,N(W28)&lt;=0,N(AB28)&lt;=0),0,IF($W$3="Sim",TRUNC(ROUND(MAX(0,($Y$1-IF(N(AD28)&gt;0,0,p_CorrFixa))/(H28*W28*$W$6)),9),$W$4),TRUNC(ROUND(MAX(0,($Y$1-IF(N(AD28)&gt;0,0,p_CorrFixa))/(H28*W28*$W$6)),9)/$W$5)*$W$5)))</f>
        <v/>
      </c>
      <c r="AG28" s="85" t="str">
        <f>IF(A28="","",IF(AND(N(AD28)=0,N(AF28)*(H28*W28*$W$6)+p_CorrFixa&lt;p_CompraMin),0,AF28))</f>
        <v/>
      </c>
      <c r="AH28" s="85" t="str">
        <f>IF(A28="","",IF(N(AG28)&gt;0,AB28,0))</f>
        <v/>
      </c>
      <c r="AI28" s="85" t="str">
        <f>IF(A28="","",IF(AND(AH28&gt;0,AH28=$AH$6,COUNTIF($AH$9:AH28,AH28)=1),1,0))</f>
        <v/>
      </c>
    </row>
    <row r="29">
      <c r="A29" s="96" t="n"/>
      <c r="B29" s="96" t="n"/>
      <c r="C29" s="96" t="n"/>
      <c r="D29" s="97" t="n"/>
      <c r="E29" s="98" t="n"/>
      <c r="F29" s="99" t="n"/>
      <c r="G29" s="100" t="n"/>
      <c r="H29" s="101" t="str">
        <f>IF(A29="","",IF(AND(p_ModoCot="Automático",ISNUMBER(Z29)),Z29,IF(N(G29)&gt;0,G29,0)))</f>
        <v/>
      </c>
      <c r="I29" s="73" t="str">
        <f>IF(A29="","",IF(W29=0,"Sem câmbio",IF(AND(p_ModoCot="Automático",ISNUMBER(Z29)),"Auto",IF(N(G29)&gt;0,"Manual","Sem cotação"))))</f>
        <v/>
      </c>
      <c r="J29" s="102" t="str">
        <f>IF(A29="","",N(E29)*H29)</f>
        <v/>
      </c>
      <c r="K29" s="70" t="str">
        <f>IF(A29="","",J29*W29)</f>
        <v/>
      </c>
      <c r="L29" s="30" t="str">
        <f>IF(A29="","",IF($K$6&gt;0,K29/$K$6,0))</f>
        <v/>
      </c>
      <c r="M29" s="72" t="str">
        <f>IF(A29="","",N(F29)-L29)</f>
        <v/>
      </c>
      <c r="N29" s="30" t="str">
        <f>IF(A29="","",IF($AB$6&gt;0,AB29/$AB$6,0))</f>
        <v/>
      </c>
      <c r="O29" s="74" t="str">
        <f>IF(A29="","",IF(AB29&lt;=0,"",COUNTIF($AB$9:$AB$208,"&gt;"&amp;AB29)+COUNTIF($AB$9:AB29,AB29)))</f>
        <v/>
      </c>
      <c r="P29" s="73" t="str">
        <f>IF(A29="","",IF(Q29&gt;0,"BUY","HOLD"))</f>
        <v/>
      </c>
      <c r="Q29" s="70" t="str">
        <f>IF(A29="","",IF($W$7&lt;=0,0,IF($AC$6&gt;0,$W$7*AC29/$AC$6,IF($F$6&gt;0,$W$7*N(F29)/$F$6,0))))</f>
        <v/>
      </c>
      <c r="R29" s="103" t="str">
        <f>IF(A29="","",N(AD29)+IF(AI29=1,N(AG29),0))</f>
        <v/>
      </c>
      <c r="S29" s="103" t="str">
        <f>IF(A29="","",N(E29)+N(R29))</f>
        <v/>
      </c>
      <c r="T29" s="70" t="str">
        <f>IF(A29="","",IF(N(R29)&gt;0,R29*H29*W29*$W$6+p_CorrFixa,0))</f>
        <v/>
      </c>
      <c r="V29" s="85" t="str">
        <f>IF(A29="","",IF(D29="",$W$1,D29))</f>
        <v/>
      </c>
      <c r="W29" s="85" t="str">
        <f>IF(A29="","",IFERROR(INDEX(moeda_fx,MATCH(V29,moeda_cod,0)),0))</f>
        <v/>
      </c>
      <c r="X29" s="85" t="str">
        <f>IF(A29="","",IF($W$2="",UPPER(TRIM(A29)),IF(RIGHT(UPPER(TRIM(A29)),LEN($W$2))=$W$2,UPPER(TRIM(A29)),UPPER(TRIM(A29))&amp;$W$2)))</f>
        <v/>
      </c>
      <c r="Y29" s="85" t="str">
        <f>IF(OR(A29="",p_ModoCot&lt;&gt;"Automático"),"",IFERROR(_xlfn.WEBSERVICE("https://query1.finance.yahoo.com/v8/finance/chart/"&amp;X29&amp;"?range=1d&amp;interval=1d"),""))</f>
        <v/>
      </c>
      <c r="Z29" s="85" t="str">
        <f>IF(Y29="","",IFERROR(_xlfn.NUMBERVALUE(MID(Y29,SEARCH("""regularMarketPrice"":",Y29)+21,SEARCH(",",Y29&amp;",",SEARCH("""regularMarketPrice"":",Y29)+21)-SEARCH("""regularMarketPrice"":",Y29)-21),".",","),""))</f>
        <v/>
      </c>
      <c r="AA29" s="85" t="str">
        <f>IF(A29="","",ROUND(MAX(0,N(F29)*($K$6+$W$7)-K29),2))</f>
        <v/>
      </c>
      <c r="AB29" s="85" t="str">
        <f>IF(A29="","",IF(AND(M29&gt;0,M29&gt;=p_DifMin),AA29,0))</f>
        <v/>
      </c>
      <c r="AC29" s="85" t="str">
        <f>IF(A29="","",IF(AND(AB29&gt;0,N(O29)&lt;=p_MaxAtivos),AB29,0))</f>
        <v/>
      </c>
      <c r="AD29" s="85" t="str">
        <f>IF(A29="","",IF(OR(Q29&lt;=0,Q29&lt;p_CompraMin,N(H29)&lt;=0,N(W29)&lt;=0),0,IF($W$3="Sim",TRUNC(ROUND(MAX(0,(Q29-p_CorrFixa)/(H29*W29*$W$6)),9),$W$4),TRUNC(ROUND(MAX(0,(Q29-p_CorrFixa)/(H29*W29*$W$6)),9)/$W$5)*$W$5)))</f>
        <v/>
      </c>
      <c r="AE29" s="85" t="str">
        <f>IF(A29="","",IF(N(AD29)&gt;0,AD29*H29*W29*$W$6+p_CorrFixa,0))</f>
        <v/>
      </c>
      <c r="AF29" s="85" t="str">
        <f>IF(A29="","",IF(OR($Y$1&lt;=0,N(H29)&lt;=0,N(W29)&lt;=0,N(AB29)&lt;=0),0,IF($W$3="Sim",TRUNC(ROUND(MAX(0,($Y$1-IF(N(AD29)&gt;0,0,p_CorrFixa))/(H29*W29*$W$6)),9),$W$4),TRUNC(ROUND(MAX(0,($Y$1-IF(N(AD29)&gt;0,0,p_CorrFixa))/(H29*W29*$W$6)),9)/$W$5)*$W$5)))</f>
        <v/>
      </c>
      <c r="AG29" s="85" t="str">
        <f>IF(A29="","",IF(AND(N(AD29)=0,N(AF29)*(H29*W29*$W$6)+p_CorrFixa&lt;p_CompraMin),0,AF29))</f>
        <v/>
      </c>
      <c r="AH29" s="85" t="str">
        <f>IF(A29="","",IF(N(AG29)&gt;0,AB29,0))</f>
        <v/>
      </c>
      <c r="AI29" s="85" t="str">
        <f>IF(A29="","",IF(AND(AH29&gt;0,AH29=$AH$6,COUNTIF($AH$9:AH29,AH29)=1),1,0))</f>
        <v/>
      </c>
    </row>
    <row r="30">
      <c r="A30" s="96" t="n"/>
      <c r="B30" s="96" t="n"/>
      <c r="C30" s="96" t="n"/>
      <c r="D30" s="97" t="n"/>
      <c r="E30" s="98" t="n"/>
      <c r="F30" s="99" t="n"/>
      <c r="G30" s="100" t="n"/>
      <c r="H30" s="104" t="str">
        <f>IF(A30="","",IF(AND(p_ModoCot="Automático",ISNUMBER(Z30)),Z30,IF(N(G30)&gt;0,G30,0)))</f>
        <v/>
      </c>
      <c r="I30" s="105" t="str">
        <f>IF(A30="","",IF(W30=0,"Sem câmbio",IF(AND(p_ModoCot="Automático",ISNUMBER(Z30)),"Auto",IF(N(G30)&gt;0,"Manual","Sem cotação"))))</f>
        <v/>
      </c>
      <c r="J30" s="106" t="str">
        <f>IF(A30="","",N(E30)*H30)</f>
        <v/>
      </c>
      <c r="K30" s="107" t="str">
        <f>IF(A30="","",J30*W30)</f>
        <v/>
      </c>
      <c r="L30" s="108" t="str">
        <f>IF(A30="","",IF($K$6&gt;0,K30/$K$6,0))</f>
        <v/>
      </c>
      <c r="M30" s="109" t="str">
        <f>IF(A30="","",N(F30)-L30)</f>
        <v/>
      </c>
      <c r="N30" s="108" t="str">
        <f>IF(A30="","",IF($AB$6&gt;0,AB30/$AB$6,0))</f>
        <v/>
      </c>
      <c r="O30" s="110" t="str">
        <f>IF(A30="","",IF(AB30&lt;=0,"",COUNTIF($AB$9:$AB$208,"&gt;"&amp;AB30)+COUNTIF($AB$9:AB30,AB30)))</f>
        <v/>
      </c>
      <c r="P30" s="105" t="str">
        <f>IF(A30="","",IF(Q30&gt;0,"BUY","HOLD"))</f>
        <v/>
      </c>
      <c r="Q30" s="107" t="str">
        <f>IF(A30="","",IF($W$7&lt;=0,0,IF($AC$6&gt;0,$W$7*AC30/$AC$6,IF($F$6&gt;0,$W$7*N(F30)/$F$6,0))))</f>
        <v/>
      </c>
      <c r="R30" s="111" t="str">
        <f>IF(A30="","",N(AD30)+IF(AI30=1,N(AG30),0))</f>
        <v/>
      </c>
      <c r="S30" s="111" t="str">
        <f>IF(A30="","",N(E30)+N(R30))</f>
        <v/>
      </c>
      <c r="T30" s="107" t="str">
        <f>IF(A30="","",IF(N(R30)&gt;0,R30*H30*W30*$W$6+p_CorrFixa,0))</f>
        <v/>
      </c>
      <c r="V30" s="85" t="str">
        <f>IF(A30="","",IF(D30="",$W$1,D30))</f>
        <v/>
      </c>
      <c r="W30" s="85" t="str">
        <f>IF(A30="","",IFERROR(INDEX(moeda_fx,MATCH(V30,moeda_cod,0)),0))</f>
        <v/>
      </c>
      <c r="X30" s="85" t="str">
        <f>IF(A30="","",IF($W$2="",UPPER(TRIM(A30)),IF(RIGHT(UPPER(TRIM(A30)),LEN($W$2))=$W$2,UPPER(TRIM(A30)),UPPER(TRIM(A30))&amp;$W$2)))</f>
        <v/>
      </c>
      <c r="Y30" s="85" t="str">
        <f>IF(OR(A30="",p_ModoCot&lt;&gt;"Automático"),"",IFERROR(_xlfn.WEBSERVICE("https://query1.finance.yahoo.com/v8/finance/chart/"&amp;X30&amp;"?range=1d&amp;interval=1d"),""))</f>
        <v/>
      </c>
      <c r="Z30" s="85" t="str">
        <f>IF(Y30="","",IFERROR(_xlfn.NUMBERVALUE(MID(Y30,SEARCH("""regularMarketPrice"":",Y30)+21,SEARCH(",",Y30&amp;",",SEARCH("""regularMarketPrice"":",Y30)+21)-SEARCH("""regularMarketPrice"":",Y30)-21),".",","),""))</f>
        <v/>
      </c>
      <c r="AA30" s="85" t="str">
        <f>IF(A30="","",ROUND(MAX(0,N(F30)*($K$6+$W$7)-K30),2))</f>
        <v/>
      </c>
      <c r="AB30" s="85" t="str">
        <f>IF(A30="","",IF(AND(M30&gt;0,M30&gt;=p_DifMin),AA30,0))</f>
        <v/>
      </c>
      <c r="AC30" s="85" t="str">
        <f>IF(A30="","",IF(AND(AB30&gt;0,N(O30)&lt;=p_MaxAtivos),AB30,0))</f>
        <v/>
      </c>
      <c r="AD30" s="85" t="str">
        <f>IF(A30="","",IF(OR(Q30&lt;=0,Q30&lt;p_CompraMin,N(H30)&lt;=0,N(W30)&lt;=0),0,IF($W$3="Sim",TRUNC(ROUND(MAX(0,(Q30-p_CorrFixa)/(H30*W30*$W$6)),9),$W$4),TRUNC(ROUND(MAX(0,(Q30-p_CorrFixa)/(H30*W30*$W$6)),9)/$W$5)*$W$5)))</f>
        <v/>
      </c>
      <c r="AE30" s="85" t="str">
        <f>IF(A30="","",IF(N(AD30)&gt;0,AD30*H30*W30*$W$6+p_CorrFixa,0))</f>
        <v/>
      </c>
      <c r="AF30" s="85" t="str">
        <f>IF(A30="","",IF(OR($Y$1&lt;=0,N(H30)&lt;=0,N(W30)&lt;=0,N(AB30)&lt;=0),0,IF($W$3="Sim",TRUNC(ROUND(MAX(0,($Y$1-IF(N(AD30)&gt;0,0,p_CorrFixa))/(H30*W30*$W$6)),9),$W$4),TRUNC(ROUND(MAX(0,($Y$1-IF(N(AD30)&gt;0,0,p_CorrFixa))/(H30*W30*$W$6)),9)/$W$5)*$W$5)))</f>
        <v/>
      </c>
      <c r="AG30" s="85" t="str">
        <f>IF(A30="","",IF(AND(N(AD30)=0,N(AF30)*(H30*W30*$W$6)+p_CorrFixa&lt;p_CompraMin),0,AF30))</f>
        <v/>
      </c>
      <c r="AH30" s="85" t="str">
        <f>IF(A30="","",IF(N(AG30)&gt;0,AB30,0))</f>
        <v/>
      </c>
      <c r="AI30" s="85" t="str">
        <f>IF(A30="","",IF(AND(AH30&gt;0,AH30=$AH$6,COUNTIF($AH$9:AH30,AH30)=1),1,0))</f>
        <v/>
      </c>
    </row>
    <row r="31">
      <c r="A31" s="96" t="n"/>
      <c r="B31" s="96" t="n"/>
      <c r="C31" s="96" t="n"/>
      <c r="D31" s="97" t="n"/>
      <c r="E31" s="98" t="n"/>
      <c r="F31" s="99" t="n"/>
      <c r="G31" s="100" t="n"/>
      <c r="H31" s="101" t="str">
        <f>IF(A31="","",IF(AND(p_ModoCot="Automático",ISNUMBER(Z31)),Z31,IF(N(G31)&gt;0,G31,0)))</f>
        <v/>
      </c>
      <c r="I31" s="73" t="str">
        <f>IF(A31="","",IF(W31=0,"Sem câmbio",IF(AND(p_ModoCot="Automático",ISNUMBER(Z31)),"Auto",IF(N(G31)&gt;0,"Manual","Sem cotação"))))</f>
        <v/>
      </c>
      <c r="J31" s="102" t="str">
        <f>IF(A31="","",N(E31)*H31)</f>
        <v/>
      </c>
      <c r="K31" s="70" t="str">
        <f>IF(A31="","",J31*W31)</f>
        <v/>
      </c>
      <c r="L31" s="30" t="str">
        <f>IF(A31="","",IF($K$6&gt;0,K31/$K$6,0))</f>
        <v/>
      </c>
      <c r="M31" s="72" t="str">
        <f>IF(A31="","",N(F31)-L31)</f>
        <v/>
      </c>
      <c r="N31" s="30" t="str">
        <f>IF(A31="","",IF($AB$6&gt;0,AB31/$AB$6,0))</f>
        <v/>
      </c>
      <c r="O31" s="74" t="str">
        <f>IF(A31="","",IF(AB31&lt;=0,"",COUNTIF($AB$9:$AB$208,"&gt;"&amp;AB31)+COUNTIF($AB$9:AB31,AB31)))</f>
        <v/>
      </c>
      <c r="P31" s="73" t="str">
        <f>IF(A31="","",IF(Q31&gt;0,"BUY","HOLD"))</f>
        <v/>
      </c>
      <c r="Q31" s="70" t="str">
        <f>IF(A31="","",IF($W$7&lt;=0,0,IF($AC$6&gt;0,$W$7*AC31/$AC$6,IF($F$6&gt;0,$W$7*N(F31)/$F$6,0))))</f>
        <v/>
      </c>
      <c r="R31" s="103" t="str">
        <f>IF(A31="","",N(AD31)+IF(AI31=1,N(AG31),0))</f>
        <v/>
      </c>
      <c r="S31" s="103" t="str">
        <f>IF(A31="","",N(E31)+N(R31))</f>
        <v/>
      </c>
      <c r="T31" s="70" t="str">
        <f>IF(A31="","",IF(N(R31)&gt;0,R31*H31*W31*$W$6+p_CorrFixa,0))</f>
        <v/>
      </c>
      <c r="V31" s="85" t="str">
        <f>IF(A31="","",IF(D31="",$W$1,D31))</f>
        <v/>
      </c>
      <c r="W31" s="85" t="str">
        <f>IF(A31="","",IFERROR(INDEX(moeda_fx,MATCH(V31,moeda_cod,0)),0))</f>
        <v/>
      </c>
      <c r="X31" s="85" t="str">
        <f>IF(A31="","",IF($W$2="",UPPER(TRIM(A31)),IF(RIGHT(UPPER(TRIM(A31)),LEN($W$2))=$W$2,UPPER(TRIM(A31)),UPPER(TRIM(A31))&amp;$W$2)))</f>
        <v/>
      </c>
      <c r="Y31" s="85" t="str">
        <f>IF(OR(A31="",p_ModoCot&lt;&gt;"Automático"),"",IFERROR(_xlfn.WEBSERVICE("https://query1.finance.yahoo.com/v8/finance/chart/"&amp;X31&amp;"?range=1d&amp;interval=1d"),""))</f>
        <v/>
      </c>
      <c r="Z31" s="85" t="str">
        <f>IF(Y31="","",IFERROR(_xlfn.NUMBERVALUE(MID(Y31,SEARCH("""regularMarketPrice"":",Y31)+21,SEARCH(",",Y31&amp;",",SEARCH("""regularMarketPrice"":",Y31)+21)-SEARCH("""regularMarketPrice"":",Y31)-21),".",","),""))</f>
        <v/>
      </c>
      <c r="AA31" s="85" t="str">
        <f>IF(A31="","",ROUND(MAX(0,N(F31)*($K$6+$W$7)-K31),2))</f>
        <v/>
      </c>
      <c r="AB31" s="85" t="str">
        <f>IF(A31="","",IF(AND(M31&gt;0,M31&gt;=p_DifMin),AA31,0))</f>
        <v/>
      </c>
      <c r="AC31" s="85" t="str">
        <f>IF(A31="","",IF(AND(AB31&gt;0,N(O31)&lt;=p_MaxAtivos),AB31,0))</f>
        <v/>
      </c>
      <c r="AD31" s="85" t="str">
        <f>IF(A31="","",IF(OR(Q31&lt;=0,Q31&lt;p_CompraMin,N(H31)&lt;=0,N(W31)&lt;=0),0,IF($W$3="Sim",TRUNC(ROUND(MAX(0,(Q31-p_CorrFixa)/(H31*W31*$W$6)),9),$W$4),TRUNC(ROUND(MAX(0,(Q31-p_CorrFixa)/(H31*W31*$W$6)),9)/$W$5)*$W$5)))</f>
        <v/>
      </c>
      <c r="AE31" s="85" t="str">
        <f>IF(A31="","",IF(N(AD31)&gt;0,AD31*H31*W31*$W$6+p_CorrFixa,0))</f>
        <v/>
      </c>
      <c r="AF31" s="85" t="str">
        <f>IF(A31="","",IF(OR($Y$1&lt;=0,N(H31)&lt;=0,N(W31)&lt;=0,N(AB31)&lt;=0),0,IF($W$3="Sim",TRUNC(ROUND(MAX(0,($Y$1-IF(N(AD31)&gt;0,0,p_CorrFixa))/(H31*W31*$W$6)),9),$W$4),TRUNC(ROUND(MAX(0,($Y$1-IF(N(AD31)&gt;0,0,p_CorrFixa))/(H31*W31*$W$6)),9)/$W$5)*$W$5)))</f>
        <v/>
      </c>
      <c r="AG31" s="85" t="str">
        <f>IF(A31="","",IF(AND(N(AD31)=0,N(AF31)*(H31*W31*$W$6)+p_CorrFixa&lt;p_CompraMin),0,AF31))</f>
        <v/>
      </c>
      <c r="AH31" s="85" t="str">
        <f>IF(A31="","",IF(N(AG31)&gt;0,AB31,0))</f>
        <v/>
      </c>
      <c r="AI31" s="85" t="str">
        <f>IF(A31="","",IF(AND(AH31&gt;0,AH31=$AH$6,COUNTIF($AH$9:AH31,AH31)=1),1,0))</f>
        <v/>
      </c>
    </row>
    <row r="32">
      <c r="A32" s="96" t="n"/>
      <c r="B32" s="96" t="n"/>
      <c r="C32" s="96" t="n"/>
      <c r="D32" s="97" t="n"/>
      <c r="E32" s="98" t="n"/>
      <c r="F32" s="99" t="n"/>
      <c r="G32" s="100" t="n"/>
      <c r="H32" s="104" t="str">
        <f>IF(A32="","",IF(AND(p_ModoCot="Automático",ISNUMBER(Z32)),Z32,IF(N(G32)&gt;0,G32,0)))</f>
        <v/>
      </c>
      <c r="I32" s="105" t="str">
        <f>IF(A32="","",IF(W32=0,"Sem câmbio",IF(AND(p_ModoCot="Automático",ISNUMBER(Z32)),"Auto",IF(N(G32)&gt;0,"Manual","Sem cotação"))))</f>
        <v/>
      </c>
      <c r="J32" s="106" t="str">
        <f>IF(A32="","",N(E32)*H32)</f>
        <v/>
      </c>
      <c r="K32" s="107" t="str">
        <f>IF(A32="","",J32*W32)</f>
        <v/>
      </c>
      <c r="L32" s="108" t="str">
        <f>IF(A32="","",IF($K$6&gt;0,K32/$K$6,0))</f>
        <v/>
      </c>
      <c r="M32" s="109" t="str">
        <f>IF(A32="","",N(F32)-L32)</f>
        <v/>
      </c>
      <c r="N32" s="108" t="str">
        <f>IF(A32="","",IF($AB$6&gt;0,AB32/$AB$6,0))</f>
        <v/>
      </c>
      <c r="O32" s="110" t="str">
        <f>IF(A32="","",IF(AB32&lt;=0,"",COUNTIF($AB$9:$AB$208,"&gt;"&amp;AB32)+COUNTIF($AB$9:AB32,AB32)))</f>
        <v/>
      </c>
      <c r="P32" s="105" t="str">
        <f>IF(A32="","",IF(Q32&gt;0,"BUY","HOLD"))</f>
        <v/>
      </c>
      <c r="Q32" s="107" t="str">
        <f>IF(A32="","",IF($W$7&lt;=0,0,IF($AC$6&gt;0,$W$7*AC32/$AC$6,IF($F$6&gt;0,$W$7*N(F32)/$F$6,0))))</f>
        <v/>
      </c>
      <c r="R32" s="111" t="str">
        <f>IF(A32="","",N(AD32)+IF(AI32=1,N(AG32),0))</f>
        <v/>
      </c>
      <c r="S32" s="111" t="str">
        <f>IF(A32="","",N(E32)+N(R32))</f>
        <v/>
      </c>
      <c r="T32" s="107" t="str">
        <f>IF(A32="","",IF(N(R32)&gt;0,R32*H32*W32*$W$6+p_CorrFixa,0))</f>
        <v/>
      </c>
      <c r="V32" s="85" t="str">
        <f>IF(A32="","",IF(D32="",$W$1,D32))</f>
        <v/>
      </c>
      <c r="W32" s="85" t="str">
        <f>IF(A32="","",IFERROR(INDEX(moeda_fx,MATCH(V32,moeda_cod,0)),0))</f>
        <v/>
      </c>
      <c r="X32" s="85" t="str">
        <f>IF(A32="","",IF($W$2="",UPPER(TRIM(A32)),IF(RIGHT(UPPER(TRIM(A32)),LEN($W$2))=$W$2,UPPER(TRIM(A32)),UPPER(TRIM(A32))&amp;$W$2)))</f>
        <v/>
      </c>
      <c r="Y32" s="85" t="str">
        <f>IF(OR(A32="",p_ModoCot&lt;&gt;"Automático"),"",IFERROR(_xlfn.WEBSERVICE("https://query1.finance.yahoo.com/v8/finance/chart/"&amp;X32&amp;"?range=1d&amp;interval=1d"),""))</f>
        <v/>
      </c>
      <c r="Z32" s="85" t="str">
        <f>IF(Y32="","",IFERROR(_xlfn.NUMBERVALUE(MID(Y32,SEARCH("""regularMarketPrice"":",Y32)+21,SEARCH(",",Y32&amp;",",SEARCH("""regularMarketPrice"":",Y32)+21)-SEARCH("""regularMarketPrice"":",Y32)-21),".",","),""))</f>
        <v/>
      </c>
      <c r="AA32" s="85" t="str">
        <f>IF(A32="","",ROUND(MAX(0,N(F32)*($K$6+$W$7)-K32),2))</f>
        <v/>
      </c>
      <c r="AB32" s="85" t="str">
        <f>IF(A32="","",IF(AND(M32&gt;0,M32&gt;=p_DifMin),AA32,0))</f>
        <v/>
      </c>
      <c r="AC32" s="85" t="str">
        <f>IF(A32="","",IF(AND(AB32&gt;0,N(O32)&lt;=p_MaxAtivos),AB32,0))</f>
        <v/>
      </c>
      <c r="AD32" s="85" t="str">
        <f>IF(A32="","",IF(OR(Q32&lt;=0,Q32&lt;p_CompraMin,N(H32)&lt;=0,N(W32)&lt;=0),0,IF($W$3="Sim",TRUNC(ROUND(MAX(0,(Q32-p_CorrFixa)/(H32*W32*$W$6)),9),$W$4),TRUNC(ROUND(MAX(0,(Q32-p_CorrFixa)/(H32*W32*$W$6)),9)/$W$5)*$W$5)))</f>
        <v/>
      </c>
      <c r="AE32" s="85" t="str">
        <f>IF(A32="","",IF(N(AD32)&gt;0,AD32*H32*W32*$W$6+p_CorrFixa,0))</f>
        <v/>
      </c>
      <c r="AF32" s="85" t="str">
        <f>IF(A32="","",IF(OR($Y$1&lt;=0,N(H32)&lt;=0,N(W32)&lt;=0,N(AB32)&lt;=0),0,IF($W$3="Sim",TRUNC(ROUND(MAX(0,($Y$1-IF(N(AD32)&gt;0,0,p_CorrFixa))/(H32*W32*$W$6)),9),$W$4),TRUNC(ROUND(MAX(0,($Y$1-IF(N(AD32)&gt;0,0,p_CorrFixa))/(H32*W32*$W$6)),9)/$W$5)*$W$5)))</f>
        <v/>
      </c>
      <c r="AG32" s="85" t="str">
        <f>IF(A32="","",IF(AND(N(AD32)=0,N(AF32)*(H32*W32*$W$6)+p_CorrFixa&lt;p_CompraMin),0,AF32))</f>
        <v/>
      </c>
      <c r="AH32" s="85" t="str">
        <f>IF(A32="","",IF(N(AG32)&gt;0,AB32,0))</f>
        <v/>
      </c>
      <c r="AI32" s="85" t="str">
        <f>IF(A32="","",IF(AND(AH32&gt;0,AH32=$AH$6,COUNTIF($AH$9:AH32,AH32)=1),1,0))</f>
        <v/>
      </c>
    </row>
    <row r="33">
      <c r="A33" s="96" t="n"/>
      <c r="B33" s="96" t="n"/>
      <c r="C33" s="96" t="n"/>
      <c r="D33" s="97" t="n"/>
      <c r="E33" s="98" t="n"/>
      <c r="F33" s="99" t="n"/>
      <c r="G33" s="100" t="n"/>
      <c r="H33" s="101" t="str">
        <f>IF(A33="","",IF(AND(p_ModoCot="Automático",ISNUMBER(Z33)),Z33,IF(N(G33)&gt;0,G33,0)))</f>
        <v/>
      </c>
      <c r="I33" s="73" t="str">
        <f>IF(A33="","",IF(W33=0,"Sem câmbio",IF(AND(p_ModoCot="Automático",ISNUMBER(Z33)),"Auto",IF(N(G33)&gt;0,"Manual","Sem cotação"))))</f>
        <v/>
      </c>
      <c r="J33" s="102" t="str">
        <f>IF(A33="","",N(E33)*H33)</f>
        <v/>
      </c>
      <c r="K33" s="70" t="str">
        <f>IF(A33="","",J33*W33)</f>
        <v/>
      </c>
      <c r="L33" s="30" t="str">
        <f>IF(A33="","",IF($K$6&gt;0,K33/$K$6,0))</f>
        <v/>
      </c>
      <c r="M33" s="72" t="str">
        <f>IF(A33="","",N(F33)-L33)</f>
        <v/>
      </c>
      <c r="N33" s="30" t="str">
        <f>IF(A33="","",IF($AB$6&gt;0,AB33/$AB$6,0))</f>
        <v/>
      </c>
      <c r="O33" s="74" t="str">
        <f>IF(A33="","",IF(AB33&lt;=0,"",COUNTIF($AB$9:$AB$208,"&gt;"&amp;AB33)+COUNTIF($AB$9:AB33,AB33)))</f>
        <v/>
      </c>
      <c r="P33" s="73" t="str">
        <f>IF(A33="","",IF(Q33&gt;0,"BUY","HOLD"))</f>
        <v/>
      </c>
      <c r="Q33" s="70" t="str">
        <f>IF(A33="","",IF($W$7&lt;=0,0,IF($AC$6&gt;0,$W$7*AC33/$AC$6,IF($F$6&gt;0,$W$7*N(F33)/$F$6,0))))</f>
        <v/>
      </c>
      <c r="R33" s="103" t="str">
        <f>IF(A33="","",N(AD33)+IF(AI33=1,N(AG33),0))</f>
        <v/>
      </c>
      <c r="S33" s="103" t="str">
        <f>IF(A33="","",N(E33)+N(R33))</f>
        <v/>
      </c>
      <c r="T33" s="70" t="str">
        <f>IF(A33="","",IF(N(R33)&gt;0,R33*H33*W33*$W$6+p_CorrFixa,0))</f>
        <v/>
      </c>
      <c r="V33" s="85" t="str">
        <f>IF(A33="","",IF(D33="",$W$1,D33))</f>
        <v/>
      </c>
      <c r="W33" s="85" t="str">
        <f>IF(A33="","",IFERROR(INDEX(moeda_fx,MATCH(V33,moeda_cod,0)),0))</f>
        <v/>
      </c>
      <c r="X33" s="85" t="str">
        <f>IF(A33="","",IF($W$2="",UPPER(TRIM(A33)),IF(RIGHT(UPPER(TRIM(A33)),LEN($W$2))=$W$2,UPPER(TRIM(A33)),UPPER(TRIM(A33))&amp;$W$2)))</f>
        <v/>
      </c>
      <c r="Y33" s="85" t="str">
        <f>IF(OR(A33="",p_ModoCot&lt;&gt;"Automático"),"",IFERROR(_xlfn.WEBSERVICE("https://query1.finance.yahoo.com/v8/finance/chart/"&amp;X33&amp;"?range=1d&amp;interval=1d"),""))</f>
        <v/>
      </c>
      <c r="Z33" s="85" t="str">
        <f>IF(Y33="","",IFERROR(_xlfn.NUMBERVALUE(MID(Y33,SEARCH("""regularMarketPrice"":",Y33)+21,SEARCH(",",Y33&amp;",",SEARCH("""regularMarketPrice"":",Y33)+21)-SEARCH("""regularMarketPrice"":",Y33)-21),".",","),""))</f>
        <v/>
      </c>
      <c r="AA33" s="85" t="str">
        <f>IF(A33="","",ROUND(MAX(0,N(F33)*($K$6+$W$7)-K33),2))</f>
        <v/>
      </c>
      <c r="AB33" s="85" t="str">
        <f>IF(A33="","",IF(AND(M33&gt;0,M33&gt;=p_DifMin),AA33,0))</f>
        <v/>
      </c>
      <c r="AC33" s="85" t="str">
        <f>IF(A33="","",IF(AND(AB33&gt;0,N(O33)&lt;=p_MaxAtivos),AB33,0))</f>
        <v/>
      </c>
      <c r="AD33" s="85" t="str">
        <f>IF(A33="","",IF(OR(Q33&lt;=0,Q33&lt;p_CompraMin,N(H33)&lt;=0,N(W33)&lt;=0),0,IF($W$3="Sim",TRUNC(ROUND(MAX(0,(Q33-p_CorrFixa)/(H33*W33*$W$6)),9),$W$4),TRUNC(ROUND(MAX(0,(Q33-p_CorrFixa)/(H33*W33*$W$6)),9)/$W$5)*$W$5)))</f>
        <v/>
      </c>
      <c r="AE33" s="85" t="str">
        <f>IF(A33="","",IF(N(AD33)&gt;0,AD33*H33*W33*$W$6+p_CorrFixa,0))</f>
        <v/>
      </c>
      <c r="AF33" s="85" t="str">
        <f>IF(A33="","",IF(OR($Y$1&lt;=0,N(H33)&lt;=0,N(W33)&lt;=0,N(AB33)&lt;=0),0,IF($W$3="Sim",TRUNC(ROUND(MAX(0,($Y$1-IF(N(AD33)&gt;0,0,p_CorrFixa))/(H33*W33*$W$6)),9),$W$4),TRUNC(ROUND(MAX(0,($Y$1-IF(N(AD33)&gt;0,0,p_CorrFixa))/(H33*W33*$W$6)),9)/$W$5)*$W$5)))</f>
        <v/>
      </c>
      <c r="AG33" s="85" t="str">
        <f>IF(A33="","",IF(AND(N(AD33)=0,N(AF33)*(H33*W33*$W$6)+p_CorrFixa&lt;p_CompraMin),0,AF33))</f>
        <v/>
      </c>
      <c r="AH33" s="85" t="str">
        <f>IF(A33="","",IF(N(AG33)&gt;0,AB33,0))</f>
        <v/>
      </c>
      <c r="AI33" s="85" t="str">
        <f>IF(A33="","",IF(AND(AH33&gt;0,AH33=$AH$6,COUNTIF($AH$9:AH33,AH33)=1),1,0))</f>
        <v/>
      </c>
    </row>
    <row r="34">
      <c r="A34" s="96" t="n"/>
      <c r="B34" s="96" t="n"/>
      <c r="C34" s="96" t="n"/>
      <c r="D34" s="97" t="n"/>
      <c r="E34" s="98" t="n"/>
      <c r="F34" s="99" t="n"/>
      <c r="G34" s="100" t="n"/>
      <c r="H34" s="104" t="str">
        <f>IF(A34="","",IF(AND(p_ModoCot="Automático",ISNUMBER(Z34)),Z34,IF(N(G34)&gt;0,G34,0)))</f>
        <v/>
      </c>
      <c r="I34" s="105" t="str">
        <f>IF(A34="","",IF(W34=0,"Sem câmbio",IF(AND(p_ModoCot="Automático",ISNUMBER(Z34)),"Auto",IF(N(G34)&gt;0,"Manual","Sem cotação"))))</f>
        <v/>
      </c>
      <c r="J34" s="106" t="str">
        <f>IF(A34="","",N(E34)*H34)</f>
        <v/>
      </c>
      <c r="K34" s="107" t="str">
        <f>IF(A34="","",J34*W34)</f>
        <v/>
      </c>
      <c r="L34" s="108" t="str">
        <f>IF(A34="","",IF($K$6&gt;0,K34/$K$6,0))</f>
        <v/>
      </c>
      <c r="M34" s="109" t="str">
        <f>IF(A34="","",N(F34)-L34)</f>
        <v/>
      </c>
      <c r="N34" s="108" t="str">
        <f>IF(A34="","",IF($AB$6&gt;0,AB34/$AB$6,0))</f>
        <v/>
      </c>
      <c r="O34" s="110" t="str">
        <f>IF(A34="","",IF(AB34&lt;=0,"",COUNTIF($AB$9:$AB$208,"&gt;"&amp;AB34)+COUNTIF($AB$9:AB34,AB34)))</f>
        <v/>
      </c>
      <c r="P34" s="105" t="str">
        <f>IF(A34="","",IF(Q34&gt;0,"BUY","HOLD"))</f>
        <v/>
      </c>
      <c r="Q34" s="107" t="str">
        <f>IF(A34="","",IF($W$7&lt;=0,0,IF($AC$6&gt;0,$W$7*AC34/$AC$6,IF($F$6&gt;0,$W$7*N(F34)/$F$6,0))))</f>
        <v/>
      </c>
      <c r="R34" s="111" t="str">
        <f>IF(A34="","",N(AD34)+IF(AI34=1,N(AG34),0))</f>
        <v/>
      </c>
      <c r="S34" s="111" t="str">
        <f>IF(A34="","",N(E34)+N(R34))</f>
        <v/>
      </c>
      <c r="T34" s="107" t="str">
        <f>IF(A34="","",IF(N(R34)&gt;0,R34*H34*W34*$W$6+p_CorrFixa,0))</f>
        <v/>
      </c>
      <c r="V34" s="85" t="str">
        <f>IF(A34="","",IF(D34="",$W$1,D34))</f>
        <v/>
      </c>
      <c r="W34" s="85" t="str">
        <f>IF(A34="","",IFERROR(INDEX(moeda_fx,MATCH(V34,moeda_cod,0)),0))</f>
        <v/>
      </c>
      <c r="X34" s="85" t="str">
        <f>IF(A34="","",IF($W$2="",UPPER(TRIM(A34)),IF(RIGHT(UPPER(TRIM(A34)),LEN($W$2))=$W$2,UPPER(TRIM(A34)),UPPER(TRIM(A34))&amp;$W$2)))</f>
        <v/>
      </c>
      <c r="Y34" s="85" t="str">
        <f>IF(OR(A34="",p_ModoCot&lt;&gt;"Automático"),"",IFERROR(_xlfn.WEBSERVICE("https://query1.finance.yahoo.com/v8/finance/chart/"&amp;X34&amp;"?range=1d&amp;interval=1d"),""))</f>
        <v/>
      </c>
      <c r="Z34" s="85" t="str">
        <f>IF(Y34="","",IFERROR(_xlfn.NUMBERVALUE(MID(Y34,SEARCH("""regularMarketPrice"":",Y34)+21,SEARCH(",",Y34&amp;",",SEARCH("""regularMarketPrice"":",Y34)+21)-SEARCH("""regularMarketPrice"":",Y34)-21),".",","),""))</f>
        <v/>
      </c>
      <c r="AA34" s="85" t="str">
        <f>IF(A34="","",ROUND(MAX(0,N(F34)*($K$6+$W$7)-K34),2))</f>
        <v/>
      </c>
      <c r="AB34" s="85" t="str">
        <f>IF(A34="","",IF(AND(M34&gt;0,M34&gt;=p_DifMin),AA34,0))</f>
        <v/>
      </c>
      <c r="AC34" s="85" t="str">
        <f>IF(A34="","",IF(AND(AB34&gt;0,N(O34)&lt;=p_MaxAtivos),AB34,0))</f>
        <v/>
      </c>
      <c r="AD34" s="85" t="str">
        <f>IF(A34="","",IF(OR(Q34&lt;=0,Q34&lt;p_CompraMin,N(H34)&lt;=0,N(W34)&lt;=0),0,IF($W$3="Sim",TRUNC(ROUND(MAX(0,(Q34-p_CorrFixa)/(H34*W34*$W$6)),9),$W$4),TRUNC(ROUND(MAX(0,(Q34-p_CorrFixa)/(H34*W34*$W$6)),9)/$W$5)*$W$5)))</f>
        <v/>
      </c>
      <c r="AE34" s="85" t="str">
        <f>IF(A34="","",IF(N(AD34)&gt;0,AD34*H34*W34*$W$6+p_CorrFixa,0))</f>
        <v/>
      </c>
      <c r="AF34" s="85" t="str">
        <f>IF(A34="","",IF(OR($Y$1&lt;=0,N(H34)&lt;=0,N(W34)&lt;=0,N(AB34)&lt;=0),0,IF($W$3="Sim",TRUNC(ROUND(MAX(0,($Y$1-IF(N(AD34)&gt;0,0,p_CorrFixa))/(H34*W34*$W$6)),9),$W$4),TRUNC(ROUND(MAX(0,($Y$1-IF(N(AD34)&gt;0,0,p_CorrFixa))/(H34*W34*$W$6)),9)/$W$5)*$W$5)))</f>
        <v/>
      </c>
      <c r="AG34" s="85" t="str">
        <f>IF(A34="","",IF(AND(N(AD34)=0,N(AF34)*(H34*W34*$W$6)+p_CorrFixa&lt;p_CompraMin),0,AF34))</f>
        <v/>
      </c>
      <c r="AH34" s="85" t="str">
        <f>IF(A34="","",IF(N(AG34)&gt;0,AB34,0))</f>
        <v/>
      </c>
      <c r="AI34" s="85" t="str">
        <f>IF(A34="","",IF(AND(AH34&gt;0,AH34=$AH$6,COUNTIF($AH$9:AH34,AH34)=1),1,0))</f>
        <v/>
      </c>
    </row>
    <row r="35">
      <c r="A35" s="96" t="n"/>
      <c r="B35" s="96" t="n"/>
      <c r="C35" s="96" t="n"/>
      <c r="D35" s="97" t="n"/>
      <c r="E35" s="98" t="n"/>
      <c r="F35" s="99" t="n"/>
      <c r="G35" s="100" t="n"/>
      <c r="H35" s="101" t="str">
        <f>IF(A35="","",IF(AND(p_ModoCot="Automático",ISNUMBER(Z35)),Z35,IF(N(G35)&gt;0,G35,0)))</f>
        <v/>
      </c>
      <c r="I35" s="73" t="str">
        <f>IF(A35="","",IF(W35=0,"Sem câmbio",IF(AND(p_ModoCot="Automático",ISNUMBER(Z35)),"Auto",IF(N(G35)&gt;0,"Manual","Sem cotação"))))</f>
        <v/>
      </c>
      <c r="J35" s="102" t="str">
        <f>IF(A35="","",N(E35)*H35)</f>
        <v/>
      </c>
      <c r="K35" s="70" t="str">
        <f>IF(A35="","",J35*W35)</f>
        <v/>
      </c>
      <c r="L35" s="30" t="str">
        <f>IF(A35="","",IF($K$6&gt;0,K35/$K$6,0))</f>
        <v/>
      </c>
      <c r="M35" s="72" t="str">
        <f>IF(A35="","",N(F35)-L35)</f>
        <v/>
      </c>
      <c r="N35" s="30" t="str">
        <f>IF(A35="","",IF($AB$6&gt;0,AB35/$AB$6,0))</f>
        <v/>
      </c>
      <c r="O35" s="74" t="str">
        <f>IF(A35="","",IF(AB35&lt;=0,"",COUNTIF($AB$9:$AB$208,"&gt;"&amp;AB35)+COUNTIF($AB$9:AB35,AB35)))</f>
        <v/>
      </c>
      <c r="P35" s="73" t="str">
        <f>IF(A35="","",IF(Q35&gt;0,"BUY","HOLD"))</f>
        <v/>
      </c>
      <c r="Q35" s="70" t="str">
        <f>IF(A35="","",IF($W$7&lt;=0,0,IF($AC$6&gt;0,$W$7*AC35/$AC$6,IF($F$6&gt;0,$W$7*N(F35)/$F$6,0))))</f>
        <v/>
      </c>
      <c r="R35" s="103" t="str">
        <f>IF(A35="","",N(AD35)+IF(AI35=1,N(AG35),0))</f>
        <v/>
      </c>
      <c r="S35" s="103" t="str">
        <f>IF(A35="","",N(E35)+N(R35))</f>
        <v/>
      </c>
      <c r="T35" s="70" t="str">
        <f>IF(A35="","",IF(N(R35)&gt;0,R35*H35*W35*$W$6+p_CorrFixa,0))</f>
        <v/>
      </c>
      <c r="V35" s="85" t="str">
        <f>IF(A35="","",IF(D35="",$W$1,D35))</f>
        <v/>
      </c>
      <c r="W35" s="85" t="str">
        <f>IF(A35="","",IFERROR(INDEX(moeda_fx,MATCH(V35,moeda_cod,0)),0))</f>
        <v/>
      </c>
      <c r="X35" s="85" t="str">
        <f>IF(A35="","",IF($W$2="",UPPER(TRIM(A35)),IF(RIGHT(UPPER(TRIM(A35)),LEN($W$2))=$W$2,UPPER(TRIM(A35)),UPPER(TRIM(A35))&amp;$W$2)))</f>
        <v/>
      </c>
      <c r="Y35" s="85" t="str">
        <f>IF(OR(A35="",p_ModoCot&lt;&gt;"Automático"),"",IFERROR(_xlfn.WEBSERVICE("https://query1.finance.yahoo.com/v8/finance/chart/"&amp;X35&amp;"?range=1d&amp;interval=1d"),""))</f>
        <v/>
      </c>
      <c r="Z35" s="85" t="str">
        <f>IF(Y35="","",IFERROR(_xlfn.NUMBERVALUE(MID(Y35,SEARCH("""regularMarketPrice"":",Y35)+21,SEARCH(",",Y35&amp;",",SEARCH("""regularMarketPrice"":",Y35)+21)-SEARCH("""regularMarketPrice"":",Y35)-21),".",","),""))</f>
        <v/>
      </c>
      <c r="AA35" s="85" t="str">
        <f>IF(A35="","",ROUND(MAX(0,N(F35)*($K$6+$W$7)-K35),2))</f>
        <v/>
      </c>
      <c r="AB35" s="85" t="str">
        <f>IF(A35="","",IF(AND(M35&gt;0,M35&gt;=p_DifMin),AA35,0))</f>
        <v/>
      </c>
      <c r="AC35" s="85" t="str">
        <f>IF(A35="","",IF(AND(AB35&gt;0,N(O35)&lt;=p_MaxAtivos),AB35,0))</f>
        <v/>
      </c>
      <c r="AD35" s="85" t="str">
        <f>IF(A35="","",IF(OR(Q35&lt;=0,Q35&lt;p_CompraMin,N(H35)&lt;=0,N(W35)&lt;=0),0,IF($W$3="Sim",TRUNC(ROUND(MAX(0,(Q35-p_CorrFixa)/(H35*W35*$W$6)),9),$W$4),TRUNC(ROUND(MAX(0,(Q35-p_CorrFixa)/(H35*W35*$W$6)),9)/$W$5)*$W$5)))</f>
        <v/>
      </c>
      <c r="AE35" s="85" t="str">
        <f>IF(A35="","",IF(N(AD35)&gt;0,AD35*H35*W35*$W$6+p_CorrFixa,0))</f>
        <v/>
      </c>
      <c r="AF35" s="85" t="str">
        <f>IF(A35="","",IF(OR($Y$1&lt;=0,N(H35)&lt;=0,N(W35)&lt;=0,N(AB35)&lt;=0),0,IF($W$3="Sim",TRUNC(ROUND(MAX(0,($Y$1-IF(N(AD35)&gt;0,0,p_CorrFixa))/(H35*W35*$W$6)),9),$W$4),TRUNC(ROUND(MAX(0,($Y$1-IF(N(AD35)&gt;0,0,p_CorrFixa))/(H35*W35*$W$6)),9)/$W$5)*$W$5)))</f>
        <v/>
      </c>
      <c r="AG35" s="85" t="str">
        <f>IF(A35="","",IF(AND(N(AD35)=0,N(AF35)*(H35*W35*$W$6)+p_CorrFixa&lt;p_CompraMin),0,AF35))</f>
        <v/>
      </c>
      <c r="AH35" s="85" t="str">
        <f>IF(A35="","",IF(N(AG35)&gt;0,AB35,0))</f>
        <v/>
      </c>
      <c r="AI35" s="85" t="str">
        <f>IF(A35="","",IF(AND(AH35&gt;0,AH35=$AH$6,COUNTIF($AH$9:AH35,AH35)=1),1,0))</f>
        <v/>
      </c>
    </row>
    <row r="36">
      <c r="A36" s="96" t="n"/>
      <c r="B36" s="96" t="n"/>
      <c r="C36" s="96" t="n"/>
      <c r="D36" s="97" t="n"/>
      <c r="E36" s="98" t="n"/>
      <c r="F36" s="99" t="n"/>
      <c r="G36" s="100" t="n"/>
      <c r="H36" s="104" t="str">
        <f>IF(A36="","",IF(AND(p_ModoCot="Automático",ISNUMBER(Z36)),Z36,IF(N(G36)&gt;0,G36,0)))</f>
        <v/>
      </c>
      <c r="I36" s="105" t="str">
        <f>IF(A36="","",IF(W36=0,"Sem câmbio",IF(AND(p_ModoCot="Automático",ISNUMBER(Z36)),"Auto",IF(N(G36)&gt;0,"Manual","Sem cotação"))))</f>
        <v/>
      </c>
      <c r="J36" s="106" t="str">
        <f>IF(A36="","",N(E36)*H36)</f>
        <v/>
      </c>
      <c r="K36" s="107" t="str">
        <f>IF(A36="","",J36*W36)</f>
        <v/>
      </c>
      <c r="L36" s="108" t="str">
        <f>IF(A36="","",IF($K$6&gt;0,K36/$K$6,0))</f>
        <v/>
      </c>
      <c r="M36" s="109" t="str">
        <f>IF(A36="","",N(F36)-L36)</f>
        <v/>
      </c>
      <c r="N36" s="108" t="str">
        <f>IF(A36="","",IF($AB$6&gt;0,AB36/$AB$6,0))</f>
        <v/>
      </c>
      <c r="O36" s="110" t="str">
        <f>IF(A36="","",IF(AB36&lt;=0,"",COUNTIF($AB$9:$AB$208,"&gt;"&amp;AB36)+COUNTIF($AB$9:AB36,AB36)))</f>
        <v/>
      </c>
      <c r="P36" s="105" t="str">
        <f>IF(A36="","",IF(Q36&gt;0,"BUY","HOLD"))</f>
        <v/>
      </c>
      <c r="Q36" s="107" t="str">
        <f>IF(A36="","",IF($W$7&lt;=0,0,IF($AC$6&gt;0,$W$7*AC36/$AC$6,IF($F$6&gt;0,$W$7*N(F36)/$F$6,0))))</f>
        <v/>
      </c>
      <c r="R36" s="111" t="str">
        <f>IF(A36="","",N(AD36)+IF(AI36=1,N(AG36),0))</f>
        <v/>
      </c>
      <c r="S36" s="111" t="str">
        <f>IF(A36="","",N(E36)+N(R36))</f>
        <v/>
      </c>
      <c r="T36" s="107" t="str">
        <f>IF(A36="","",IF(N(R36)&gt;0,R36*H36*W36*$W$6+p_CorrFixa,0))</f>
        <v/>
      </c>
      <c r="V36" s="85" t="str">
        <f>IF(A36="","",IF(D36="",$W$1,D36))</f>
        <v/>
      </c>
      <c r="W36" s="85" t="str">
        <f>IF(A36="","",IFERROR(INDEX(moeda_fx,MATCH(V36,moeda_cod,0)),0))</f>
        <v/>
      </c>
      <c r="X36" s="85" t="str">
        <f>IF(A36="","",IF($W$2="",UPPER(TRIM(A36)),IF(RIGHT(UPPER(TRIM(A36)),LEN($W$2))=$W$2,UPPER(TRIM(A36)),UPPER(TRIM(A36))&amp;$W$2)))</f>
        <v/>
      </c>
      <c r="Y36" s="85" t="str">
        <f>IF(OR(A36="",p_ModoCot&lt;&gt;"Automático"),"",IFERROR(_xlfn.WEBSERVICE("https://query1.finance.yahoo.com/v8/finance/chart/"&amp;X36&amp;"?range=1d&amp;interval=1d"),""))</f>
        <v/>
      </c>
      <c r="Z36" s="85" t="str">
        <f>IF(Y36="","",IFERROR(_xlfn.NUMBERVALUE(MID(Y36,SEARCH("""regularMarketPrice"":",Y36)+21,SEARCH(",",Y36&amp;",",SEARCH("""regularMarketPrice"":",Y36)+21)-SEARCH("""regularMarketPrice"":",Y36)-21),".",","),""))</f>
        <v/>
      </c>
      <c r="AA36" s="85" t="str">
        <f>IF(A36="","",ROUND(MAX(0,N(F36)*($K$6+$W$7)-K36),2))</f>
        <v/>
      </c>
      <c r="AB36" s="85" t="str">
        <f>IF(A36="","",IF(AND(M36&gt;0,M36&gt;=p_DifMin),AA36,0))</f>
        <v/>
      </c>
      <c r="AC36" s="85" t="str">
        <f>IF(A36="","",IF(AND(AB36&gt;0,N(O36)&lt;=p_MaxAtivos),AB36,0))</f>
        <v/>
      </c>
      <c r="AD36" s="85" t="str">
        <f>IF(A36="","",IF(OR(Q36&lt;=0,Q36&lt;p_CompraMin,N(H36)&lt;=0,N(W36)&lt;=0),0,IF($W$3="Sim",TRUNC(ROUND(MAX(0,(Q36-p_CorrFixa)/(H36*W36*$W$6)),9),$W$4),TRUNC(ROUND(MAX(0,(Q36-p_CorrFixa)/(H36*W36*$W$6)),9)/$W$5)*$W$5)))</f>
        <v/>
      </c>
      <c r="AE36" s="85" t="str">
        <f>IF(A36="","",IF(N(AD36)&gt;0,AD36*H36*W36*$W$6+p_CorrFixa,0))</f>
        <v/>
      </c>
      <c r="AF36" s="85" t="str">
        <f>IF(A36="","",IF(OR($Y$1&lt;=0,N(H36)&lt;=0,N(W36)&lt;=0,N(AB36)&lt;=0),0,IF($W$3="Sim",TRUNC(ROUND(MAX(0,($Y$1-IF(N(AD36)&gt;0,0,p_CorrFixa))/(H36*W36*$W$6)),9),$W$4),TRUNC(ROUND(MAX(0,($Y$1-IF(N(AD36)&gt;0,0,p_CorrFixa))/(H36*W36*$W$6)),9)/$W$5)*$W$5)))</f>
        <v/>
      </c>
      <c r="AG36" s="85" t="str">
        <f>IF(A36="","",IF(AND(N(AD36)=0,N(AF36)*(H36*W36*$W$6)+p_CorrFixa&lt;p_CompraMin),0,AF36))</f>
        <v/>
      </c>
      <c r="AH36" s="85" t="str">
        <f>IF(A36="","",IF(N(AG36)&gt;0,AB36,0))</f>
        <v/>
      </c>
      <c r="AI36" s="85" t="str">
        <f>IF(A36="","",IF(AND(AH36&gt;0,AH36=$AH$6,COUNTIF($AH$9:AH36,AH36)=1),1,0))</f>
        <v/>
      </c>
    </row>
    <row r="37">
      <c r="A37" s="96" t="n"/>
      <c r="B37" s="96" t="n"/>
      <c r="C37" s="96" t="n"/>
      <c r="D37" s="97" t="n"/>
      <c r="E37" s="98" t="n"/>
      <c r="F37" s="99" t="n"/>
      <c r="G37" s="100" t="n"/>
      <c r="H37" s="101" t="str">
        <f>IF(A37="","",IF(AND(p_ModoCot="Automático",ISNUMBER(Z37)),Z37,IF(N(G37)&gt;0,G37,0)))</f>
        <v/>
      </c>
      <c r="I37" s="73" t="str">
        <f>IF(A37="","",IF(W37=0,"Sem câmbio",IF(AND(p_ModoCot="Automático",ISNUMBER(Z37)),"Auto",IF(N(G37)&gt;0,"Manual","Sem cotação"))))</f>
        <v/>
      </c>
      <c r="J37" s="102" t="str">
        <f>IF(A37="","",N(E37)*H37)</f>
        <v/>
      </c>
      <c r="K37" s="70" t="str">
        <f>IF(A37="","",J37*W37)</f>
        <v/>
      </c>
      <c r="L37" s="30" t="str">
        <f>IF(A37="","",IF($K$6&gt;0,K37/$K$6,0))</f>
        <v/>
      </c>
      <c r="M37" s="72" t="str">
        <f>IF(A37="","",N(F37)-L37)</f>
        <v/>
      </c>
      <c r="N37" s="30" t="str">
        <f>IF(A37="","",IF($AB$6&gt;0,AB37/$AB$6,0))</f>
        <v/>
      </c>
      <c r="O37" s="74" t="str">
        <f>IF(A37="","",IF(AB37&lt;=0,"",COUNTIF($AB$9:$AB$208,"&gt;"&amp;AB37)+COUNTIF($AB$9:AB37,AB37)))</f>
        <v/>
      </c>
      <c r="P37" s="73" t="str">
        <f>IF(A37="","",IF(Q37&gt;0,"BUY","HOLD"))</f>
        <v/>
      </c>
      <c r="Q37" s="70" t="str">
        <f>IF(A37="","",IF($W$7&lt;=0,0,IF($AC$6&gt;0,$W$7*AC37/$AC$6,IF($F$6&gt;0,$W$7*N(F37)/$F$6,0))))</f>
        <v/>
      </c>
      <c r="R37" s="103" t="str">
        <f>IF(A37="","",N(AD37)+IF(AI37=1,N(AG37),0))</f>
        <v/>
      </c>
      <c r="S37" s="103" t="str">
        <f>IF(A37="","",N(E37)+N(R37))</f>
        <v/>
      </c>
      <c r="T37" s="70" t="str">
        <f>IF(A37="","",IF(N(R37)&gt;0,R37*H37*W37*$W$6+p_CorrFixa,0))</f>
        <v/>
      </c>
      <c r="V37" s="85" t="str">
        <f>IF(A37="","",IF(D37="",$W$1,D37))</f>
        <v/>
      </c>
      <c r="W37" s="85" t="str">
        <f>IF(A37="","",IFERROR(INDEX(moeda_fx,MATCH(V37,moeda_cod,0)),0))</f>
        <v/>
      </c>
      <c r="X37" s="85" t="str">
        <f>IF(A37="","",IF($W$2="",UPPER(TRIM(A37)),IF(RIGHT(UPPER(TRIM(A37)),LEN($W$2))=$W$2,UPPER(TRIM(A37)),UPPER(TRIM(A37))&amp;$W$2)))</f>
        <v/>
      </c>
      <c r="Y37" s="85" t="str">
        <f>IF(OR(A37="",p_ModoCot&lt;&gt;"Automático"),"",IFERROR(_xlfn.WEBSERVICE("https://query1.finance.yahoo.com/v8/finance/chart/"&amp;X37&amp;"?range=1d&amp;interval=1d"),""))</f>
        <v/>
      </c>
      <c r="Z37" s="85" t="str">
        <f>IF(Y37="","",IFERROR(_xlfn.NUMBERVALUE(MID(Y37,SEARCH("""regularMarketPrice"":",Y37)+21,SEARCH(",",Y37&amp;",",SEARCH("""regularMarketPrice"":",Y37)+21)-SEARCH("""regularMarketPrice"":",Y37)-21),".",","),""))</f>
        <v/>
      </c>
      <c r="AA37" s="85" t="str">
        <f>IF(A37="","",ROUND(MAX(0,N(F37)*($K$6+$W$7)-K37),2))</f>
        <v/>
      </c>
      <c r="AB37" s="85" t="str">
        <f>IF(A37="","",IF(AND(M37&gt;0,M37&gt;=p_DifMin),AA37,0))</f>
        <v/>
      </c>
      <c r="AC37" s="85" t="str">
        <f>IF(A37="","",IF(AND(AB37&gt;0,N(O37)&lt;=p_MaxAtivos),AB37,0))</f>
        <v/>
      </c>
      <c r="AD37" s="85" t="str">
        <f>IF(A37="","",IF(OR(Q37&lt;=0,Q37&lt;p_CompraMin,N(H37)&lt;=0,N(W37)&lt;=0),0,IF($W$3="Sim",TRUNC(ROUND(MAX(0,(Q37-p_CorrFixa)/(H37*W37*$W$6)),9),$W$4),TRUNC(ROUND(MAX(0,(Q37-p_CorrFixa)/(H37*W37*$W$6)),9)/$W$5)*$W$5)))</f>
        <v/>
      </c>
      <c r="AE37" s="85" t="str">
        <f>IF(A37="","",IF(N(AD37)&gt;0,AD37*H37*W37*$W$6+p_CorrFixa,0))</f>
        <v/>
      </c>
      <c r="AF37" s="85" t="str">
        <f>IF(A37="","",IF(OR($Y$1&lt;=0,N(H37)&lt;=0,N(W37)&lt;=0,N(AB37)&lt;=0),0,IF($W$3="Sim",TRUNC(ROUND(MAX(0,($Y$1-IF(N(AD37)&gt;0,0,p_CorrFixa))/(H37*W37*$W$6)),9),$W$4),TRUNC(ROUND(MAX(0,($Y$1-IF(N(AD37)&gt;0,0,p_CorrFixa))/(H37*W37*$W$6)),9)/$W$5)*$W$5)))</f>
        <v/>
      </c>
      <c r="AG37" s="85" t="str">
        <f>IF(A37="","",IF(AND(N(AD37)=0,N(AF37)*(H37*W37*$W$6)+p_CorrFixa&lt;p_CompraMin),0,AF37))</f>
        <v/>
      </c>
      <c r="AH37" s="85" t="str">
        <f>IF(A37="","",IF(N(AG37)&gt;0,AB37,0))</f>
        <v/>
      </c>
      <c r="AI37" s="85" t="str">
        <f>IF(A37="","",IF(AND(AH37&gt;0,AH37=$AH$6,COUNTIF($AH$9:AH37,AH37)=1),1,0))</f>
        <v/>
      </c>
    </row>
    <row r="38">
      <c r="A38" s="96" t="n"/>
      <c r="B38" s="96" t="n"/>
      <c r="C38" s="96" t="n"/>
      <c r="D38" s="97" t="n"/>
      <c r="E38" s="98" t="n"/>
      <c r="F38" s="99" t="n"/>
      <c r="G38" s="100" t="n"/>
      <c r="H38" s="104" t="str">
        <f>IF(A38="","",IF(AND(p_ModoCot="Automático",ISNUMBER(Z38)),Z38,IF(N(G38)&gt;0,G38,0)))</f>
        <v/>
      </c>
      <c r="I38" s="105" t="str">
        <f>IF(A38="","",IF(W38=0,"Sem câmbio",IF(AND(p_ModoCot="Automático",ISNUMBER(Z38)),"Auto",IF(N(G38)&gt;0,"Manual","Sem cotação"))))</f>
        <v/>
      </c>
      <c r="J38" s="106" t="str">
        <f>IF(A38="","",N(E38)*H38)</f>
        <v/>
      </c>
      <c r="K38" s="107" t="str">
        <f>IF(A38="","",J38*W38)</f>
        <v/>
      </c>
      <c r="L38" s="108" t="str">
        <f>IF(A38="","",IF($K$6&gt;0,K38/$K$6,0))</f>
        <v/>
      </c>
      <c r="M38" s="109" t="str">
        <f>IF(A38="","",N(F38)-L38)</f>
        <v/>
      </c>
      <c r="N38" s="108" t="str">
        <f>IF(A38="","",IF($AB$6&gt;0,AB38/$AB$6,0))</f>
        <v/>
      </c>
      <c r="O38" s="110" t="str">
        <f>IF(A38="","",IF(AB38&lt;=0,"",COUNTIF($AB$9:$AB$208,"&gt;"&amp;AB38)+COUNTIF($AB$9:AB38,AB38)))</f>
        <v/>
      </c>
      <c r="P38" s="105" t="str">
        <f>IF(A38="","",IF(Q38&gt;0,"BUY","HOLD"))</f>
        <v/>
      </c>
      <c r="Q38" s="107" t="str">
        <f>IF(A38="","",IF($W$7&lt;=0,0,IF($AC$6&gt;0,$W$7*AC38/$AC$6,IF($F$6&gt;0,$W$7*N(F38)/$F$6,0))))</f>
        <v/>
      </c>
      <c r="R38" s="111" t="str">
        <f>IF(A38="","",N(AD38)+IF(AI38=1,N(AG38),0))</f>
        <v/>
      </c>
      <c r="S38" s="111" t="str">
        <f>IF(A38="","",N(E38)+N(R38))</f>
        <v/>
      </c>
      <c r="T38" s="107" t="str">
        <f>IF(A38="","",IF(N(R38)&gt;0,R38*H38*W38*$W$6+p_CorrFixa,0))</f>
        <v/>
      </c>
      <c r="V38" s="85" t="str">
        <f>IF(A38="","",IF(D38="",$W$1,D38))</f>
        <v/>
      </c>
      <c r="W38" s="85" t="str">
        <f>IF(A38="","",IFERROR(INDEX(moeda_fx,MATCH(V38,moeda_cod,0)),0))</f>
        <v/>
      </c>
      <c r="X38" s="85" t="str">
        <f>IF(A38="","",IF($W$2="",UPPER(TRIM(A38)),IF(RIGHT(UPPER(TRIM(A38)),LEN($W$2))=$W$2,UPPER(TRIM(A38)),UPPER(TRIM(A38))&amp;$W$2)))</f>
        <v/>
      </c>
      <c r="Y38" s="85" t="str">
        <f>IF(OR(A38="",p_ModoCot&lt;&gt;"Automático"),"",IFERROR(_xlfn.WEBSERVICE("https://query1.finance.yahoo.com/v8/finance/chart/"&amp;X38&amp;"?range=1d&amp;interval=1d"),""))</f>
        <v/>
      </c>
      <c r="Z38" s="85" t="str">
        <f>IF(Y38="","",IFERROR(_xlfn.NUMBERVALUE(MID(Y38,SEARCH("""regularMarketPrice"":",Y38)+21,SEARCH(",",Y38&amp;",",SEARCH("""regularMarketPrice"":",Y38)+21)-SEARCH("""regularMarketPrice"":",Y38)-21),".",","),""))</f>
        <v/>
      </c>
      <c r="AA38" s="85" t="str">
        <f>IF(A38="","",ROUND(MAX(0,N(F38)*($K$6+$W$7)-K38),2))</f>
        <v/>
      </c>
      <c r="AB38" s="85" t="str">
        <f>IF(A38="","",IF(AND(M38&gt;0,M38&gt;=p_DifMin),AA38,0))</f>
        <v/>
      </c>
      <c r="AC38" s="85" t="str">
        <f>IF(A38="","",IF(AND(AB38&gt;0,N(O38)&lt;=p_MaxAtivos),AB38,0))</f>
        <v/>
      </c>
      <c r="AD38" s="85" t="str">
        <f>IF(A38="","",IF(OR(Q38&lt;=0,Q38&lt;p_CompraMin,N(H38)&lt;=0,N(W38)&lt;=0),0,IF($W$3="Sim",TRUNC(ROUND(MAX(0,(Q38-p_CorrFixa)/(H38*W38*$W$6)),9),$W$4),TRUNC(ROUND(MAX(0,(Q38-p_CorrFixa)/(H38*W38*$W$6)),9)/$W$5)*$W$5)))</f>
        <v/>
      </c>
      <c r="AE38" s="85" t="str">
        <f>IF(A38="","",IF(N(AD38)&gt;0,AD38*H38*W38*$W$6+p_CorrFixa,0))</f>
        <v/>
      </c>
      <c r="AF38" s="85" t="str">
        <f>IF(A38="","",IF(OR($Y$1&lt;=0,N(H38)&lt;=0,N(W38)&lt;=0,N(AB38)&lt;=0),0,IF($W$3="Sim",TRUNC(ROUND(MAX(0,($Y$1-IF(N(AD38)&gt;0,0,p_CorrFixa))/(H38*W38*$W$6)),9),$W$4),TRUNC(ROUND(MAX(0,($Y$1-IF(N(AD38)&gt;0,0,p_CorrFixa))/(H38*W38*$W$6)),9)/$W$5)*$W$5)))</f>
        <v/>
      </c>
      <c r="AG38" s="85" t="str">
        <f>IF(A38="","",IF(AND(N(AD38)=0,N(AF38)*(H38*W38*$W$6)+p_CorrFixa&lt;p_CompraMin),0,AF38))</f>
        <v/>
      </c>
      <c r="AH38" s="85" t="str">
        <f>IF(A38="","",IF(N(AG38)&gt;0,AB38,0))</f>
        <v/>
      </c>
      <c r="AI38" s="85" t="str">
        <f>IF(A38="","",IF(AND(AH38&gt;0,AH38=$AH$6,COUNTIF($AH$9:AH38,AH38)=1),1,0))</f>
        <v/>
      </c>
    </row>
    <row r="39">
      <c r="A39" s="96" t="n"/>
      <c r="B39" s="96" t="n"/>
      <c r="C39" s="96" t="n"/>
      <c r="D39" s="97" t="n"/>
      <c r="E39" s="98" t="n"/>
      <c r="F39" s="99" t="n"/>
      <c r="G39" s="100" t="n"/>
      <c r="H39" s="101" t="str">
        <f>IF(A39="","",IF(AND(p_ModoCot="Automático",ISNUMBER(Z39)),Z39,IF(N(G39)&gt;0,G39,0)))</f>
        <v/>
      </c>
      <c r="I39" s="73" t="str">
        <f>IF(A39="","",IF(W39=0,"Sem câmbio",IF(AND(p_ModoCot="Automático",ISNUMBER(Z39)),"Auto",IF(N(G39)&gt;0,"Manual","Sem cotação"))))</f>
        <v/>
      </c>
      <c r="J39" s="102" t="str">
        <f>IF(A39="","",N(E39)*H39)</f>
        <v/>
      </c>
      <c r="K39" s="70" t="str">
        <f>IF(A39="","",J39*W39)</f>
        <v/>
      </c>
      <c r="L39" s="30" t="str">
        <f>IF(A39="","",IF($K$6&gt;0,K39/$K$6,0))</f>
        <v/>
      </c>
      <c r="M39" s="72" t="str">
        <f>IF(A39="","",N(F39)-L39)</f>
        <v/>
      </c>
      <c r="N39" s="30" t="str">
        <f>IF(A39="","",IF($AB$6&gt;0,AB39/$AB$6,0))</f>
        <v/>
      </c>
      <c r="O39" s="74" t="str">
        <f>IF(A39="","",IF(AB39&lt;=0,"",COUNTIF($AB$9:$AB$208,"&gt;"&amp;AB39)+COUNTIF($AB$9:AB39,AB39)))</f>
        <v/>
      </c>
      <c r="P39" s="73" t="str">
        <f>IF(A39="","",IF(Q39&gt;0,"BUY","HOLD"))</f>
        <v/>
      </c>
      <c r="Q39" s="70" t="str">
        <f>IF(A39="","",IF($W$7&lt;=0,0,IF($AC$6&gt;0,$W$7*AC39/$AC$6,IF($F$6&gt;0,$W$7*N(F39)/$F$6,0))))</f>
        <v/>
      </c>
      <c r="R39" s="103" t="str">
        <f>IF(A39="","",N(AD39)+IF(AI39=1,N(AG39),0))</f>
        <v/>
      </c>
      <c r="S39" s="103" t="str">
        <f>IF(A39="","",N(E39)+N(R39))</f>
        <v/>
      </c>
      <c r="T39" s="70" t="str">
        <f>IF(A39="","",IF(N(R39)&gt;0,R39*H39*W39*$W$6+p_CorrFixa,0))</f>
        <v/>
      </c>
      <c r="V39" s="85" t="str">
        <f>IF(A39="","",IF(D39="",$W$1,D39))</f>
        <v/>
      </c>
      <c r="W39" s="85" t="str">
        <f>IF(A39="","",IFERROR(INDEX(moeda_fx,MATCH(V39,moeda_cod,0)),0))</f>
        <v/>
      </c>
      <c r="X39" s="85" t="str">
        <f>IF(A39="","",IF($W$2="",UPPER(TRIM(A39)),IF(RIGHT(UPPER(TRIM(A39)),LEN($W$2))=$W$2,UPPER(TRIM(A39)),UPPER(TRIM(A39))&amp;$W$2)))</f>
        <v/>
      </c>
      <c r="Y39" s="85" t="str">
        <f>IF(OR(A39="",p_ModoCot&lt;&gt;"Automático"),"",IFERROR(_xlfn.WEBSERVICE("https://query1.finance.yahoo.com/v8/finance/chart/"&amp;X39&amp;"?range=1d&amp;interval=1d"),""))</f>
        <v/>
      </c>
      <c r="Z39" s="85" t="str">
        <f>IF(Y39="","",IFERROR(_xlfn.NUMBERVALUE(MID(Y39,SEARCH("""regularMarketPrice"":",Y39)+21,SEARCH(",",Y39&amp;",",SEARCH("""regularMarketPrice"":",Y39)+21)-SEARCH("""regularMarketPrice"":",Y39)-21),".",","),""))</f>
        <v/>
      </c>
      <c r="AA39" s="85" t="str">
        <f>IF(A39="","",ROUND(MAX(0,N(F39)*($K$6+$W$7)-K39),2))</f>
        <v/>
      </c>
      <c r="AB39" s="85" t="str">
        <f>IF(A39="","",IF(AND(M39&gt;0,M39&gt;=p_DifMin),AA39,0))</f>
        <v/>
      </c>
      <c r="AC39" s="85" t="str">
        <f>IF(A39="","",IF(AND(AB39&gt;0,N(O39)&lt;=p_MaxAtivos),AB39,0))</f>
        <v/>
      </c>
      <c r="AD39" s="85" t="str">
        <f>IF(A39="","",IF(OR(Q39&lt;=0,Q39&lt;p_CompraMin,N(H39)&lt;=0,N(W39)&lt;=0),0,IF($W$3="Sim",TRUNC(ROUND(MAX(0,(Q39-p_CorrFixa)/(H39*W39*$W$6)),9),$W$4),TRUNC(ROUND(MAX(0,(Q39-p_CorrFixa)/(H39*W39*$W$6)),9)/$W$5)*$W$5)))</f>
        <v/>
      </c>
      <c r="AE39" s="85" t="str">
        <f>IF(A39="","",IF(N(AD39)&gt;0,AD39*H39*W39*$W$6+p_CorrFixa,0))</f>
        <v/>
      </c>
      <c r="AF39" s="85" t="str">
        <f>IF(A39="","",IF(OR($Y$1&lt;=0,N(H39)&lt;=0,N(W39)&lt;=0,N(AB39)&lt;=0),0,IF($W$3="Sim",TRUNC(ROUND(MAX(0,($Y$1-IF(N(AD39)&gt;0,0,p_CorrFixa))/(H39*W39*$W$6)),9),$W$4),TRUNC(ROUND(MAX(0,($Y$1-IF(N(AD39)&gt;0,0,p_CorrFixa))/(H39*W39*$W$6)),9)/$W$5)*$W$5)))</f>
        <v/>
      </c>
      <c r="AG39" s="85" t="str">
        <f>IF(A39="","",IF(AND(N(AD39)=0,N(AF39)*(H39*W39*$W$6)+p_CorrFixa&lt;p_CompraMin),0,AF39))</f>
        <v/>
      </c>
      <c r="AH39" s="85" t="str">
        <f>IF(A39="","",IF(N(AG39)&gt;0,AB39,0))</f>
        <v/>
      </c>
      <c r="AI39" s="85" t="str">
        <f>IF(A39="","",IF(AND(AH39&gt;0,AH39=$AH$6,COUNTIF($AH$9:AH39,AH39)=1),1,0))</f>
        <v/>
      </c>
    </row>
    <row r="40">
      <c r="A40" s="96" t="n"/>
      <c r="B40" s="96" t="n"/>
      <c r="C40" s="96" t="n"/>
      <c r="D40" s="97" t="n"/>
      <c r="E40" s="98" t="n"/>
      <c r="F40" s="99" t="n"/>
      <c r="G40" s="100" t="n"/>
      <c r="H40" s="104" t="str">
        <f>IF(A40="","",IF(AND(p_ModoCot="Automático",ISNUMBER(Z40)),Z40,IF(N(G40)&gt;0,G40,0)))</f>
        <v/>
      </c>
      <c r="I40" s="105" t="str">
        <f>IF(A40="","",IF(W40=0,"Sem câmbio",IF(AND(p_ModoCot="Automático",ISNUMBER(Z40)),"Auto",IF(N(G40)&gt;0,"Manual","Sem cotação"))))</f>
        <v/>
      </c>
      <c r="J40" s="106" t="str">
        <f>IF(A40="","",N(E40)*H40)</f>
        <v/>
      </c>
      <c r="K40" s="107" t="str">
        <f>IF(A40="","",J40*W40)</f>
        <v/>
      </c>
      <c r="L40" s="108" t="str">
        <f>IF(A40="","",IF($K$6&gt;0,K40/$K$6,0))</f>
        <v/>
      </c>
      <c r="M40" s="109" t="str">
        <f>IF(A40="","",N(F40)-L40)</f>
        <v/>
      </c>
      <c r="N40" s="108" t="str">
        <f>IF(A40="","",IF($AB$6&gt;0,AB40/$AB$6,0))</f>
        <v/>
      </c>
      <c r="O40" s="110" t="str">
        <f>IF(A40="","",IF(AB40&lt;=0,"",COUNTIF($AB$9:$AB$208,"&gt;"&amp;AB40)+COUNTIF($AB$9:AB40,AB40)))</f>
        <v/>
      </c>
      <c r="P40" s="105" t="str">
        <f>IF(A40="","",IF(Q40&gt;0,"BUY","HOLD"))</f>
        <v/>
      </c>
      <c r="Q40" s="107" t="str">
        <f>IF(A40="","",IF($W$7&lt;=0,0,IF($AC$6&gt;0,$W$7*AC40/$AC$6,IF($F$6&gt;0,$W$7*N(F40)/$F$6,0))))</f>
        <v/>
      </c>
      <c r="R40" s="111" t="str">
        <f>IF(A40="","",N(AD40)+IF(AI40=1,N(AG40),0))</f>
        <v/>
      </c>
      <c r="S40" s="111" t="str">
        <f>IF(A40="","",N(E40)+N(R40))</f>
        <v/>
      </c>
      <c r="T40" s="107" t="str">
        <f>IF(A40="","",IF(N(R40)&gt;0,R40*H40*W40*$W$6+p_CorrFixa,0))</f>
        <v/>
      </c>
      <c r="V40" s="85" t="str">
        <f>IF(A40="","",IF(D40="",$W$1,D40))</f>
        <v/>
      </c>
      <c r="W40" s="85" t="str">
        <f>IF(A40="","",IFERROR(INDEX(moeda_fx,MATCH(V40,moeda_cod,0)),0))</f>
        <v/>
      </c>
      <c r="X40" s="85" t="str">
        <f>IF(A40="","",IF($W$2="",UPPER(TRIM(A40)),IF(RIGHT(UPPER(TRIM(A40)),LEN($W$2))=$W$2,UPPER(TRIM(A40)),UPPER(TRIM(A40))&amp;$W$2)))</f>
        <v/>
      </c>
      <c r="Y40" s="85" t="str">
        <f>IF(OR(A40="",p_ModoCot&lt;&gt;"Automático"),"",IFERROR(_xlfn.WEBSERVICE("https://query1.finance.yahoo.com/v8/finance/chart/"&amp;X40&amp;"?range=1d&amp;interval=1d"),""))</f>
        <v/>
      </c>
      <c r="Z40" s="85" t="str">
        <f>IF(Y40="","",IFERROR(_xlfn.NUMBERVALUE(MID(Y40,SEARCH("""regularMarketPrice"":",Y40)+21,SEARCH(",",Y40&amp;",",SEARCH("""regularMarketPrice"":",Y40)+21)-SEARCH("""regularMarketPrice"":",Y40)-21),".",","),""))</f>
        <v/>
      </c>
      <c r="AA40" s="85" t="str">
        <f>IF(A40="","",ROUND(MAX(0,N(F40)*($K$6+$W$7)-K40),2))</f>
        <v/>
      </c>
      <c r="AB40" s="85" t="str">
        <f>IF(A40="","",IF(AND(M40&gt;0,M40&gt;=p_DifMin),AA40,0))</f>
        <v/>
      </c>
      <c r="AC40" s="85" t="str">
        <f>IF(A40="","",IF(AND(AB40&gt;0,N(O40)&lt;=p_MaxAtivos),AB40,0))</f>
        <v/>
      </c>
      <c r="AD40" s="85" t="str">
        <f>IF(A40="","",IF(OR(Q40&lt;=0,Q40&lt;p_CompraMin,N(H40)&lt;=0,N(W40)&lt;=0),0,IF($W$3="Sim",TRUNC(ROUND(MAX(0,(Q40-p_CorrFixa)/(H40*W40*$W$6)),9),$W$4),TRUNC(ROUND(MAX(0,(Q40-p_CorrFixa)/(H40*W40*$W$6)),9)/$W$5)*$W$5)))</f>
        <v/>
      </c>
      <c r="AE40" s="85" t="str">
        <f>IF(A40="","",IF(N(AD40)&gt;0,AD40*H40*W40*$W$6+p_CorrFixa,0))</f>
        <v/>
      </c>
      <c r="AF40" s="85" t="str">
        <f>IF(A40="","",IF(OR($Y$1&lt;=0,N(H40)&lt;=0,N(W40)&lt;=0,N(AB40)&lt;=0),0,IF($W$3="Sim",TRUNC(ROUND(MAX(0,($Y$1-IF(N(AD40)&gt;0,0,p_CorrFixa))/(H40*W40*$W$6)),9),$W$4),TRUNC(ROUND(MAX(0,($Y$1-IF(N(AD40)&gt;0,0,p_CorrFixa))/(H40*W40*$W$6)),9)/$W$5)*$W$5)))</f>
        <v/>
      </c>
      <c r="AG40" s="85" t="str">
        <f>IF(A40="","",IF(AND(N(AD40)=0,N(AF40)*(H40*W40*$W$6)+p_CorrFixa&lt;p_CompraMin),0,AF40))</f>
        <v/>
      </c>
      <c r="AH40" s="85" t="str">
        <f>IF(A40="","",IF(N(AG40)&gt;0,AB40,0))</f>
        <v/>
      </c>
      <c r="AI40" s="85" t="str">
        <f>IF(A40="","",IF(AND(AH40&gt;0,AH40=$AH$6,COUNTIF($AH$9:AH40,AH40)=1),1,0))</f>
        <v/>
      </c>
    </row>
    <row r="41">
      <c r="A41" s="96" t="n"/>
      <c r="B41" s="96" t="n"/>
      <c r="C41" s="96" t="n"/>
      <c r="D41" s="97" t="n"/>
      <c r="E41" s="98" t="n"/>
      <c r="F41" s="99" t="n"/>
      <c r="G41" s="100" t="n"/>
      <c r="H41" s="101" t="str">
        <f>IF(A41="","",IF(AND(p_ModoCot="Automático",ISNUMBER(Z41)),Z41,IF(N(G41)&gt;0,G41,0)))</f>
        <v/>
      </c>
      <c r="I41" s="73" t="str">
        <f>IF(A41="","",IF(W41=0,"Sem câmbio",IF(AND(p_ModoCot="Automático",ISNUMBER(Z41)),"Auto",IF(N(G41)&gt;0,"Manual","Sem cotação"))))</f>
        <v/>
      </c>
      <c r="J41" s="102" t="str">
        <f>IF(A41="","",N(E41)*H41)</f>
        <v/>
      </c>
      <c r="K41" s="70" t="str">
        <f>IF(A41="","",J41*W41)</f>
        <v/>
      </c>
      <c r="L41" s="30" t="str">
        <f>IF(A41="","",IF($K$6&gt;0,K41/$K$6,0))</f>
        <v/>
      </c>
      <c r="M41" s="72" t="str">
        <f>IF(A41="","",N(F41)-L41)</f>
        <v/>
      </c>
      <c r="N41" s="30" t="str">
        <f>IF(A41="","",IF($AB$6&gt;0,AB41/$AB$6,0))</f>
        <v/>
      </c>
      <c r="O41" s="74" t="str">
        <f>IF(A41="","",IF(AB41&lt;=0,"",COUNTIF($AB$9:$AB$208,"&gt;"&amp;AB41)+COUNTIF($AB$9:AB41,AB41)))</f>
        <v/>
      </c>
      <c r="P41" s="73" t="str">
        <f>IF(A41="","",IF(Q41&gt;0,"BUY","HOLD"))</f>
        <v/>
      </c>
      <c r="Q41" s="70" t="str">
        <f>IF(A41="","",IF($W$7&lt;=0,0,IF($AC$6&gt;0,$W$7*AC41/$AC$6,IF($F$6&gt;0,$W$7*N(F41)/$F$6,0))))</f>
        <v/>
      </c>
      <c r="R41" s="103" t="str">
        <f>IF(A41="","",N(AD41)+IF(AI41=1,N(AG41),0))</f>
        <v/>
      </c>
      <c r="S41" s="103" t="str">
        <f>IF(A41="","",N(E41)+N(R41))</f>
        <v/>
      </c>
      <c r="T41" s="70" t="str">
        <f>IF(A41="","",IF(N(R41)&gt;0,R41*H41*W41*$W$6+p_CorrFixa,0))</f>
        <v/>
      </c>
      <c r="V41" s="85" t="str">
        <f>IF(A41="","",IF(D41="",$W$1,D41))</f>
        <v/>
      </c>
      <c r="W41" s="85" t="str">
        <f>IF(A41="","",IFERROR(INDEX(moeda_fx,MATCH(V41,moeda_cod,0)),0))</f>
        <v/>
      </c>
      <c r="X41" s="85" t="str">
        <f>IF(A41="","",IF($W$2="",UPPER(TRIM(A41)),IF(RIGHT(UPPER(TRIM(A41)),LEN($W$2))=$W$2,UPPER(TRIM(A41)),UPPER(TRIM(A41))&amp;$W$2)))</f>
        <v/>
      </c>
      <c r="Y41" s="85" t="str">
        <f>IF(OR(A41="",p_ModoCot&lt;&gt;"Automático"),"",IFERROR(_xlfn.WEBSERVICE("https://query1.finance.yahoo.com/v8/finance/chart/"&amp;X41&amp;"?range=1d&amp;interval=1d"),""))</f>
        <v/>
      </c>
      <c r="Z41" s="85" t="str">
        <f>IF(Y41="","",IFERROR(_xlfn.NUMBERVALUE(MID(Y41,SEARCH("""regularMarketPrice"":",Y41)+21,SEARCH(",",Y41&amp;",",SEARCH("""regularMarketPrice"":",Y41)+21)-SEARCH("""regularMarketPrice"":",Y41)-21),".",","),""))</f>
        <v/>
      </c>
      <c r="AA41" s="85" t="str">
        <f>IF(A41="","",ROUND(MAX(0,N(F41)*($K$6+$W$7)-K41),2))</f>
        <v/>
      </c>
      <c r="AB41" s="85" t="str">
        <f>IF(A41="","",IF(AND(M41&gt;0,M41&gt;=p_DifMin),AA41,0))</f>
        <v/>
      </c>
      <c r="AC41" s="85" t="str">
        <f>IF(A41="","",IF(AND(AB41&gt;0,N(O41)&lt;=p_MaxAtivos),AB41,0))</f>
        <v/>
      </c>
      <c r="AD41" s="85" t="str">
        <f>IF(A41="","",IF(OR(Q41&lt;=0,Q41&lt;p_CompraMin,N(H41)&lt;=0,N(W41)&lt;=0),0,IF($W$3="Sim",TRUNC(ROUND(MAX(0,(Q41-p_CorrFixa)/(H41*W41*$W$6)),9),$W$4),TRUNC(ROUND(MAX(0,(Q41-p_CorrFixa)/(H41*W41*$W$6)),9)/$W$5)*$W$5)))</f>
        <v/>
      </c>
      <c r="AE41" s="85" t="str">
        <f>IF(A41="","",IF(N(AD41)&gt;0,AD41*H41*W41*$W$6+p_CorrFixa,0))</f>
        <v/>
      </c>
      <c r="AF41" s="85" t="str">
        <f>IF(A41="","",IF(OR($Y$1&lt;=0,N(H41)&lt;=0,N(W41)&lt;=0,N(AB41)&lt;=0),0,IF($W$3="Sim",TRUNC(ROUND(MAX(0,($Y$1-IF(N(AD41)&gt;0,0,p_CorrFixa))/(H41*W41*$W$6)),9),$W$4),TRUNC(ROUND(MAX(0,($Y$1-IF(N(AD41)&gt;0,0,p_CorrFixa))/(H41*W41*$W$6)),9)/$W$5)*$W$5)))</f>
        <v/>
      </c>
      <c r="AG41" s="85" t="str">
        <f>IF(A41="","",IF(AND(N(AD41)=0,N(AF41)*(H41*W41*$W$6)+p_CorrFixa&lt;p_CompraMin),0,AF41))</f>
        <v/>
      </c>
      <c r="AH41" s="85" t="str">
        <f>IF(A41="","",IF(N(AG41)&gt;0,AB41,0))</f>
        <v/>
      </c>
      <c r="AI41" s="85" t="str">
        <f>IF(A41="","",IF(AND(AH41&gt;0,AH41=$AH$6,COUNTIF($AH$9:AH41,AH41)=1),1,0))</f>
        <v/>
      </c>
    </row>
    <row r="42">
      <c r="A42" s="96" t="n"/>
      <c r="B42" s="96" t="n"/>
      <c r="C42" s="96" t="n"/>
      <c r="D42" s="97" t="n"/>
      <c r="E42" s="98" t="n"/>
      <c r="F42" s="99" t="n"/>
      <c r="G42" s="100" t="n"/>
      <c r="H42" s="104" t="str">
        <f>IF(A42="","",IF(AND(p_ModoCot="Automático",ISNUMBER(Z42)),Z42,IF(N(G42)&gt;0,G42,0)))</f>
        <v/>
      </c>
      <c r="I42" s="105" t="str">
        <f>IF(A42="","",IF(W42=0,"Sem câmbio",IF(AND(p_ModoCot="Automático",ISNUMBER(Z42)),"Auto",IF(N(G42)&gt;0,"Manual","Sem cotação"))))</f>
        <v/>
      </c>
      <c r="J42" s="106" t="str">
        <f>IF(A42="","",N(E42)*H42)</f>
        <v/>
      </c>
      <c r="K42" s="107" t="str">
        <f>IF(A42="","",J42*W42)</f>
        <v/>
      </c>
      <c r="L42" s="108" t="str">
        <f>IF(A42="","",IF($K$6&gt;0,K42/$K$6,0))</f>
        <v/>
      </c>
      <c r="M42" s="109" t="str">
        <f>IF(A42="","",N(F42)-L42)</f>
        <v/>
      </c>
      <c r="N42" s="108" t="str">
        <f>IF(A42="","",IF($AB$6&gt;0,AB42/$AB$6,0))</f>
        <v/>
      </c>
      <c r="O42" s="110" t="str">
        <f>IF(A42="","",IF(AB42&lt;=0,"",COUNTIF($AB$9:$AB$208,"&gt;"&amp;AB42)+COUNTIF($AB$9:AB42,AB42)))</f>
        <v/>
      </c>
      <c r="P42" s="105" t="str">
        <f>IF(A42="","",IF(Q42&gt;0,"BUY","HOLD"))</f>
        <v/>
      </c>
      <c r="Q42" s="107" t="str">
        <f>IF(A42="","",IF($W$7&lt;=0,0,IF($AC$6&gt;0,$W$7*AC42/$AC$6,IF($F$6&gt;0,$W$7*N(F42)/$F$6,0))))</f>
        <v/>
      </c>
      <c r="R42" s="111" t="str">
        <f>IF(A42="","",N(AD42)+IF(AI42=1,N(AG42),0))</f>
        <v/>
      </c>
      <c r="S42" s="111" t="str">
        <f>IF(A42="","",N(E42)+N(R42))</f>
        <v/>
      </c>
      <c r="T42" s="107" t="str">
        <f>IF(A42="","",IF(N(R42)&gt;0,R42*H42*W42*$W$6+p_CorrFixa,0))</f>
        <v/>
      </c>
      <c r="V42" s="85" t="str">
        <f>IF(A42="","",IF(D42="",$W$1,D42))</f>
        <v/>
      </c>
      <c r="W42" s="85" t="str">
        <f>IF(A42="","",IFERROR(INDEX(moeda_fx,MATCH(V42,moeda_cod,0)),0))</f>
        <v/>
      </c>
      <c r="X42" s="85" t="str">
        <f>IF(A42="","",IF($W$2="",UPPER(TRIM(A42)),IF(RIGHT(UPPER(TRIM(A42)),LEN($W$2))=$W$2,UPPER(TRIM(A42)),UPPER(TRIM(A42))&amp;$W$2)))</f>
        <v/>
      </c>
      <c r="Y42" s="85" t="str">
        <f>IF(OR(A42="",p_ModoCot&lt;&gt;"Automático"),"",IFERROR(_xlfn.WEBSERVICE("https://query1.finance.yahoo.com/v8/finance/chart/"&amp;X42&amp;"?range=1d&amp;interval=1d"),""))</f>
        <v/>
      </c>
      <c r="Z42" s="85" t="str">
        <f>IF(Y42="","",IFERROR(_xlfn.NUMBERVALUE(MID(Y42,SEARCH("""regularMarketPrice"":",Y42)+21,SEARCH(",",Y42&amp;",",SEARCH("""regularMarketPrice"":",Y42)+21)-SEARCH("""regularMarketPrice"":",Y42)-21),".",","),""))</f>
        <v/>
      </c>
      <c r="AA42" s="85" t="str">
        <f>IF(A42="","",ROUND(MAX(0,N(F42)*($K$6+$W$7)-K42),2))</f>
        <v/>
      </c>
      <c r="AB42" s="85" t="str">
        <f>IF(A42="","",IF(AND(M42&gt;0,M42&gt;=p_DifMin),AA42,0))</f>
        <v/>
      </c>
      <c r="AC42" s="85" t="str">
        <f>IF(A42="","",IF(AND(AB42&gt;0,N(O42)&lt;=p_MaxAtivos),AB42,0))</f>
        <v/>
      </c>
      <c r="AD42" s="85" t="str">
        <f>IF(A42="","",IF(OR(Q42&lt;=0,Q42&lt;p_CompraMin,N(H42)&lt;=0,N(W42)&lt;=0),0,IF($W$3="Sim",TRUNC(ROUND(MAX(0,(Q42-p_CorrFixa)/(H42*W42*$W$6)),9),$W$4),TRUNC(ROUND(MAX(0,(Q42-p_CorrFixa)/(H42*W42*$W$6)),9)/$W$5)*$W$5)))</f>
        <v/>
      </c>
      <c r="AE42" s="85" t="str">
        <f>IF(A42="","",IF(N(AD42)&gt;0,AD42*H42*W42*$W$6+p_CorrFixa,0))</f>
        <v/>
      </c>
      <c r="AF42" s="85" t="str">
        <f>IF(A42="","",IF(OR($Y$1&lt;=0,N(H42)&lt;=0,N(W42)&lt;=0,N(AB42)&lt;=0),0,IF($W$3="Sim",TRUNC(ROUND(MAX(0,($Y$1-IF(N(AD42)&gt;0,0,p_CorrFixa))/(H42*W42*$W$6)),9),$W$4),TRUNC(ROUND(MAX(0,($Y$1-IF(N(AD42)&gt;0,0,p_CorrFixa))/(H42*W42*$W$6)),9)/$W$5)*$W$5)))</f>
        <v/>
      </c>
      <c r="AG42" s="85" t="str">
        <f>IF(A42="","",IF(AND(N(AD42)=0,N(AF42)*(H42*W42*$W$6)+p_CorrFixa&lt;p_CompraMin),0,AF42))</f>
        <v/>
      </c>
      <c r="AH42" s="85" t="str">
        <f>IF(A42="","",IF(N(AG42)&gt;0,AB42,0))</f>
        <v/>
      </c>
      <c r="AI42" s="85" t="str">
        <f>IF(A42="","",IF(AND(AH42&gt;0,AH42=$AH$6,COUNTIF($AH$9:AH42,AH42)=1),1,0))</f>
        <v/>
      </c>
    </row>
    <row r="43">
      <c r="A43" s="96" t="n"/>
      <c r="B43" s="96" t="n"/>
      <c r="C43" s="96" t="n"/>
      <c r="D43" s="97" t="n"/>
      <c r="E43" s="98" t="n"/>
      <c r="F43" s="99" t="n"/>
      <c r="G43" s="100" t="n"/>
      <c r="H43" s="101" t="str">
        <f>IF(A43="","",IF(AND(p_ModoCot="Automático",ISNUMBER(Z43)),Z43,IF(N(G43)&gt;0,G43,0)))</f>
        <v/>
      </c>
      <c r="I43" s="73" t="str">
        <f>IF(A43="","",IF(W43=0,"Sem câmbio",IF(AND(p_ModoCot="Automático",ISNUMBER(Z43)),"Auto",IF(N(G43)&gt;0,"Manual","Sem cotação"))))</f>
        <v/>
      </c>
      <c r="J43" s="102" t="str">
        <f>IF(A43="","",N(E43)*H43)</f>
        <v/>
      </c>
      <c r="K43" s="70" t="str">
        <f>IF(A43="","",J43*W43)</f>
        <v/>
      </c>
      <c r="L43" s="30" t="str">
        <f>IF(A43="","",IF($K$6&gt;0,K43/$K$6,0))</f>
        <v/>
      </c>
      <c r="M43" s="72" t="str">
        <f>IF(A43="","",N(F43)-L43)</f>
        <v/>
      </c>
      <c r="N43" s="30" t="str">
        <f>IF(A43="","",IF($AB$6&gt;0,AB43/$AB$6,0))</f>
        <v/>
      </c>
      <c r="O43" s="74" t="str">
        <f>IF(A43="","",IF(AB43&lt;=0,"",COUNTIF($AB$9:$AB$208,"&gt;"&amp;AB43)+COUNTIF($AB$9:AB43,AB43)))</f>
        <v/>
      </c>
      <c r="P43" s="73" t="str">
        <f>IF(A43="","",IF(Q43&gt;0,"BUY","HOLD"))</f>
        <v/>
      </c>
      <c r="Q43" s="70" t="str">
        <f>IF(A43="","",IF($W$7&lt;=0,0,IF($AC$6&gt;0,$W$7*AC43/$AC$6,IF($F$6&gt;0,$W$7*N(F43)/$F$6,0))))</f>
        <v/>
      </c>
      <c r="R43" s="103" t="str">
        <f>IF(A43="","",N(AD43)+IF(AI43=1,N(AG43),0))</f>
        <v/>
      </c>
      <c r="S43" s="103" t="str">
        <f>IF(A43="","",N(E43)+N(R43))</f>
        <v/>
      </c>
      <c r="T43" s="70" t="str">
        <f>IF(A43="","",IF(N(R43)&gt;0,R43*H43*W43*$W$6+p_CorrFixa,0))</f>
        <v/>
      </c>
      <c r="V43" s="85" t="str">
        <f>IF(A43="","",IF(D43="",$W$1,D43))</f>
        <v/>
      </c>
      <c r="W43" s="85" t="str">
        <f>IF(A43="","",IFERROR(INDEX(moeda_fx,MATCH(V43,moeda_cod,0)),0))</f>
        <v/>
      </c>
      <c r="X43" s="85" t="str">
        <f>IF(A43="","",IF($W$2="",UPPER(TRIM(A43)),IF(RIGHT(UPPER(TRIM(A43)),LEN($W$2))=$W$2,UPPER(TRIM(A43)),UPPER(TRIM(A43))&amp;$W$2)))</f>
        <v/>
      </c>
      <c r="Y43" s="85" t="str">
        <f>IF(OR(A43="",p_ModoCot&lt;&gt;"Automático"),"",IFERROR(_xlfn.WEBSERVICE("https://query1.finance.yahoo.com/v8/finance/chart/"&amp;X43&amp;"?range=1d&amp;interval=1d"),""))</f>
        <v/>
      </c>
      <c r="Z43" s="85" t="str">
        <f>IF(Y43="","",IFERROR(_xlfn.NUMBERVALUE(MID(Y43,SEARCH("""regularMarketPrice"":",Y43)+21,SEARCH(",",Y43&amp;",",SEARCH("""regularMarketPrice"":",Y43)+21)-SEARCH("""regularMarketPrice"":",Y43)-21),".",","),""))</f>
        <v/>
      </c>
      <c r="AA43" s="85" t="str">
        <f>IF(A43="","",ROUND(MAX(0,N(F43)*($K$6+$W$7)-K43),2))</f>
        <v/>
      </c>
      <c r="AB43" s="85" t="str">
        <f>IF(A43="","",IF(AND(M43&gt;0,M43&gt;=p_DifMin),AA43,0))</f>
        <v/>
      </c>
      <c r="AC43" s="85" t="str">
        <f>IF(A43="","",IF(AND(AB43&gt;0,N(O43)&lt;=p_MaxAtivos),AB43,0))</f>
        <v/>
      </c>
      <c r="AD43" s="85" t="str">
        <f>IF(A43="","",IF(OR(Q43&lt;=0,Q43&lt;p_CompraMin,N(H43)&lt;=0,N(W43)&lt;=0),0,IF($W$3="Sim",TRUNC(ROUND(MAX(0,(Q43-p_CorrFixa)/(H43*W43*$W$6)),9),$W$4),TRUNC(ROUND(MAX(0,(Q43-p_CorrFixa)/(H43*W43*$W$6)),9)/$W$5)*$W$5)))</f>
        <v/>
      </c>
      <c r="AE43" s="85" t="str">
        <f>IF(A43="","",IF(N(AD43)&gt;0,AD43*H43*W43*$W$6+p_CorrFixa,0))</f>
        <v/>
      </c>
      <c r="AF43" s="85" t="str">
        <f>IF(A43="","",IF(OR($Y$1&lt;=0,N(H43)&lt;=0,N(W43)&lt;=0,N(AB43)&lt;=0),0,IF($W$3="Sim",TRUNC(ROUND(MAX(0,($Y$1-IF(N(AD43)&gt;0,0,p_CorrFixa))/(H43*W43*$W$6)),9),$W$4),TRUNC(ROUND(MAX(0,($Y$1-IF(N(AD43)&gt;0,0,p_CorrFixa))/(H43*W43*$W$6)),9)/$W$5)*$W$5)))</f>
        <v/>
      </c>
      <c r="AG43" s="85" t="str">
        <f>IF(A43="","",IF(AND(N(AD43)=0,N(AF43)*(H43*W43*$W$6)+p_CorrFixa&lt;p_CompraMin),0,AF43))</f>
        <v/>
      </c>
      <c r="AH43" s="85" t="str">
        <f>IF(A43="","",IF(N(AG43)&gt;0,AB43,0))</f>
        <v/>
      </c>
      <c r="AI43" s="85" t="str">
        <f>IF(A43="","",IF(AND(AH43&gt;0,AH43=$AH$6,COUNTIF($AH$9:AH43,AH43)=1),1,0))</f>
        <v/>
      </c>
    </row>
    <row r="44">
      <c r="A44" s="96" t="n"/>
      <c r="B44" s="96" t="n"/>
      <c r="C44" s="96" t="n"/>
      <c r="D44" s="97" t="n"/>
      <c r="E44" s="98" t="n"/>
      <c r="F44" s="99" t="n"/>
      <c r="G44" s="100" t="n"/>
      <c r="H44" s="104" t="str">
        <f>IF(A44="","",IF(AND(p_ModoCot="Automático",ISNUMBER(Z44)),Z44,IF(N(G44)&gt;0,G44,0)))</f>
        <v/>
      </c>
      <c r="I44" s="105" t="str">
        <f>IF(A44="","",IF(W44=0,"Sem câmbio",IF(AND(p_ModoCot="Automático",ISNUMBER(Z44)),"Auto",IF(N(G44)&gt;0,"Manual","Sem cotação"))))</f>
        <v/>
      </c>
      <c r="J44" s="106" t="str">
        <f>IF(A44="","",N(E44)*H44)</f>
        <v/>
      </c>
      <c r="K44" s="107" t="str">
        <f>IF(A44="","",J44*W44)</f>
        <v/>
      </c>
      <c r="L44" s="108" t="str">
        <f>IF(A44="","",IF($K$6&gt;0,K44/$K$6,0))</f>
        <v/>
      </c>
      <c r="M44" s="109" t="str">
        <f>IF(A44="","",N(F44)-L44)</f>
        <v/>
      </c>
      <c r="N44" s="108" t="str">
        <f>IF(A44="","",IF($AB$6&gt;0,AB44/$AB$6,0))</f>
        <v/>
      </c>
      <c r="O44" s="110" t="str">
        <f>IF(A44="","",IF(AB44&lt;=0,"",COUNTIF($AB$9:$AB$208,"&gt;"&amp;AB44)+COUNTIF($AB$9:AB44,AB44)))</f>
        <v/>
      </c>
      <c r="P44" s="105" t="str">
        <f>IF(A44="","",IF(Q44&gt;0,"BUY","HOLD"))</f>
        <v/>
      </c>
      <c r="Q44" s="107" t="str">
        <f>IF(A44="","",IF($W$7&lt;=0,0,IF($AC$6&gt;0,$W$7*AC44/$AC$6,IF($F$6&gt;0,$W$7*N(F44)/$F$6,0))))</f>
        <v/>
      </c>
      <c r="R44" s="111" t="str">
        <f>IF(A44="","",N(AD44)+IF(AI44=1,N(AG44),0))</f>
        <v/>
      </c>
      <c r="S44" s="111" t="str">
        <f>IF(A44="","",N(E44)+N(R44))</f>
        <v/>
      </c>
      <c r="T44" s="107" t="str">
        <f>IF(A44="","",IF(N(R44)&gt;0,R44*H44*W44*$W$6+p_CorrFixa,0))</f>
        <v/>
      </c>
      <c r="V44" s="85" t="str">
        <f>IF(A44="","",IF(D44="",$W$1,D44))</f>
        <v/>
      </c>
      <c r="W44" s="85" t="str">
        <f>IF(A44="","",IFERROR(INDEX(moeda_fx,MATCH(V44,moeda_cod,0)),0))</f>
        <v/>
      </c>
      <c r="X44" s="85" t="str">
        <f>IF(A44="","",IF($W$2="",UPPER(TRIM(A44)),IF(RIGHT(UPPER(TRIM(A44)),LEN($W$2))=$W$2,UPPER(TRIM(A44)),UPPER(TRIM(A44))&amp;$W$2)))</f>
        <v/>
      </c>
      <c r="Y44" s="85" t="str">
        <f>IF(OR(A44="",p_ModoCot&lt;&gt;"Automático"),"",IFERROR(_xlfn.WEBSERVICE("https://query1.finance.yahoo.com/v8/finance/chart/"&amp;X44&amp;"?range=1d&amp;interval=1d"),""))</f>
        <v/>
      </c>
      <c r="Z44" s="85" t="str">
        <f>IF(Y44="","",IFERROR(_xlfn.NUMBERVALUE(MID(Y44,SEARCH("""regularMarketPrice"":",Y44)+21,SEARCH(",",Y44&amp;",",SEARCH("""regularMarketPrice"":",Y44)+21)-SEARCH("""regularMarketPrice"":",Y44)-21),".",","),""))</f>
        <v/>
      </c>
      <c r="AA44" s="85" t="str">
        <f>IF(A44="","",ROUND(MAX(0,N(F44)*($K$6+$W$7)-K44),2))</f>
        <v/>
      </c>
      <c r="AB44" s="85" t="str">
        <f>IF(A44="","",IF(AND(M44&gt;0,M44&gt;=p_DifMin),AA44,0))</f>
        <v/>
      </c>
      <c r="AC44" s="85" t="str">
        <f>IF(A44="","",IF(AND(AB44&gt;0,N(O44)&lt;=p_MaxAtivos),AB44,0))</f>
        <v/>
      </c>
      <c r="AD44" s="85" t="str">
        <f>IF(A44="","",IF(OR(Q44&lt;=0,Q44&lt;p_CompraMin,N(H44)&lt;=0,N(W44)&lt;=0),0,IF($W$3="Sim",TRUNC(ROUND(MAX(0,(Q44-p_CorrFixa)/(H44*W44*$W$6)),9),$W$4),TRUNC(ROUND(MAX(0,(Q44-p_CorrFixa)/(H44*W44*$W$6)),9)/$W$5)*$W$5)))</f>
        <v/>
      </c>
      <c r="AE44" s="85" t="str">
        <f>IF(A44="","",IF(N(AD44)&gt;0,AD44*H44*W44*$W$6+p_CorrFixa,0))</f>
        <v/>
      </c>
      <c r="AF44" s="85" t="str">
        <f>IF(A44="","",IF(OR($Y$1&lt;=0,N(H44)&lt;=0,N(W44)&lt;=0,N(AB44)&lt;=0),0,IF($W$3="Sim",TRUNC(ROUND(MAX(0,($Y$1-IF(N(AD44)&gt;0,0,p_CorrFixa))/(H44*W44*$W$6)),9),$W$4),TRUNC(ROUND(MAX(0,($Y$1-IF(N(AD44)&gt;0,0,p_CorrFixa))/(H44*W44*$W$6)),9)/$W$5)*$W$5)))</f>
        <v/>
      </c>
      <c r="AG44" s="85" t="str">
        <f>IF(A44="","",IF(AND(N(AD44)=0,N(AF44)*(H44*W44*$W$6)+p_CorrFixa&lt;p_CompraMin),0,AF44))</f>
        <v/>
      </c>
      <c r="AH44" s="85" t="str">
        <f>IF(A44="","",IF(N(AG44)&gt;0,AB44,0))</f>
        <v/>
      </c>
      <c r="AI44" s="85" t="str">
        <f>IF(A44="","",IF(AND(AH44&gt;0,AH44=$AH$6,COUNTIF($AH$9:AH44,AH44)=1),1,0))</f>
        <v/>
      </c>
    </row>
    <row r="45">
      <c r="A45" s="96" t="n"/>
      <c r="B45" s="96" t="n"/>
      <c r="C45" s="96" t="n"/>
      <c r="D45" s="97" t="n"/>
      <c r="E45" s="98" t="n"/>
      <c r="F45" s="99" t="n"/>
      <c r="G45" s="100" t="n"/>
      <c r="H45" s="101" t="str">
        <f>IF(A45="","",IF(AND(p_ModoCot="Automático",ISNUMBER(Z45)),Z45,IF(N(G45)&gt;0,G45,0)))</f>
        <v/>
      </c>
      <c r="I45" s="73" t="str">
        <f>IF(A45="","",IF(W45=0,"Sem câmbio",IF(AND(p_ModoCot="Automático",ISNUMBER(Z45)),"Auto",IF(N(G45)&gt;0,"Manual","Sem cotação"))))</f>
        <v/>
      </c>
      <c r="J45" s="102" t="str">
        <f>IF(A45="","",N(E45)*H45)</f>
        <v/>
      </c>
      <c r="K45" s="70" t="str">
        <f>IF(A45="","",J45*W45)</f>
        <v/>
      </c>
      <c r="L45" s="30" t="str">
        <f>IF(A45="","",IF($K$6&gt;0,K45/$K$6,0))</f>
        <v/>
      </c>
      <c r="M45" s="72" t="str">
        <f>IF(A45="","",N(F45)-L45)</f>
        <v/>
      </c>
      <c r="N45" s="30" t="str">
        <f>IF(A45="","",IF($AB$6&gt;0,AB45/$AB$6,0))</f>
        <v/>
      </c>
      <c r="O45" s="74" t="str">
        <f>IF(A45="","",IF(AB45&lt;=0,"",COUNTIF($AB$9:$AB$208,"&gt;"&amp;AB45)+COUNTIF($AB$9:AB45,AB45)))</f>
        <v/>
      </c>
      <c r="P45" s="73" t="str">
        <f>IF(A45="","",IF(Q45&gt;0,"BUY","HOLD"))</f>
        <v/>
      </c>
      <c r="Q45" s="70" t="str">
        <f>IF(A45="","",IF($W$7&lt;=0,0,IF($AC$6&gt;0,$W$7*AC45/$AC$6,IF($F$6&gt;0,$W$7*N(F45)/$F$6,0))))</f>
        <v/>
      </c>
      <c r="R45" s="103" t="str">
        <f>IF(A45="","",N(AD45)+IF(AI45=1,N(AG45),0))</f>
        <v/>
      </c>
      <c r="S45" s="103" t="str">
        <f>IF(A45="","",N(E45)+N(R45))</f>
        <v/>
      </c>
      <c r="T45" s="70" t="str">
        <f>IF(A45="","",IF(N(R45)&gt;0,R45*H45*W45*$W$6+p_CorrFixa,0))</f>
        <v/>
      </c>
      <c r="V45" s="85" t="str">
        <f>IF(A45="","",IF(D45="",$W$1,D45))</f>
        <v/>
      </c>
      <c r="W45" s="85" t="str">
        <f>IF(A45="","",IFERROR(INDEX(moeda_fx,MATCH(V45,moeda_cod,0)),0))</f>
        <v/>
      </c>
      <c r="X45" s="85" t="str">
        <f>IF(A45="","",IF($W$2="",UPPER(TRIM(A45)),IF(RIGHT(UPPER(TRIM(A45)),LEN($W$2))=$W$2,UPPER(TRIM(A45)),UPPER(TRIM(A45))&amp;$W$2)))</f>
        <v/>
      </c>
      <c r="Y45" s="85" t="str">
        <f>IF(OR(A45="",p_ModoCot&lt;&gt;"Automático"),"",IFERROR(_xlfn.WEBSERVICE("https://query1.finance.yahoo.com/v8/finance/chart/"&amp;X45&amp;"?range=1d&amp;interval=1d"),""))</f>
        <v/>
      </c>
      <c r="Z45" s="85" t="str">
        <f>IF(Y45="","",IFERROR(_xlfn.NUMBERVALUE(MID(Y45,SEARCH("""regularMarketPrice"":",Y45)+21,SEARCH(",",Y45&amp;",",SEARCH("""regularMarketPrice"":",Y45)+21)-SEARCH("""regularMarketPrice"":",Y45)-21),".",","),""))</f>
        <v/>
      </c>
      <c r="AA45" s="85" t="str">
        <f>IF(A45="","",ROUND(MAX(0,N(F45)*($K$6+$W$7)-K45),2))</f>
        <v/>
      </c>
      <c r="AB45" s="85" t="str">
        <f>IF(A45="","",IF(AND(M45&gt;0,M45&gt;=p_DifMin),AA45,0))</f>
        <v/>
      </c>
      <c r="AC45" s="85" t="str">
        <f>IF(A45="","",IF(AND(AB45&gt;0,N(O45)&lt;=p_MaxAtivos),AB45,0))</f>
        <v/>
      </c>
      <c r="AD45" s="85" t="str">
        <f>IF(A45="","",IF(OR(Q45&lt;=0,Q45&lt;p_CompraMin,N(H45)&lt;=0,N(W45)&lt;=0),0,IF($W$3="Sim",TRUNC(ROUND(MAX(0,(Q45-p_CorrFixa)/(H45*W45*$W$6)),9),$W$4),TRUNC(ROUND(MAX(0,(Q45-p_CorrFixa)/(H45*W45*$W$6)),9)/$W$5)*$W$5)))</f>
        <v/>
      </c>
      <c r="AE45" s="85" t="str">
        <f>IF(A45="","",IF(N(AD45)&gt;0,AD45*H45*W45*$W$6+p_CorrFixa,0))</f>
        <v/>
      </c>
      <c r="AF45" s="85" t="str">
        <f>IF(A45="","",IF(OR($Y$1&lt;=0,N(H45)&lt;=0,N(W45)&lt;=0,N(AB45)&lt;=0),0,IF($W$3="Sim",TRUNC(ROUND(MAX(0,($Y$1-IF(N(AD45)&gt;0,0,p_CorrFixa))/(H45*W45*$W$6)),9),$W$4),TRUNC(ROUND(MAX(0,($Y$1-IF(N(AD45)&gt;0,0,p_CorrFixa))/(H45*W45*$W$6)),9)/$W$5)*$W$5)))</f>
        <v/>
      </c>
      <c r="AG45" s="85" t="str">
        <f>IF(A45="","",IF(AND(N(AD45)=0,N(AF45)*(H45*W45*$W$6)+p_CorrFixa&lt;p_CompraMin),0,AF45))</f>
        <v/>
      </c>
      <c r="AH45" s="85" t="str">
        <f>IF(A45="","",IF(N(AG45)&gt;0,AB45,0))</f>
        <v/>
      </c>
      <c r="AI45" s="85" t="str">
        <f>IF(A45="","",IF(AND(AH45&gt;0,AH45=$AH$6,COUNTIF($AH$9:AH45,AH45)=1),1,0))</f>
        <v/>
      </c>
    </row>
    <row r="46">
      <c r="A46" s="96" t="n"/>
      <c r="B46" s="96" t="n"/>
      <c r="C46" s="96" t="n"/>
      <c r="D46" s="97" t="n"/>
      <c r="E46" s="98" t="n"/>
      <c r="F46" s="99" t="n"/>
      <c r="G46" s="100" t="n"/>
      <c r="H46" s="104" t="str">
        <f>IF(A46="","",IF(AND(p_ModoCot="Automático",ISNUMBER(Z46)),Z46,IF(N(G46)&gt;0,G46,0)))</f>
        <v/>
      </c>
      <c r="I46" s="105" t="str">
        <f>IF(A46="","",IF(W46=0,"Sem câmbio",IF(AND(p_ModoCot="Automático",ISNUMBER(Z46)),"Auto",IF(N(G46)&gt;0,"Manual","Sem cotação"))))</f>
        <v/>
      </c>
      <c r="J46" s="106" t="str">
        <f>IF(A46="","",N(E46)*H46)</f>
        <v/>
      </c>
      <c r="K46" s="107" t="str">
        <f>IF(A46="","",J46*W46)</f>
        <v/>
      </c>
      <c r="L46" s="108" t="str">
        <f>IF(A46="","",IF($K$6&gt;0,K46/$K$6,0))</f>
        <v/>
      </c>
      <c r="M46" s="109" t="str">
        <f>IF(A46="","",N(F46)-L46)</f>
        <v/>
      </c>
      <c r="N46" s="108" t="str">
        <f>IF(A46="","",IF($AB$6&gt;0,AB46/$AB$6,0))</f>
        <v/>
      </c>
      <c r="O46" s="110" t="str">
        <f>IF(A46="","",IF(AB46&lt;=0,"",COUNTIF($AB$9:$AB$208,"&gt;"&amp;AB46)+COUNTIF($AB$9:AB46,AB46)))</f>
        <v/>
      </c>
      <c r="P46" s="105" t="str">
        <f>IF(A46="","",IF(Q46&gt;0,"BUY","HOLD"))</f>
        <v/>
      </c>
      <c r="Q46" s="107" t="str">
        <f>IF(A46="","",IF($W$7&lt;=0,0,IF($AC$6&gt;0,$W$7*AC46/$AC$6,IF($F$6&gt;0,$W$7*N(F46)/$F$6,0))))</f>
        <v/>
      </c>
      <c r="R46" s="111" t="str">
        <f>IF(A46="","",N(AD46)+IF(AI46=1,N(AG46),0))</f>
        <v/>
      </c>
      <c r="S46" s="111" t="str">
        <f>IF(A46="","",N(E46)+N(R46))</f>
        <v/>
      </c>
      <c r="T46" s="107" t="str">
        <f>IF(A46="","",IF(N(R46)&gt;0,R46*H46*W46*$W$6+p_CorrFixa,0))</f>
        <v/>
      </c>
      <c r="V46" s="85" t="str">
        <f>IF(A46="","",IF(D46="",$W$1,D46))</f>
        <v/>
      </c>
      <c r="W46" s="85" t="str">
        <f>IF(A46="","",IFERROR(INDEX(moeda_fx,MATCH(V46,moeda_cod,0)),0))</f>
        <v/>
      </c>
      <c r="X46" s="85" t="str">
        <f>IF(A46="","",IF($W$2="",UPPER(TRIM(A46)),IF(RIGHT(UPPER(TRIM(A46)),LEN($W$2))=$W$2,UPPER(TRIM(A46)),UPPER(TRIM(A46))&amp;$W$2)))</f>
        <v/>
      </c>
      <c r="Y46" s="85" t="str">
        <f>IF(OR(A46="",p_ModoCot&lt;&gt;"Automático"),"",IFERROR(_xlfn.WEBSERVICE("https://query1.finance.yahoo.com/v8/finance/chart/"&amp;X46&amp;"?range=1d&amp;interval=1d"),""))</f>
        <v/>
      </c>
      <c r="Z46" s="85" t="str">
        <f>IF(Y46="","",IFERROR(_xlfn.NUMBERVALUE(MID(Y46,SEARCH("""regularMarketPrice"":",Y46)+21,SEARCH(",",Y46&amp;",",SEARCH("""regularMarketPrice"":",Y46)+21)-SEARCH("""regularMarketPrice"":",Y46)-21),".",","),""))</f>
        <v/>
      </c>
      <c r="AA46" s="85" t="str">
        <f>IF(A46="","",ROUND(MAX(0,N(F46)*($K$6+$W$7)-K46),2))</f>
        <v/>
      </c>
      <c r="AB46" s="85" t="str">
        <f>IF(A46="","",IF(AND(M46&gt;0,M46&gt;=p_DifMin),AA46,0))</f>
        <v/>
      </c>
      <c r="AC46" s="85" t="str">
        <f>IF(A46="","",IF(AND(AB46&gt;0,N(O46)&lt;=p_MaxAtivos),AB46,0))</f>
        <v/>
      </c>
      <c r="AD46" s="85" t="str">
        <f>IF(A46="","",IF(OR(Q46&lt;=0,Q46&lt;p_CompraMin,N(H46)&lt;=0,N(W46)&lt;=0),0,IF($W$3="Sim",TRUNC(ROUND(MAX(0,(Q46-p_CorrFixa)/(H46*W46*$W$6)),9),$W$4),TRUNC(ROUND(MAX(0,(Q46-p_CorrFixa)/(H46*W46*$W$6)),9)/$W$5)*$W$5)))</f>
        <v/>
      </c>
      <c r="AE46" s="85" t="str">
        <f>IF(A46="","",IF(N(AD46)&gt;0,AD46*H46*W46*$W$6+p_CorrFixa,0))</f>
        <v/>
      </c>
      <c r="AF46" s="85" t="str">
        <f>IF(A46="","",IF(OR($Y$1&lt;=0,N(H46)&lt;=0,N(W46)&lt;=0,N(AB46)&lt;=0),0,IF($W$3="Sim",TRUNC(ROUND(MAX(0,($Y$1-IF(N(AD46)&gt;0,0,p_CorrFixa))/(H46*W46*$W$6)),9),$W$4),TRUNC(ROUND(MAX(0,($Y$1-IF(N(AD46)&gt;0,0,p_CorrFixa))/(H46*W46*$W$6)),9)/$W$5)*$W$5)))</f>
        <v/>
      </c>
      <c r="AG46" s="85" t="str">
        <f>IF(A46="","",IF(AND(N(AD46)=0,N(AF46)*(H46*W46*$W$6)+p_CorrFixa&lt;p_CompraMin),0,AF46))</f>
        <v/>
      </c>
      <c r="AH46" s="85" t="str">
        <f>IF(A46="","",IF(N(AG46)&gt;0,AB46,0))</f>
        <v/>
      </c>
      <c r="AI46" s="85" t="str">
        <f>IF(A46="","",IF(AND(AH46&gt;0,AH46=$AH$6,COUNTIF($AH$9:AH46,AH46)=1),1,0))</f>
        <v/>
      </c>
    </row>
    <row r="47">
      <c r="A47" s="96" t="n"/>
      <c r="B47" s="96" t="n"/>
      <c r="C47" s="96" t="n"/>
      <c r="D47" s="97" t="n"/>
      <c r="E47" s="98" t="n"/>
      <c r="F47" s="99" t="n"/>
      <c r="G47" s="100" t="n"/>
      <c r="H47" s="101" t="str">
        <f>IF(A47="","",IF(AND(p_ModoCot="Automático",ISNUMBER(Z47)),Z47,IF(N(G47)&gt;0,G47,0)))</f>
        <v/>
      </c>
      <c r="I47" s="73" t="str">
        <f>IF(A47="","",IF(W47=0,"Sem câmbio",IF(AND(p_ModoCot="Automático",ISNUMBER(Z47)),"Auto",IF(N(G47)&gt;0,"Manual","Sem cotação"))))</f>
        <v/>
      </c>
      <c r="J47" s="102" t="str">
        <f>IF(A47="","",N(E47)*H47)</f>
        <v/>
      </c>
      <c r="K47" s="70" t="str">
        <f>IF(A47="","",J47*W47)</f>
        <v/>
      </c>
      <c r="L47" s="30" t="str">
        <f>IF(A47="","",IF($K$6&gt;0,K47/$K$6,0))</f>
        <v/>
      </c>
      <c r="M47" s="72" t="str">
        <f>IF(A47="","",N(F47)-L47)</f>
        <v/>
      </c>
      <c r="N47" s="30" t="str">
        <f>IF(A47="","",IF($AB$6&gt;0,AB47/$AB$6,0))</f>
        <v/>
      </c>
      <c r="O47" s="74" t="str">
        <f>IF(A47="","",IF(AB47&lt;=0,"",COUNTIF($AB$9:$AB$208,"&gt;"&amp;AB47)+COUNTIF($AB$9:AB47,AB47)))</f>
        <v/>
      </c>
      <c r="P47" s="73" t="str">
        <f>IF(A47="","",IF(Q47&gt;0,"BUY","HOLD"))</f>
        <v/>
      </c>
      <c r="Q47" s="70" t="str">
        <f>IF(A47="","",IF($W$7&lt;=0,0,IF($AC$6&gt;0,$W$7*AC47/$AC$6,IF($F$6&gt;0,$W$7*N(F47)/$F$6,0))))</f>
        <v/>
      </c>
      <c r="R47" s="103" t="str">
        <f>IF(A47="","",N(AD47)+IF(AI47=1,N(AG47),0))</f>
        <v/>
      </c>
      <c r="S47" s="103" t="str">
        <f>IF(A47="","",N(E47)+N(R47))</f>
        <v/>
      </c>
      <c r="T47" s="70" t="str">
        <f>IF(A47="","",IF(N(R47)&gt;0,R47*H47*W47*$W$6+p_CorrFixa,0))</f>
        <v/>
      </c>
      <c r="V47" s="85" t="str">
        <f>IF(A47="","",IF(D47="",$W$1,D47))</f>
        <v/>
      </c>
      <c r="W47" s="85" t="str">
        <f>IF(A47="","",IFERROR(INDEX(moeda_fx,MATCH(V47,moeda_cod,0)),0))</f>
        <v/>
      </c>
      <c r="X47" s="85" t="str">
        <f>IF(A47="","",IF($W$2="",UPPER(TRIM(A47)),IF(RIGHT(UPPER(TRIM(A47)),LEN($W$2))=$W$2,UPPER(TRIM(A47)),UPPER(TRIM(A47))&amp;$W$2)))</f>
        <v/>
      </c>
      <c r="Y47" s="85" t="str">
        <f>IF(OR(A47="",p_ModoCot&lt;&gt;"Automático"),"",IFERROR(_xlfn.WEBSERVICE("https://query1.finance.yahoo.com/v8/finance/chart/"&amp;X47&amp;"?range=1d&amp;interval=1d"),""))</f>
        <v/>
      </c>
      <c r="Z47" s="85" t="str">
        <f>IF(Y47="","",IFERROR(_xlfn.NUMBERVALUE(MID(Y47,SEARCH("""regularMarketPrice"":",Y47)+21,SEARCH(",",Y47&amp;",",SEARCH("""regularMarketPrice"":",Y47)+21)-SEARCH("""regularMarketPrice"":",Y47)-21),".",","),""))</f>
        <v/>
      </c>
      <c r="AA47" s="85" t="str">
        <f>IF(A47="","",ROUND(MAX(0,N(F47)*($K$6+$W$7)-K47),2))</f>
        <v/>
      </c>
      <c r="AB47" s="85" t="str">
        <f>IF(A47="","",IF(AND(M47&gt;0,M47&gt;=p_DifMin),AA47,0))</f>
        <v/>
      </c>
      <c r="AC47" s="85" t="str">
        <f>IF(A47="","",IF(AND(AB47&gt;0,N(O47)&lt;=p_MaxAtivos),AB47,0))</f>
        <v/>
      </c>
      <c r="AD47" s="85" t="str">
        <f>IF(A47="","",IF(OR(Q47&lt;=0,Q47&lt;p_CompraMin,N(H47)&lt;=0,N(W47)&lt;=0),0,IF($W$3="Sim",TRUNC(ROUND(MAX(0,(Q47-p_CorrFixa)/(H47*W47*$W$6)),9),$W$4),TRUNC(ROUND(MAX(0,(Q47-p_CorrFixa)/(H47*W47*$W$6)),9)/$W$5)*$W$5)))</f>
        <v/>
      </c>
      <c r="AE47" s="85" t="str">
        <f>IF(A47="","",IF(N(AD47)&gt;0,AD47*H47*W47*$W$6+p_CorrFixa,0))</f>
        <v/>
      </c>
      <c r="AF47" s="85" t="str">
        <f>IF(A47="","",IF(OR($Y$1&lt;=0,N(H47)&lt;=0,N(W47)&lt;=0,N(AB47)&lt;=0),0,IF($W$3="Sim",TRUNC(ROUND(MAX(0,($Y$1-IF(N(AD47)&gt;0,0,p_CorrFixa))/(H47*W47*$W$6)),9),$W$4),TRUNC(ROUND(MAX(0,($Y$1-IF(N(AD47)&gt;0,0,p_CorrFixa))/(H47*W47*$W$6)),9)/$W$5)*$W$5)))</f>
        <v/>
      </c>
      <c r="AG47" s="85" t="str">
        <f>IF(A47="","",IF(AND(N(AD47)=0,N(AF47)*(H47*W47*$W$6)+p_CorrFixa&lt;p_CompraMin),0,AF47))</f>
        <v/>
      </c>
      <c r="AH47" s="85" t="str">
        <f>IF(A47="","",IF(N(AG47)&gt;0,AB47,0))</f>
        <v/>
      </c>
      <c r="AI47" s="85" t="str">
        <f>IF(A47="","",IF(AND(AH47&gt;0,AH47=$AH$6,COUNTIF($AH$9:AH47,AH47)=1),1,0))</f>
        <v/>
      </c>
    </row>
    <row r="48">
      <c r="A48" s="96" t="n"/>
      <c r="B48" s="96" t="n"/>
      <c r="C48" s="96" t="n"/>
      <c r="D48" s="97" t="n"/>
      <c r="E48" s="98" t="n"/>
      <c r="F48" s="99" t="n"/>
      <c r="G48" s="100" t="n"/>
      <c r="H48" s="104" t="str">
        <f>IF(A48="","",IF(AND(p_ModoCot="Automático",ISNUMBER(Z48)),Z48,IF(N(G48)&gt;0,G48,0)))</f>
        <v/>
      </c>
      <c r="I48" s="105" t="str">
        <f>IF(A48="","",IF(W48=0,"Sem câmbio",IF(AND(p_ModoCot="Automático",ISNUMBER(Z48)),"Auto",IF(N(G48)&gt;0,"Manual","Sem cotação"))))</f>
        <v/>
      </c>
      <c r="J48" s="106" t="str">
        <f>IF(A48="","",N(E48)*H48)</f>
        <v/>
      </c>
      <c r="K48" s="107" t="str">
        <f>IF(A48="","",J48*W48)</f>
        <v/>
      </c>
      <c r="L48" s="108" t="str">
        <f>IF(A48="","",IF($K$6&gt;0,K48/$K$6,0))</f>
        <v/>
      </c>
      <c r="M48" s="109" t="str">
        <f>IF(A48="","",N(F48)-L48)</f>
        <v/>
      </c>
      <c r="N48" s="108" t="str">
        <f>IF(A48="","",IF($AB$6&gt;0,AB48/$AB$6,0))</f>
        <v/>
      </c>
      <c r="O48" s="110" t="str">
        <f>IF(A48="","",IF(AB48&lt;=0,"",COUNTIF($AB$9:$AB$208,"&gt;"&amp;AB48)+COUNTIF($AB$9:AB48,AB48)))</f>
        <v/>
      </c>
      <c r="P48" s="105" t="str">
        <f>IF(A48="","",IF(Q48&gt;0,"BUY","HOLD"))</f>
        <v/>
      </c>
      <c r="Q48" s="107" t="str">
        <f>IF(A48="","",IF($W$7&lt;=0,0,IF($AC$6&gt;0,$W$7*AC48/$AC$6,IF($F$6&gt;0,$W$7*N(F48)/$F$6,0))))</f>
        <v/>
      </c>
      <c r="R48" s="111" t="str">
        <f>IF(A48="","",N(AD48)+IF(AI48=1,N(AG48),0))</f>
        <v/>
      </c>
      <c r="S48" s="111" t="str">
        <f>IF(A48="","",N(E48)+N(R48))</f>
        <v/>
      </c>
      <c r="T48" s="107" t="str">
        <f>IF(A48="","",IF(N(R48)&gt;0,R48*H48*W48*$W$6+p_CorrFixa,0))</f>
        <v/>
      </c>
      <c r="V48" s="85" t="str">
        <f>IF(A48="","",IF(D48="",$W$1,D48))</f>
        <v/>
      </c>
      <c r="W48" s="85" t="str">
        <f>IF(A48="","",IFERROR(INDEX(moeda_fx,MATCH(V48,moeda_cod,0)),0))</f>
        <v/>
      </c>
      <c r="X48" s="85" t="str">
        <f>IF(A48="","",IF($W$2="",UPPER(TRIM(A48)),IF(RIGHT(UPPER(TRIM(A48)),LEN($W$2))=$W$2,UPPER(TRIM(A48)),UPPER(TRIM(A48))&amp;$W$2)))</f>
        <v/>
      </c>
      <c r="Y48" s="85" t="str">
        <f>IF(OR(A48="",p_ModoCot&lt;&gt;"Automático"),"",IFERROR(_xlfn.WEBSERVICE("https://query1.finance.yahoo.com/v8/finance/chart/"&amp;X48&amp;"?range=1d&amp;interval=1d"),""))</f>
        <v/>
      </c>
      <c r="Z48" s="85" t="str">
        <f>IF(Y48="","",IFERROR(_xlfn.NUMBERVALUE(MID(Y48,SEARCH("""regularMarketPrice"":",Y48)+21,SEARCH(",",Y48&amp;",",SEARCH("""regularMarketPrice"":",Y48)+21)-SEARCH("""regularMarketPrice"":",Y48)-21),".",","),""))</f>
        <v/>
      </c>
      <c r="AA48" s="85" t="str">
        <f>IF(A48="","",ROUND(MAX(0,N(F48)*($K$6+$W$7)-K48),2))</f>
        <v/>
      </c>
      <c r="AB48" s="85" t="str">
        <f>IF(A48="","",IF(AND(M48&gt;0,M48&gt;=p_DifMin),AA48,0))</f>
        <v/>
      </c>
      <c r="AC48" s="85" t="str">
        <f>IF(A48="","",IF(AND(AB48&gt;0,N(O48)&lt;=p_MaxAtivos),AB48,0))</f>
        <v/>
      </c>
      <c r="AD48" s="85" t="str">
        <f>IF(A48="","",IF(OR(Q48&lt;=0,Q48&lt;p_CompraMin,N(H48)&lt;=0,N(W48)&lt;=0),0,IF($W$3="Sim",TRUNC(ROUND(MAX(0,(Q48-p_CorrFixa)/(H48*W48*$W$6)),9),$W$4),TRUNC(ROUND(MAX(0,(Q48-p_CorrFixa)/(H48*W48*$W$6)),9)/$W$5)*$W$5)))</f>
        <v/>
      </c>
      <c r="AE48" s="85" t="str">
        <f>IF(A48="","",IF(N(AD48)&gt;0,AD48*H48*W48*$W$6+p_CorrFixa,0))</f>
        <v/>
      </c>
      <c r="AF48" s="85" t="str">
        <f>IF(A48="","",IF(OR($Y$1&lt;=0,N(H48)&lt;=0,N(W48)&lt;=0,N(AB48)&lt;=0),0,IF($W$3="Sim",TRUNC(ROUND(MAX(0,($Y$1-IF(N(AD48)&gt;0,0,p_CorrFixa))/(H48*W48*$W$6)),9),$W$4),TRUNC(ROUND(MAX(0,($Y$1-IF(N(AD48)&gt;0,0,p_CorrFixa))/(H48*W48*$W$6)),9)/$W$5)*$W$5)))</f>
        <v/>
      </c>
      <c r="AG48" s="85" t="str">
        <f>IF(A48="","",IF(AND(N(AD48)=0,N(AF48)*(H48*W48*$W$6)+p_CorrFixa&lt;p_CompraMin),0,AF48))</f>
        <v/>
      </c>
      <c r="AH48" s="85" t="str">
        <f>IF(A48="","",IF(N(AG48)&gt;0,AB48,0))</f>
        <v/>
      </c>
      <c r="AI48" s="85" t="str">
        <f>IF(A48="","",IF(AND(AH48&gt;0,AH48=$AH$6,COUNTIF($AH$9:AH48,AH48)=1),1,0))</f>
        <v/>
      </c>
    </row>
    <row r="49">
      <c r="A49" s="96" t="n"/>
      <c r="B49" s="96" t="n"/>
      <c r="C49" s="96" t="n"/>
      <c r="D49" s="97" t="n"/>
      <c r="E49" s="98" t="n"/>
      <c r="F49" s="99" t="n"/>
      <c r="G49" s="100" t="n"/>
      <c r="H49" s="101" t="str">
        <f>IF(A49="","",IF(AND(p_ModoCot="Automático",ISNUMBER(Z49)),Z49,IF(N(G49)&gt;0,G49,0)))</f>
        <v/>
      </c>
      <c r="I49" s="73" t="str">
        <f>IF(A49="","",IF(W49=0,"Sem câmbio",IF(AND(p_ModoCot="Automático",ISNUMBER(Z49)),"Auto",IF(N(G49)&gt;0,"Manual","Sem cotação"))))</f>
        <v/>
      </c>
      <c r="J49" s="102" t="str">
        <f>IF(A49="","",N(E49)*H49)</f>
        <v/>
      </c>
      <c r="K49" s="70" t="str">
        <f>IF(A49="","",J49*W49)</f>
        <v/>
      </c>
      <c r="L49" s="30" t="str">
        <f>IF(A49="","",IF($K$6&gt;0,K49/$K$6,0))</f>
        <v/>
      </c>
      <c r="M49" s="72" t="str">
        <f>IF(A49="","",N(F49)-L49)</f>
        <v/>
      </c>
      <c r="N49" s="30" t="str">
        <f>IF(A49="","",IF($AB$6&gt;0,AB49/$AB$6,0))</f>
        <v/>
      </c>
      <c r="O49" s="74" t="str">
        <f>IF(A49="","",IF(AB49&lt;=0,"",COUNTIF($AB$9:$AB$208,"&gt;"&amp;AB49)+COUNTIF($AB$9:AB49,AB49)))</f>
        <v/>
      </c>
      <c r="P49" s="73" t="str">
        <f>IF(A49="","",IF(Q49&gt;0,"BUY","HOLD"))</f>
        <v/>
      </c>
      <c r="Q49" s="70" t="str">
        <f>IF(A49="","",IF($W$7&lt;=0,0,IF($AC$6&gt;0,$W$7*AC49/$AC$6,IF($F$6&gt;0,$W$7*N(F49)/$F$6,0))))</f>
        <v/>
      </c>
      <c r="R49" s="103" t="str">
        <f>IF(A49="","",N(AD49)+IF(AI49=1,N(AG49),0))</f>
        <v/>
      </c>
      <c r="S49" s="103" t="str">
        <f>IF(A49="","",N(E49)+N(R49))</f>
        <v/>
      </c>
      <c r="T49" s="70" t="str">
        <f>IF(A49="","",IF(N(R49)&gt;0,R49*H49*W49*$W$6+p_CorrFixa,0))</f>
        <v/>
      </c>
      <c r="V49" s="85" t="str">
        <f>IF(A49="","",IF(D49="",$W$1,D49))</f>
        <v/>
      </c>
      <c r="W49" s="85" t="str">
        <f>IF(A49="","",IFERROR(INDEX(moeda_fx,MATCH(V49,moeda_cod,0)),0))</f>
        <v/>
      </c>
      <c r="X49" s="85" t="str">
        <f>IF(A49="","",IF($W$2="",UPPER(TRIM(A49)),IF(RIGHT(UPPER(TRIM(A49)),LEN($W$2))=$W$2,UPPER(TRIM(A49)),UPPER(TRIM(A49))&amp;$W$2)))</f>
        <v/>
      </c>
      <c r="Y49" s="85" t="str">
        <f>IF(OR(A49="",p_ModoCot&lt;&gt;"Automático"),"",IFERROR(_xlfn.WEBSERVICE("https://query1.finance.yahoo.com/v8/finance/chart/"&amp;X49&amp;"?range=1d&amp;interval=1d"),""))</f>
        <v/>
      </c>
      <c r="Z49" s="85" t="str">
        <f>IF(Y49="","",IFERROR(_xlfn.NUMBERVALUE(MID(Y49,SEARCH("""regularMarketPrice"":",Y49)+21,SEARCH(",",Y49&amp;",",SEARCH("""regularMarketPrice"":",Y49)+21)-SEARCH("""regularMarketPrice"":",Y49)-21),".",","),""))</f>
        <v/>
      </c>
      <c r="AA49" s="85" t="str">
        <f>IF(A49="","",ROUND(MAX(0,N(F49)*($K$6+$W$7)-K49),2))</f>
        <v/>
      </c>
      <c r="AB49" s="85" t="str">
        <f>IF(A49="","",IF(AND(M49&gt;0,M49&gt;=p_DifMin),AA49,0))</f>
        <v/>
      </c>
      <c r="AC49" s="85" t="str">
        <f>IF(A49="","",IF(AND(AB49&gt;0,N(O49)&lt;=p_MaxAtivos),AB49,0))</f>
        <v/>
      </c>
      <c r="AD49" s="85" t="str">
        <f>IF(A49="","",IF(OR(Q49&lt;=0,Q49&lt;p_CompraMin,N(H49)&lt;=0,N(W49)&lt;=0),0,IF($W$3="Sim",TRUNC(ROUND(MAX(0,(Q49-p_CorrFixa)/(H49*W49*$W$6)),9),$W$4),TRUNC(ROUND(MAX(0,(Q49-p_CorrFixa)/(H49*W49*$W$6)),9)/$W$5)*$W$5)))</f>
        <v/>
      </c>
      <c r="AE49" s="85" t="str">
        <f>IF(A49="","",IF(N(AD49)&gt;0,AD49*H49*W49*$W$6+p_CorrFixa,0))</f>
        <v/>
      </c>
      <c r="AF49" s="85" t="str">
        <f>IF(A49="","",IF(OR($Y$1&lt;=0,N(H49)&lt;=0,N(W49)&lt;=0,N(AB49)&lt;=0),0,IF($W$3="Sim",TRUNC(ROUND(MAX(0,($Y$1-IF(N(AD49)&gt;0,0,p_CorrFixa))/(H49*W49*$W$6)),9),$W$4),TRUNC(ROUND(MAX(0,($Y$1-IF(N(AD49)&gt;0,0,p_CorrFixa))/(H49*W49*$W$6)),9)/$W$5)*$W$5)))</f>
        <v/>
      </c>
      <c r="AG49" s="85" t="str">
        <f>IF(A49="","",IF(AND(N(AD49)=0,N(AF49)*(H49*W49*$W$6)+p_CorrFixa&lt;p_CompraMin),0,AF49))</f>
        <v/>
      </c>
      <c r="AH49" s="85" t="str">
        <f>IF(A49="","",IF(N(AG49)&gt;0,AB49,0))</f>
        <v/>
      </c>
      <c r="AI49" s="85" t="str">
        <f>IF(A49="","",IF(AND(AH49&gt;0,AH49=$AH$6,COUNTIF($AH$9:AH49,AH49)=1),1,0))</f>
        <v/>
      </c>
    </row>
    <row r="50">
      <c r="A50" s="96" t="n"/>
      <c r="B50" s="96" t="n"/>
      <c r="C50" s="96" t="n"/>
      <c r="D50" s="97" t="n"/>
      <c r="E50" s="98" t="n"/>
      <c r="F50" s="99" t="n"/>
      <c r="G50" s="100" t="n"/>
      <c r="H50" s="104" t="str">
        <f>IF(A50="","",IF(AND(p_ModoCot="Automático",ISNUMBER(Z50)),Z50,IF(N(G50)&gt;0,G50,0)))</f>
        <v/>
      </c>
      <c r="I50" s="105" t="str">
        <f>IF(A50="","",IF(W50=0,"Sem câmbio",IF(AND(p_ModoCot="Automático",ISNUMBER(Z50)),"Auto",IF(N(G50)&gt;0,"Manual","Sem cotação"))))</f>
        <v/>
      </c>
      <c r="J50" s="106" t="str">
        <f>IF(A50="","",N(E50)*H50)</f>
        <v/>
      </c>
      <c r="K50" s="107" t="str">
        <f>IF(A50="","",J50*W50)</f>
        <v/>
      </c>
      <c r="L50" s="108" t="str">
        <f>IF(A50="","",IF($K$6&gt;0,K50/$K$6,0))</f>
        <v/>
      </c>
      <c r="M50" s="109" t="str">
        <f>IF(A50="","",N(F50)-L50)</f>
        <v/>
      </c>
      <c r="N50" s="108" t="str">
        <f>IF(A50="","",IF($AB$6&gt;0,AB50/$AB$6,0))</f>
        <v/>
      </c>
      <c r="O50" s="110" t="str">
        <f>IF(A50="","",IF(AB50&lt;=0,"",COUNTIF($AB$9:$AB$208,"&gt;"&amp;AB50)+COUNTIF($AB$9:AB50,AB50)))</f>
        <v/>
      </c>
      <c r="P50" s="105" t="str">
        <f>IF(A50="","",IF(Q50&gt;0,"BUY","HOLD"))</f>
        <v/>
      </c>
      <c r="Q50" s="107" t="str">
        <f>IF(A50="","",IF($W$7&lt;=0,0,IF($AC$6&gt;0,$W$7*AC50/$AC$6,IF($F$6&gt;0,$W$7*N(F50)/$F$6,0))))</f>
        <v/>
      </c>
      <c r="R50" s="111" t="str">
        <f>IF(A50="","",N(AD50)+IF(AI50=1,N(AG50),0))</f>
        <v/>
      </c>
      <c r="S50" s="111" t="str">
        <f>IF(A50="","",N(E50)+N(R50))</f>
        <v/>
      </c>
      <c r="T50" s="107" t="str">
        <f>IF(A50="","",IF(N(R50)&gt;0,R50*H50*W50*$W$6+p_CorrFixa,0))</f>
        <v/>
      </c>
      <c r="V50" s="85" t="str">
        <f>IF(A50="","",IF(D50="",$W$1,D50))</f>
        <v/>
      </c>
      <c r="W50" s="85" t="str">
        <f>IF(A50="","",IFERROR(INDEX(moeda_fx,MATCH(V50,moeda_cod,0)),0))</f>
        <v/>
      </c>
      <c r="X50" s="85" t="str">
        <f>IF(A50="","",IF($W$2="",UPPER(TRIM(A50)),IF(RIGHT(UPPER(TRIM(A50)),LEN($W$2))=$W$2,UPPER(TRIM(A50)),UPPER(TRIM(A50))&amp;$W$2)))</f>
        <v/>
      </c>
      <c r="Y50" s="85" t="str">
        <f>IF(OR(A50="",p_ModoCot&lt;&gt;"Automático"),"",IFERROR(_xlfn.WEBSERVICE("https://query1.finance.yahoo.com/v8/finance/chart/"&amp;X50&amp;"?range=1d&amp;interval=1d"),""))</f>
        <v/>
      </c>
      <c r="Z50" s="85" t="str">
        <f>IF(Y50="","",IFERROR(_xlfn.NUMBERVALUE(MID(Y50,SEARCH("""regularMarketPrice"":",Y50)+21,SEARCH(",",Y50&amp;",",SEARCH("""regularMarketPrice"":",Y50)+21)-SEARCH("""regularMarketPrice"":",Y50)-21),".",","),""))</f>
        <v/>
      </c>
      <c r="AA50" s="85" t="str">
        <f>IF(A50="","",ROUND(MAX(0,N(F50)*($K$6+$W$7)-K50),2))</f>
        <v/>
      </c>
      <c r="AB50" s="85" t="str">
        <f>IF(A50="","",IF(AND(M50&gt;0,M50&gt;=p_DifMin),AA50,0))</f>
        <v/>
      </c>
      <c r="AC50" s="85" t="str">
        <f>IF(A50="","",IF(AND(AB50&gt;0,N(O50)&lt;=p_MaxAtivos),AB50,0))</f>
        <v/>
      </c>
      <c r="AD50" s="85" t="str">
        <f>IF(A50="","",IF(OR(Q50&lt;=0,Q50&lt;p_CompraMin,N(H50)&lt;=0,N(W50)&lt;=0),0,IF($W$3="Sim",TRUNC(ROUND(MAX(0,(Q50-p_CorrFixa)/(H50*W50*$W$6)),9),$W$4),TRUNC(ROUND(MAX(0,(Q50-p_CorrFixa)/(H50*W50*$W$6)),9)/$W$5)*$W$5)))</f>
        <v/>
      </c>
      <c r="AE50" s="85" t="str">
        <f>IF(A50="","",IF(N(AD50)&gt;0,AD50*H50*W50*$W$6+p_CorrFixa,0))</f>
        <v/>
      </c>
      <c r="AF50" s="85" t="str">
        <f>IF(A50="","",IF(OR($Y$1&lt;=0,N(H50)&lt;=0,N(W50)&lt;=0,N(AB50)&lt;=0),0,IF($W$3="Sim",TRUNC(ROUND(MAX(0,($Y$1-IF(N(AD50)&gt;0,0,p_CorrFixa))/(H50*W50*$W$6)),9),$W$4),TRUNC(ROUND(MAX(0,($Y$1-IF(N(AD50)&gt;0,0,p_CorrFixa))/(H50*W50*$W$6)),9)/$W$5)*$W$5)))</f>
        <v/>
      </c>
      <c r="AG50" s="85" t="str">
        <f>IF(A50="","",IF(AND(N(AD50)=0,N(AF50)*(H50*W50*$W$6)+p_CorrFixa&lt;p_CompraMin),0,AF50))</f>
        <v/>
      </c>
      <c r="AH50" s="85" t="str">
        <f>IF(A50="","",IF(N(AG50)&gt;0,AB50,0))</f>
        <v/>
      </c>
      <c r="AI50" s="85" t="str">
        <f>IF(A50="","",IF(AND(AH50&gt;0,AH50=$AH$6,COUNTIF($AH$9:AH50,AH50)=1),1,0))</f>
        <v/>
      </c>
    </row>
    <row r="51">
      <c r="A51" s="96" t="n"/>
      <c r="B51" s="96" t="n"/>
      <c r="C51" s="96" t="n"/>
      <c r="D51" s="97" t="n"/>
      <c r="E51" s="98" t="n"/>
      <c r="F51" s="99" t="n"/>
      <c r="G51" s="100" t="n"/>
      <c r="H51" s="101" t="str">
        <f>IF(A51="","",IF(AND(p_ModoCot="Automático",ISNUMBER(Z51)),Z51,IF(N(G51)&gt;0,G51,0)))</f>
        <v/>
      </c>
      <c r="I51" s="73" t="str">
        <f>IF(A51="","",IF(W51=0,"Sem câmbio",IF(AND(p_ModoCot="Automático",ISNUMBER(Z51)),"Auto",IF(N(G51)&gt;0,"Manual","Sem cotação"))))</f>
        <v/>
      </c>
      <c r="J51" s="102" t="str">
        <f>IF(A51="","",N(E51)*H51)</f>
        <v/>
      </c>
      <c r="K51" s="70" t="str">
        <f>IF(A51="","",J51*W51)</f>
        <v/>
      </c>
      <c r="L51" s="30" t="str">
        <f>IF(A51="","",IF($K$6&gt;0,K51/$K$6,0))</f>
        <v/>
      </c>
      <c r="M51" s="72" t="str">
        <f>IF(A51="","",N(F51)-L51)</f>
        <v/>
      </c>
      <c r="N51" s="30" t="str">
        <f>IF(A51="","",IF($AB$6&gt;0,AB51/$AB$6,0))</f>
        <v/>
      </c>
      <c r="O51" s="74" t="str">
        <f>IF(A51="","",IF(AB51&lt;=0,"",COUNTIF($AB$9:$AB$208,"&gt;"&amp;AB51)+COUNTIF($AB$9:AB51,AB51)))</f>
        <v/>
      </c>
      <c r="P51" s="73" t="str">
        <f>IF(A51="","",IF(Q51&gt;0,"BUY","HOLD"))</f>
        <v/>
      </c>
      <c r="Q51" s="70" t="str">
        <f>IF(A51="","",IF($W$7&lt;=0,0,IF($AC$6&gt;0,$W$7*AC51/$AC$6,IF($F$6&gt;0,$W$7*N(F51)/$F$6,0))))</f>
        <v/>
      </c>
      <c r="R51" s="103" t="str">
        <f>IF(A51="","",N(AD51)+IF(AI51=1,N(AG51),0))</f>
        <v/>
      </c>
      <c r="S51" s="103" t="str">
        <f>IF(A51="","",N(E51)+N(R51))</f>
        <v/>
      </c>
      <c r="T51" s="70" t="str">
        <f>IF(A51="","",IF(N(R51)&gt;0,R51*H51*W51*$W$6+p_CorrFixa,0))</f>
        <v/>
      </c>
      <c r="V51" s="85" t="str">
        <f>IF(A51="","",IF(D51="",$W$1,D51))</f>
        <v/>
      </c>
      <c r="W51" s="85" t="str">
        <f>IF(A51="","",IFERROR(INDEX(moeda_fx,MATCH(V51,moeda_cod,0)),0))</f>
        <v/>
      </c>
      <c r="X51" s="85" t="str">
        <f>IF(A51="","",IF($W$2="",UPPER(TRIM(A51)),IF(RIGHT(UPPER(TRIM(A51)),LEN($W$2))=$W$2,UPPER(TRIM(A51)),UPPER(TRIM(A51))&amp;$W$2)))</f>
        <v/>
      </c>
      <c r="Y51" s="85" t="str">
        <f>IF(OR(A51="",p_ModoCot&lt;&gt;"Automático"),"",IFERROR(_xlfn.WEBSERVICE("https://query1.finance.yahoo.com/v8/finance/chart/"&amp;X51&amp;"?range=1d&amp;interval=1d"),""))</f>
        <v/>
      </c>
      <c r="Z51" s="85" t="str">
        <f>IF(Y51="","",IFERROR(_xlfn.NUMBERVALUE(MID(Y51,SEARCH("""regularMarketPrice"":",Y51)+21,SEARCH(",",Y51&amp;",",SEARCH("""regularMarketPrice"":",Y51)+21)-SEARCH("""regularMarketPrice"":",Y51)-21),".",","),""))</f>
        <v/>
      </c>
      <c r="AA51" s="85" t="str">
        <f>IF(A51="","",ROUND(MAX(0,N(F51)*($K$6+$W$7)-K51),2))</f>
        <v/>
      </c>
      <c r="AB51" s="85" t="str">
        <f>IF(A51="","",IF(AND(M51&gt;0,M51&gt;=p_DifMin),AA51,0))</f>
        <v/>
      </c>
      <c r="AC51" s="85" t="str">
        <f>IF(A51="","",IF(AND(AB51&gt;0,N(O51)&lt;=p_MaxAtivos),AB51,0))</f>
        <v/>
      </c>
      <c r="AD51" s="85" t="str">
        <f>IF(A51="","",IF(OR(Q51&lt;=0,Q51&lt;p_CompraMin,N(H51)&lt;=0,N(W51)&lt;=0),0,IF($W$3="Sim",TRUNC(ROUND(MAX(0,(Q51-p_CorrFixa)/(H51*W51*$W$6)),9),$W$4),TRUNC(ROUND(MAX(0,(Q51-p_CorrFixa)/(H51*W51*$W$6)),9)/$W$5)*$W$5)))</f>
        <v/>
      </c>
      <c r="AE51" s="85" t="str">
        <f>IF(A51="","",IF(N(AD51)&gt;0,AD51*H51*W51*$W$6+p_CorrFixa,0))</f>
        <v/>
      </c>
      <c r="AF51" s="85" t="str">
        <f>IF(A51="","",IF(OR($Y$1&lt;=0,N(H51)&lt;=0,N(W51)&lt;=0,N(AB51)&lt;=0),0,IF($W$3="Sim",TRUNC(ROUND(MAX(0,($Y$1-IF(N(AD51)&gt;0,0,p_CorrFixa))/(H51*W51*$W$6)),9),$W$4),TRUNC(ROUND(MAX(0,($Y$1-IF(N(AD51)&gt;0,0,p_CorrFixa))/(H51*W51*$W$6)),9)/$W$5)*$W$5)))</f>
        <v/>
      </c>
      <c r="AG51" s="85" t="str">
        <f>IF(A51="","",IF(AND(N(AD51)=0,N(AF51)*(H51*W51*$W$6)+p_CorrFixa&lt;p_CompraMin),0,AF51))</f>
        <v/>
      </c>
      <c r="AH51" s="85" t="str">
        <f>IF(A51="","",IF(N(AG51)&gt;0,AB51,0))</f>
        <v/>
      </c>
      <c r="AI51" s="85" t="str">
        <f>IF(A51="","",IF(AND(AH51&gt;0,AH51=$AH$6,COUNTIF($AH$9:AH51,AH51)=1),1,0))</f>
        <v/>
      </c>
    </row>
    <row r="52">
      <c r="A52" s="96" t="n"/>
      <c r="B52" s="96" t="n"/>
      <c r="C52" s="96" t="n"/>
      <c r="D52" s="97" t="n"/>
      <c r="E52" s="98" t="n"/>
      <c r="F52" s="99" t="n"/>
      <c r="G52" s="100" t="n"/>
      <c r="H52" s="104" t="str">
        <f>IF(A52="","",IF(AND(p_ModoCot="Automático",ISNUMBER(Z52)),Z52,IF(N(G52)&gt;0,G52,0)))</f>
        <v/>
      </c>
      <c r="I52" s="105" t="str">
        <f>IF(A52="","",IF(W52=0,"Sem câmbio",IF(AND(p_ModoCot="Automático",ISNUMBER(Z52)),"Auto",IF(N(G52)&gt;0,"Manual","Sem cotação"))))</f>
        <v/>
      </c>
      <c r="J52" s="106" t="str">
        <f>IF(A52="","",N(E52)*H52)</f>
        <v/>
      </c>
      <c r="K52" s="107" t="str">
        <f>IF(A52="","",J52*W52)</f>
        <v/>
      </c>
      <c r="L52" s="108" t="str">
        <f>IF(A52="","",IF($K$6&gt;0,K52/$K$6,0))</f>
        <v/>
      </c>
      <c r="M52" s="109" t="str">
        <f>IF(A52="","",N(F52)-L52)</f>
        <v/>
      </c>
      <c r="N52" s="108" t="str">
        <f>IF(A52="","",IF($AB$6&gt;0,AB52/$AB$6,0))</f>
        <v/>
      </c>
      <c r="O52" s="110" t="str">
        <f>IF(A52="","",IF(AB52&lt;=0,"",COUNTIF($AB$9:$AB$208,"&gt;"&amp;AB52)+COUNTIF($AB$9:AB52,AB52)))</f>
        <v/>
      </c>
      <c r="P52" s="105" t="str">
        <f>IF(A52="","",IF(Q52&gt;0,"BUY","HOLD"))</f>
        <v/>
      </c>
      <c r="Q52" s="107" t="str">
        <f>IF(A52="","",IF($W$7&lt;=0,0,IF($AC$6&gt;0,$W$7*AC52/$AC$6,IF($F$6&gt;0,$W$7*N(F52)/$F$6,0))))</f>
        <v/>
      </c>
      <c r="R52" s="111" t="str">
        <f>IF(A52="","",N(AD52)+IF(AI52=1,N(AG52),0))</f>
        <v/>
      </c>
      <c r="S52" s="111" t="str">
        <f>IF(A52="","",N(E52)+N(R52))</f>
        <v/>
      </c>
      <c r="T52" s="107" t="str">
        <f>IF(A52="","",IF(N(R52)&gt;0,R52*H52*W52*$W$6+p_CorrFixa,0))</f>
        <v/>
      </c>
      <c r="V52" s="85" t="str">
        <f>IF(A52="","",IF(D52="",$W$1,D52))</f>
        <v/>
      </c>
      <c r="W52" s="85" t="str">
        <f>IF(A52="","",IFERROR(INDEX(moeda_fx,MATCH(V52,moeda_cod,0)),0))</f>
        <v/>
      </c>
      <c r="X52" s="85" t="str">
        <f>IF(A52="","",IF($W$2="",UPPER(TRIM(A52)),IF(RIGHT(UPPER(TRIM(A52)),LEN($W$2))=$W$2,UPPER(TRIM(A52)),UPPER(TRIM(A52))&amp;$W$2)))</f>
        <v/>
      </c>
      <c r="Y52" s="85" t="str">
        <f>IF(OR(A52="",p_ModoCot&lt;&gt;"Automático"),"",IFERROR(_xlfn.WEBSERVICE("https://query1.finance.yahoo.com/v8/finance/chart/"&amp;X52&amp;"?range=1d&amp;interval=1d"),""))</f>
        <v/>
      </c>
      <c r="Z52" s="85" t="str">
        <f>IF(Y52="","",IFERROR(_xlfn.NUMBERVALUE(MID(Y52,SEARCH("""regularMarketPrice"":",Y52)+21,SEARCH(",",Y52&amp;",",SEARCH("""regularMarketPrice"":",Y52)+21)-SEARCH("""regularMarketPrice"":",Y52)-21),".",","),""))</f>
        <v/>
      </c>
      <c r="AA52" s="85" t="str">
        <f>IF(A52="","",ROUND(MAX(0,N(F52)*($K$6+$W$7)-K52),2))</f>
        <v/>
      </c>
      <c r="AB52" s="85" t="str">
        <f>IF(A52="","",IF(AND(M52&gt;0,M52&gt;=p_DifMin),AA52,0))</f>
        <v/>
      </c>
      <c r="AC52" s="85" t="str">
        <f>IF(A52="","",IF(AND(AB52&gt;0,N(O52)&lt;=p_MaxAtivos),AB52,0))</f>
        <v/>
      </c>
      <c r="AD52" s="85" t="str">
        <f>IF(A52="","",IF(OR(Q52&lt;=0,Q52&lt;p_CompraMin,N(H52)&lt;=0,N(W52)&lt;=0),0,IF($W$3="Sim",TRUNC(ROUND(MAX(0,(Q52-p_CorrFixa)/(H52*W52*$W$6)),9),$W$4),TRUNC(ROUND(MAX(0,(Q52-p_CorrFixa)/(H52*W52*$W$6)),9)/$W$5)*$W$5)))</f>
        <v/>
      </c>
      <c r="AE52" s="85" t="str">
        <f>IF(A52="","",IF(N(AD52)&gt;0,AD52*H52*W52*$W$6+p_CorrFixa,0))</f>
        <v/>
      </c>
      <c r="AF52" s="85" t="str">
        <f>IF(A52="","",IF(OR($Y$1&lt;=0,N(H52)&lt;=0,N(W52)&lt;=0,N(AB52)&lt;=0),0,IF($W$3="Sim",TRUNC(ROUND(MAX(0,($Y$1-IF(N(AD52)&gt;0,0,p_CorrFixa))/(H52*W52*$W$6)),9),$W$4),TRUNC(ROUND(MAX(0,($Y$1-IF(N(AD52)&gt;0,0,p_CorrFixa))/(H52*W52*$W$6)),9)/$W$5)*$W$5)))</f>
        <v/>
      </c>
      <c r="AG52" s="85" t="str">
        <f>IF(A52="","",IF(AND(N(AD52)=0,N(AF52)*(H52*W52*$W$6)+p_CorrFixa&lt;p_CompraMin),0,AF52))</f>
        <v/>
      </c>
      <c r="AH52" s="85" t="str">
        <f>IF(A52="","",IF(N(AG52)&gt;0,AB52,0))</f>
        <v/>
      </c>
      <c r="AI52" s="85" t="str">
        <f>IF(A52="","",IF(AND(AH52&gt;0,AH52=$AH$6,COUNTIF($AH$9:AH52,AH52)=1),1,0))</f>
        <v/>
      </c>
    </row>
    <row r="53">
      <c r="A53" s="96" t="n"/>
      <c r="B53" s="96" t="n"/>
      <c r="C53" s="96" t="n"/>
      <c r="D53" s="97" t="n"/>
      <c r="E53" s="98" t="n"/>
      <c r="F53" s="99" t="n"/>
      <c r="G53" s="100" t="n"/>
      <c r="H53" s="101" t="str">
        <f>IF(A53="","",IF(AND(p_ModoCot="Automático",ISNUMBER(Z53)),Z53,IF(N(G53)&gt;0,G53,0)))</f>
        <v/>
      </c>
      <c r="I53" s="73" t="str">
        <f>IF(A53="","",IF(W53=0,"Sem câmbio",IF(AND(p_ModoCot="Automático",ISNUMBER(Z53)),"Auto",IF(N(G53)&gt;0,"Manual","Sem cotação"))))</f>
        <v/>
      </c>
      <c r="J53" s="102" t="str">
        <f>IF(A53="","",N(E53)*H53)</f>
        <v/>
      </c>
      <c r="K53" s="70" t="str">
        <f>IF(A53="","",J53*W53)</f>
        <v/>
      </c>
      <c r="L53" s="30" t="str">
        <f>IF(A53="","",IF($K$6&gt;0,K53/$K$6,0))</f>
        <v/>
      </c>
      <c r="M53" s="72" t="str">
        <f>IF(A53="","",N(F53)-L53)</f>
        <v/>
      </c>
      <c r="N53" s="30" t="str">
        <f>IF(A53="","",IF($AB$6&gt;0,AB53/$AB$6,0))</f>
        <v/>
      </c>
      <c r="O53" s="74" t="str">
        <f>IF(A53="","",IF(AB53&lt;=0,"",COUNTIF($AB$9:$AB$208,"&gt;"&amp;AB53)+COUNTIF($AB$9:AB53,AB53)))</f>
        <v/>
      </c>
      <c r="P53" s="73" t="str">
        <f>IF(A53="","",IF(Q53&gt;0,"BUY","HOLD"))</f>
        <v/>
      </c>
      <c r="Q53" s="70" t="str">
        <f>IF(A53="","",IF($W$7&lt;=0,0,IF($AC$6&gt;0,$W$7*AC53/$AC$6,IF($F$6&gt;0,$W$7*N(F53)/$F$6,0))))</f>
        <v/>
      </c>
      <c r="R53" s="103" t="str">
        <f>IF(A53="","",N(AD53)+IF(AI53=1,N(AG53),0))</f>
        <v/>
      </c>
      <c r="S53" s="103" t="str">
        <f>IF(A53="","",N(E53)+N(R53))</f>
        <v/>
      </c>
      <c r="T53" s="70" t="str">
        <f>IF(A53="","",IF(N(R53)&gt;0,R53*H53*W53*$W$6+p_CorrFixa,0))</f>
        <v/>
      </c>
      <c r="V53" s="85" t="str">
        <f>IF(A53="","",IF(D53="",$W$1,D53))</f>
        <v/>
      </c>
      <c r="W53" s="85" t="str">
        <f>IF(A53="","",IFERROR(INDEX(moeda_fx,MATCH(V53,moeda_cod,0)),0))</f>
        <v/>
      </c>
      <c r="X53" s="85" t="str">
        <f>IF(A53="","",IF($W$2="",UPPER(TRIM(A53)),IF(RIGHT(UPPER(TRIM(A53)),LEN($W$2))=$W$2,UPPER(TRIM(A53)),UPPER(TRIM(A53))&amp;$W$2)))</f>
        <v/>
      </c>
      <c r="Y53" s="85" t="str">
        <f>IF(OR(A53="",p_ModoCot&lt;&gt;"Automático"),"",IFERROR(_xlfn.WEBSERVICE("https://query1.finance.yahoo.com/v8/finance/chart/"&amp;X53&amp;"?range=1d&amp;interval=1d"),""))</f>
        <v/>
      </c>
      <c r="Z53" s="85" t="str">
        <f>IF(Y53="","",IFERROR(_xlfn.NUMBERVALUE(MID(Y53,SEARCH("""regularMarketPrice"":",Y53)+21,SEARCH(",",Y53&amp;",",SEARCH("""regularMarketPrice"":",Y53)+21)-SEARCH("""regularMarketPrice"":",Y53)-21),".",","),""))</f>
        <v/>
      </c>
      <c r="AA53" s="85" t="str">
        <f>IF(A53="","",ROUND(MAX(0,N(F53)*($K$6+$W$7)-K53),2))</f>
        <v/>
      </c>
      <c r="AB53" s="85" t="str">
        <f>IF(A53="","",IF(AND(M53&gt;0,M53&gt;=p_DifMin),AA53,0))</f>
        <v/>
      </c>
      <c r="AC53" s="85" t="str">
        <f>IF(A53="","",IF(AND(AB53&gt;0,N(O53)&lt;=p_MaxAtivos),AB53,0))</f>
        <v/>
      </c>
      <c r="AD53" s="85" t="str">
        <f>IF(A53="","",IF(OR(Q53&lt;=0,Q53&lt;p_CompraMin,N(H53)&lt;=0,N(W53)&lt;=0),0,IF($W$3="Sim",TRUNC(ROUND(MAX(0,(Q53-p_CorrFixa)/(H53*W53*$W$6)),9),$W$4),TRUNC(ROUND(MAX(0,(Q53-p_CorrFixa)/(H53*W53*$W$6)),9)/$W$5)*$W$5)))</f>
        <v/>
      </c>
      <c r="AE53" s="85" t="str">
        <f>IF(A53="","",IF(N(AD53)&gt;0,AD53*H53*W53*$W$6+p_CorrFixa,0))</f>
        <v/>
      </c>
      <c r="AF53" s="85" t="str">
        <f>IF(A53="","",IF(OR($Y$1&lt;=0,N(H53)&lt;=0,N(W53)&lt;=0,N(AB53)&lt;=0),0,IF($W$3="Sim",TRUNC(ROUND(MAX(0,($Y$1-IF(N(AD53)&gt;0,0,p_CorrFixa))/(H53*W53*$W$6)),9),$W$4),TRUNC(ROUND(MAX(0,($Y$1-IF(N(AD53)&gt;0,0,p_CorrFixa))/(H53*W53*$W$6)),9)/$W$5)*$W$5)))</f>
        <v/>
      </c>
      <c r="AG53" s="85" t="str">
        <f>IF(A53="","",IF(AND(N(AD53)=0,N(AF53)*(H53*W53*$W$6)+p_CorrFixa&lt;p_CompraMin),0,AF53))</f>
        <v/>
      </c>
      <c r="AH53" s="85" t="str">
        <f>IF(A53="","",IF(N(AG53)&gt;0,AB53,0))</f>
        <v/>
      </c>
      <c r="AI53" s="85" t="str">
        <f>IF(A53="","",IF(AND(AH53&gt;0,AH53=$AH$6,COUNTIF($AH$9:AH53,AH53)=1),1,0))</f>
        <v/>
      </c>
    </row>
    <row r="54">
      <c r="A54" s="96" t="n"/>
      <c r="B54" s="96" t="n"/>
      <c r="C54" s="96" t="n"/>
      <c r="D54" s="97" t="n"/>
      <c r="E54" s="98" t="n"/>
      <c r="F54" s="99" t="n"/>
      <c r="G54" s="100" t="n"/>
      <c r="H54" s="104" t="str">
        <f>IF(A54="","",IF(AND(p_ModoCot="Automático",ISNUMBER(Z54)),Z54,IF(N(G54)&gt;0,G54,0)))</f>
        <v/>
      </c>
      <c r="I54" s="105" t="str">
        <f>IF(A54="","",IF(W54=0,"Sem câmbio",IF(AND(p_ModoCot="Automático",ISNUMBER(Z54)),"Auto",IF(N(G54)&gt;0,"Manual","Sem cotação"))))</f>
        <v/>
      </c>
      <c r="J54" s="106" t="str">
        <f>IF(A54="","",N(E54)*H54)</f>
        <v/>
      </c>
      <c r="K54" s="107" t="str">
        <f>IF(A54="","",J54*W54)</f>
        <v/>
      </c>
      <c r="L54" s="108" t="str">
        <f>IF(A54="","",IF($K$6&gt;0,K54/$K$6,0))</f>
        <v/>
      </c>
      <c r="M54" s="109" t="str">
        <f>IF(A54="","",N(F54)-L54)</f>
        <v/>
      </c>
      <c r="N54" s="108" t="str">
        <f>IF(A54="","",IF($AB$6&gt;0,AB54/$AB$6,0))</f>
        <v/>
      </c>
      <c r="O54" s="110" t="str">
        <f>IF(A54="","",IF(AB54&lt;=0,"",COUNTIF($AB$9:$AB$208,"&gt;"&amp;AB54)+COUNTIF($AB$9:AB54,AB54)))</f>
        <v/>
      </c>
      <c r="P54" s="105" t="str">
        <f>IF(A54="","",IF(Q54&gt;0,"BUY","HOLD"))</f>
        <v/>
      </c>
      <c r="Q54" s="107" t="str">
        <f>IF(A54="","",IF($W$7&lt;=0,0,IF($AC$6&gt;0,$W$7*AC54/$AC$6,IF($F$6&gt;0,$W$7*N(F54)/$F$6,0))))</f>
        <v/>
      </c>
      <c r="R54" s="111" t="str">
        <f>IF(A54="","",N(AD54)+IF(AI54=1,N(AG54),0))</f>
        <v/>
      </c>
      <c r="S54" s="111" t="str">
        <f>IF(A54="","",N(E54)+N(R54))</f>
        <v/>
      </c>
      <c r="T54" s="107" t="str">
        <f>IF(A54="","",IF(N(R54)&gt;0,R54*H54*W54*$W$6+p_CorrFixa,0))</f>
        <v/>
      </c>
      <c r="V54" s="85" t="str">
        <f>IF(A54="","",IF(D54="",$W$1,D54))</f>
        <v/>
      </c>
      <c r="W54" s="85" t="str">
        <f>IF(A54="","",IFERROR(INDEX(moeda_fx,MATCH(V54,moeda_cod,0)),0))</f>
        <v/>
      </c>
      <c r="X54" s="85" t="str">
        <f>IF(A54="","",IF($W$2="",UPPER(TRIM(A54)),IF(RIGHT(UPPER(TRIM(A54)),LEN($W$2))=$W$2,UPPER(TRIM(A54)),UPPER(TRIM(A54))&amp;$W$2)))</f>
        <v/>
      </c>
      <c r="Y54" s="85" t="str">
        <f>IF(OR(A54="",p_ModoCot&lt;&gt;"Automático"),"",IFERROR(_xlfn.WEBSERVICE("https://query1.finance.yahoo.com/v8/finance/chart/"&amp;X54&amp;"?range=1d&amp;interval=1d"),""))</f>
        <v/>
      </c>
      <c r="Z54" s="85" t="str">
        <f>IF(Y54="","",IFERROR(_xlfn.NUMBERVALUE(MID(Y54,SEARCH("""regularMarketPrice"":",Y54)+21,SEARCH(",",Y54&amp;",",SEARCH("""regularMarketPrice"":",Y54)+21)-SEARCH("""regularMarketPrice"":",Y54)-21),".",","),""))</f>
        <v/>
      </c>
      <c r="AA54" s="85" t="str">
        <f>IF(A54="","",ROUND(MAX(0,N(F54)*($K$6+$W$7)-K54),2))</f>
        <v/>
      </c>
      <c r="AB54" s="85" t="str">
        <f>IF(A54="","",IF(AND(M54&gt;0,M54&gt;=p_DifMin),AA54,0))</f>
        <v/>
      </c>
      <c r="AC54" s="85" t="str">
        <f>IF(A54="","",IF(AND(AB54&gt;0,N(O54)&lt;=p_MaxAtivos),AB54,0))</f>
        <v/>
      </c>
      <c r="AD54" s="85" t="str">
        <f>IF(A54="","",IF(OR(Q54&lt;=0,Q54&lt;p_CompraMin,N(H54)&lt;=0,N(W54)&lt;=0),0,IF($W$3="Sim",TRUNC(ROUND(MAX(0,(Q54-p_CorrFixa)/(H54*W54*$W$6)),9),$W$4),TRUNC(ROUND(MAX(0,(Q54-p_CorrFixa)/(H54*W54*$W$6)),9)/$W$5)*$W$5)))</f>
        <v/>
      </c>
      <c r="AE54" s="85" t="str">
        <f>IF(A54="","",IF(N(AD54)&gt;0,AD54*H54*W54*$W$6+p_CorrFixa,0))</f>
        <v/>
      </c>
      <c r="AF54" s="85" t="str">
        <f>IF(A54="","",IF(OR($Y$1&lt;=0,N(H54)&lt;=0,N(W54)&lt;=0,N(AB54)&lt;=0),0,IF($W$3="Sim",TRUNC(ROUND(MAX(0,($Y$1-IF(N(AD54)&gt;0,0,p_CorrFixa))/(H54*W54*$W$6)),9),$W$4),TRUNC(ROUND(MAX(0,($Y$1-IF(N(AD54)&gt;0,0,p_CorrFixa))/(H54*W54*$W$6)),9)/$W$5)*$W$5)))</f>
        <v/>
      </c>
      <c r="AG54" s="85" t="str">
        <f>IF(A54="","",IF(AND(N(AD54)=0,N(AF54)*(H54*W54*$W$6)+p_CorrFixa&lt;p_CompraMin),0,AF54))</f>
        <v/>
      </c>
      <c r="AH54" s="85" t="str">
        <f>IF(A54="","",IF(N(AG54)&gt;0,AB54,0))</f>
        <v/>
      </c>
      <c r="AI54" s="85" t="str">
        <f>IF(A54="","",IF(AND(AH54&gt;0,AH54=$AH$6,COUNTIF($AH$9:AH54,AH54)=1),1,0))</f>
        <v/>
      </c>
    </row>
    <row r="55">
      <c r="A55" s="96" t="n"/>
      <c r="B55" s="96" t="n"/>
      <c r="C55" s="96" t="n"/>
      <c r="D55" s="97" t="n"/>
      <c r="E55" s="98" t="n"/>
      <c r="F55" s="99" t="n"/>
      <c r="G55" s="100" t="n"/>
      <c r="H55" s="101" t="str">
        <f>IF(A55="","",IF(AND(p_ModoCot="Automático",ISNUMBER(Z55)),Z55,IF(N(G55)&gt;0,G55,0)))</f>
        <v/>
      </c>
      <c r="I55" s="73" t="str">
        <f>IF(A55="","",IF(W55=0,"Sem câmbio",IF(AND(p_ModoCot="Automático",ISNUMBER(Z55)),"Auto",IF(N(G55)&gt;0,"Manual","Sem cotação"))))</f>
        <v/>
      </c>
      <c r="J55" s="102" t="str">
        <f>IF(A55="","",N(E55)*H55)</f>
        <v/>
      </c>
      <c r="K55" s="70" t="str">
        <f>IF(A55="","",J55*W55)</f>
        <v/>
      </c>
      <c r="L55" s="30" t="str">
        <f>IF(A55="","",IF($K$6&gt;0,K55/$K$6,0))</f>
        <v/>
      </c>
      <c r="M55" s="72" t="str">
        <f>IF(A55="","",N(F55)-L55)</f>
        <v/>
      </c>
      <c r="N55" s="30" t="str">
        <f>IF(A55="","",IF($AB$6&gt;0,AB55/$AB$6,0))</f>
        <v/>
      </c>
      <c r="O55" s="74" t="str">
        <f>IF(A55="","",IF(AB55&lt;=0,"",COUNTIF($AB$9:$AB$208,"&gt;"&amp;AB55)+COUNTIF($AB$9:AB55,AB55)))</f>
        <v/>
      </c>
      <c r="P55" s="73" t="str">
        <f>IF(A55="","",IF(Q55&gt;0,"BUY","HOLD"))</f>
        <v/>
      </c>
      <c r="Q55" s="70" t="str">
        <f>IF(A55="","",IF($W$7&lt;=0,0,IF($AC$6&gt;0,$W$7*AC55/$AC$6,IF($F$6&gt;0,$W$7*N(F55)/$F$6,0))))</f>
        <v/>
      </c>
      <c r="R55" s="103" t="str">
        <f>IF(A55="","",N(AD55)+IF(AI55=1,N(AG55),0))</f>
        <v/>
      </c>
      <c r="S55" s="103" t="str">
        <f>IF(A55="","",N(E55)+N(R55))</f>
        <v/>
      </c>
      <c r="T55" s="70" t="str">
        <f>IF(A55="","",IF(N(R55)&gt;0,R55*H55*W55*$W$6+p_CorrFixa,0))</f>
        <v/>
      </c>
      <c r="V55" s="85" t="str">
        <f>IF(A55="","",IF(D55="",$W$1,D55))</f>
        <v/>
      </c>
      <c r="W55" s="85" t="str">
        <f>IF(A55="","",IFERROR(INDEX(moeda_fx,MATCH(V55,moeda_cod,0)),0))</f>
        <v/>
      </c>
      <c r="X55" s="85" t="str">
        <f>IF(A55="","",IF($W$2="",UPPER(TRIM(A55)),IF(RIGHT(UPPER(TRIM(A55)),LEN($W$2))=$W$2,UPPER(TRIM(A55)),UPPER(TRIM(A55))&amp;$W$2)))</f>
        <v/>
      </c>
      <c r="Y55" s="85" t="str">
        <f>IF(OR(A55="",p_ModoCot&lt;&gt;"Automático"),"",IFERROR(_xlfn.WEBSERVICE("https://query1.finance.yahoo.com/v8/finance/chart/"&amp;X55&amp;"?range=1d&amp;interval=1d"),""))</f>
        <v/>
      </c>
      <c r="Z55" s="85" t="str">
        <f>IF(Y55="","",IFERROR(_xlfn.NUMBERVALUE(MID(Y55,SEARCH("""regularMarketPrice"":",Y55)+21,SEARCH(",",Y55&amp;",",SEARCH("""regularMarketPrice"":",Y55)+21)-SEARCH("""regularMarketPrice"":",Y55)-21),".",","),""))</f>
        <v/>
      </c>
      <c r="AA55" s="85" t="str">
        <f>IF(A55="","",ROUND(MAX(0,N(F55)*($K$6+$W$7)-K55),2))</f>
        <v/>
      </c>
      <c r="AB55" s="85" t="str">
        <f>IF(A55="","",IF(AND(M55&gt;0,M55&gt;=p_DifMin),AA55,0))</f>
        <v/>
      </c>
      <c r="AC55" s="85" t="str">
        <f>IF(A55="","",IF(AND(AB55&gt;0,N(O55)&lt;=p_MaxAtivos),AB55,0))</f>
        <v/>
      </c>
      <c r="AD55" s="85" t="str">
        <f>IF(A55="","",IF(OR(Q55&lt;=0,Q55&lt;p_CompraMin,N(H55)&lt;=0,N(W55)&lt;=0),0,IF($W$3="Sim",TRUNC(ROUND(MAX(0,(Q55-p_CorrFixa)/(H55*W55*$W$6)),9),$W$4),TRUNC(ROUND(MAX(0,(Q55-p_CorrFixa)/(H55*W55*$W$6)),9)/$W$5)*$W$5)))</f>
        <v/>
      </c>
      <c r="AE55" s="85" t="str">
        <f>IF(A55="","",IF(N(AD55)&gt;0,AD55*H55*W55*$W$6+p_CorrFixa,0))</f>
        <v/>
      </c>
      <c r="AF55" s="85" t="str">
        <f>IF(A55="","",IF(OR($Y$1&lt;=0,N(H55)&lt;=0,N(W55)&lt;=0,N(AB55)&lt;=0),0,IF($W$3="Sim",TRUNC(ROUND(MAX(0,($Y$1-IF(N(AD55)&gt;0,0,p_CorrFixa))/(H55*W55*$W$6)),9),$W$4),TRUNC(ROUND(MAX(0,($Y$1-IF(N(AD55)&gt;0,0,p_CorrFixa))/(H55*W55*$W$6)),9)/$W$5)*$W$5)))</f>
        <v/>
      </c>
      <c r="AG55" s="85" t="str">
        <f>IF(A55="","",IF(AND(N(AD55)=0,N(AF55)*(H55*W55*$W$6)+p_CorrFixa&lt;p_CompraMin),0,AF55))</f>
        <v/>
      </c>
      <c r="AH55" s="85" t="str">
        <f>IF(A55="","",IF(N(AG55)&gt;0,AB55,0))</f>
        <v/>
      </c>
      <c r="AI55" s="85" t="str">
        <f>IF(A55="","",IF(AND(AH55&gt;0,AH55=$AH$6,COUNTIF($AH$9:AH55,AH55)=1),1,0))</f>
        <v/>
      </c>
    </row>
    <row r="56">
      <c r="A56" s="96" t="n"/>
      <c r="B56" s="96" t="n"/>
      <c r="C56" s="96" t="n"/>
      <c r="D56" s="97" t="n"/>
      <c r="E56" s="98" t="n"/>
      <c r="F56" s="99" t="n"/>
      <c r="G56" s="100" t="n"/>
      <c r="H56" s="104" t="str">
        <f>IF(A56="","",IF(AND(p_ModoCot="Automático",ISNUMBER(Z56)),Z56,IF(N(G56)&gt;0,G56,0)))</f>
        <v/>
      </c>
      <c r="I56" s="105" t="str">
        <f>IF(A56="","",IF(W56=0,"Sem câmbio",IF(AND(p_ModoCot="Automático",ISNUMBER(Z56)),"Auto",IF(N(G56)&gt;0,"Manual","Sem cotação"))))</f>
        <v/>
      </c>
      <c r="J56" s="106" t="str">
        <f>IF(A56="","",N(E56)*H56)</f>
        <v/>
      </c>
      <c r="K56" s="107" t="str">
        <f>IF(A56="","",J56*W56)</f>
        <v/>
      </c>
      <c r="L56" s="108" t="str">
        <f>IF(A56="","",IF($K$6&gt;0,K56/$K$6,0))</f>
        <v/>
      </c>
      <c r="M56" s="109" t="str">
        <f>IF(A56="","",N(F56)-L56)</f>
        <v/>
      </c>
      <c r="N56" s="108" t="str">
        <f>IF(A56="","",IF($AB$6&gt;0,AB56/$AB$6,0))</f>
        <v/>
      </c>
      <c r="O56" s="110" t="str">
        <f>IF(A56="","",IF(AB56&lt;=0,"",COUNTIF($AB$9:$AB$208,"&gt;"&amp;AB56)+COUNTIF($AB$9:AB56,AB56)))</f>
        <v/>
      </c>
      <c r="P56" s="105" t="str">
        <f>IF(A56="","",IF(Q56&gt;0,"BUY","HOLD"))</f>
        <v/>
      </c>
      <c r="Q56" s="107" t="str">
        <f>IF(A56="","",IF($W$7&lt;=0,0,IF($AC$6&gt;0,$W$7*AC56/$AC$6,IF($F$6&gt;0,$W$7*N(F56)/$F$6,0))))</f>
        <v/>
      </c>
      <c r="R56" s="111" t="str">
        <f>IF(A56="","",N(AD56)+IF(AI56=1,N(AG56),0))</f>
        <v/>
      </c>
      <c r="S56" s="111" t="str">
        <f>IF(A56="","",N(E56)+N(R56))</f>
        <v/>
      </c>
      <c r="T56" s="107" t="str">
        <f>IF(A56="","",IF(N(R56)&gt;0,R56*H56*W56*$W$6+p_CorrFixa,0))</f>
        <v/>
      </c>
      <c r="V56" s="85" t="str">
        <f>IF(A56="","",IF(D56="",$W$1,D56))</f>
        <v/>
      </c>
      <c r="W56" s="85" t="str">
        <f>IF(A56="","",IFERROR(INDEX(moeda_fx,MATCH(V56,moeda_cod,0)),0))</f>
        <v/>
      </c>
      <c r="X56" s="85" t="str">
        <f>IF(A56="","",IF($W$2="",UPPER(TRIM(A56)),IF(RIGHT(UPPER(TRIM(A56)),LEN($W$2))=$W$2,UPPER(TRIM(A56)),UPPER(TRIM(A56))&amp;$W$2)))</f>
        <v/>
      </c>
      <c r="Y56" s="85" t="str">
        <f>IF(OR(A56="",p_ModoCot&lt;&gt;"Automático"),"",IFERROR(_xlfn.WEBSERVICE("https://query1.finance.yahoo.com/v8/finance/chart/"&amp;X56&amp;"?range=1d&amp;interval=1d"),""))</f>
        <v/>
      </c>
      <c r="Z56" s="85" t="str">
        <f>IF(Y56="","",IFERROR(_xlfn.NUMBERVALUE(MID(Y56,SEARCH("""regularMarketPrice"":",Y56)+21,SEARCH(",",Y56&amp;",",SEARCH("""regularMarketPrice"":",Y56)+21)-SEARCH("""regularMarketPrice"":",Y56)-21),".",","),""))</f>
        <v/>
      </c>
      <c r="AA56" s="85" t="str">
        <f>IF(A56="","",ROUND(MAX(0,N(F56)*($K$6+$W$7)-K56),2))</f>
        <v/>
      </c>
      <c r="AB56" s="85" t="str">
        <f>IF(A56="","",IF(AND(M56&gt;0,M56&gt;=p_DifMin),AA56,0))</f>
        <v/>
      </c>
      <c r="AC56" s="85" t="str">
        <f>IF(A56="","",IF(AND(AB56&gt;0,N(O56)&lt;=p_MaxAtivos),AB56,0))</f>
        <v/>
      </c>
      <c r="AD56" s="85" t="str">
        <f>IF(A56="","",IF(OR(Q56&lt;=0,Q56&lt;p_CompraMin,N(H56)&lt;=0,N(W56)&lt;=0),0,IF($W$3="Sim",TRUNC(ROUND(MAX(0,(Q56-p_CorrFixa)/(H56*W56*$W$6)),9),$W$4),TRUNC(ROUND(MAX(0,(Q56-p_CorrFixa)/(H56*W56*$W$6)),9)/$W$5)*$W$5)))</f>
        <v/>
      </c>
      <c r="AE56" s="85" t="str">
        <f>IF(A56="","",IF(N(AD56)&gt;0,AD56*H56*W56*$W$6+p_CorrFixa,0))</f>
        <v/>
      </c>
      <c r="AF56" s="85" t="str">
        <f>IF(A56="","",IF(OR($Y$1&lt;=0,N(H56)&lt;=0,N(W56)&lt;=0,N(AB56)&lt;=0),0,IF($W$3="Sim",TRUNC(ROUND(MAX(0,($Y$1-IF(N(AD56)&gt;0,0,p_CorrFixa))/(H56*W56*$W$6)),9),$W$4),TRUNC(ROUND(MAX(0,($Y$1-IF(N(AD56)&gt;0,0,p_CorrFixa))/(H56*W56*$W$6)),9)/$W$5)*$W$5)))</f>
        <v/>
      </c>
      <c r="AG56" s="85" t="str">
        <f>IF(A56="","",IF(AND(N(AD56)=0,N(AF56)*(H56*W56*$W$6)+p_CorrFixa&lt;p_CompraMin),0,AF56))</f>
        <v/>
      </c>
      <c r="AH56" s="85" t="str">
        <f>IF(A56="","",IF(N(AG56)&gt;0,AB56,0))</f>
        <v/>
      </c>
      <c r="AI56" s="85" t="str">
        <f>IF(A56="","",IF(AND(AH56&gt;0,AH56=$AH$6,COUNTIF($AH$9:AH56,AH56)=1),1,0))</f>
        <v/>
      </c>
    </row>
    <row r="57">
      <c r="A57" s="96" t="n"/>
      <c r="B57" s="96" t="n"/>
      <c r="C57" s="96" t="n"/>
      <c r="D57" s="97" t="n"/>
      <c r="E57" s="98" t="n"/>
      <c r="F57" s="99" t="n"/>
      <c r="G57" s="100" t="n"/>
      <c r="H57" s="101" t="str">
        <f>IF(A57="","",IF(AND(p_ModoCot="Automático",ISNUMBER(Z57)),Z57,IF(N(G57)&gt;0,G57,0)))</f>
        <v/>
      </c>
      <c r="I57" s="73" t="str">
        <f>IF(A57="","",IF(W57=0,"Sem câmbio",IF(AND(p_ModoCot="Automático",ISNUMBER(Z57)),"Auto",IF(N(G57)&gt;0,"Manual","Sem cotação"))))</f>
        <v/>
      </c>
      <c r="J57" s="102" t="str">
        <f>IF(A57="","",N(E57)*H57)</f>
        <v/>
      </c>
      <c r="K57" s="70" t="str">
        <f>IF(A57="","",J57*W57)</f>
        <v/>
      </c>
      <c r="L57" s="30" t="str">
        <f>IF(A57="","",IF($K$6&gt;0,K57/$K$6,0))</f>
        <v/>
      </c>
      <c r="M57" s="72" t="str">
        <f>IF(A57="","",N(F57)-L57)</f>
        <v/>
      </c>
      <c r="N57" s="30" t="str">
        <f>IF(A57="","",IF($AB$6&gt;0,AB57/$AB$6,0))</f>
        <v/>
      </c>
      <c r="O57" s="74" t="str">
        <f>IF(A57="","",IF(AB57&lt;=0,"",COUNTIF($AB$9:$AB$208,"&gt;"&amp;AB57)+COUNTIF($AB$9:AB57,AB57)))</f>
        <v/>
      </c>
      <c r="P57" s="73" t="str">
        <f>IF(A57="","",IF(Q57&gt;0,"BUY","HOLD"))</f>
        <v/>
      </c>
      <c r="Q57" s="70" t="str">
        <f>IF(A57="","",IF($W$7&lt;=0,0,IF($AC$6&gt;0,$W$7*AC57/$AC$6,IF($F$6&gt;0,$W$7*N(F57)/$F$6,0))))</f>
        <v/>
      </c>
      <c r="R57" s="103" t="str">
        <f>IF(A57="","",N(AD57)+IF(AI57=1,N(AG57),0))</f>
        <v/>
      </c>
      <c r="S57" s="103" t="str">
        <f>IF(A57="","",N(E57)+N(R57))</f>
        <v/>
      </c>
      <c r="T57" s="70" t="str">
        <f>IF(A57="","",IF(N(R57)&gt;0,R57*H57*W57*$W$6+p_CorrFixa,0))</f>
        <v/>
      </c>
      <c r="V57" s="85" t="str">
        <f>IF(A57="","",IF(D57="",$W$1,D57))</f>
        <v/>
      </c>
      <c r="W57" s="85" t="str">
        <f>IF(A57="","",IFERROR(INDEX(moeda_fx,MATCH(V57,moeda_cod,0)),0))</f>
        <v/>
      </c>
      <c r="X57" s="85" t="str">
        <f>IF(A57="","",IF($W$2="",UPPER(TRIM(A57)),IF(RIGHT(UPPER(TRIM(A57)),LEN($W$2))=$W$2,UPPER(TRIM(A57)),UPPER(TRIM(A57))&amp;$W$2)))</f>
        <v/>
      </c>
      <c r="Y57" s="85" t="str">
        <f>IF(OR(A57="",p_ModoCot&lt;&gt;"Automático"),"",IFERROR(_xlfn.WEBSERVICE("https://query1.finance.yahoo.com/v8/finance/chart/"&amp;X57&amp;"?range=1d&amp;interval=1d"),""))</f>
        <v/>
      </c>
      <c r="Z57" s="85" t="str">
        <f>IF(Y57="","",IFERROR(_xlfn.NUMBERVALUE(MID(Y57,SEARCH("""regularMarketPrice"":",Y57)+21,SEARCH(",",Y57&amp;",",SEARCH("""regularMarketPrice"":",Y57)+21)-SEARCH("""regularMarketPrice"":",Y57)-21),".",","),""))</f>
        <v/>
      </c>
      <c r="AA57" s="85" t="str">
        <f>IF(A57="","",ROUND(MAX(0,N(F57)*($K$6+$W$7)-K57),2))</f>
        <v/>
      </c>
      <c r="AB57" s="85" t="str">
        <f>IF(A57="","",IF(AND(M57&gt;0,M57&gt;=p_DifMin),AA57,0))</f>
        <v/>
      </c>
      <c r="AC57" s="85" t="str">
        <f>IF(A57="","",IF(AND(AB57&gt;0,N(O57)&lt;=p_MaxAtivos),AB57,0))</f>
        <v/>
      </c>
      <c r="AD57" s="85" t="str">
        <f>IF(A57="","",IF(OR(Q57&lt;=0,Q57&lt;p_CompraMin,N(H57)&lt;=0,N(W57)&lt;=0),0,IF($W$3="Sim",TRUNC(ROUND(MAX(0,(Q57-p_CorrFixa)/(H57*W57*$W$6)),9),$W$4),TRUNC(ROUND(MAX(0,(Q57-p_CorrFixa)/(H57*W57*$W$6)),9)/$W$5)*$W$5)))</f>
        <v/>
      </c>
      <c r="AE57" s="85" t="str">
        <f>IF(A57="","",IF(N(AD57)&gt;0,AD57*H57*W57*$W$6+p_CorrFixa,0))</f>
        <v/>
      </c>
      <c r="AF57" s="85" t="str">
        <f>IF(A57="","",IF(OR($Y$1&lt;=0,N(H57)&lt;=0,N(W57)&lt;=0,N(AB57)&lt;=0),0,IF($W$3="Sim",TRUNC(ROUND(MAX(0,($Y$1-IF(N(AD57)&gt;0,0,p_CorrFixa))/(H57*W57*$W$6)),9),$W$4),TRUNC(ROUND(MAX(0,($Y$1-IF(N(AD57)&gt;0,0,p_CorrFixa))/(H57*W57*$W$6)),9)/$W$5)*$W$5)))</f>
        <v/>
      </c>
      <c r="AG57" s="85" t="str">
        <f>IF(A57="","",IF(AND(N(AD57)=0,N(AF57)*(H57*W57*$W$6)+p_CorrFixa&lt;p_CompraMin),0,AF57))</f>
        <v/>
      </c>
      <c r="AH57" s="85" t="str">
        <f>IF(A57="","",IF(N(AG57)&gt;0,AB57,0))</f>
        <v/>
      </c>
      <c r="AI57" s="85" t="str">
        <f>IF(A57="","",IF(AND(AH57&gt;0,AH57=$AH$6,COUNTIF($AH$9:AH57,AH57)=1),1,0))</f>
        <v/>
      </c>
    </row>
    <row r="58">
      <c r="A58" s="96" t="n"/>
      <c r="B58" s="96" t="n"/>
      <c r="C58" s="96" t="n"/>
      <c r="D58" s="97" t="n"/>
      <c r="E58" s="98" t="n"/>
      <c r="F58" s="99" t="n"/>
      <c r="G58" s="100" t="n"/>
      <c r="H58" s="104" t="str">
        <f>IF(A58="","",IF(AND(p_ModoCot="Automático",ISNUMBER(Z58)),Z58,IF(N(G58)&gt;0,G58,0)))</f>
        <v/>
      </c>
      <c r="I58" s="105" t="str">
        <f>IF(A58="","",IF(W58=0,"Sem câmbio",IF(AND(p_ModoCot="Automático",ISNUMBER(Z58)),"Auto",IF(N(G58)&gt;0,"Manual","Sem cotação"))))</f>
        <v/>
      </c>
      <c r="J58" s="106" t="str">
        <f>IF(A58="","",N(E58)*H58)</f>
        <v/>
      </c>
      <c r="K58" s="107" t="str">
        <f>IF(A58="","",J58*W58)</f>
        <v/>
      </c>
      <c r="L58" s="108" t="str">
        <f>IF(A58="","",IF($K$6&gt;0,K58/$K$6,0))</f>
        <v/>
      </c>
      <c r="M58" s="109" t="str">
        <f>IF(A58="","",N(F58)-L58)</f>
        <v/>
      </c>
      <c r="N58" s="108" t="str">
        <f>IF(A58="","",IF($AB$6&gt;0,AB58/$AB$6,0))</f>
        <v/>
      </c>
      <c r="O58" s="110" t="str">
        <f>IF(A58="","",IF(AB58&lt;=0,"",COUNTIF($AB$9:$AB$208,"&gt;"&amp;AB58)+COUNTIF($AB$9:AB58,AB58)))</f>
        <v/>
      </c>
      <c r="P58" s="105" t="str">
        <f>IF(A58="","",IF(Q58&gt;0,"BUY","HOLD"))</f>
        <v/>
      </c>
      <c r="Q58" s="107" t="str">
        <f>IF(A58="","",IF($W$7&lt;=0,0,IF($AC$6&gt;0,$W$7*AC58/$AC$6,IF($F$6&gt;0,$W$7*N(F58)/$F$6,0))))</f>
        <v/>
      </c>
      <c r="R58" s="111" t="str">
        <f>IF(A58="","",N(AD58)+IF(AI58=1,N(AG58),0))</f>
        <v/>
      </c>
      <c r="S58" s="111" t="str">
        <f>IF(A58="","",N(E58)+N(R58))</f>
        <v/>
      </c>
      <c r="T58" s="107" t="str">
        <f>IF(A58="","",IF(N(R58)&gt;0,R58*H58*W58*$W$6+p_CorrFixa,0))</f>
        <v/>
      </c>
      <c r="V58" s="85" t="str">
        <f>IF(A58="","",IF(D58="",$W$1,D58))</f>
        <v/>
      </c>
      <c r="W58" s="85" t="str">
        <f>IF(A58="","",IFERROR(INDEX(moeda_fx,MATCH(V58,moeda_cod,0)),0))</f>
        <v/>
      </c>
      <c r="X58" s="85" t="str">
        <f>IF(A58="","",IF($W$2="",UPPER(TRIM(A58)),IF(RIGHT(UPPER(TRIM(A58)),LEN($W$2))=$W$2,UPPER(TRIM(A58)),UPPER(TRIM(A58))&amp;$W$2)))</f>
        <v/>
      </c>
      <c r="Y58" s="85" t="str">
        <f>IF(OR(A58="",p_ModoCot&lt;&gt;"Automático"),"",IFERROR(_xlfn.WEBSERVICE("https://query1.finance.yahoo.com/v8/finance/chart/"&amp;X58&amp;"?range=1d&amp;interval=1d"),""))</f>
        <v/>
      </c>
      <c r="Z58" s="85" t="str">
        <f>IF(Y58="","",IFERROR(_xlfn.NUMBERVALUE(MID(Y58,SEARCH("""regularMarketPrice"":",Y58)+21,SEARCH(",",Y58&amp;",",SEARCH("""regularMarketPrice"":",Y58)+21)-SEARCH("""regularMarketPrice"":",Y58)-21),".",","),""))</f>
        <v/>
      </c>
      <c r="AA58" s="85" t="str">
        <f>IF(A58="","",ROUND(MAX(0,N(F58)*($K$6+$W$7)-K58),2))</f>
        <v/>
      </c>
      <c r="AB58" s="85" t="str">
        <f>IF(A58="","",IF(AND(M58&gt;0,M58&gt;=p_DifMin),AA58,0))</f>
        <v/>
      </c>
      <c r="AC58" s="85" t="str">
        <f>IF(A58="","",IF(AND(AB58&gt;0,N(O58)&lt;=p_MaxAtivos),AB58,0))</f>
        <v/>
      </c>
      <c r="AD58" s="85" t="str">
        <f>IF(A58="","",IF(OR(Q58&lt;=0,Q58&lt;p_CompraMin,N(H58)&lt;=0,N(W58)&lt;=0),0,IF($W$3="Sim",TRUNC(ROUND(MAX(0,(Q58-p_CorrFixa)/(H58*W58*$W$6)),9),$W$4),TRUNC(ROUND(MAX(0,(Q58-p_CorrFixa)/(H58*W58*$W$6)),9)/$W$5)*$W$5)))</f>
        <v/>
      </c>
      <c r="AE58" s="85" t="str">
        <f>IF(A58="","",IF(N(AD58)&gt;0,AD58*H58*W58*$W$6+p_CorrFixa,0))</f>
        <v/>
      </c>
      <c r="AF58" s="85" t="str">
        <f>IF(A58="","",IF(OR($Y$1&lt;=0,N(H58)&lt;=0,N(W58)&lt;=0,N(AB58)&lt;=0),0,IF($W$3="Sim",TRUNC(ROUND(MAX(0,($Y$1-IF(N(AD58)&gt;0,0,p_CorrFixa))/(H58*W58*$W$6)),9),$W$4),TRUNC(ROUND(MAX(0,($Y$1-IF(N(AD58)&gt;0,0,p_CorrFixa))/(H58*W58*$W$6)),9)/$W$5)*$W$5)))</f>
        <v/>
      </c>
      <c r="AG58" s="85" t="str">
        <f>IF(A58="","",IF(AND(N(AD58)=0,N(AF58)*(H58*W58*$W$6)+p_CorrFixa&lt;p_CompraMin),0,AF58))</f>
        <v/>
      </c>
      <c r="AH58" s="85" t="str">
        <f>IF(A58="","",IF(N(AG58)&gt;0,AB58,0))</f>
        <v/>
      </c>
      <c r="AI58" s="85" t="str">
        <f>IF(A58="","",IF(AND(AH58&gt;0,AH58=$AH$6,COUNTIF($AH$9:AH58,AH58)=1),1,0))</f>
        <v/>
      </c>
    </row>
    <row r="59">
      <c r="A59" s="96" t="n"/>
      <c r="B59" s="96" t="n"/>
      <c r="C59" s="96" t="n"/>
      <c r="D59" s="97" t="n"/>
      <c r="E59" s="98" t="n"/>
      <c r="F59" s="99" t="n"/>
      <c r="G59" s="100" t="n"/>
      <c r="H59" s="101" t="str">
        <f>IF(A59="","",IF(AND(p_ModoCot="Automático",ISNUMBER(Z59)),Z59,IF(N(G59)&gt;0,G59,0)))</f>
        <v/>
      </c>
      <c r="I59" s="73" t="str">
        <f>IF(A59="","",IF(W59=0,"Sem câmbio",IF(AND(p_ModoCot="Automático",ISNUMBER(Z59)),"Auto",IF(N(G59)&gt;0,"Manual","Sem cotação"))))</f>
        <v/>
      </c>
      <c r="J59" s="102" t="str">
        <f>IF(A59="","",N(E59)*H59)</f>
        <v/>
      </c>
      <c r="K59" s="70" t="str">
        <f>IF(A59="","",J59*W59)</f>
        <v/>
      </c>
      <c r="L59" s="30" t="str">
        <f>IF(A59="","",IF($K$6&gt;0,K59/$K$6,0))</f>
        <v/>
      </c>
      <c r="M59" s="72" t="str">
        <f>IF(A59="","",N(F59)-L59)</f>
        <v/>
      </c>
      <c r="N59" s="30" t="str">
        <f>IF(A59="","",IF($AB$6&gt;0,AB59/$AB$6,0))</f>
        <v/>
      </c>
      <c r="O59" s="74" t="str">
        <f>IF(A59="","",IF(AB59&lt;=0,"",COUNTIF($AB$9:$AB$208,"&gt;"&amp;AB59)+COUNTIF($AB$9:AB59,AB59)))</f>
        <v/>
      </c>
      <c r="P59" s="73" t="str">
        <f>IF(A59="","",IF(Q59&gt;0,"BUY","HOLD"))</f>
        <v/>
      </c>
      <c r="Q59" s="70" t="str">
        <f>IF(A59="","",IF($W$7&lt;=0,0,IF($AC$6&gt;0,$W$7*AC59/$AC$6,IF($F$6&gt;0,$W$7*N(F59)/$F$6,0))))</f>
        <v/>
      </c>
      <c r="R59" s="103" t="str">
        <f>IF(A59="","",N(AD59)+IF(AI59=1,N(AG59),0))</f>
        <v/>
      </c>
      <c r="S59" s="103" t="str">
        <f>IF(A59="","",N(E59)+N(R59))</f>
        <v/>
      </c>
      <c r="T59" s="70" t="str">
        <f>IF(A59="","",IF(N(R59)&gt;0,R59*H59*W59*$W$6+p_CorrFixa,0))</f>
        <v/>
      </c>
      <c r="V59" s="85" t="str">
        <f>IF(A59="","",IF(D59="",$W$1,D59))</f>
        <v/>
      </c>
      <c r="W59" s="85" t="str">
        <f>IF(A59="","",IFERROR(INDEX(moeda_fx,MATCH(V59,moeda_cod,0)),0))</f>
        <v/>
      </c>
      <c r="X59" s="85" t="str">
        <f>IF(A59="","",IF($W$2="",UPPER(TRIM(A59)),IF(RIGHT(UPPER(TRIM(A59)),LEN($W$2))=$W$2,UPPER(TRIM(A59)),UPPER(TRIM(A59))&amp;$W$2)))</f>
        <v/>
      </c>
      <c r="Y59" s="85" t="str">
        <f>IF(OR(A59="",p_ModoCot&lt;&gt;"Automático"),"",IFERROR(_xlfn.WEBSERVICE("https://query1.finance.yahoo.com/v8/finance/chart/"&amp;X59&amp;"?range=1d&amp;interval=1d"),""))</f>
        <v/>
      </c>
      <c r="Z59" s="85" t="str">
        <f>IF(Y59="","",IFERROR(_xlfn.NUMBERVALUE(MID(Y59,SEARCH("""regularMarketPrice"":",Y59)+21,SEARCH(",",Y59&amp;",",SEARCH("""regularMarketPrice"":",Y59)+21)-SEARCH("""regularMarketPrice"":",Y59)-21),".",","),""))</f>
        <v/>
      </c>
      <c r="AA59" s="85" t="str">
        <f>IF(A59="","",ROUND(MAX(0,N(F59)*($K$6+$W$7)-K59),2))</f>
        <v/>
      </c>
      <c r="AB59" s="85" t="str">
        <f>IF(A59="","",IF(AND(M59&gt;0,M59&gt;=p_DifMin),AA59,0))</f>
        <v/>
      </c>
      <c r="AC59" s="85" t="str">
        <f>IF(A59="","",IF(AND(AB59&gt;0,N(O59)&lt;=p_MaxAtivos),AB59,0))</f>
        <v/>
      </c>
      <c r="AD59" s="85" t="str">
        <f>IF(A59="","",IF(OR(Q59&lt;=0,Q59&lt;p_CompraMin,N(H59)&lt;=0,N(W59)&lt;=0),0,IF($W$3="Sim",TRUNC(ROUND(MAX(0,(Q59-p_CorrFixa)/(H59*W59*$W$6)),9),$W$4),TRUNC(ROUND(MAX(0,(Q59-p_CorrFixa)/(H59*W59*$W$6)),9)/$W$5)*$W$5)))</f>
        <v/>
      </c>
      <c r="AE59" s="85" t="str">
        <f>IF(A59="","",IF(N(AD59)&gt;0,AD59*H59*W59*$W$6+p_CorrFixa,0))</f>
        <v/>
      </c>
      <c r="AF59" s="85" t="str">
        <f>IF(A59="","",IF(OR($Y$1&lt;=0,N(H59)&lt;=0,N(W59)&lt;=0,N(AB59)&lt;=0),0,IF($W$3="Sim",TRUNC(ROUND(MAX(0,($Y$1-IF(N(AD59)&gt;0,0,p_CorrFixa))/(H59*W59*$W$6)),9),$W$4),TRUNC(ROUND(MAX(0,($Y$1-IF(N(AD59)&gt;0,0,p_CorrFixa))/(H59*W59*$W$6)),9)/$W$5)*$W$5)))</f>
        <v/>
      </c>
      <c r="AG59" s="85" t="str">
        <f>IF(A59="","",IF(AND(N(AD59)=0,N(AF59)*(H59*W59*$W$6)+p_CorrFixa&lt;p_CompraMin),0,AF59))</f>
        <v/>
      </c>
      <c r="AH59" s="85" t="str">
        <f>IF(A59="","",IF(N(AG59)&gt;0,AB59,0))</f>
        <v/>
      </c>
      <c r="AI59" s="85" t="str">
        <f>IF(A59="","",IF(AND(AH59&gt;0,AH59=$AH$6,COUNTIF($AH$9:AH59,AH59)=1),1,0))</f>
        <v/>
      </c>
    </row>
    <row r="60">
      <c r="A60" s="96" t="n"/>
      <c r="B60" s="96" t="n"/>
      <c r="C60" s="96" t="n"/>
      <c r="D60" s="97" t="n"/>
      <c r="E60" s="98" t="n"/>
      <c r="F60" s="99" t="n"/>
      <c r="G60" s="100" t="n"/>
      <c r="H60" s="104" t="str">
        <f>IF(A60="","",IF(AND(p_ModoCot="Automático",ISNUMBER(Z60)),Z60,IF(N(G60)&gt;0,G60,0)))</f>
        <v/>
      </c>
      <c r="I60" s="105" t="str">
        <f>IF(A60="","",IF(W60=0,"Sem câmbio",IF(AND(p_ModoCot="Automático",ISNUMBER(Z60)),"Auto",IF(N(G60)&gt;0,"Manual","Sem cotação"))))</f>
        <v/>
      </c>
      <c r="J60" s="106" t="str">
        <f>IF(A60="","",N(E60)*H60)</f>
        <v/>
      </c>
      <c r="K60" s="107" t="str">
        <f>IF(A60="","",J60*W60)</f>
        <v/>
      </c>
      <c r="L60" s="108" t="str">
        <f>IF(A60="","",IF($K$6&gt;0,K60/$K$6,0))</f>
        <v/>
      </c>
      <c r="M60" s="109" t="str">
        <f>IF(A60="","",N(F60)-L60)</f>
        <v/>
      </c>
      <c r="N60" s="108" t="str">
        <f>IF(A60="","",IF($AB$6&gt;0,AB60/$AB$6,0))</f>
        <v/>
      </c>
      <c r="O60" s="110" t="str">
        <f>IF(A60="","",IF(AB60&lt;=0,"",COUNTIF($AB$9:$AB$208,"&gt;"&amp;AB60)+COUNTIF($AB$9:AB60,AB60)))</f>
        <v/>
      </c>
      <c r="P60" s="105" t="str">
        <f>IF(A60="","",IF(Q60&gt;0,"BUY","HOLD"))</f>
        <v/>
      </c>
      <c r="Q60" s="107" t="str">
        <f>IF(A60="","",IF($W$7&lt;=0,0,IF($AC$6&gt;0,$W$7*AC60/$AC$6,IF($F$6&gt;0,$W$7*N(F60)/$F$6,0))))</f>
        <v/>
      </c>
      <c r="R60" s="111" t="str">
        <f>IF(A60="","",N(AD60)+IF(AI60=1,N(AG60),0))</f>
        <v/>
      </c>
      <c r="S60" s="111" t="str">
        <f>IF(A60="","",N(E60)+N(R60))</f>
        <v/>
      </c>
      <c r="T60" s="107" t="str">
        <f>IF(A60="","",IF(N(R60)&gt;0,R60*H60*W60*$W$6+p_CorrFixa,0))</f>
        <v/>
      </c>
      <c r="V60" s="85" t="str">
        <f>IF(A60="","",IF(D60="",$W$1,D60))</f>
        <v/>
      </c>
      <c r="W60" s="85" t="str">
        <f>IF(A60="","",IFERROR(INDEX(moeda_fx,MATCH(V60,moeda_cod,0)),0))</f>
        <v/>
      </c>
      <c r="X60" s="85" t="str">
        <f>IF(A60="","",IF($W$2="",UPPER(TRIM(A60)),IF(RIGHT(UPPER(TRIM(A60)),LEN($W$2))=$W$2,UPPER(TRIM(A60)),UPPER(TRIM(A60))&amp;$W$2)))</f>
        <v/>
      </c>
      <c r="Y60" s="85" t="str">
        <f>IF(OR(A60="",p_ModoCot&lt;&gt;"Automático"),"",IFERROR(_xlfn.WEBSERVICE("https://query1.finance.yahoo.com/v8/finance/chart/"&amp;X60&amp;"?range=1d&amp;interval=1d"),""))</f>
        <v/>
      </c>
      <c r="Z60" s="85" t="str">
        <f>IF(Y60="","",IFERROR(_xlfn.NUMBERVALUE(MID(Y60,SEARCH("""regularMarketPrice"":",Y60)+21,SEARCH(",",Y60&amp;",",SEARCH("""regularMarketPrice"":",Y60)+21)-SEARCH("""regularMarketPrice"":",Y60)-21),".",","),""))</f>
        <v/>
      </c>
      <c r="AA60" s="85" t="str">
        <f>IF(A60="","",ROUND(MAX(0,N(F60)*($K$6+$W$7)-K60),2))</f>
        <v/>
      </c>
      <c r="AB60" s="85" t="str">
        <f>IF(A60="","",IF(AND(M60&gt;0,M60&gt;=p_DifMin),AA60,0))</f>
        <v/>
      </c>
      <c r="AC60" s="85" t="str">
        <f>IF(A60="","",IF(AND(AB60&gt;0,N(O60)&lt;=p_MaxAtivos),AB60,0))</f>
        <v/>
      </c>
      <c r="AD60" s="85" t="str">
        <f>IF(A60="","",IF(OR(Q60&lt;=0,Q60&lt;p_CompraMin,N(H60)&lt;=0,N(W60)&lt;=0),0,IF($W$3="Sim",TRUNC(ROUND(MAX(0,(Q60-p_CorrFixa)/(H60*W60*$W$6)),9),$W$4),TRUNC(ROUND(MAX(0,(Q60-p_CorrFixa)/(H60*W60*$W$6)),9)/$W$5)*$W$5)))</f>
        <v/>
      </c>
      <c r="AE60" s="85" t="str">
        <f>IF(A60="","",IF(N(AD60)&gt;0,AD60*H60*W60*$W$6+p_CorrFixa,0))</f>
        <v/>
      </c>
      <c r="AF60" s="85" t="str">
        <f>IF(A60="","",IF(OR($Y$1&lt;=0,N(H60)&lt;=0,N(W60)&lt;=0,N(AB60)&lt;=0),0,IF($W$3="Sim",TRUNC(ROUND(MAX(0,($Y$1-IF(N(AD60)&gt;0,0,p_CorrFixa))/(H60*W60*$W$6)),9),$W$4),TRUNC(ROUND(MAX(0,($Y$1-IF(N(AD60)&gt;0,0,p_CorrFixa))/(H60*W60*$W$6)),9)/$W$5)*$W$5)))</f>
        <v/>
      </c>
      <c r="AG60" s="85" t="str">
        <f>IF(A60="","",IF(AND(N(AD60)=0,N(AF60)*(H60*W60*$W$6)+p_CorrFixa&lt;p_CompraMin),0,AF60))</f>
        <v/>
      </c>
      <c r="AH60" s="85" t="str">
        <f>IF(A60="","",IF(N(AG60)&gt;0,AB60,0))</f>
        <v/>
      </c>
      <c r="AI60" s="85" t="str">
        <f>IF(A60="","",IF(AND(AH60&gt;0,AH60=$AH$6,COUNTIF($AH$9:AH60,AH60)=1),1,0))</f>
        <v/>
      </c>
    </row>
    <row r="61">
      <c r="A61" s="96" t="n"/>
      <c r="B61" s="96" t="n"/>
      <c r="C61" s="96" t="n"/>
      <c r="D61" s="97" t="n"/>
      <c r="E61" s="98" t="n"/>
      <c r="F61" s="99" t="n"/>
      <c r="G61" s="100" t="n"/>
      <c r="H61" s="101" t="str">
        <f>IF(A61="","",IF(AND(p_ModoCot="Automático",ISNUMBER(Z61)),Z61,IF(N(G61)&gt;0,G61,0)))</f>
        <v/>
      </c>
      <c r="I61" s="73" t="str">
        <f>IF(A61="","",IF(W61=0,"Sem câmbio",IF(AND(p_ModoCot="Automático",ISNUMBER(Z61)),"Auto",IF(N(G61)&gt;0,"Manual","Sem cotação"))))</f>
        <v/>
      </c>
      <c r="J61" s="102" t="str">
        <f>IF(A61="","",N(E61)*H61)</f>
        <v/>
      </c>
      <c r="K61" s="70" t="str">
        <f>IF(A61="","",J61*W61)</f>
        <v/>
      </c>
      <c r="L61" s="30" t="str">
        <f>IF(A61="","",IF($K$6&gt;0,K61/$K$6,0))</f>
        <v/>
      </c>
      <c r="M61" s="72" t="str">
        <f>IF(A61="","",N(F61)-L61)</f>
        <v/>
      </c>
      <c r="N61" s="30" t="str">
        <f>IF(A61="","",IF($AB$6&gt;0,AB61/$AB$6,0))</f>
        <v/>
      </c>
      <c r="O61" s="74" t="str">
        <f>IF(A61="","",IF(AB61&lt;=0,"",COUNTIF($AB$9:$AB$208,"&gt;"&amp;AB61)+COUNTIF($AB$9:AB61,AB61)))</f>
        <v/>
      </c>
      <c r="P61" s="73" t="str">
        <f>IF(A61="","",IF(Q61&gt;0,"BUY","HOLD"))</f>
        <v/>
      </c>
      <c r="Q61" s="70" t="str">
        <f>IF(A61="","",IF($W$7&lt;=0,0,IF($AC$6&gt;0,$W$7*AC61/$AC$6,IF($F$6&gt;0,$W$7*N(F61)/$F$6,0))))</f>
        <v/>
      </c>
      <c r="R61" s="103" t="str">
        <f>IF(A61="","",N(AD61)+IF(AI61=1,N(AG61),0))</f>
        <v/>
      </c>
      <c r="S61" s="103" t="str">
        <f>IF(A61="","",N(E61)+N(R61))</f>
        <v/>
      </c>
      <c r="T61" s="70" t="str">
        <f>IF(A61="","",IF(N(R61)&gt;0,R61*H61*W61*$W$6+p_CorrFixa,0))</f>
        <v/>
      </c>
      <c r="V61" s="85" t="str">
        <f>IF(A61="","",IF(D61="",$W$1,D61))</f>
        <v/>
      </c>
      <c r="W61" s="85" t="str">
        <f>IF(A61="","",IFERROR(INDEX(moeda_fx,MATCH(V61,moeda_cod,0)),0))</f>
        <v/>
      </c>
      <c r="X61" s="85" t="str">
        <f>IF(A61="","",IF($W$2="",UPPER(TRIM(A61)),IF(RIGHT(UPPER(TRIM(A61)),LEN($W$2))=$W$2,UPPER(TRIM(A61)),UPPER(TRIM(A61))&amp;$W$2)))</f>
        <v/>
      </c>
      <c r="Y61" s="85" t="str">
        <f>IF(OR(A61="",p_ModoCot&lt;&gt;"Automático"),"",IFERROR(_xlfn.WEBSERVICE("https://query1.finance.yahoo.com/v8/finance/chart/"&amp;X61&amp;"?range=1d&amp;interval=1d"),""))</f>
        <v/>
      </c>
      <c r="Z61" s="85" t="str">
        <f>IF(Y61="","",IFERROR(_xlfn.NUMBERVALUE(MID(Y61,SEARCH("""regularMarketPrice"":",Y61)+21,SEARCH(",",Y61&amp;",",SEARCH("""regularMarketPrice"":",Y61)+21)-SEARCH("""regularMarketPrice"":",Y61)-21),".",","),""))</f>
        <v/>
      </c>
      <c r="AA61" s="85" t="str">
        <f>IF(A61="","",ROUND(MAX(0,N(F61)*($K$6+$W$7)-K61),2))</f>
        <v/>
      </c>
      <c r="AB61" s="85" t="str">
        <f>IF(A61="","",IF(AND(M61&gt;0,M61&gt;=p_DifMin),AA61,0))</f>
        <v/>
      </c>
      <c r="AC61" s="85" t="str">
        <f>IF(A61="","",IF(AND(AB61&gt;0,N(O61)&lt;=p_MaxAtivos),AB61,0))</f>
        <v/>
      </c>
      <c r="AD61" s="85" t="str">
        <f>IF(A61="","",IF(OR(Q61&lt;=0,Q61&lt;p_CompraMin,N(H61)&lt;=0,N(W61)&lt;=0),0,IF($W$3="Sim",TRUNC(ROUND(MAX(0,(Q61-p_CorrFixa)/(H61*W61*$W$6)),9),$W$4),TRUNC(ROUND(MAX(0,(Q61-p_CorrFixa)/(H61*W61*$W$6)),9)/$W$5)*$W$5)))</f>
        <v/>
      </c>
      <c r="AE61" s="85" t="str">
        <f>IF(A61="","",IF(N(AD61)&gt;0,AD61*H61*W61*$W$6+p_CorrFixa,0))</f>
        <v/>
      </c>
      <c r="AF61" s="85" t="str">
        <f>IF(A61="","",IF(OR($Y$1&lt;=0,N(H61)&lt;=0,N(W61)&lt;=0,N(AB61)&lt;=0),0,IF($W$3="Sim",TRUNC(ROUND(MAX(0,($Y$1-IF(N(AD61)&gt;0,0,p_CorrFixa))/(H61*W61*$W$6)),9),$W$4),TRUNC(ROUND(MAX(0,($Y$1-IF(N(AD61)&gt;0,0,p_CorrFixa))/(H61*W61*$W$6)),9)/$W$5)*$W$5)))</f>
        <v/>
      </c>
      <c r="AG61" s="85" t="str">
        <f>IF(A61="","",IF(AND(N(AD61)=0,N(AF61)*(H61*W61*$W$6)+p_CorrFixa&lt;p_CompraMin),0,AF61))</f>
        <v/>
      </c>
      <c r="AH61" s="85" t="str">
        <f>IF(A61="","",IF(N(AG61)&gt;0,AB61,0))</f>
        <v/>
      </c>
      <c r="AI61" s="85" t="str">
        <f>IF(A61="","",IF(AND(AH61&gt;0,AH61=$AH$6,COUNTIF($AH$9:AH61,AH61)=1),1,0))</f>
        <v/>
      </c>
    </row>
    <row r="62">
      <c r="A62" s="96" t="n"/>
      <c r="B62" s="96" t="n"/>
      <c r="C62" s="96" t="n"/>
      <c r="D62" s="97" t="n"/>
      <c r="E62" s="98" t="n"/>
      <c r="F62" s="99" t="n"/>
      <c r="G62" s="100" t="n"/>
      <c r="H62" s="104" t="str">
        <f>IF(A62="","",IF(AND(p_ModoCot="Automático",ISNUMBER(Z62)),Z62,IF(N(G62)&gt;0,G62,0)))</f>
        <v/>
      </c>
      <c r="I62" s="105" t="str">
        <f>IF(A62="","",IF(W62=0,"Sem câmbio",IF(AND(p_ModoCot="Automático",ISNUMBER(Z62)),"Auto",IF(N(G62)&gt;0,"Manual","Sem cotação"))))</f>
        <v/>
      </c>
      <c r="J62" s="106" t="str">
        <f>IF(A62="","",N(E62)*H62)</f>
        <v/>
      </c>
      <c r="K62" s="107" t="str">
        <f>IF(A62="","",J62*W62)</f>
        <v/>
      </c>
      <c r="L62" s="108" t="str">
        <f>IF(A62="","",IF($K$6&gt;0,K62/$K$6,0))</f>
        <v/>
      </c>
      <c r="M62" s="109" t="str">
        <f>IF(A62="","",N(F62)-L62)</f>
        <v/>
      </c>
      <c r="N62" s="108" t="str">
        <f>IF(A62="","",IF($AB$6&gt;0,AB62/$AB$6,0))</f>
        <v/>
      </c>
      <c r="O62" s="110" t="str">
        <f>IF(A62="","",IF(AB62&lt;=0,"",COUNTIF($AB$9:$AB$208,"&gt;"&amp;AB62)+COUNTIF($AB$9:AB62,AB62)))</f>
        <v/>
      </c>
      <c r="P62" s="105" t="str">
        <f>IF(A62="","",IF(Q62&gt;0,"BUY","HOLD"))</f>
        <v/>
      </c>
      <c r="Q62" s="107" t="str">
        <f>IF(A62="","",IF($W$7&lt;=0,0,IF($AC$6&gt;0,$W$7*AC62/$AC$6,IF($F$6&gt;0,$W$7*N(F62)/$F$6,0))))</f>
        <v/>
      </c>
      <c r="R62" s="111" t="str">
        <f>IF(A62="","",N(AD62)+IF(AI62=1,N(AG62),0))</f>
        <v/>
      </c>
      <c r="S62" s="111" t="str">
        <f>IF(A62="","",N(E62)+N(R62))</f>
        <v/>
      </c>
      <c r="T62" s="107" t="str">
        <f>IF(A62="","",IF(N(R62)&gt;0,R62*H62*W62*$W$6+p_CorrFixa,0))</f>
        <v/>
      </c>
      <c r="V62" s="85" t="str">
        <f>IF(A62="","",IF(D62="",$W$1,D62))</f>
        <v/>
      </c>
      <c r="W62" s="85" t="str">
        <f>IF(A62="","",IFERROR(INDEX(moeda_fx,MATCH(V62,moeda_cod,0)),0))</f>
        <v/>
      </c>
      <c r="X62" s="85" t="str">
        <f>IF(A62="","",IF($W$2="",UPPER(TRIM(A62)),IF(RIGHT(UPPER(TRIM(A62)),LEN($W$2))=$W$2,UPPER(TRIM(A62)),UPPER(TRIM(A62))&amp;$W$2)))</f>
        <v/>
      </c>
      <c r="Y62" s="85" t="str">
        <f>IF(OR(A62="",p_ModoCot&lt;&gt;"Automático"),"",IFERROR(_xlfn.WEBSERVICE("https://query1.finance.yahoo.com/v8/finance/chart/"&amp;X62&amp;"?range=1d&amp;interval=1d"),""))</f>
        <v/>
      </c>
      <c r="Z62" s="85" t="str">
        <f>IF(Y62="","",IFERROR(_xlfn.NUMBERVALUE(MID(Y62,SEARCH("""regularMarketPrice"":",Y62)+21,SEARCH(",",Y62&amp;",",SEARCH("""regularMarketPrice"":",Y62)+21)-SEARCH("""regularMarketPrice"":",Y62)-21),".",","),""))</f>
        <v/>
      </c>
      <c r="AA62" s="85" t="str">
        <f>IF(A62="","",ROUND(MAX(0,N(F62)*($K$6+$W$7)-K62),2))</f>
        <v/>
      </c>
      <c r="AB62" s="85" t="str">
        <f>IF(A62="","",IF(AND(M62&gt;0,M62&gt;=p_DifMin),AA62,0))</f>
        <v/>
      </c>
      <c r="AC62" s="85" t="str">
        <f>IF(A62="","",IF(AND(AB62&gt;0,N(O62)&lt;=p_MaxAtivos),AB62,0))</f>
        <v/>
      </c>
      <c r="AD62" s="85" t="str">
        <f>IF(A62="","",IF(OR(Q62&lt;=0,Q62&lt;p_CompraMin,N(H62)&lt;=0,N(W62)&lt;=0),0,IF($W$3="Sim",TRUNC(ROUND(MAX(0,(Q62-p_CorrFixa)/(H62*W62*$W$6)),9),$W$4),TRUNC(ROUND(MAX(0,(Q62-p_CorrFixa)/(H62*W62*$W$6)),9)/$W$5)*$W$5)))</f>
        <v/>
      </c>
      <c r="AE62" s="85" t="str">
        <f>IF(A62="","",IF(N(AD62)&gt;0,AD62*H62*W62*$W$6+p_CorrFixa,0))</f>
        <v/>
      </c>
      <c r="AF62" s="85" t="str">
        <f>IF(A62="","",IF(OR($Y$1&lt;=0,N(H62)&lt;=0,N(W62)&lt;=0,N(AB62)&lt;=0),0,IF($W$3="Sim",TRUNC(ROUND(MAX(0,($Y$1-IF(N(AD62)&gt;0,0,p_CorrFixa))/(H62*W62*$W$6)),9),$W$4),TRUNC(ROUND(MAX(0,($Y$1-IF(N(AD62)&gt;0,0,p_CorrFixa))/(H62*W62*$W$6)),9)/$W$5)*$W$5)))</f>
        <v/>
      </c>
      <c r="AG62" s="85" t="str">
        <f>IF(A62="","",IF(AND(N(AD62)=0,N(AF62)*(H62*W62*$W$6)+p_CorrFixa&lt;p_CompraMin),0,AF62))</f>
        <v/>
      </c>
      <c r="AH62" s="85" t="str">
        <f>IF(A62="","",IF(N(AG62)&gt;0,AB62,0))</f>
        <v/>
      </c>
      <c r="AI62" s="85" t="str">
        <f>IF(A62="","",IF(AND(AH62&gt;0,AH62=$AH$6,COUNTIF($AH$9:AH62,AH62)=1),1,0))</f>
        <v/>
      </c>
    </row>
    <row r="63">
      <c r="A63" s="96" t="n"/>
      <c r="B63" s="96" t="n"/>
      <c r="C63" s="96" t="n"/>
      <c r="D63" s="97" t="n"/>
      <c r="E63" s="98" t="n"/>
      <c r="F63" s="99" t="n"/>
      <c r="G63" s="100" t="n"/>
      <c r="H63" s="101" t="str">
        <f>IF(A63="","",IF(AND(p_ModoCot="Automático",ISNUMBER(Z63)),Z63,IF(N(G63)&gt;0,G63,0)))</f>
        <v/>
      </c>
      <c r="I63" s="73" t="str">
        <f>IF(A63="","",IF(W63=0,"Sem câmbio",IF(AND(p_ModoCot="Automático",ISNUMBER(Z63)),"Auto",IF(N(G63)&gt;0,"Manual","Sem cotação"))))</f>
        <v/>
      </c>
      <c r="J63" s="102" t="str">
        <f>IF(A63="","",N(E63)*H63)</f>
        <v/>
      </c>
      <c r="K63" s="70" t="str">
        <f>IF(A63="","",J63*W63)</f>
        <v/>
      </c>
      <c r="L63" s="30" t="str">
        <f>IF(A63="","",IF($K$6&gt;0,K63/$K$6,0))</f>
        <v/>
      </c>
      <c r="M63" s="72" t="str">
        <f>IF(A63="","",N(F63)-L63)</f>
        <v/>
      </c>
      <c r="N63" s="30" t="str">
        <f>IF(A63="","",IF($AB$6&gt;0,AB63/$AB$6,0))</f>
        <v/>
      </c>
      <c r="O63" s="74" t="str">
        <f>IF(A63="","",IF(AB63&lt;=0,"",COUNTIF($AB$9:$AB$208,"&gt;"&amp;AB63)+COUNTIF($AB$9:AB63,AB63)))</f>
        <v/>
      </c>
      <c r="P63" s="73" t="str">
        <f>IF(A63="","",IF(Q63&gt;0,"BUY","HOLD"))</f>
        <v/>
      </c>
      <c r="Q63" s="70" t="str">
        <f>IF(A63="","",IF($W$7&lt;=0,0,IF($AC$6&gt;0,$W$7*AC63/$AC$6,IF($F$6&gt;0,$W$7*N(F63)/$F$6,0))))</f>
        <v/>
      </c>
      <c r="R63" s="103" t="str">
        <f>IF(A63="","",N(AD63)+IF(AI63=1,N(AG63),0))</f>
        <v/>
      </c>
      <c r="S63" s="103" t="str">
        <f>IF(A63="","",N(E63)+N(R63))</f>
        <v/>
      </c>
      <c r="T63" s="70" t="str">
        <f>IF(A63="","",IF(N(R63)&gt;0,R63*H63*W63*$W$6+p_CorrFixa,0))</f>
        <v/>
      </c>
      <c r="V63" s="85" t="str">
        <f>IF(A63="","",IF(D63="",$W$1,D63))</f>
        <v/>
      </c>
      <c r="W63" s="85" t="str">
        <f>IF(A63="","",IFERROR(INDEX(moeda_fx,MATCH(V63,moeda_cod,0)),0))</f>
        <v/>
      </c>
      <c r="X63" s="85" t="str">
        <f>IF(A63="","",IF($W$2="",UPPER(TRIM(A63)),IF(RIGHT(UPPER(TRIM(A63)),LEN($W$2))=$W$2,UPPER(TRIM(A63)),UPPER(TRIM(A63))&amp;$W$2)))</f>
        <v/>
      </c>
      <c r="Y63" s="85" t="str">
        <f>IF(OR(A63="",p_ModoCot&lt;&gt;"Automático"),"",IFERROR(_xlfn.WEBSERVICE("https://query1.finance.yahoo.com/v8/finance/chart/"&amp;X63&amp;"?range=1d&amp;interval=1d"),""))</f>
        <v/>
      </c>
      <c r="Z63" s="85" t="str">
        <f>IF(Y63="","",IFERROR(_xlfn.NUMBERVALUE(MID(Y63,SEARCH("""regularMarketPrice"":",Y63)+21,SEARCH(",",Y63&amp;",",SEARCH("""regularMarketPrice"":",Y63)+21)-SEARCH("""regularMarketPrice"":",Y63)-21),".",","),""))</f>
        <v/>
      </c>
      <c r="AA63" s="85" t="str">
        <f>IF(A63="","",ROUND(MAX(0,N(F63)*($K$6+$W$7)-K63),2))</f>
        <v/>
      </c>
      <c r="AB63" s="85" t="str">
        <f>IF(A63="","",IF(AND(M63&gt;0,M63&gt;=p_DifMin),AA63,0))</f>
        <v/>
      </c>
      <c r="AC63" s="85" t="str">
        <f>IF(A63="","",IF(AND(AB63&gt;0,N(O63)&lt;=p_MaxAtivos),AB63,0))</f>
        <v/>
      </c>
      <c r="AD63" s="85" t="str">
        <f>IF(A63="","",IF(OR(Q63&lt;=0,Q63&lt;p_CompraMin,N(H63)&lt;=0,N(W63)&lt;=0),0,IF($W$3="Sim",TRUNC(ROUND(MAX(0,(Q63-p_CorrFixa)/(H63*W63*$W$6)),9),$W$4),TRUNC(ROUND(MAX(0,(Q63-p_CorrFixa)/(H63*W63*$W$6)),9)/$W$5)*$W$5)))</f>
        <v/>
      </c>
      <c r="AE63" s="85" t="str">
        <f>IF(A63="","",IF(N(AD63)&gt;0,AD63*H63*W63*$W$6+p_CorrFixa,0))</f>
        <v/>
      </c>
      <c r="AF63" s="85" t="str">
        <f>IF(A63="","",IF(OR($Y$1&lt;=0,N(H63)&lt;=0,N(W63)&lt;=0,N(AB63)&lt;=0),0,IF($W$3="Sim",TRUNC(ROUND(MAX(0,($Y$1-IF(N(AD63)&gt;0,0,p_CorrFixa))/(H63*W63*$W$6)),9),$W$4),TRUNC(ROUND(MAX(0,($Y$1-IF(N(AD63)&gt;0,0,p_CorrFixa))/(H63*W63*$W$6)),9)/$W$5)*$W$5)))</f>
        <v/>
      </c>
      <c r="AG63" s="85" t="str">
        <f>IF(A63="","",IF(AND(N(AD63)=0,N(AF63)*(H63*W63*$W$6)+p_CorrFixa&lt;p_CompraMin),0,AF63))</f>
        <v/>
      </c>
      <c r="AH63" s="85" t="str">
        <f>IF(A63="","",IF(N(AG63)&gt;0,AB63,0))</f>
        <v/>
      </c>
      <c r="AI63" s="85" t="str">
        <f>IF(A63="","",IF(AND(AH63&gt;0,AH63=$AH$6,COUNTIF($AH$9:AH63,AH63)=1),1,0))</f>
        <v/>
      </c>
    </row>
    <row r="64">
      <c r="A64" s="96" t="n"/>
      <c r="B64" s="96" t="n"/>
      <c r="C64" s="96" t="n"/>
      <c r="D64" s="97" t="n"/>
      <c r="E64" s="98" t="n"/>
      <c r="F64" s="99" t="n"/>
      <c r="G64" s="100" t="n"/>
      <c r="H64" s="104" t="str">
        <f>IF(A64="","",IF(AND(p_ModoCot="Automático",ISNUMBER(Z64)),Z64,IF(N(G64)&gt;0,G64,0)))</f>
        <v/>
      </c>
      <c r="I64" s="105" t="str">
        <f>IF(A64="","",IF(W64=0,"Sem câmbio",IF(AND(p_ModoCot="Automático",ISNUMBER(Z64)),"Auto",IF(N(G64)&gt;0,"Manual","Sem cotação"))))</f>
        <v/>
      </c>
      <c r="J64" s="106" t="str">
        <f>IF(A64="","",N(E64)*H64)</f>
        <v/>
      </c>
      <c r="K64" s="107" t="str">
        <f>IF(A64="","",J64*W64)</f>
        <v/>
      </c>
      <c r="L64" s="108" t="str">
        <f>IF(A64="","",IF($K$6&gt;0,K64/$K$6,0))</f>
        <v/>
      </c>
      <c r="M64" s="109" t="str">
        <f>IF(A64="","",N(F64)-L64)</f>
        <v/>
      </c>
      <c r="N64" s="108" t="str">
        <f>IF(A64="","",IF($AB$6&gt;0,AB64/$AB$6,0))</f>
        <v/>
      </c>
      <c r="O64" s="110" t="str">
        <f>IF(A64="","",IF(AB64&lt;=0,"",COUNTIF($AB$9:$AB$208,"&gt;"&amp;AB64)+COUNTIF($AB$9:AB64,AB64)))</f>
        <v/>
      </c>
      <c r="P64" s="105" t="str">
        <f>IF(A64="","",IF(Q64&gt;0,"BUY","HOLD"))</f>
        <v/>
      </c>
      <c r="Q64" s="107" t="str">
        <f>IF(A64="","",IF($W$7&lt;=0,0,IF($AC$6&gt;0,$W$7*AC64/$AC$6,IF($F$6&gt;0,$W$7*N(F64)/$F$6,0))))</f>
        <v/>
      </c>
      <c r="R64" s="111" t="str">
        <f>IF(A64="","",N(AD64)+IF(AI64=1,N(AG64),0))</f>
        <v/>
      </c>
      <c r="S64" s="111" t="str">
        <f>IF(A64="","",N(E64)+N(R64))</f>
        <v/>
      </c>
      <c r="T64" s="107" t="str">
        <f>IF(A64="","",IF(N(R64)&gt;0,R64*H64*W64*$W$6+p_CorrFixa,0))</f>
        <v/>
      </c>
      <c r="V64" s="85" t="str">
        <f>IF(A64="","",IF(D64="",$W$1,D64))</f>
        <v/>
      </c>
      <c r="W64" s="85" t="str">
        <f>IF(A64="","",IFERROR(INDEX(moeda_fx,MATCH(V64,moeda_cod,0)),0))</f>
        <v/>
      </c>
      <c r="X64" s="85" t="str">
        <f>IF(A64="","",IF($W$2="",UPPER(TRIM(A64)),IF(RIGHT(UPPER(TRIM(A64)),LEN($W$2))=$W$2,UPPER(TRIM(A64)),UPPER(TRIM(A64))&amp;$W$2)))</f>
        <v/>
      </c>
      <c r="Y64" s="85" t="str">
        <f>IF(OR(A64="",p_ModoCot&lt;&gt;"Automático"),"",IFERROR(_xlfn.WEBSERVICE("https://query1.finance.yahoo.com/v8/finance/chart/"&amp;X64&amp;"?range=1d&amp;interval=1d"),""))</f>
        <v/>
      </c>
      <c r="Z64" s="85" t="str">
        <f>IF(Y64="","",IFERROR(_xlfn.NUMBERVALUE(MID(Y64,SEARCH("""regularMarketPrice"":",Y64)+21,SEARCH(",",Y64&amp;",",SEARCH("""regularMarketPrice"":",Y64)+21)-SEARCH("""regularMarketPrice"":",Y64)-21),".",","),""))</f>
        <v/>
      </c>
      <c r="AA64" s="85" t="str">
        <f>IF(A64="","",ROUND(MAX(0,N(F64)*($K$6+$W$7)-K64),2))</f>
        <v/>
      </c>
      <c r="AB64" s="85" t="str">
        <f>IF(A64="","",IF(AND(M64&gt;0,M64&gt;=p_DifMin),AA64,0))</f>
        <v/>
      </c>
      <c r="AC64" s="85" t="str">
        <f>IF(A64="","",IF(AND(AB64&gt;0,N(O64)&lt;=p_MaxAtivos),AB64,0))</f>
        <v/>
      </c>
      <c r="AD64" s="85" t="str">
        <f>IF(A64="","",IF(OR(Q64&lt;=0,Q64&lt;p_CompraMin,N(H64)&lt;=0,N(W64)&lt;=0),0,IF($W$3="Sim",TRUNC(ROUND(MAX(0,(Q64-p_CorrFixa)/(H64*W64*$W$6)),9),$W$4),TRUNC(ROUND(MAX(0,(Q64-p_CorrFixa)/(H64*W64*$W$6)),9)/$W$5)*$W$5)))</f>
        <v/>
      </c>
      <c r="AE64" s="85" t="str">
        <f>IF(A64="","",IF(N(AD64)&gt;0,AD64*H64*W64*$W$6+p_CorrFixa,0))</f>
        <v/>
      </c>
      <c r="AF64" s="85" t="str">
        <f>IF(A64="","",IF(OR($Y$1&lt;=0,N(H64)&lt;=0,N(W64)&lt;=0,N(AB64)&lt;=0),0,IF($W$3="Sim",TRUNC(ROUND(MAX(0,($Y$1-IF(N(AD64)&gt;0,0,p_CorrFixa))/(H64*W64*$W$6)),9),$W$4),TRUNC(ROUND(MAX(0,($Y$1-IF(N(AD64)&gt;0,0,p_CorrFixa))/(H64*W64*$W$6)),9)/$W$5)*$W$5)))</f>
        <v/>
      </c>
      <c r="AG64" s="85" t="str">
        <f>IF(A64="","",IF(AND(N(AD64)=0,N(AF64)*(H64*W64*$W$6)+p_CorrFixa&lt;p_CompraMin),0,AF64))</f>
        <v/>
      </c>
      <c r="AH64" s="85" t="str">
        <f>IF(A64="","",IF(N(AG64)&gt;0,AB64,0))</f>
        <v/>
      </c>
      <c r="AI64" s="85" t="str">
        <f>IF(A64="","",IF(AND(AH64&gt;0,AH64=$AH$6,COUNTIF($AH$9:AH64,AH64)=1),1,0))</f>
        <v/>
      </c>
    </row>
    <row r="65">
      <c r="A65" s="96" t="n"/>
      <c r="B65" s="96" t="n"/>
      <c r="C65" s="96" t="n"/>
      <c r="D65" s="97" t="n"/>
      <c r="E65" s="98" t="n"/>
      <c r="F65" s="99" t="n"/>
      <c r="G65" s="100" t="n"/>
      <c r="H65" s="101" t="str">
        <f>IF(A65="","",IF(AND(p_ModoCot="Automático",ISNUMBER(Z65)),Z65,IF(N(G65)&gt;0,G65,0)))</f>
        <v/>
      </c>
      <c r="I65" s="73" t="str">
        <f>IF(A65="","",IF(W65=0,"Sem câmbio",IF(AND(p_ModoCot="Automático",ISNUMBER(Z65)),"Auto",IF(N(G65)&gt;0,"Manual","Sem cotação"))))</f>
        <v/>
      </c>
      <c r="J65" s="102" t="str">
        <f>IF(A65="","",N(E65)*H65)</f>
        <v/>
      </c>
      <c r="K65" s="70" t="str">
        <f>IF(A65="","",J65*W65)</f>
        <v/>
      </c>
      <c r="L65" s="30" t="str">
        <f>IF(A65="","",IF($K$6&gt;0,K65/$K$6,0))</f>
        <v/>
      </c>
      <c r="M65" s="72" t="str">
        <f>IF(A65="","",N(F65)-L65)</f>
        <v/>
      </c>
      <c r="N65" s="30" t="str">
        <f>IF(A65="","",IF($AB$6&gt;0,AB65/$AB$6,0))</f>
        <v/>
      </c>
      <c r="O65" s="74" t="str">
        <f>IF(A65="","",IF(AB65&lt;=0,"",COUNTIF($AB$9:$AB$208,"&gt;"&amp;AB65)+COUNTIF($AB$9:AB65,AB65)))</f>
        <v/>
      </c>
      <c r="P65" s="73" t="str">
        <f>IF(A65="","",IF(Q65&gt;0,"BUY","HOLD"))</f>
        <v/>
      </c>
      <c r="Q65" s="70" t="str">
        <f>IF(A65="","",IF($W$7&lt;=0,0,IF($AC$6&gt;0,$W$7*AC65/$AC$6,IF($F$6&gt;0,$W$7*N(F65)/$F$6,0))))</f>
        <v/>
      </c>
      <c r="R65" s="103" t="str">
        <f>IF(A65="","",N(AD65)+IF(AI65=1,N(AG65),0))</f>
        <v/>
      </c>
      <c r="S65" s="103" t="str">
        <f>IF(A65="","",N(E65)+N(R65))</f>
        <v/>
      </c>
      <c r="T65" s="70" t="str">
        <f>IF(A65="","",IF(N(R65)&gt;0,R65*H65*W65*$W$6+p_CorrFixa,0))</f>
        <v/>
      </c>
      <c r="V65" s="85" t="str">
        <f>IF(A65="","",IF(D65="",$W$1,D65))</f>
        <v/>
      </c>
      <c r="W65" s="85" t="str">
        <f>IF(A65="","",IFERROR(INDEX(moeda_fx,MATCH(V65,moeda_cod,0)),0))</f>
        <v/>
      </c>
      <c r="X65" s="85" t="str">
        <f>IF(A65="","",IF($W$2="",UPPER(TRIM(A65)),IF(RIGHT(UPPER(TRIM(A65)),LEN($W$2))=$W$2,UPPER(TRIM(A65)),UPPER(TRIM(A65))&amp;$W$2)))</f>
        <v/>
      </c>
      <c r="Y65" s="85" t="str">
        <f>IF(OR(A65="",p_ModoCot&lt;&gt;"Automático"),"",IFERROR(_xlfn.WEBSERVICE("https://query1.finance.yahoo.com/v8/finance/chart/"&amp;X65&amp;"?range=1d&amp;interval=1d"),""))</f>
        <v/>
      </c>
      <c r="Z65" s="85" t="str">
        <f>IF(Y65="","",IFERROR(_xlfn.NUMBERVALUE(MID(Y65,SEARCH("""regularMarketPrice"":",Y65)+21,SEARCH(",",Y65&amp;",",SEARCH("""regularMarketPrice"":",Y65)+21)-SEARCH("""regularMarketPrice"":",Y65)-21),".",","),""))</f>
        <v/>
      </c>
      <c r="AA65" s="85" t="str">
        <f>IF(A65="","",ROUND(MAX(0,N(F65)*($K$6+$W$7)-K65),2))</f>
        <v/>
      </c>
      <c r="AB65" s="85" t="str">
        <f>IF(A65="","",IF(AND(M65&gt;0,M65&gt;=p_DifMin),AA65,0))</f>
        <v/>
      </c>
      <c r="AC65" s="85" t="str">
        <f>IF(A65="","",IF(AND(AB65&gt;0,N(O65)&lt;=p_MaxAtivos),AB65,0))</f>
        <v/>
      </c>
      <c r="AD65" s="85" t="str">
        <f>IF(A65="","",IF(OR(Q65&lt;=0,Q65&lt;p_CompraMin,N(H65)&lt;=0,N(W65)&lt;=0),0,IF($W$3="Sim",TRUNC(ROUND(MAX(0,(Q65-p_CorrFixa)/(H65*W65*$W$6)),9),$W$4),TRUNC(ROUND(MAX(0,(Q65-p_CorrFixa)/(H65*W65*$W$6)),9)/$W$5)*$W$5)))</f>
        <v/>
      </c>
      <c r="AE65" s="85" t="str">
        <f>IF(A65="","",IF(N(AD65)&gt;0,AD65*H65*W65*$W$6+p_CorrFixa,0))</f>
        <v/>
      </c>
      <c r="AF65" s="85" t="str">
        <f>IF(A65="","",IF(OR($Y$1&lt;=0,N(H65)&lt;=0,N(W65)&lt;=0,N(AB65)&lt;=0),0,IF($W$3="Sim",TRUNC(ROUND(MAX(0,($Y$1-IF(N(AD65)&gt;0,0,p_CorrFixa))/(H65*W65*$W$6)),9),$W$4),TRUNC(ROUND(MAX(0,($Y$1-IF(N(AD65)&gt;0,0,p_CorrFixa))/(H65*W65*$W$6)),9)/$W$5)*$W$5)))</f>
        <v/>
      </c>
      <c r="AG65" s="85" t="str">
        <f>IF(A65="","",IF(AND(N(AD65)=0,N(AF65)*(H65*W65*$W$6)+p_CorrFixa&lt;p_CompraMin),0,AF65))</f>
        <v/>
      </c>
      <c r="AH65" s="85" t="str">
        <f>IF(A65="","",IF(N(AG65)&gt;0,AB65,0))</f>
        <v/>
      </c>
      <c r="AI65" s="85" t="str">
        <f>IF(A65="","",IF(AND(AH65&gt;0,AH65=$AH$6,COUNTIF($AH$9:AH65,AH65)=1),1,0))</f>
        <v/>
      </c>
    </row>
    <row r="66">
      <c r="A66" s="96" t="n"/>
      <c r="B66" s="96" t="n"/>
      <c r="C66" s="96" t="n"/>
      <c r="D66" s="97" t="n"/>
      <c r="E66" s="98" t="n"/>
      <c r="F66" s="99" t="n"/>
      <c r="G66" s="100" t="n"/>
      <c r="H66" s="104" t="str">
        <f>IF(A66="","",IF(AND(p_ModoCot="Automático",ISNUMBER(Z66)),Z66,IF(N(G66)&gt;0,G66,0)))</f>
        <v/>
      </c>
      <c r="I66" s="105" t="str">
        <f>IF(A66="","",IF(W66=0,"Sem câmbio",IF(AND(p_ModoCot="Automático",ISNUMBER(Z66)),"Auto",IF(N(G66)&gt;0,"Manual","Sem cotação"))))</f>
        <v/>
      </c>
      <c r="J66" s="106" t="str">
        <f>IF(A66="","",N(E66)*H66)</f>
        <v/>
      </c>
      <c r="K66" s="107" t="str">
        <f>IF(A66="","",J66*W66)</f>
        <v/>
      </c>
      <c r="L66" s="108" t="str">
        <f>IF(A66="","",IF($K$6&gt;0,K66/$K$6,0))</f>
        <v/>
      </c>
      <c r="M66" s="109" t="str">
        <f>IF(A66="","",N(F66)-L66)</f>
        <v/>
      </c>
      <c r="N66" s="108" t="str">
        <f>IF(A66="","",IF($AB$6&gt;0,AB66/$AB$6,0))</f>
        <v/>
      </c>
      <c r="O66" s="110" t="str">
        <f>IF(A66="","",IF(AB66&lt;=0,"",COUNTIF($AB$9:$AB$208,"&gt;"&amp;AB66)+COUNTIF($AB$9:AB66,AB66)))</f>
        <v/>
      </c>
      <c r="P66" s="105" t="str">
        <f>IF(A66="","",IF(Q66&gt;0,"BUY","HOLD"))</f>
        <v/>
      </c>
      <c r="Q66" s="107" t="str">
        <f>IF(A66="","",IF($W$7&lt;=0,0,IF($AC$6&gt;0,$W$7*AC66/$AC$6,IF($F$6&gt;0,$W$7*N(F66)/$F$6,0))))</f>
        <v/>
      </c>
      <c r="R66" s="111" t="str">
        <f>IF(A66="","",N(AD66)+IF(AI66=1,N(AG66),0))</f>
        <v/>
      </c>
      <c r="S66" s="111" t="str">
        <f>IF(A66="","",N(E66)+N(R66))</f>
        <v/>
      </c>
      <c r="T66" s="107" t="str">
        <f>IF(A66="","",IF(N(R66)&gt;0,R66*H66*W66*$W$6+p_CorrFixa,0))</f>
        <v/>
      </c>
      <c r="V66" s="85" t="str">
        <f>IF(A66="","",IF(D66="",$W$1,D66))</f>
        <v/>
      </c>
      <c r="W66" s="85" t="str">
        <f>IF(A66="","",IFERROR(INDEX(moeda_fx,MATCH(V66,moeda_cod,0)),0))</f>
        <v/>
      </c>
      <c r="X66" s="85" t="str">
        <f>IF(A66="","",IF($W$2="",UPPER(TRIM(A66)),IF(RIGHT(UPPER(TRIM(A66)),LEN($W$2))=$W$2,UPPER(TRIM(A66)),UPPER(TRIM(A66))&amp;$W$2)))</f>
        <v/>
      </c>
      <c r="Y66" s="85" t="str">
        <f>IF(OR(A66="",p_ModoCot&lt;&gt;"Automático"),"",IFERROR(_xlfn.WEBSERVICE("https://query1.finance.yahoo.com/v8/finance/chart/"&amp;X66&amp;"?range=1d&amp;interval=1d"),""))</f>
        <v/>
      </c>
      <c r="Z66" s="85" t="str">
        <f>IF(Y66="","",IFERROR(_xlfn.NUMBERVALUE(MID(Y66,SEARCH("""regularMarketPrice"":",Y66)+21,SEARCH(",",Y66&amp;",",SEARCH("""regularMarketPrice"":",Y66)+21)-SEARCH("""regularMarketPrice"":",Y66)-21),".",","),""))</f>
        <v/>
      </c>
      <c r="AA66" s="85" t="str">
        <f>IF(A66="","",ROUND(MAX(0,N(F66)*($K$6+$W$7)-K66),2))</f>
        <v/>
      </c>
      <c r="AB66" s="85" t="str">
        <f>IF(A66="","",IF(AND(M66&gt;0,M66&gt;=p_DifMin),AA66,0))</f>
        <v/>
      </c>
      <c r="AC66" s="85" t="str">
        <f>IF(A66="","",IF(AND(AB66&gt;0,N(O66)&lt;=p_MaxAtivos),AB66,0))</f>
        <v/>
      </c>
      <c r="AD66" s="85" t="str">
        <f>IF(A66="","",IF(OR(Q66&lt;=0,Q66&lt;p_CompraMin,N(H66)&lt;=0,N(W66)&lt;=0),0,IF($W$3="Sim",TRUNC(ROUND(MAX(0,(Q66-p_CorrFixa)/(H66*W66*$W$6)),9),$W$4),TRUNC(ROUND(MAX(0,(Q66-p_CorrFixa)/(H66*W66*$W$6)),9)/$W$5)*$W$5)))</f>
        <v/>
      </c>
      <c r="AE66" s="85" t="str">
        <f>IF(A66="","",IF(N(AD66)&gt;0,AD66*H66*W66*$W$6+p_CorrFixa,0))</f>
        <v/>
      </c>
      <c r="AF66" s="85" t="str">
        <f>IF(A66="","",IF(OR($Y$1&lt;=0,N(H66)&lt;=0,N(W66)&lt;=0,N(AB66)&lt;=0),0,IF($W$3="Sim",TRUNC(ROUND(MAX(0,($Y$1-IF(N(AD66)&gt;0,0,p_CorrFixa))/(H66*W66*$W$6)),9),$W$4),TRUNC(ROUND(MAX(0,($Y$1-IF(N(AD66)&gt;0,0,p_CorrFixa))/(H66*W66*$W$6)),9)/$W$5)*$W$5)))</f>
        <v/>
      </c>
      <c r="AG66" s="85" t="str">
        <f>IF(A66="","",IF(AND(N(AD66)=0,N(AF66)*(H66*W66*$W$6)+p_CorrFixa&lt;p_CompraMin),0,AF66))</f>
        <v/>
      </c>
      <c r="AH66" s="85" t="str">
        <f>IF(A66="","",IF(N(AG66)&gt;0,AB66,0))</f>
        <v/>
      </c>
      <c r="AI66" s="85" t="str">
        <f>IF(A66="","",IF(AND(AH66&gt;0,AH66=$AH$6,COUNTIF($AH$9:AH66,AH66)=1),1,0))</f>
        <v/>
      </c>
    </row>
    <row r="67">
      <c r="A67" s="96" t="n"/>
      <c r="B67" s="96" t="n"/>
      <c r="C67" s="96" t="n"/>
      <c r="D67" s="97" t="n"/>
      <c r="E67" s="98" t="n"/>
      <c r="F67" s="99" t="n"/>
      <c r="G67" s="100" t="n"/>
      <c r="H67" s="101" t="str">
        <f>IF(A67="","",IF(AND(p_ModoCot="Automático",ISNUMBER(Z67)),Z67,IF(N(G67)&gt;0,G67,0)))</f>
        <v/>
      </c>
      <c r="I67" s="73" t="str">
        <f>IF(A67="","",IF(W67=0,"Sem câmbio",IF(AND(p_ModoCot="Automático",ISNUMBER(Z67)),"Auto",IF(N(G67)&gt;0,"Manual","Sem cotação"))))</f>
        <v/>
      </c>
      <c r="J67" s="102" t="str">
        <f>IF(A67="","",N(E67)*H67)</f>
        <v/>
      </c>
      <c r="K67" s="70" t="str">
        <f>IF(A67="","",J67*W67)</f>
        <v/>
      </c>
      <c r="L67" s="30" t="str">
        <f>IF(A67="","",IF($K$6&gt;0,K67/$K$6,0))</f>
        <v/>
      </c>
      <c r="M67" s="72" t="str">
        <f>IF(A67="","",N(F67)-L67)</f>
        <v/>
      </c>
      <c r="N67" s="30" t="str">
        <f>IF(A67="","",IF($AB$6&gt;0,AB67/$AB$6,0))</f>
        <v/>
      </c>
      <c r="O67" s="74" t="str">
        <f>IF(A67="","",IF(AB67&lt;=0,"",COUNTIF($AB$9:$AB$208,"&gt;"&amp;AB67)+COUNTIF($AB$9:AB67,AB67)))</f>
        <v/>
      </c>
      <c r="P67" s="73" t="str">
        <f>IF(A67="","",IF(Q67&gt;0,"BUY","HOLD"))</f>
        <v/>
      </c>
      <c r="Q67" s="70" t="str">
        <f>IF(A67="","",IF($W$7&lt;=0,0,IF($AC$6&gt;0,$W$7*AC67/$AC$6,IF($F$6&gt;0,$W$7*N(F67)/$F$6,0))))</f>
        <v/>
      </c>
      <c r="R67" s="103" t="str">
        <f>IF(A67="","",N(AD67)+IF(AI67=1,N(AG67),0))</f>
        <v/>
      </c>
      <c r="S67" s="103" t="str">
        <f>IF(A67="","",N(E67)+N(R67))</f>
        <v/>
      </c>
      <c r="T67" s="70" t="str">
        <f>IF(A67="","",IF(N(R67)&gt;0,R67*H67*W67*$W$6+p_CorrFixa,0))</f>
        <v/>
      </c>
      <c r="V67" s="85" t="str">
        <f>IF(A67="","",IF(D67="",$W$1,D67))</f>
        <v/>
      </c>
      <c r="W67" s="85" t="str">
        <f>IF(A67="","",IFERROR(INDEX(moeda_fx,MATCH(V67,moeda_cod,0)),0))</f>
        <v/>
      </c>
      <c r="X67" s="85" t="str">
        <f>IF(A67="","",IF($W$2="",UPPER(TRIM(A67)),IF(RIGHT(UPPER(TRIM(A67)),LEN($W$2))=$W$2,UPPER(TRIM(A67)),UPPER(TRIM(A67))&amp;$W$2)))</f>
        <v/>
      </c>
      <c r="Y67" s="85" t="str">
        <f>IF(OR(A67="",p_ModoCot&lt;&gt;"Automático"),"",IFERROR(_xlfn.WEBSERVICE("https://query1.finance.yahoo.com/v8/finance/chart/"&amp;X67&amp;"?range=1d&amp;interval=1d"),""))</f>
        <v/>
      </c>
      <c r="Z67" s="85" t="str">
        <f>IF(Y67="","",IFERROR(_xlfn.NUMBERVALUE(MID(Y67,SEARCH("""regularMarketPrice"":",Y67)+21,SEARCH(",",Y67&amp;",",SEARCH("""regularMarketPrice"":",Y67)+21)-SEARCH("""regularMarketPrice"":",Y67)-21),".",","),""))</f>
        <v/>
      </c>
      <c r="AA67" s="85" t="str">
        <f>IF(A67="","",ROUND(MAX(0,N(F67)*($K$6+$W$7)-K67),2))</f>
        <v/>
      </c>
      <c r="AB67" s="85" t="str">
        <f>IF(A67="","",IF(AND(M67&gt;0,M67&gt;=p_DifMin),AA67,0))</f>
        <v/>
      </c>
      <c r="AC67" s="85" t="str">
        <f>IF(A67="","",IF(AND(AB67&gt;0,N(O67)&lt;=p_MaxAtivos),AB67,0))</f>
        <v/>
      </c>
      <c r="AD67" s="85" t="str">
        <f>IF(A67="","",IF(OR(Q67&lt;=0,Q67&lt;p_CompraMin,N(H67)&lt;=0,N(W67)&lt;=0),0,IF($W$3="Sim",TRUNC(ROUND(MAX(0,(Q67-p_CorrFixa)/(H67*W67*$W$6)),9),$W$4),TRUNC(ROUND(MAX(0,(Q67-p_CorrFixa)/(H67*W67*$W$6)),9)/$W$5)*$W$5)))</f>
        <v/>
      </c>
      <c r="AE67" s="85" t="str">
        <f>IF(A67="","",IF(N(AD67)&gt;0,AD67*H67*W67*$W$6+p_CorrFixa,0))</f>
        <v/>
      </c>
      <c r="AF67" s="85" t="str">
        <f>IF(A67="","",IF(OR($Y$1&lt;=0,N(H67)&lt;=0,N(W67)&lt;=0,N(AB67)&lt;=0),0,IF($W$3="Sim",TRUNC(ROUND(MAX(0,($Y$1-IF(N(AD67)&gt;0,0,p_CorrFixa))/(H67*W67*$W$6)),9),$W$4),TRUNC(ROUND(MAX(0,($Y$1-IF(N(AD67)&gt;0,0,p_CorrFixa))/(H67*W67*$W$6)),9)/$W$5)*$W$5)))</f>
        <v/>
      </c>
      <c r="AG67" s="85" t="str">
        <f>IF(A67="","",IF(AND(N(AD67)=0,N(AF67)*(H67*W67*$W$6)+p_CorrFixa&lt;p_CompraMin),0,AF67))</f>
        <v/>
      </c>
      <c r="AH67" s="85" t="str">
        <f>IF(A67="","",IF(N(AG67)&gt;0,AB67,0))</f>
        <v/>
      </c>
      <c r="AI67" s="85" t="str">
        <f>IF(A67="","",IF(AND(AH67&gt;0,AH67=$AH$6,COUNTIF($AH$9:AH67,AH67)=1),1,0))</f>
        <v/>
      </c>
    </row>
    <row r="68">
      <c r="A68" s="96" t="n"/>
      <c r="B68" s="96" t="n"/>
      <c r="C68" s="96" t="n"/>
      <c r="D68" s="97" t="n"/>
      <c r="E68" s="98" t="n"/>
      <c r="F68" s="99" t="n"/>
      <c r="G68" s="100" t="n"/>
      <c r="H68" s="104" t="str">
        <f>IF(A68="","",IF(AND(p_ModoCot="Automático",ISNUMBER(Z68)),Z68,IF(N(G68)&gt;0,G68,0)))</f>
        <v/>
      </c>
      <c r="I68" s="105" t="str">
        <f>IF(A68="","",IF(W68=0,"Sem câmbio",IF(AND(p_ModoCot="Automático",ISNUMBER(Z68)),"Auto",IF(N(G68)&gt;0,"Manual","Sem cotação"))))</f>
        <v/>
      </c>
      <c r="J68" s="106" t="str">
        <f>IF(A68="","",N(E68)*H68)</f>
        <v/>
      </c>
      <c r="K68" s="107" t="str">
        <f>IF(A68="","",J68*W68)</f>
        <v/>
      </c>
      <c r="L68" s="108" t="str">
        <f>IF(A68="","",IF($K$6&gt;0,K68/$K$6,0))</f>
        <v/>
      </c>
      <c r="M68" s="109" t="str">
        <f>IF(A68="","",N(F68)-L68)</f>
        <v/>
      </c>
      <c r="N68" s="108" t="str">
        <f>IF(A68="","",IF($AB$6&gt;0,AB68/$AB$6,0))</f>
        <v/>
      </c>
      <c r="O68" s="110" t="str">
        <f>IF(A68="","",IF(AB68&lt;=0,"",COUNTIF($AB$9:$AB$208,"&gt;"&amp;AB68)+COUNTIF($AB$9:AB68,AB68)))</f>
        <v/>
      </c>
      <c r="P68" s="105" t="str">
        <f>IF(A68="","",IF(Q68&gt;0,"BUY","HOLD"))</f>
        <v/>
      </c>
      <c r="Q68" s="107" t="str">
        <f>IF(A68="","",IF($W$7&lt;=0,0,IF($AC$6&gt;0,$W$7*AC68/$AC$6,IF($F$6&gt;0,$W$7*N(F68)/$F$6,0))))</f>
        <v/>
      </c>
      <c r="R68" s="111" t="str">
        <f>IF(A68="","",N(AD68)+IF(AI68=1,N(AG68),0))</f>
        <v/>
      </c>
      <c r="S68" s="111" t="str">
        <f>IF(A68="","",N(E68)+N(R68))</f>
        <v/>
      </c>
      <c r="T68" s="107" t="str">
        <f>IF(A68="","",IF(N(R68)&gt;0,R68*H68*W68*$W$6+p_CorrFixa,0))</f>
        <v/>
      </c>
      <c r="V68" s="85" t="str">
        <f>IF(A68="","",IF(D68="",$W$1,D68))</f>
        <v/>
      </c>
      <c r="W68" s="85" t="str">
        <f>IF(A68="","",IFERROR(INDEX(moeda_fx,MATCH(V68,moeda_cod,0)),0))</f>
        <v/>
      </c>
      <c r="X68" s="85" t="str">
        <f>IF(A68="","",IF($W$2="",UPPER(TRIM(A68)),IF(RIGHT(UPPER(TRIM(A68)),LEN($W$2))=$W$2,UPPER(TRIM(A68)),UPPER(TRIM(A68))&amp;$W$2)))</f>
        <v/>
      </c>
      <c r="Y68" s="85" t="str">
        <f>IF(OR(A68="",p_ModoCot&lt;&gt;"Automático"),"",IFERROR(_xlfn.WEBSERVICE("https://query1.finance.yahoo.com/v8/finance/chart/"&amp;X68&amp;"?range=1d&amp;interval=1d"),""))</f>
        <v/>
      </c>
      <c r="Z68" s="85" t="str">
        <f>IF(Y68="","",IFERROR(_xlfn.NUMBERVALUE(MID(Y68,SEARCH("""regularMarketPrice"":",Y68)+21,SEARCH(",",Y68&amp;",",SEARCH("""regularMarketPrice"":",Y68)+21)-SEARCH("""regularMarketPrice"":",Y68)-21),".",","),""))</f>
        <v/>
      </c>
      <c r="AA68" s="85" t="str">
        <f>IF(A68="","",ROUND(MAX(0,N(F68)*($K$6+$W$7)-K68),2))</f>
        <v/>
      </c>
      <c r="AB68" s="85" t="str">
        <f>IF(A68="","",IF(AND(M68&gt;0,M68&gt;=p_DifMin),AA68,0))</f>
        <v/>
      </c>
      <c r="AC68" s="85" t="str">
        <f>IF(A68="","",IF(AND(AB68&gt;0,N(O68)&lt;=p_MaxAtivos),AB68,0))</f>
        <v/>
      </c>
      <c r="AD68" s="85" t="str">
        <f>IF(A68="","",IF(OR(Q68&lt;=0,Q68&lt;p_CompraMin,N(H68)&lt;=0,N(W68)&lt;=0),0,IF($W$3="Sim",TRUNC(ROUND(MAX(0,(Q68-p_CorrFixa)/(H68*W68*$W$6)),9),$W$4),TRUNC(ROUND(MAX(0,(Q68-p_CorrFixa)/(H68*W68*$W$6)),9)/$W$5)*$W$5)))</f>
        <v/>
      </c>
      <c r="AE68" s="85" t="str">
        <f>IF(A68="","",IF(N(AD68)&gt;0,AD68*H68*W68*$W$6+p_CorrFixa,0))</f>
        <v/>
      </c>
      <c r="AF68" s="85" t="str">
        <f>IF(A68="","",IF(OR($Y$1&lt;=0,N(H68)&lt;=0,N(W68)&lt;=0,N(AB68)&lt;=0),0,IF($W$3="Sim",TRUNC(ROUND(MAX(0,($Y$1-IF(N(AD68)&gt;0,0,p_CorrFixa))/(H68*W68*$W$6)),9),$W$4),TRUNC(ROUND(MAX(0,($Y$1-IF(N(AD68)&gt;0,0,p_CorrFixa))/(H68*W68*$W$6)),9)/$W$5)*$W$5)))</f>
        <v/>
      </c>
      <c r="AG68" s="85" t="str">
        <f>IF(A68="","",IF(AND(N(AD68)=0,N(AF68)*(H68*W68*$W$6)+p_CorrFixa&lt;p_CompraMin),0,AF68))</f>
        <v/>
      </c>
      <c r="AH68" s="85" t="str">
        <f>IF(A68="","",IF(N(AG68)&gt;0,AB68,0))</f>
        <v/>
      </c>
      <c r="AI68" s="85" t="str">
        <f>IF(A68="","",IF(AND(AH68&gt;0,AH68=$AH$6,COUNTIF($AH$9:AH68,AH68)=1),1,0))</f>
        <v/>
      </c>
    </row>
    <row r="69">
      <c r="A69" s="96" t="n"/>
      <c r="B69" s="96" t="n"/>
      <c r="C69" s="96" t="n"/>
      <c r="D69" s="97" t="n"/>
      <c r="E69" s="98" t="n"/>
      <c r="F69" s="99" t="n"/>
      <c r="G69" s="100" t="n"/>
      <c r="H69" s="101" t="str">
        <f>IF(A69="","",IF(AND(p_ModoCot="Automático",ISNUMBER(Z69)),Z69,IF(N(G69)&gt;0,G69,0)))</f>
        <v/>
      </c>
      <c r="I69" s="73" t="str">
        <f>IF(A69="","",IF(W69=0,"Sem câmbio",IF(AND(p_ModoCot="Automático",ISNUMBER(Z69)),"Auto",IF(N(G69)&gt;0,"Manual","Sem cotação"))))</f>
        <v/>
      </c>
      <c r="J69" s="102" t="str">
        <f>IF(A69="","",N(E69)*H69)</f>
        <v/>
      </c>
      <c r="K69" s="70" t="str">
        <f>IF(A69="","",J69*W69)</f>
        <v/>
      </c>
      <c r="L69" s="30" t="str">
        <f>IF(A69="","",IF($K$6&gt;0,K69/$K$6,0))</f>
        <v/>
      </c>
      <c r="M69" s="72" t="str">
        <f>IF(A69="","",N(F69)-L69)</f>
        <v/>
      </c>
      <c r="N69" s="30" t="str">
        <f>IF(A69="","",IF($AB$6&gt;0,AB69/$AB$6,0))</f>
        <v/>
      </c>
      <c r="O69" s="74" t="str">
        <f>IF(A69="","",IF(AB69&lt;=0,"",COUNTIF($AB$9:$AB$208,"&gt;"&amp;AB69)+COUNTIF($AB$9:AB69,AB69)))</f>
        <v/>
      </c>
      <c r="P69" s="73" t="str">
        <f>IF(A69="","",IF(Q69&gt;0,"BUY","HOLD"))</f>
        <v/>
      </c>
      <c r="Q69" s="70" t="str">
        <f>IF(A69="","",IF($W$7&lt;=0,0,IF($AC$6&gt;0,$W$7*AC69/$AC$6,IF($F$6&gt;0,$W$7*N(F69)/$F$6,0))))</f>
        <v/>
      </c>
      <c r="R69" s="103" t="str">
        <f>IF(A69="","",N(AD69)+IF(AI69=1,N(AG69),0))</f>
        <v/>
      </c>
      <c r="S69" s="103" t="str">
        <f>IF(A69="","",N(E69)+N(R69))</f>
        <v/>
      </c>
      <c r="T69" s="70" t="str">
        <f>IF(A69="","",IF(N(R69)&gt;0,R69*H69*W69*$W$6+p_CorrFixa,0))</f>
        <v/>
      </c>
      <c r="V69" s="85" t="str">
        <f>IF(A69="","",IF(D69="",$W$1,D69))</f>
        <v/>
      </c>
      <c r="W69" s="85" t="str">
        <f>IF(A69="","",IFERROR(INDEX(moeda_fx,MATCH(V69,moeda_cod,0)),0))</f>
        <v/>
      </c>
      <c r="X69" s="85" t="str">
        <f>IF(A69="","",IF($W$2="",UPPER(TRIM(A69)),IF(RIGHT(UPPER(TRIM(A69)),LEN($W$2))=$W$2,UPPER(TRIM(A69)),UPPER(TRIM(A69))&amp;$W$2)))</f>
        <v/>
      </c>
      <c r="Y69" s="85" t="str">
        <f>IF(OR(A69="",p_ModoCot&lt;&gt;"Automático"),"",IFERROR(_xlfn.WEBSERVICE("https://query1.finance.yahoo.com/v8/finance/chart/"&amp;X69&amp;"?range=1d&amp;interval=1d"),""))</f>
        <v/>
      </c>
      <c r="Z69" s="85" t="str">
        <f>IF(Y69="","",IFERROR(_xlfn.NUMBERVALUE(MID(Y69,SEARCH("""regularMarketPrice"":",Y69)+21,SEARCH(",",Y69&amp;",",SEARCH("""regularMarketPrice"":",Y69)+21)-SEARCH("""regularMarketPrice"":",Y69)-21),".",","),""))</f>
        <v/>
      </c>
      <c r="AA69" s="85" t="str">
        <f>IF(A69="","",ROUND(MAX(0,N(F69)*($K$6+$W$7)-K69),2))</f>
        <v/>
      </c>
      <c r="AB69" s="85" t="str">
        <f>IF(A69="","",IF(AND(M69&gt;0,M69&gt;=p_DifMin),AA69,0))</f>
        <v/>
      </c>
      <c r="AC69" s="85" t="str">
        <f>IF(A69="","",IF(AND(AB69&gt;0,N(O69)&lt;=p_MaxAtivos),AB69,0))</f>
        <v/>
      </c>
      <c r="AD69" s="85" t="str">
        <f>IF(A69="","",IF(OR(Q69&lt;=0,Q69&lt;p_CompraMin,N(H69)&lt;=0,N(W69)&lt;=0),0,IF($W$3="Sim",TRUNC(ROUND(MAX(0,(Q69-p_CorrFixa)/(H69*W69*$W$6)),9),$W$4),TRUNC(ROUND(MAX(0,(Q69-p_CorrFixa)/(H69*W69*$W$6)),9)/$W$5)*$W$5)))</f>
        <v/>
      </c>
      <c r="AE69" s="85" t="str">
        <f>IF(A69="","",IF(N(AD69)&gt;0,AD69*H69*W69*$W$6+p_CorrFixa,0))</f>
        <v/>
      </c>
      <c r="AF69" s="85" t="str">
        <f>IF(A69="","",IF(OR($Y$1&lt;=0,N(H69)&lt;=0,N(W69)&lt;=0,N(AB69)&lt;=0),0,IF($W$3="Sim",TRUNC(ROUND(MAX(0,($Y$1-IF(N(AD69)&gt;0,0,p_CorrFixa))/(H69*W69*$W$6)),9),$W$4),TRUNC(ROUND(MAX(0,($Y$1-IF(N(AD69)&gt;0,0,p_CorrFixa))/(H69*W69*$W$6)),9)/$W$5)*$W$5)))</f>
        <v/>
      </c>
      <c r="AG69" s="85" t="str">
        <f>IF(A69="","",IF(AND(N(AD69)=0,N(AF69)*(H69*W69*$W$6)+p_CorrFixa&lt;p_CompraMin),0,AF69))</f>
        <v/>
      </c>
      <c r="AH69" s="85" t="str">
        <f>IF(A69="","",IF(N(AG69)&gt;0,AB69,0))</f>
        <v/>
      </c>
      <c r="AI69" s="85" t="str">
        <f>IF(A69="","",IF(AND(AH69&gt;0,AH69=$AH$6,COUNTIF($AH$9:AH69,AH69)=1),1,0))</f>
        <v/>
      </c>
    </row>
    <row r="70">
      <c r="A70" s="96" t="n"/>
      <c r="B70" s="96" t="n"/>
      <c r="C70" s="96" t="n"/>
      <c r="D70" s="97" t="n"/>
      <c r="E70" s="98" t="n"/>
      <c r="F70" s="99" t="n"/>
      <c r="G70" s="100" t="n"/>
      <c r="H70" s="104" t="str">
        <f>IF(A70="","",IF(AND(p_ModoCot="Automático",ISNUMBER(Z70)),Z70,IF(N(G70)&gt;0,G70,0)))</f>
        <v/>
      </c>
      <c r="I70" s="105" t="str">
        <f>IF(A70="","",IF(W70=0,"Sem câmbio",IF(AND(p_ModoCot="Automático",ISNUMBER(Z70)),"Auto",IF(N(G70)&gt;0,"Manual","Sem cotação"))))</f>
        <v/>
      </c>
      <c r="J70" s="106" t="str">
        <f>IF(A70="","",N(E70)*H70)</f>
        <v/>
      </c>
      <c r="K70" s="107" t="str">
        <f>IF(A70="","",J70*W70)</f>
        <v/>
      </c>
      <c r="L70" s="108" t="str">
        <f>IF(A70="","",IF($K$6&gt;0,K70/$K$6,0))</f>
        <v/>
      </c>
      <c r="M70" s="109" t="str">
        <f>IF(A70="","",N(F70)-L70)</f>
        <v/>
      </c>
      <c r="N70" s="108" t="str">
        <f>IF(A70="","",IF($AB$6&gt;0,AB70/$AB$6,0))</f>
        <v/>
      </c>
      <c r="O70" s="110" t="str">
        <f>IF(A70="","",IF(AB70&lt;=0,"",COUNTIF($AB$9:$AB$208,"&gt;"&amp;AB70)+COUNTIF($AB$9:AB70,AB70)))</f>
        <v/>
      </c>
      <c r="P70" s="105" t="str">
        <f>IF(A70="","",IF(Q70&gt;0,"BUY","HOLD"))</f>
        <v/>
      </c>
      <c r="Q70" s="107" t="str">
        <f>IF(A70="","",IF($W$7&lt;=0,0,IF($AC$6&gt;0,$W$7*AC70/$AC$6,IF($F$6&gt;0,$W$7*N(F70)/$F$6,0))))</f>
        <v/>
      </c>
      <c r="R70" s="111" t="str">
        <f>IF(A70="","",N(AD70)+IF(AI70=1,N(AG70),0))</f>
        <v/>
      </c>
      <c r="S70" s="111" t="str">
        <f>IF(A70="","",N(E70)+N(R70))</f>
        <v/>
      </c>
      <c r="T70" s="107" t="str">
        <f>IF(A70="","",IF(N(R70)&gt;0,R70*H70*W70*$W$6+p_CorrFixa,0))</f>
        <v/>
      </c>
      <c r="V70" s="85" t="str">
        <f>IF(A70="","",IF(D70="",$W$1,D70))</f>
        <v/>
      </c>
      <c r="W70" s="85" t="str">
        <f>IF(A70="","",IFERROR(INDEX(moeda_fx,MATCH(V70,moeda_cod,0)),0))</f>
        <v/>
      </c>
      <c r="X70" s="85" t="str">
        <f>IF(A70="","",IF($W$2="",UPPER(TRIM(A70)),IF(RIGHT(UPPER(TRIM(A70)),LEN($W$2))=$W$2,UPPER(TRIM(A70)),UPPER(TRIM(A70))&amp;$W$2)))</f>
        <v/>
      </c>
      <c r="Y70" s="85" t="str">
        <f>IF(OR(A70="",p_ModoCot&lt;&gt;"Automático"),"",IFERROR(_xlfn.WEBSERVICE("https://query1.finance.yahoo.com/v8/finance/chart/"&amp;X70&amp;"?range=1d&amp;interval=1d"),""))</f>
        <v/>
      </c>
      <c r="Z70" s="85" t="str">
        <f>IF(Y70="","",IFERROR(_xlfn.NUMBERVALUE(MID(Y70,SEARCH("""regularMarketPrice"":",Y70)+21,SEARCH(",",Y70&amp;",",SEARCH("""regularMarketPrice"":",Y70)+21)-SEARCH("""regularMarketPrice"":",Y70)-21),".",","),""))</f>
        <v/>
      </c>
      <c r="AA70" s="85" t="str">
        <f>IF(A70="","",ROUND(MAX(0,N(F70)*($K$6+$W$7)-K70),2))</f>
        <v/>
      </c>
      <c r="AB70" s="85" t="str">
        <f>IF(A70="","",IF(AND(M70&gt;0,M70&gt;=p_DifMin),AA70,0))</f>
        <v/>
      </c>
      <c r="AC70" s="85" t="str">
        <f>IF(A70="","",IF(AND(AB70&gt;0,N(O70)&lt;=p_MaxAtivos),AB70,0))</f>
        <v/>
      </c>
      <c r="AD70" s="85" t="str">
        <f>IF(A70="","",IF(OR(Q70&lt;=0,Q70&lt;p_CompraMin,N(H70)&lt;=0,N(W70)&lt;=0),0,IF($W$3="Sim",TRUNC(ROUND(MAX(0,(Q70-p_CorrFixa)/(H70*W70*$W$6)),9),$W$4),TRUNC(ROUND(MAX(0,(Q70-p_CorrFixa)/(H70*W70*$W$6)),9)/$W$5)*$W$5)))</f>
        <v/>
      </c>
      <c r="AE70" s="85" t="str">
        <f>IF(A70="","",IF(N(AD70)&gt;0,AD70*H70*W70*$W$6+p_CorrFixa,0))</f>
        <v/>
      </c>
      <c r="AF70" s="85" t="str">
        <f>IF(A70="","",IF(OR($Y$1&lt;=0,N(H70)&lt;=0,N(W70)&lt;=0,N(AB70)&lt;=0),0,IF($W$3="Sim",TRUNC(ROUND(MAX(0,($Y$1-IF(N(AD70)&gt;0,0,p_CorrFixa))/(H70*W70*$W$6)),9),$W$4),TRUNC(ROUND(MAX(0,($Y$1-IF(N(AD70)&gt;0,0,p_CorrFixa))/(H70*W70*$W$6)),9)/$W$5)*$W$5)))</f>
        <v/>
      </c>
      <c r="AG70" s="85" t="str">
        <f>IF(A70="","",IF(AND(N(AD70)=0,N(AF70)*(H70*W70*$W$6)+p_CorrFixa&lt;p_CompraMin),0,AF70))</f>
        <v/>
      </c>
      <c r="AH70" s="85" t="str">
        <f>IF(A70="","",IF(N(AG70)&gt;0,AB70,0))</f>
        <v/>
      </c>
      <c r="AI70" s="85" t="str">
        <f>IF(A70="","",IF(AND(AH70&gt;0,AH70=$AH$6,COUNTIF($AH$9:AH70,AH70)=1),1,0))</f>
        <v/>
      </c>
    </row>
    <row r="71">
      <c r="A71" s="96" t="n"/>
      <c r="B71" s="96" t="n"/>
      <c r="C71" s="96" t="n"/>
      <c r="D71" s="97" t="n"/>
      <c r="E71" s="98" t="n"/>
      <c r="F71" s="99" t="n"/>
      <c r="G71" s="100" t="n"/>
      <c r="H71" s="101" t="str">
        <f>IF(A71="","",IF(AND(p_ModoCot="Automático",ISNUMBER(Z71)),Z71,IF(N(G71)&gt;0,G71,0)))</f>
        <v/>
      </c>
      <c r="I71" s="73" t="str">
        <f>IF(A71="","",IF(W71=0,"Sem câmbio",IF(AND(p_ModoCot="Automático",ISNUMBER(Z71)),"Auto",IF(N(G71)&gt;0,"Manual","Sem cotação"))))</f>
        <v/>
      </c>
      <c r="J71" s="102" t="str">
        <f>IF(A71="","",N(E71)*H71)</f>
        <v/>
      </c>
      <c r="K71" s="70" t="str">
        <f>IF(A71="","",J71*W71)</f>
        <v/>
      </c>
      <c r="L71" s="30" t="str">
        <f>IF(A71="","",IF($K$6&gt;0,K71/$K$6,0))</f>
        <v/>
      </c>
      <c r="M71" s="72" t="str">
        <f>IF(A71="","",N(F71)-L71)</f>
        <v/>
      </c>
      <c r="N71" s="30" t="str">
        <f>IF(A71="","",IF($AB$6&gt;0,AB71/$AB$6,0))</f>
        <v/>
      </c>
      <c r="O71" s="74" t="str">
        <f>IF(A71="","",IF(AB71&lt;=0,"",COUNTIF($AB$9:$AB$208,"&gt;"&amp;AB71)+COUNTIF($AB$9:AB71,AB71)))</f>
        <v/>
      </c>
      <c r="P71" s="73" t="str">
        <f>IF(A71="","",IF(Q71&gt;0,"BUY","HOLD"))</f>
        <v/>
      </c>
      <c r="Q71" s="70" t="str">
        <f>IF(A71="","",IF($W$7&lt;=0,0,IF($AC$6&gt;0,$W$7*AC71/$AC$6,IF($F$6&gt;0,$W$7*N(F71)/$F$6,0))))</f>
        <v/>
      </c>
      <c r="R71" s="103" t="str">
        <f>IF(A71="","",N(AD71)+IF(AI71=1,N(AG71),0))</f>
        <v/>
      </c>
      <c r="S71" s="103" t="str">
        <f>IF(A71="","",N(E71)+N(R71))</f>
        <v/>
      </c>
      <c r="T71" s="70" t="str">
        <f>IF(A71="","",IF(N(R71)&gt;0,R71*H71*W71*$W$6+p_CorrFixa,0))</f>
        <v/>
      </c>
      <c r="V71" s="85" t="str">
        <f>IF(A71="","",IF(D71="",$W$1,D71))</f>
        <v/>
      </c>
      <c r="W71" s="85" t="str">
        <f>IF(A71="","",IFERROR(INDEX(moeda_fx,MATCH(V71,moeda_cod,0)),0))</f>
        <v/>
      </c>
      <c r="X71" s="85" t="str">
        <f>IF(A71="","",IF($W$2="",UPPER(TRIM(A71)),IF(RIGHT(UPPER(TRIM(A71)),LEN($W$2))=$W$2,UPPER(TRIM(A71)),UPPER(TRIM(A71))&amp;$W$2)))</f>
        <v/>
      </c>
      <c r="Y71" s="85" t="str">
        <f>IF(OR(A71="",p_ModoCot&lt;&gt;"Automático"),"",IFERROR(_xlfn.WEBSERVICE("https://query1.finance.yahoo.com/v8/finance/chart/"&amp;X71&amp;"?range=1d&amp;interval=1d"),""))</f>
        <v/>
      </c>
      <c r="Z71" s="85" t="str">
        <f>IF(Y71="","",IFERROR(_xlfn.NUMBERVALUE(MID(Y71,SEARCH("""regularMarketPrice"":",Y71)+21,SEARCH(",",Y71&amp;",",SEARCH("""regularMarketPrice"":",Y71)+21)-SEARCH("""regularMarketPrice"":",Y71)-21),".",","),""))</f>
        <v/>
      </c>
      <c r="AA71" s="85" t="str">
        <f>IF(A71="","",ROUND(MAX(0,N(F71)*($K$6+$W$7)-K71),2))</f>
        <v/>
      </c>
      <c r="AB71" s="85" t="str">
        <f>IF(A71="","",IF(AND(M71&gt;0,M71&gt;=p_DifMin),AA71,0))</f>
        <v/>
      </c>
      <c r="AC71" s="85" t="str">
        <f>IF(A71="","",IF(AND(AB71&gt;0,N(O71)&lt;=p_MaxAtivos),AB71,0))</f>
        <v/>
      </c>
      <c r="AD71" s="85" t="str">
        <f>IF(A71="","",IF(OR(Q71&lt;=0,Q71&lt;p_CompraMin,N(H71)&lt;=0,N(W71)&lt;=0),0,IF($W$3="Sim",TRUNC(ROUND(MAX(0,(Q71-p_CorrFixa)/(H71*W71*$W$6)),9),$W$4),TRUNC(ROUND(MAX(0,(Q71-p_CorrFixa)/(H71*W71*$W$6)),9)/$W$5)*$W$5)))</f>
        <v/>
      </c>
      <c r="AE71" s="85" t="str">
        <f>IF(A71="","",IF(N(AD71)&gt;0,AD71*H71*W71*$W$6+p_CorrFixa,0))</f>
        <v/>
      </c>
      <c r="AF71" s="85" t="str">
        <f>IF(A71="","",IF(OR($Y$1&lt;=0,N(H71)&lt;=0,N(W71)&lt;=0,N(AB71)&lt;=0),0,IF($W$3="Sim",TRUNC(ROUND(MAX(0,($Y$1-IF(N(AD71)&gt;0,0,p_CorrFixa))/(H71*W71*$W$6)),9),$W$4),TRUNC(ROUND(MAX(0,($Y$1-IF(N(AD71)&gt;0,0,p_CorrFixa))/(H71*W71*$W$6)),9)/$W$5)*$W$5)))</f>
        <v/>
      </c>
      <c r="AG71" s="85" t="str">
        <f>IF(A71="","",IF(AND(N(AD71)=0,N(AF71)*(H71*W71*$W$6)+p_CorrFixa&lt;p_CompraMin),0,AF71))</f>
        <v/>
      </c>
      <c r="AH71" s="85" t="str">
        <f>IF(A71="","",IF(N(AG71)&gt;0,AB71,0))</f>
        <v/>
      </c>
      <c r="AI71" s="85" t="str">
        <f>IF(A71="","",IF(AND(AH71&gt;0,AH71=$AH$6,COUNTIF($AH$9:AH71,AH71)=1),1,0))</f>
        <v/>
      </c>
    </row>
    <row r="72">
      <c r="A72" s="96" t="n"/>
      <c r="B72" s="96" t="n"/>
      <c r="C72" s="96" t="n"/>
      <c r="D72" s="97" t="n"/>
      <c r="E72" s="98" t="n"/>
      <c r="F72" s="99" t="n"/>
      <c r="G72" s="100" t="n"/>
      <c r="H72" s="104" t="str">
        <f>IF(A72="","",IF(AND(p_ModoCot="Automático",ISNUMBER(Z72)),Z72,IF(N(G72)&gt;0,G72,0)))</f>
        <v/>
      </c>
      <c r="I72" s="105" t="str">
        <f>IF(A72="","",IF(W72=0,"Sem câmbio",IF(AND(p_ModoCot="Automático",ISNUMBER(Z72)),"Auto",IF(N(G72)&gt;0,"Manual","Sem cotação"))))</f>
        <v/>
      </c>
      <c r="J72" s="106" t="str">
        <f>IF(A72="","",N(E72)*H72)</f>
        <v/>
      </c>
      <c r="K72" s="107" t="str">
        <f>IF(A72="","",J72*W72)</f>
        <v/>
      </c>
      <c r="L72" s="108" t="str">
        <f>IF(A72="","",IF($K$6&gt;0,K72/$K$6,0))</f>
        <v/>
      </c>
      <c r="M72" s="109" t="str">
        <f>IF(A72="","",N(F72)-L72)</f>
        <v/>
      </c>
      <c r="N72" s="108" t="str">
        <f>IF(A72="","",IF($AB$6&gt;0,AB72/$AB$6,0))</f>
        <v/>
      </c>
      <c r="O72" s="110" t="str">
        <f>IF(A72="","",IF(AB72&lt;=0,"",COUNTIF($AB$9:$AB$208,"&gt;"&amp;AB72)+COUNTIF($AB$9:AB72,AB72)))</f>
        <v/>
      </c>
      <c r="P72" s="105" t="str">
        <f>IF(A72="","",IF(Q72&gt;0,"BUY","HOLD"))</f>
        <v/>
      </c>
      <c r="Q72" s="107" t="str">
        <f>IF(A72="","",IF($W$7&lt;=0,0,IF($AC$6&gt;0,$W$7*AC72/$AC$6,IF($F$6&gt;0,$W$7*N(F72)/$F$6,0))))</f>
        <v/>
      </c>
      <c r="R72" s="111" t="str">
        <f>IF(A72="","",N(AD72)+IF(AI72=1,N(AG72),0))</f>
        <v/>
      </c>
      <c r="S72" s="111" t="str">
        <f>IF(A72="","",N(E72)+N(R72))</f>
        <v/>
      </c>
      <c r="T72" s="107" t="str">
        <f>IF(A72="","",IF(N(R72)&gt;0,R72*H72*W72*$W$6+p_CorrFixa,0))</f>
        <v/>
      </c>
      <c r="V72" s="85" t="str">
        <f>IF(A72="","",IF(D72="",$W$1,D72))</f>
        <v/>
      </c>
      <c r="W72" s="85" t="str">
        <f>IF(A72="","",IFERROR(INDEX(moeda_fx,MATCH(V72,moeda_cod,0)),0))</f>
        <v/>
      </c>
      <c r="X72" s="85" t="str">
        <f>IF(A72="","",IF($W$2="",UPPER(TRIM(A72)),IF(RIGHT(UPPER(TRIM(A72)),LEN($W$2))=$W$2,UPPER(TRIM(A72)),UPPER(TRIM(A72))&amp;$W$2)))</f>
        <v/>
      </c>
      <c r="Y72" s="85" t="str">
        <f>IF(OR(A72="",p_ModoCot&lt;&gt;"Automático"),"",IFERROR(_xlfn.WEBSERVICE("https://query1.finance.yahoo.com/v8/finance/chart/"&amp;X72&amp;"?range=1d&amp;interval=1d"),""))</f>
        <v/>
      </c>
      <c r="Z72" s="85" t="str">
        <f>IF(Y72="","",IFERROR(_xlfn.NUMBERVALUE(MID(Y72,SEARCH("""regularMarketPrice"":",Y72)+21,SEARCH(",",Y72&amp;",",SEARCH("""regularMarketPrice"":",Y72)+21)-SEARCH("""regularMarketPrice"":",Y72)-21),".",","),""))</f>
        <v/>
      </c>
      <c r="AA72" s="85" t="str">
        <f>IF(A72="","",ROUND(MAX(0,N(F72)*($K$6+$W$7)-K72),2))</f>
        <v/>
      </c>
      <c r="AB72" s="85" t="str">
        <f>IF(A72="","",IF(AND(M72&gt;0,M72&gt;=p_DifMin),AA72,0))</f>
        <v/>
      </c>
      <c r="AC72" s="85" t="str">
        <f>IF(A72="","",IF(AND(AB72&gt;0,N(O72)&lt;=p_MaxAtivos),AB72,0))</f>
        <v/>
      </c>
      <c r="AD72" s="85" t="str">
        <f>IF(A72="","",IF(OR(Q72&lt;=0,Q72&lt;p_CompraMin,N(H72)&lt;=0,N(W72)&lt;=0),0,IF($W$3="Sim",TRUNC(ROUND(MAX(0,(Q72-p_CorrFixa)/(H72*W72*$W$6)),9),$W$4),TRUNC(ROUND(MAX(0,(Q72-p_CorrFixa)/(H72*W72*$W$6)),9)/$W$5)*$W$5)))</f>
        <v/>
      </c>
      <c r="AE72" s="85" t="str">
        <f>IF(A72="","",IF(N(AD72)&gt;0,AD72*H72*W72*$W$6+p_CorrFixa,0))</f>
        <v/>
      </c>
      <c r="AF72" s="85" t="str">
        <f>IF(A72="","",IF(OR($Y$1&lt;=0,N(H72)&lt;=0,N(W72)&lt;=0,N(AB72)&lt;=0),0,IF($W$3="Sim",TRUNC(ROUND(MAX(0,($Y$1-IF(N(AD72)&gt;0,0,p_CorrFixa))/(H72*W72*$W$6)),9),$W$4),TRUNC(ROUND(MAX(0,($Y$1-IF(N(AD72)&gt;0,0,p_CorrFixa))/(H72*W72*$W$6)),9)/$W$5)*$W$5)))</f>
        <v/>
      </c>
      <c r="AG72" s="85" t="str">
        <f>IF(A72="","",IF(AND(N(AD72)=0,N(AF72)*(H72*W72*$W$6)+p_CorrFixa&lt;p_CompraMin),0,AF72))</f>
        <v/>
      </c>
      <c r="AH72" s="85" t="str">
        <f>IF(A72="","",IF(N(AG72)&gt;0,AB72,0))</f>
        <v/>
      </c>
      <c r="AI72" s="85" t="str">
        <f>IF(A72="","",IF(AND(AH72&gt;0,AH72=$AH$6,COUNTIF($AH$9:AH72,AH72)=1),1,0))</f>
        <v/>
      </c>
    </row>
    <row r="73">
      <c r="A73" s="96" t="n"/>
      <c r="B73" s="96" t="n"/>
      <c r="C73" s="96" t="n"/>
      <c r="D73" s="97" t="n"/>
      <c r="E73" s="98" t="n"/>
      <c r="F73" s="99" t="n"/>
      <c r="G73" s="100" t="n"/>
      <c r="H73" s="101" t="str">
        <f>IF(A73="","",IF(AND(p_ModoCot="Automático",ISNUMBER(Z73)),Z73,IF(N(G73)&gt;0,G73,0)))</f>
        <v/>
      </c>
      <c r="I73" s="73" t="str">
        <f>IF(A73="","",IF(W73=0,"Sem câmbio",IF(AND(p_ModoCot="Automático",ISNUMBER(Z73)),"Auto",IF(N(G73)&gt;0,"Manual","Sem cotação"))))</f>
        <v/>
      </c>
      <c r="J73" s="102" t="str">
        <f>IF(A73="","",N(E73)*H73)</f>
        <v/>
      </c>
      <c r="K73" s="70" t="str">
        <f>IF(A73="","",J73*W73)</f>
        <v/>
      </c>
      <c r="L73" s="30" t="str">
        <f>IF(A73="","",IF($K$6&gt;0,K73/$K$6,0))</f>
        <v/>
      </c>
      <c r="M73" s="72" t="str">
        <f>IF(A73="","",N(F73)-L73)</f>
        <v/>
      </c>
      <c r="N73" s="30" t="str">
        <f>IF(A73="","",IF($AB$6&gt;0,AB73/$AB$6,0))</f>
        <v/>
      </c>
      <c r="O73" s="74" t="str">
        <f>IF(A73="","",IF(AB73&lt;=0,"",COUNTIF($AB$9:$AB$208,"&gt;"&amp;AB73)+COUNTIF($AB$9:AB73,AB73)))</f>
        <v/>
      </c>
      <c r="P73" s="73" t="str">
        <f>IF(A73="","",IF(Q73&gt;0,"BUY","HOLD"))</f>
        <v/>
      </c>
      <c r="Q73" s="70" t="str">
        <f>IF(A73="","",IF($W$7&lt;=0,0,IF($AC$6&gt;0,$W$7*AC73/$AC$6,IF($F$6&gt;0,$W$7*N(F73)/$F$6,0))))</f>
        <v/>
      </c>
      <c r="R73" s="103" t="str">
        <f>IF(A73="","",N(AD73)+IF(AI73=1,N(AG73),0))</f>
        <v/>
      </c>
      <c r="S73" s="103" t="str">
        <f>IF(A73="","",N(E73)+N(R73))</f>
        <v/>
      </c>
      <c r="T73" s="70" t="str">
        <f>IF(A73="","",IF(N(R73)&gt;0,R73*H73*W73*$W$6+p_CorrFixa,0))</f>
        <v/>
      </c>
      <c r="V73" s="85" t="str">
        <f>IF(A73="","",IF(D73="",$W$1,D73))</f>
        <v/>
      </c>
      <c r="W73" s="85" t="str">
        <f>IF(A73="","",IFERROR(INDEX(moeda_fx,MATCH(V73,moeda_cod,0)),0))</f>
        <v/>
      </c>
      <c r="X73" s="85" t="str">
        <f>IF(A73="","",IF($W$2="",UPPER(TRIM(A73)),IF(RIGHT(UPPER(TRIM(A73)),LEN($W$2))=$W$2,UPPER(TRIM(A73)),UPPER(TRIM(A73))&amp;$W$2)))</f>
        <v/>
      </c>
      <c r="Y73" s="85" t="str">
        <f>IF(OR(A73="",p_ModoCot&lt;&gt;"Automático"),"",IFERROR(_xlfn.WEBSERVICE("https://query1.finance.yahoo.com/v8/finance/chart/"&amp;X73&amp;"?range=1d&amp;interval=1d"),""))</f>
        <v/>
      </c>
      <c r="Z73" s="85" t="str">
        <f>IF(Y73="","",IFERROR(_xlfn.NUMBERVALUE(MID(Y73,SEARCH("""regularMarketPrice"":",Y73)+21,SEARCH(",",Y73&amp;",",SEARCH("""regularMarketPrice"":",Y73)+21)-SEARCH("""regularMarketPrice"":",Y73)-21),".",","),""))</f>
        <v/>
      </c>
      <c r="AA73" s="85" t="str">
        <f>IF(A73="","",ROUND(MAX(0,N(F73)*($K$6+$W$7)-K73),2))</f>
        <v/>
      </c>
      <c r="AB73" s="85" t="str">
        <f>IF(A73="","",IF(AND(M73&gt;0,M73&gt;=p_DifMin),AA73,0))</f>
        <v/>
      </c>
      <c r="AC73" s="85" t="str">
        <f>IF(A73="","",IF(AND(AB73&gt;0,N(O73)&lt;=p_MaxAtivos),AB73,0))</f>
        <v/>
      </c>
      <c r="AD73" s="85" t="str">
        <f>IF(A73="","",IF(OR(Q73&lt;=0,Q73&lt;p_CompraMin,N(H73)&lt;=0,N(W73)&lt;=0),0,IF($W$3="Sim",TRUNC(ROUND(MAX(0,(Q73-p_CorrFixa)/(H73*W73*$W$6)),9),$W$4),TRUNC(ROUND(MAX(0,(Q73-p_CorrFixa)/(H73*W73*$W$6)),9)/$W$5)*$W$5)))</f>
        <v/>
      </c>
      <c r="AE73" s="85" t="str">
        <f>IF(A73="","",IF(N(AD73)&gt;0,AD73*H73*W73*$W$6+p_CorrFixa,0))</f>
        <v/>
      </c>
      <c r="AF73" s="85" t="str">
        <f>IF(A73="","",IF(OR($Y$1&lt;=0,N(H73)&lt;=0,N(W73)&lt;=0,N(AB73)&lt;=0),0,IF($W$3="Sim",TRUNC(ROUND(MAX(0,($Y$1-IF(N(AD73)&gt;0,0,p_CorrFixa))/(H73*W73*$W$6)),9),$W$4),TRUNC(ROUND(MAX(0,($Y$1-IF(N(AD73)&gt;0,0,p_CorrFixa))/(H73*W73*$W$6)),9)/$W$5)*$W$5)))</f>
        <v/>
      </c>
      <c r="AG73" s="85" t="str">
        <f>IF(A73="","",IF(AND(N(AD73)=0,N(AF73)*(H73*W73*$W$6)+p_CorrFixa&lt;p_CompraMin),0,AF73))</f>
        <v/>
      </c>
      <c r="AH73" s="85" t="str">
        <f>IF(A73="","",IF(N(AG73)&gt;0,AB73,0))</f>
        <v/>
      </c>
      <c r="AI73" s="85" t="str">
        <f>IF(A73="","",IF(AND(AH73&gt;0,AH73=$AH$6,COUNTIF($AH$9:AH73,AH73)=1),1,0))</f>
        <v/>
      </c>
    </row>
    <row r="74">
      <c r="A74" s="96" t="n"/>
      <c r="B74" s="96" t="n"/>
      <c r="C74" s="96" t="n"/>
      <c r="D74" s="97" t="n"/>
      <c r="E74" s="98" t="n"/>
      <c r="F74" s="99" t="n"/>
      <c r="G74" s="100" t="n"/>
      <c r="H74" s="104" t="str">
        <f>IF(A74="","",IF(AND(p_ModoCot="Automático",ISNUMBER(Z74)),Z74,IF(N(G74)&gt;0,G74,0)))</f>
        <v/>
      </c>
      <c r="I74" s="105" t="str">
        <f>IF(A74="","",IF(W74=0,"Sem câmbio",IF(AND(p_ModoCot="Automático",ISNUMBER(Z74)),"Auto",IF(N(G74)&gt;0,"Manual","Sem cotação"))))</f>
        <v/>
      </c>
      <c r="J74" s="106" t="str">
        <f>IF(A74="","",N(E74)*H74)</f>
        <v/>
      </c>
      <c r="K74" s="107" t="str">
        <f>IF(A74="","",J74*W74)</f>
        <v/>
      </c>
      <c r="L74" s="108" t="str">
        <f>IF(A74="","",IF($K$6&gt;0,K74/$K$6,0))</f>
        <v/>
      </c>
      <c r="M74" s="109" t="str">
        <f>IF(A74="","",N(F74)-L74)</f>
        <v/>
      </c>
      <c r="N74" s="108" t="str">
        <f>IF(A74="","",IF($AB$6&gt;0,AB74/$AB$6,0))</f>
        <v/>
      </c>
      <c r="O74" s="110" t="str">
        <f>IF(A74="","",IF(AB74&lt;=0,"",COUNTIF($AB$9:$AB$208,"&gt;"&amp;AB74)+COUNTIF($AB$9:AB74,AB74)))</f>
        <v/>
      </c>
      <c r="P74" s="105" t="str">
        <f>IF(A74="","",IF(Q74&gt;0,"BUY","HOLD"))</f>
        <v/>
      </c>
      <c r="Q74" s="107" t="str">
        <f>IF(A74="","",IF($W$7&lt;=0,0,IF($AC$6&gt;0,$W$7*AC74/$AC$6,IF($F$6&gt;0,$W$7*N(F74)/$F$6,0))))</f>
        <v/>
      </c>
      <c r="R74" s="111" t="str">
        <f>IF(A74="","",N(AD74)+IF(AI74=1,N(AG74),0))</f>
        <v/>
      </c>
      <c r="S74" s="111" t="str">
        <f>IF(A74="","",N(E74)+N(R74))</f>
        <v/>
      </c>
      <c r="T74" s="107" t="str">
        <f>IF(A74="","",IF(N(R74)&gt;0,R74*H74*W74*$W$6+p_CorrFixa,0))</f>
        <v/>
      </c>
      <c r="V74" s="85" t="str">
        <f>IF(A74="","",IF(D74="",$W$1,D74))</f>
        <v/>
      </c>
      <c r="W74" s="85" t="str">
        <f>IF(A74="","",IFERROR(INDEX(moeda_fx,MATCH(V74,moeda_cod,0)),0))</f>
        <v/>
      </c>
      <c r="X74" s="85" t="str">
        <f>IF(A74="","",IF($W$2="",UPPER(TRIM(A74)),IF(RIGHT(UPPER(TRIM(A74)),LEN($W$2))=$W$2,UPPER(TRIM(A74)),UPPER(TRIM(A74))&amp;$W$2)))</f>
        <v/>
      </c>
      <c r="Y74" s="85" t="str">
        <f>IF(OR(A74="",p_ModoCot&lt;&gt;"Automático"),"",IFERROR(_xlfn.WEBSERVICE("https://query1.finance.yahoo.com/v8/finance/chart/"&amp;X74&amp;"?range=1d&amp;interval=1d"),""))</f>
        <v/>
      </c>
      <c r="Z74" s="85" t="str">
        <f>IF(Y74="","",IFERROR(_xlfn.NUMBERVALUE(MID(Y74,SEARCH("""regularMarketPrice"":",Y74)+21,SEARCH(",",Y74&amp;",",SEARCH("""regularMarketPrice"":",Y74)+21)-SEARCH("""regularMarketPrice"":",Y74)-21),".",","),""))</f>
        <v/>
      </c>
      <c r="AA74" s="85" t="str">
        <f>IF(A74="","",ROUND(MAX(0,N(F74)*($K$6+$W$7)-K74),2))</f>
        <v/>
      </c>
      <c r="AB74" s="85" t="str">
        <f>IF(A74="","",IF(AND(M74&gt;0,M74&gt;=p_DifMin),AA74,0))</f>
        <v/>
      </c>
      <c r="AC74" s="85" t="str">
        <f>IF(A74="","",IF(AND(AB74&gt;0,N(O74)&lt;=p_MaxAtivos),AB74,0))</f>
        <v/>
      </c>
      <c r="AD74" s="85" t="str">
        <f>IF(A74="","",IF(OR(Q74&lt;=0,Q74&lt;p_CompraMin,N(H74)&lt;=0,N(W74)&lt;=0),0,IF($W$3="Sim",TRUNC(ROUND(MAX(0,(Q74-p_CorrFixa)/(H74*W74*$W$6)),9),$W$4),TRUNC(ROUND(MAX(0,(Q74-p_CorrFixa)/(H74*W74*$W$6)),9)/$W$5)*$W$5)))</f>
        <v/>
      </c>
      <c r="AE74" s="85" t="str">
        <f>IF(A74="","",IF(N(AD74)&gt;0,AD74*H74*W74*$W$6+p_CorrFixa,0))</f>
        <v/>
      </c>
      <c r="AF74" s="85" t="str">
        <f>IF(A74="","",IF(OR($Y$1&lt;=0,N(H74)&lt;=0,N(W74)&lt;=0,N(AB74)&lt;=0),0,IF($W$3="Sim",TRUNC(ROUND(MAX(0,($Y$1-IF(N(AD74)&gt;0,0,p_CorrFixa))/(H74*W74*$W$6)),9),$W$4),TRUNC(ROUND(MAX(0,($Y$1-IF(N(AD74)&gt;0,0,p_CorrFixa))/(H74*W74*$W$6)),9)/$W$5)*$W$5)))</f>
        <v/>
      </c>
      <c r="AG74" s="85" t="str">
        <f>IF(A74="","",IF(AND(N(AD74)=0,N(AF74)*(H74*W74*$W$6)+p_CorrFixa&lt;p_CompraMin),0,AF74))</f>
        <v/>
      </c>
      <c r="AH74" s="85" t="str">
        <f>IF(A74="","",IF(N(AG74)&gt;0,AB74,0))</f>
        <v/>
      </c>
      <c r="AI74" s="85" t="str">
        <f>IF(A74="","",IF(AND(AH74&gt;0,AH74=$AH$6,COUNTIF($AH$9:AH74,AH74)=1),1,0))</f>
        <v/>
      </c>
    </row>
    <row r="75">
      <c r="A75" s="96" t="n"/>
      <c r="B75" s="96" t="n"/>
      <c r="C75" s="96" t="n"/>
      <c r="D75" s="97" t="n"/>
      <c r="E75" s="98" t="n"/>
      <c r="F75" s="99" t="n"/>
      <c r="G75" s="100" t="n"/>
      <c r="H75" s="101" t="str">
        <f>IF(A75="","",IF(AND(p_ModoCot="Automático",ISNUMBER(Z75)),Z75,IF(N(G75)&gt;0,G75,0)))</f>
        <v/>
      </c>
      <c r="I75" s="73" t="str">
        <f>IF(A75="","",IF(W75=0,"Sem câmbio",IF(AND(p_ModoCot="Automático",ISNUMBER(Z75)),"Auto",IF(N(G75)&gt;0,"Manual","Sem cotação"))))</f>
        <v/>
      </c>
      <c r="J75" s="102" t="str">
        <f>IF(A75="","",N(E75)*H75)</f>
        <v/>
      </c>
      <c r="K75" s="70" t="str">
        <f>IF(A75="","",J75*W75)</f>
        <v/>
      </c>
      <c r="L75" s="30" t="str">
        <f>IF(A75="","",IF($K$6&gt;0,K75/$K$6,0))</f>
        <v/>
      </c>
      <c r="M75" s="72" t="str">
        <f>IF(A75="","",N(F75)-L75)</f>
        <v/>
      </c>
      <c r="N75" s="30" t="str">
        <f>IF(A75="","",IF($AB$6&gt;0,AB75/$AB$6,0))</f>
        <v/>
      </c>
      <c r="O75" s="74" t="str">
        <f>IF(A75="","",IF(AB75&lt;=0,"",COUNTIF($AB$9:$AB$208,"&gt;"&amp;AB75)+COUNTIF($AB$9:AB75,AB75)))</f>
        <v/>
      </c>
      <c r="P75" s="73" t="str">
        <f>IF(A75="","",IF(Q75&gt;0,"BUY","HOLD"))</f>
        <v/>
      </c>
      <c r="Q75" s="70" t="str">
        <f>IF(A75="","",IF($W$7&lt;=0,0,IF($AC$6&gt;0,$W$7*AC75/$AC$6,IF($F$6&gt;0,$W$7*N(F75)/$F$6,0))))</f>
        <v/>
      </c>
      <c r="R75" s="103" t="str">
        <f>IF(A75="","",N(AD75)+IF(AI75=1,N(AG75),0))</f>
        <v/>
      </c>
      <c r="S75" s="103" t="str">
        <f>IF(A75="","",N(E75)+N(R75))</f>
        <v/>
      </c>
      <c r="T75" s="70" t="str">
        <f>IF(A75="","",IF(N(R75)&gt;0,R75*H75*W75*$W$6+p_CorrFixa,0))</f>
        <v/>
      </c>
      <c r="V75" s="85" t="str">
        <f>IF(A75="","",IF(D75="",$W$1,D75))</f>
        <v/>
      </c>
      <c r="W75" s="85" t="str">
        <f>IF(A75="","",IFERROR(INDEX(moeda_fx,MATCH(V75,moeda_cod,0)),0))</f>
        <v/>
      </c>
      <c r="X75" s="85" t="str">
        <f>IF(A75="","",IF($W$2="",UPPER(TRIM(A75)),IF(RIGHT(UPPER(TRIM(A75)),LEN($W$2))=$W$2,UPPER(TRIM(A75)),UPPER(TRIM(A75))&amp;$W$2)))</f>
        <v/>
      </c>
      <c r="Y75" s="85" t="str">
        <f>IF(OR(A75="",p_ModoCot&lt;&gt;"Automático"),"",IFERROR(_xlfn.WEBSERVICE("https://query1.finance.yahoo.com/v8/finance/chart/"&amp;X75&amp;"?range=1d&amp;interval=1d"),""))</f>
        <v/>
      </c>
      <c r="Z75" s="85" t="str">
        <f>IF(Y75="","",IFERROR(_xlfn.NUMBERVALUE(MID(Y75,SEARCH("""regularMarketPrice"":",Y75)+21,SEARCH(",",Y75&amp;",",SEARCH("""regularMarketPrice"":",Y75)+21)-SEARCH("""regularMarketPrice"":",Y75)-21),".",","),""))</f>
        <v/>
      </c>
      <c r="AA75" s="85" t="str">
        <f>IF(A75="","",ROUND(MAX(0,N(F75)*($K$6+$W$7)-K75),2))</f>
        <v/>
      </c>
      <c r="AB75" s="85" t="str">
        <f>IF(A75="","",IF(AND(M75&gt;0,M75&gt;=p_DifMin),AA75,0))</f>
        <v/>
      </c>
      <c r="AC75" s="85" t="str">
        <f>IF(A75="","",IF(AND(AB75&gt;0,N(O75)&lt;=p_MaxAtivos),AB75,0))</f>
        <v/>
      </c>
      <c r="AD75" s="85" t="str">
        <f>IF(A75="","",IF(OR(Q75&lt;=0,Q75&lt;p_CompraMin,N(H75)&lt;=0,N(W75)&lt;=0),0,IF($W$3="Sim",TRUNC(ROUND(MAX(0,(Q75-p_CorrFixa)/(H75*W75*$W$6)),9),$W$4),TRUNC(ROUND(MAX(0,(Q75-p_CorrFixa)/(H75*W75*$W$6)),9)/$W$5)*$W$5)))</f>
        <v/>
      </c>
      <c r="AE75" s="85" t="str">
        <f>IF(A75="","",IF(N(AD75)&gt;0,AD75*H75*W75*$W$6+p_CorrFixa,0))</f>
        <v/>
      </c>
      <c r="AF75" s="85" t="str">
        <f>IF(A75="","",IF(OR($Y$1&lt;=0,N(H75)&lt;=0,N(W75)&lt;=0,N(AB75)&lt;=0),0,IF($W$3="Sim",TRUNC(ROUND(MAX(0,($Y$1-IF(N(AD75)&gt;0,0,p_CorrFixa))/(H75*W75*$W$6)),9),$W$4),TRUNC(ROUND(MAX(0,($Y$1-IF(N(AD75)&gt;0,0,p_CorrFixa))/(H75*W75*$W$6)),9)/$W$5)*$W$5)))</f>
        <v/>
      </c>
      <c r="AG75" s="85" t="str">
        <f>IF(A75="","",IF(AND(N(AD75)=0,N(AF75)*(H75*W75*$W$6)+p_CorrFixa&lt;p_CompraMin),0,AF75))</f>
        <v/>
      </c>
      <c r="AH75" s="85" t="str">
        <f>IF(A75="","",IF(N(AG75)&gt;0,AB75,0))</f>
        <v/>
      </c>
      <c r="AI75" s="85" t="str">
        <f>IF(A75="","",IF(AND(AH75&gt;0,AH75=$AH$6,COUNTIF($AH$9:AH75,AH75)=1),1,0))</f>
        <v/>
      </c>
    </row>
    <row r="76">
      <c r="A76" s="96" t="n"/>
      <c r="B76" s="96" t="n"/>
      <c r="C76" s="96" t="n"/>
      <c r="D76" s="97" t="n"/>
      <c r="E76" s="98" t="n"/>
      <c r="F76" s="99" t="n"/>
      <c r="G76" s="100" t="n"/>
      <c r="H76" s="104" t="str">
        <f>IF(A76="","",IF(AND(p_ModoCot="Automático",ISNUMBER(Z76)),Z76,IF(N(G76)&gt;0,G76,0)))</f>
        <v/>
      </c>
      <c r="I76" s="105" t="str">
        <f>IF(A76="","",IF(W76=0,"Sem câmbio",IF(AND(p_ModoCot="Automático",ISNUMBER(Z76)),"Auto",IF(N(G76)&gt;0,"Manual","Sem cotação"))))</f>
        <v/>
      </c>
      <c r="J76" s="106" t="str">
        <f>IF(A76="","",N(E76)*H76)</f>
        <v/>
      </c>
      <c r="K76" s="107" t="str">
        <f>IF(A76="","",J76*W76)</f>
        <v/>
      </c>
      <c r="L76" s="108" t="str">
        <f>IF(A76="","",IF($K$6&gt;0,K76/$K$6,0))</f>
        <v/>
      </c>
      <c r="M76" s="109" t="str">
        <f>IF(A76="","",N(F76)-L76)</f>
        <v/>
      </c>
      <c r="N76" s="108" t="str">
        <f>IF(A76="","",IF($AB$6&gt;0,AB76/$AB$6,0))</f>
        <v/>
      </c>
      <c r="O76" s="110" t="str">
        <f>IF(A76="","",IF(AB76&lt;=0,"",COUNTIF($AB$9:$AB$208,"&gt;"&amp;AB76)+COUNTIF($AB$9:AB76,AB76)))</f>
        <v/>
      </c>
      <c r="P76" s="105" t="str">
        <f>IF(A76="","",IF(Q76&gt;0,"BUY","HOLD"))</f>
        <v/>
      </c>
      <c r="Q76" s="107" t="str">
        <f>IF(A76="","",IF($W$7&lt;=0,0,IF($AC$6&gt;0,$W$7*AC76/$AC$6,IF($F$6&gt;0,$W$7*N(F76)/$F$6,0))))</f>
        <v/>
      </c>
      <c r="R76" s="111" t="str">
        <f>IF(A76="","",N(AD76)+IF(AI76=1,N(AG76),0))</f>
        <v/>
      </c>
      <c r="S76" s="111" t="str">
        <f>IF(A76="","",N(E76)+N(R76))</f>
        <v/>
      </c>
      <c r="T76" s="107" t="str">
        <f>IF(A76="","",IF(N(R76)&gt;0,R76*H76*W76*$W$6+p_CorrFixa,0))</f>
        <v/>
      </c>
      <c r="V76" s="85" t="str">
        <f>IF(A76="","",IF(D76="",$W$1,D76))</f>
        <v/>
      </c>
      <c r="W76" s="85" t="str">
        <f>IF(A76="","",IFERROR(INDEX(moeda_fx,MATCH(V76,moeda_cod,0)),0))</f>
        <v/>
      </c>
      <c r="X76" s="85" t="str">
        <f>IF(A76="","",IF($W$2="",UPPER(TRIM(A76)),IF(RIGHT(UPPER(TRIM(A76)),LEN($W$2))=$W$2,UPPER(TRIM(A76)),UPPER(TRIM(A76))&amp;$W$2)))</f>
        <v/>
      </c>
      <c r="Y76" s="85" t="str">
        <f>IF(OR(A76="",p_ModoCot&lt;&gt;"Automático"),"",IFERROR(_xlfn.WEBSERVICE("https://query1.finance.yahoo.com/v8/finance/chart/"&amp;X76&amp;"?range=1d&amp;interval=1d"),""))</f>
        <v/>
      </c>
      <c r="Z76" s="85" t="str">
        <f>IF(Y76="","",IFERROR(_xlfn.NUMBERVALUE(MID(Y76,SEARCH("""regularMarketPrice"":",Y76)+21,SEARCH(",",Y76&amp;",",SEARCH("""regularMarketPrice"":",Y76)+21)-SEARCH("""regularMarketPrice"":",Y76)-21),".",","),""))</f>
        <v/>
      </c>
      <c r="AA76" s="85" t="str">
        <f>IF(A76="","",ROUND(MAX(0,N(F76)*($K$6+$W$7)-K76),2))</f>
        <v/>
      </c>
      <c r="AB76" s="85" t="str">
        <f>IF(A76="","",IF(AND(M76&gt;0,M76&gt;=p_DifMin),AA76,0))</f>
        <v/>
      </c>
      <c r="AC76" s="85" t="str">
        <f>IF(A76="","",IF(AND(AB76&gt;0,N(O76)&lt;=p_MaxAtivos),AB76,0))</f>
        <v/>
      </c>
      <c r="AD76" s="85" t="str">
        <f>IF(A76="","",IF(OR(Q76&lt;=0,Q76&lt;p_CompraMin,N(H76)&lt;=0,N(W76)&lt;=0),0,IF($W$3="Sim",TRUNC(ROUND(MAX(0,(Q76-p_CorrFixa)/(H76*W76*$W$6)),9),$W$4),TRUNC(ROUND(MAX(0,(Q76-p_CorrFixa)/(H76*W76*$W$6)),9)/$W$5)*$W$5)))</f>
        <v/>
      </c>
      <c r="AE76" s="85" t="str">
        <f>IF(A76="","",IF(N(AD76)&gt;0,AD76*H76*W76*$W$6+p_CorrFixa,0))</f>
        <v/>
      </c>
      <c r="AF76" s="85" t="str">
        <f>IF(A76="","",IF(OR($Y$1&lt;=0,N(H76)&lt;=0,N(W76)&lt;=0,N(AB76)&lt;=0),0,IF($W$3="Sim",TRUNC(ROUND(MAX(0,($Y$1-IF(N(AD76)&gt;0,0,p_CorrFixa))/(H76*W76*$W$6)),9),$W$4),TRUNC(ROUND(MAX(0,($Y$1-IF(N(AD76)&gt;0,0,p_CorrFixa))/(H76*W76*$W$6)),9)/$W$5)*$W$5)))</f>
        <v/>
      </c>
      <c r="AG76" s="85" t="str">
        <f>IF(A76="","",IF(AND(N(AD76)=0,N(AF76)*(H76*W76*$W$6)+p_CorrFixa&lt;p_CompraMin),0,AF76))</f>
        <v/>
      </c>
      <c r="AH76" s="85" t="str">
        <f>IF(A76="","",IF(N(AG76)&gt;0,AB76,0))</f>
        <v/>
      </c>
      <c r="AI76" s="85" t="str">
        <f>IF(A76="","",IF(AND(AH76&gt;0,AH76=$AH$6,COUNTIF($AH$9:AH76,AH76)=1),1,0))</f>
        <v/>
      </c>
    </row>
    <row r="77">
      <c r="A77" s="96" t="n"/>
      <c r="B77" s="96" t="n"/>
      <c r="C77" s="96" t="n"/>
      <c r="D77" s="97" t="n"/>
      <c r="E77" s="98" t="n"/>
      <c r="F77" s="99" t="n"/>
      <c r="G77" s="100" t="n"/>
      <c r="H77" s="101" t="str">
        <f>IF(A77="","",IF(AND(p_ModoCot="Automático",ISNUMBER(Z77)),Z77,IF(N(G77)&gt;0,G77,0)))</f>
        <v/>
      </c>
      <c r="I77" s="73" t="str">
        <f>IF(A77="","",IF(W77=0,"Sem câmbio",IF(AND(p_ModoCot="Automático",ISNUMBER(Z77)),"Auto",IF(N(G77)&gt;0,"Manual","Sem cotação"))))</f>
        <v/>
      </c>
      <c r="J77" s="102" t="str">
        <f>IF(A77="","",N(E77)*H77)</f>
        <v/>
      </c>
      <c r="K77" s="70" t="str">
        <f>IF(A77="","",J77*W77)</f>
        <v/>
      </c>
      <c r="L77" s="30" t="str">
        <f>IF(A77="","",IF($K$6&gt;0,K77/$K$6,0))</f>
        <v/>
      </c>
      <c r="M77" s="72" t="str">
        <f>IF(A77="","",N(F77)-L77)</f>
        <v/>
      </c>
      <c r="N77" s="30" t="str">
        <f>IF(A77="","",IF($AB$6&gt;0,AB77/$AB$6,0))</f>
        <v/>
      </c>
      <c r="O77" s="74" t="str">
        <f>IF(A77="","",IF(AB77&lt;=0,"",COUNTIF($AB$9:$AB$208,"&gt;"&amp;AB77)+COUNTIF($AB$9:AB77,AB77)))</f>
        <v/>
      </c>
      <c r="P77" s="73" t="str">
        <f>IF(A77="","",IF(Q77&gt;0,"BUY","HOLD"))</f>
        <v/>
      </c>
      <c r="Q77" s="70" t="str">
        <f>IF(A77="","",IF($W$7&lt;=0,0,IF($AC$6&gt;0,$W$7*AC77/$AC$6,IF($F$6&gt;0,$W$7*N(F77)/$F$6,0))))</f>
        <v/>
      </c>
      <c r="R77" s="103" t="str">
        <f>IF(A77="","",N(AD77)+IF(AI77=1,N(AG77),0))</f>
        <v/>
      </c>
      <c r="S77" s="103" t="str">
        <f>IF(A77="","",N(E77)+N(R77))</f>
        <v/>
      </c>
      <c r="T77" s="70" t="str">
        <f>IF(A77="","",IF(N(R77)&gt;0,R77*H77*W77*$W$6+p_CorrFixa,0))</f>
        <v/>
      </c>
      <c r="V77" s="85" t="str">
        <f>IF(A77="","",IF(D77="",$W$1,D77))</f>
        <v/>
      </c>
      <c r="W77" s="85" t="str">
        <f>IF(A77="","",IFERROR(INDEX(moeda_fx,MATCH(V77,moeda_cod,0)),0))</f>
        <v/>
      </c>
      <c r="X77" s="85" t="str">
        <f>IF(A77="","",IF($W$2="",UPPER(TRIM(A77)),IF(RIGHT(UPPER(TRIM(A77)),LEN($W$2))=$W$2,UPPER(TRIM(A77)),UPPER(TRIM(A77))&amp;$W$2)))</f>
        <v/>
      </c>
      <c r="Y77" s="85" t="str">
        <f>IF(OR(A77="",p_ModoCot&lt;&gt;"Automático"),"",IFERROR(_xlfn.WEBSERVICE("https://query1.finance.yahoo.com/v8/finance/chart/"&amp;X77&amp;"?range=1d&amp;interval=1d"),""))</f>
        <v/>
      </c>
      <c r="Z77" s="85" t="str">
        <f>IF(Y77="","",IFERROR(_xlfn.NUMBERVALUE(MID(Y77,SEARCH("""regularMarketPrice"":",Y77)+21,SEARCH(",",Y77&amp;",",SEARCH("""regularMarketPrice"":",Y77)+21)-SEARCH("""regularMarketPrice"":",Y77)-21),".",","),""))</f>
        <v/>
      </c>
      <c r="AA77" s="85" t="str">
        <f>IF(A77="","",ROUND(MAX(0,N(F77)*($K$6+$W$7)-K77),2))</f>
        <v/>
      </c>
      <c r="AB77" s="85" t="str">
        <f>IF(A77="","",IF(AND(M77&gt;0,M77&gt;=p_DifMin),AA77,0))</f>
        <v/>
      </c>
      <c r="AC77" s="85" t="str">
        <f>IF(A77="","",IF(AND(AB77&gt;0,N(O77)&lt;=p_MaxAtivos),AB77,0))</f>
        <v/>
      </c>
      <c r="AD77" s="85" t="str">
        <f>IF(A77="","",IF(OR(Q77&lt;=0,Q77&lt;p_CompraMin,N(H77)&lt;=0,N(W77)&lt;=0),0,IF($W$3="Sim",TRUNC(ROUND(MAX(0,(Q77-p_CorrFixa)/(H77*W77*$W$6)),9),$W$4),TRUNC(ROUND(MAX(0,(Q77-p_CorrFixa)/(H77*W77*$W$6)),9)/$W$5)*$W$5)))</f>
        <v/>
      </c>
      <c r="AE77" s="85" t="str">
        <f>IF(A77="","",IF(N(AD77)&gt;0,AD77*H77*W77*$W$6+p_CorrFixa,0))</f>
        <v/>
      </c>
      <c r="AF77" s="85" t="str">
        <f>IF(A77="","",IF(OR($Y$1&lt;=0,N(H77)&lt;=0,N(W77)&lt;=0,N(AB77)&lt;=0),0,IF($W$3="Sim",TRUNC(ROUND(MAX(0,($Y$1-IF(N(AD77)&gt;0,0,p_CorrFixa))/(H77*W77*$W$6)),9),$W$4),TRUNC(ROUND(MAX(0,($Y$1-IF(N(AD77)&gt;0,0,p_CorrFixa))/(H77*W77*$W$6)),9)/$W$5)*$W$5)))</f>
        <v/>
      </c>
      <c r="AG77" s="85" t="str">
        <f>IF(A77="","",IF(AND(N(AD77)=0,N(AF77)*(H77*W77*$W$6)+p_CorrFixa&lt;p_CompraMin),0,AF77))</f>
        <v/>
      </c>
      <c r="AH77" s="85" t="str">
        <f>IF(A77="","",IF(N(AG77)&gt;0,AB77,0))</f>
        <v/>
      </c>
      <c r="AI77" s="85" t="str">
        <f>IF(A77="","",IF(AND(AH77&gt;0,AH77=$AH$6,COUNTIF($AH$9:AH77,AH77)=1),1,0))</f>
        <v/>
      </c>
    </row>
    <row r="78">
      <c r="A78" s="96" t="n"/>
      <c r="B78" s="96" t="n"/>
      <c r="C78" s="96" t="n"/>
      <c r="D78" s="97" t="n"/>
      <c r="E78" s="98" t="n"/>
      <c r="F78" s="99" t="n"/>
      <c r="G78" s="100" t="n"/>
      <c r="H78" s="104" t="str">
        <f>IF(A78="","",IF(AND(p_ModoCot="Automático",ISNUMBER(Z78)),Z78,IF(N(G78)&gt;0,G78,0)))</f>
        <v/>
      </c>
      <c r="I78" s="105" t="str">
        <f>IF(A78="","",IF(W78=0,"Sem câmbio",IF(AND(p_ModoCot="Automático",ISNUMBER(Z78)),"Auto",IF(N(G78)&gt;0,"Manual","Sem cotação"))))</f>
        <v/>
      </c>
      <c r="J78" s="106" t="str">
        <f>IF(A78="","",N(E78)*H78)</f>
        <v/>
      </c>
      <c r="K78" s="107" t="str">
        <f>IF(A78="","",J78*W78)</f>
        <v/>
      </c>
      <c r="L78" s="108" t="str">
        <f>IF(A78="","",IF($K$6&gt;0,K78/$K$6,0))</f>
        <v/>
      </c>
      <c r="M78" s="109" t="str">
        <f>IF(A78="","",N(F78)-L78)</f>
        <v/>
      </c>
      <c r="N78" s="108" t="str">
        <f>IF(A78="","",IF($AB$6&gt;0,AB78/$AB$6,0))</f>
        <v/>
      </c>
      <c r="O78" s="110" t="str">
        <f>IF(A78="","",IF(AB78&lt;=0,"",COUNTIF($AB$9:$AB$208,"&gt;"&amp;AB78)+COUNTIF($AB$9:AB78,AB78)))</f>
        <v/>
      </c>
      <c r="P78" s="105" t="str">
        <f>IF(A78="","",IF(Q78&gt;0,"BUY","HOLD"))</f>
        <v/>
      </c>
      <c r="Q78" s="107" t="str">
        <f>IF(A78="","",IF($W$7&lt;=0,0,IF($AC$6&gt;0,$W$7*AC78/$AC$6,IF($F$6&gt;0,$W$7*N(F78)/$F$6,0))))</f>
        <v/>
      </c>
      <c r="R78" s="111" t="str">
        <f>IF(A78="","",N(AD78)+IF(AI78=1,N(AG78),0))</f>
        <v/>
      </c>
      <c r="S78" s="111" t="str">
        <f>IF(A78="","",N(E78)+N(R78))</f>
        <v/>
      </c>
      <c r="T78" s="107" t="str">
        <f>IF(A78="","",IF(N(R78)&gt;0,R78*H78*W78*$W$6+p_CorrFixa,0))</f>
        <v/>
      </c>
      <c r="V78" s="85" t="str">
        <f>IF(A78="","",IF(D78="",$W$1,D78))</f>
        <v/>
      </c>
      <c r="W78" s="85" t="str">
        <f>IF(A78="","",IFERROR(INDEX(moeda_fx,MATCH(V78,moeda_cod,0)),0))</f>
        <v/>
      </c>
      <c r="X78" s="85" t="str">
        <f>IF(A78="","",IF($W$2="",UPPER(TRIM(A78)),IF(RIGHT(UPPER(TRIM(A78)),LEN($W$2))=$W$2,UPPER(TRIM(A78)),UPPER(TRIM(A78))&amp;$W$2)))</f>
        <v/>
      </c>
      <c r="Y78" s="85" t="str">
        <f>IF(OR(A78="",p_ModoCot&lt;&gt;"Automático"),"",IFERROR(_xlfn.WEBSERVICE("https://query1.finance.yahoo.com/v8/finance/chart/"&amp;X78&amp;"?range=1d&amp;interval=1d"),""))</f>
        <v/>
      </c>
      <c r="Z78" s="85" t="str">
        <f>IF(Y78="","",IFERROR(_xlfn.NUMBERVALUE(MID(Y78,SEARCH("""regularMarketPrice"":",Y78)+21,SEARCH(",",Y78&amp;",",SEARCH("""regularMarketPrice"":",Y78)+21)-SEARCH("""regularMarketPrice"":",Y78)-21),".",","),""))</f>
        <v/>
      </c>
      <c r="AA78" s="85" t="str">
        <f>IF(A78="","",ROUND(MAX(0,N(F78)*($K$6+$W$7)-K78),2))</f>
        <v/>
      </c>
      <c r="AB78" s="85" t="str">
        <f>IF(A78="","",IF(AND(M78&gt;0,M78&gt;=p_DifMin),AA78,0))</f>
        <v/>
      </c>
      <c r="AC78" s="85" t="str">
        <f>IF(A78="","",IF(AND(AB78&gt;0,N(O78)&lt;=p_MaxAtivos),AB78,0))</f>
        <v/>
      </c>
      <c r="AD78" s="85" t="str">
        <f>IF(A78="","",IF(OR(Q78&lt;=0,Q78&lt;p_CompraMin,N(H78)&lt;=0,N(W78)&lt;=0),0,IF($W$3="Sim",TRUNC(ROUND(MAX(0,(Q78-p_CorrFixa)/(H78*W78*$W$6)),9),$W$4),TRUNC(ROUND(MAX(0,(Q78-p_CorrFixa)/(H78*W78*$W$6)),9)/$W$5)*$W$5)))</f>
        <v/>
      </c>
      <c r="AE78" s="85" t="str">
        <f>IF(A78="","",IF(N(AD78)&gt;0,AD78*H78*W78*$W$6+p_CorrFixa,0))</f>
        <v/>
      </c>
      <c r="AF78" s="85" t="str">
        <f>IF(A78="","",IF(OR($Y$1&lt;=0,N(H78)&lt;=0,N(W78)&lt;=0,N(AB78)&lt;=0),0,IF($W$3="Sim",TRUNC(ROUND(MAX(0,($Y$1-IF(N(AD78)&gt;0,0,p_CorrFixa))/(H78*W78*$W$6)),9),$W$4),TRUNC(ROUND(MAX(0,($Y$1-IF(N(AD78)&gt;0,0,p_CorrFixa))/(H78*W78*$W$6)),9)/$W$5)*$W$5)))</f>
        <v/>
      </c>
      <c r="AG78" s="85" t="str">
        <f>IF(A78="","",IF(AND(N(AD78)=0,N(AF78)*(H78*W78*$W$6)+p_CorrFixa&lt;p_CompraMin),0,AF78))</f>
        <v/>
      </c>
      <c r="AH78" s="85" t="str">
        <f>IF(A78="","",IF(N(AG78)&gt;0,AB78,0))</f>
        <v/>
      </c>
      <c r="AI78" s="85" t="str">
        <f>IF(A78="","",IF(AND(AH78&gt;0,AH78=$AH$6,COUNTIF($AH$9:AH78,AH78)=1),1,0))</f>
        <v/>
      </c>
    </row>
    <row r="79">
      <c r="A79" s="96" t="n"/>
      <c r="B79" s="96" t="n"/>
      <c r="C79" s="96" t="n"/>
      <c r="D79" s="97" t="n"/>
      <c r="E79" s="98" t="n"/>
      <c r="F79" s="99" t="n"/>
      <c r="G79" s="100" t="n"/>
      <c r="H79" s="101" t="str">
        <f>IF(A79="","",IF(AND(p_ModoCot="Automático",ISNUMBER(Z79)),Z79,IF(N(G79)&gt;0,G79,0)))</f>
        <v/>
      </c>
      <c r="I79" s="73" t="str">
        <f>IF(A79="","",IF(W79=0,"Sem câmbio",IF(AND(p_ModoCot="Automático",ISNUMBER(Z79)),"Auto",IF(N(G79)&gt;0,"Manual","Sem cotação"))))</f>
        <v/>
      </c>
      <c r="J79" s="102" t="str">
        <f>IF(A79="","",N(E79)*H79)</f>
        <v/>
      </c>
      <c r="K79" s="70" t="str">
        <f>IF(A79="","",J79*W79)</f>
        <v/>
      </c>
      <c r="L79" s="30" t="str">
        <f>IF(A79="","",IF($K$6&gt;0,K79/$K$6,0))</f>
        <v/>
      </c>
      <c r="M79" s="72" t="str">
        <f>IF(A79="","",N(F79)-L79)</f>
        <v/>
      </c>
      <c r="N79" s="30" t="str">
        <f>IF(A79="","",IF($AB$6&gt;0,AB79/$AB$6,0))</f>
        <v/>
      </c>
      <c r="O79" s="74" t="str">
        <f>IF(A79="","",IF(AB79&lt;=0,"",COUNTIF($AB$9:$AB$208,"&gt;"&amp;AB79)+COUNTIF($AB$9:AB79,AB79)))</f>
        <v/>
      </c>
      <c r="P79" s="73" t="str">
        <f>IF(A79="","",IF(Q79&gt;0,"BUY","HOLD"))</f>
        <v/>
      </c>
      <c r="Q79" s="70" t="str">
        <f>IF(A79="","",IF($W$7&lt;=0,0,IF($AC$6&gt;0,$W$7*AC79/$AC$6,IF($F$6&gt;0,$W$7*N(F79)/$F$6,0))))</f>
        <v/>
      </c>
      <c r="R79" s="103" t="str">
        <f>IF(A79="","",N(AD79)+IF(AI79=1,N(AG79),0))</f>
        <v/>
      </c>
      <c r="S79" s="103" t="str">
        <f>IF(A79="","",N(E79)+N(R79))</f>
        <v/>
      </c>
      <c r="T79" s="70" t="str">
        <f>IF(A79="","",IF(N(R79)&gt;0,R79*H79*W79*$W$6+p_CorrFixa,0))</f>
        <v/>
      </c>
      <c r="V79" s="85" t="str">
        <f>IF(A79="","",IF(D79="",$W$1,D79))</f>
        <v/>
      </c>
      <c r="W79" s="85" t="str">
        <f>IF(A79="","",IFERROR(INDEX(moeda_fx,MATCH(V79,moeda_cod,0)),0))</f>
        <v/>
      </c>
      <c r="X79" s="85" t="str">
        <f>IF(A79="","",IF($W$2="",UPPER(TRIM(A79)),IF(RIGHT(UPPER(TRIM(A79)),LEN($W$2))=$W$2,UPPER(TRIM(A79)),UPPER(TRIM(A79))&amp;$W$2)))</f>
        <v/>
      </c>
      <c r="Y79" s="85" t="str">
        <f>IF(OR(A79="",p_ModoCot&lt;&gt;"Automático"),"",IFERROR(_xlfn.WEBSERVICE("https://query1.finance.yahoo.com/v8/finance/chart/"&amp;X79&amp;"?range=1d&amp;interval=1d"),""))</f>
        <v/>
      </c>
      <c r="Z79" s="85" t="str">
        <f>IF(Y79="","",IFERROR(_xlfn.NUMBERVALUE(MID(Y79,SEARCH("""regularMarketPrice"":",Y79)+21,SEARCH(",",Y79&amp;",",SEARCH("""regularMarketPrice"":",Y79)+21)-SEARCH("""regularMarketPrice"":",Y79)-21),".",","),""))</f>
        <v/>
      </c>
      <c r="AA79" s="85" t="str">
        <f>IF(A79="","",ROUND(MAX(0,N(F79)*($K$6+$W$7)-K79),2))</f>
        <v/>
      </c>
      <c r="AB79" s="85" t="str">
        <f>IF(A79="","",IF(AND(M79&gt;0,M79&gt;=p_DifMin),AA79,0))</f>
        <v/>
      </c>
      <c r="AC79" s="85" t="str">
        <f>IF(A79="","",IF(AND(AB79&gt;0,N(O79)&lt;=p_MaxAtivos),AB79,0))</f>
        <v/>
      </c>
      <c r="AD79" s="85" t="str">
        <f>IF(A79="","",IF(OR(Q79&lt;=0,Q79&lt;p_CompraMin,N(H79)&lt;=0,N(W79)&lt;=0),0,IF($W$3="Sim",TRUNC(ROUND(MAX(0,(Q79-p_CorrFixa)/(H79*W79*$W$6)),9),$W$4),TRUNC(ROUND(MAX(0,(Q79-p_CorrFixa)/(H79*W79*$W$6)),9)/$W$5)*$W$5)))</f>
        <v/>
      </c>
      <c r="AE79" s="85" t="str">
        <f>IF(A79="","",IF(N(AD79)&gt;0,AD79*H79*W79*$W$6+p_CorrFixa,0))</f>
        <v/>
      </c>
      <c r="AF79" s="85" t="str">
        <f>IF(A79="","",IF(OR($Y$1&lt;=0,N(H79)&lt;=0,N(W79)&lt;=0,N(AB79)&lt;=0),0,IF($W$3="Sim",TRUNC(ROUND(MAX(0,($Y$1-IF(N(AD79)&gt;0,0,p_CorrFixa))/(H79*W79*$W$6)),9),$W$4),TRUNC(ROUND(MAX(0,($Y$1-IF(N(AD79)&gt;0,0,p_CorrFixa))/(H79*W79*$W$6)),9)/$W$5)*$W$5)))</f>
        <v/>
      </c>
      <c r="AG79" s="85" t="str">
        <f>IF(A79="","",IF(AND(N(AD79)=0,N(AF79)*(H79*W79*$W$6)+p_CorrFixa&lt;p_CompraMin),0,AF79))</f>
        <v/>
      </c>
      <c r="AH79" s="85" t="str">
        <f>IF(A79="","",IF(N(AG79)&gt;0,AB79,0))</f>
        <v/>
      </c>
      <c r="AI79" s="85" t="str">
        <f>IF(A79="","",IF(AND(AH79&gt;0,AH79=$AH$6,COUNTIF($AH$9:AH79,AH79)=1),1,0))</f>
        <v/>
      </c>
    </row>
    <row r="80">
      <c r="A80" s="96" t="n"/>
      <c r="B80" s="96" t="n"/>
      <c r="C80" s="96" t="n"/>
      <c r="D80" s="97" t="n"/>
      <c r="E80" s="98" t="n"/>
      <c r="F80" s="99" t="n"/>
      <c r="G80" s="100" t="n"/>
      <c r="H80" s="104" t="str">
        <f>IF(A80="","",IF(AND(p_ModoCot="Automático",ISNUMBER(Z80)),Z80,IF(N(G80)&gt;0,G80,0)))</f>
        <v/>
      </c>
      <c r="I80" s="105" t="str">
        <f>IF(A80="","",IF(W80=0,"Sem câmbio",IF(AND(p_ModoCot="Automático",ISNUMBER(Z80)),"Auto",IF(N(G80)&gt;0,"Manual","Sem cotação"))))</f>
        <v/>
      </c>
      <c r="J80" s="106" t="str">
        <f>IF(A80="","",N(E80)*H80)</f>
        <v/>
      </c>
      <c r="K80" s="107" t="str">
        <f>IF(A80="","",J80*W80)</f>
        <v/>
      </c>
      <c r="L80" s="108" t="str">
        <f>IF(A80="","",IF($K$6&gt;0,K80/$K$6,0))</f>
        <v/>
      </c>
      <c r="M80" s="109" t="str">
        <f>IF(A80="","",N(F80)-L80)</f>
        <v/>
      </c>
      <c r="N80" s="108" t="str">
        <f>IF(A80="","",IF($AB$6&gt;0,AB80/$AB$6,0))</f>
        <v/>
      </c>
      <c r="O80" s="110" t="str">
        <f>IF(A80="","",IF(AB80&lt;=0,"",COUNTIF($AB$9:$AB$208,"&gt;"&amp;AB80)+COUNTIF($AB$9:AB80,AB80)))</f>
        <v/>
      </c>
      <c r="P80" s="105" t="str">
        <f>IF(A80="","",IF(Q80&gt;0,"BUY","HOLD"))</f>
        <v/>
      </c>
      <c r="Q80" s="107" t="str">
        <f>IF(A80="","",IF($W$7&lt;=0,0,IF($AC$6&gt;0,$W$7*AC80/$AC$6,IF($F$6&gt;0,$W$7*N(F80)/$F$6,0))))</f>
        <v/>
      </c>
      <c r="R80" s="111" t="str">
        <f>IF(A80="","",N(AD80)+IF(AI80=1,N(AG80),0))</f>
        <v/>
      </c>
      <c r="S80" s="111" t="str">
        <f>IF(A80="","",N(E80)+N(R80))</f>
        <v/>
      </c>
      <c r="T80" s="107" t="str">
        <f>IF(A80="","",IF(N(R80)&gt;0,R80*H80*W80*$W$6+p_CorrFixa,0))</f>
        <v/>
      </c>
      <c r="V80" s="85" t="str">
        <f>IF(A80="","",IF(D80="",$W$1,D80))</f>
        <v/>
      </c>
      <c r="W80" s="85" t="str">
        <f>IF(A80="","",IFERROR(INDEX(moeda_fx,MATCH(V80,moeda_cod,0)),0))</f>
        <v/>
      </c>
      <c r="X80" s="85" t="str">
        <f>IF(A80="","",IF($W$2="",UPPER(TRIM(A80)),IF(RIGHT(UPPER(TRIM(A80)),LEN($W$2))=$W$2,UPPER(TRIM(A80)),UPPER(TRIM(A80))&amp;$W$2)))</f>
        <v/>
      </c>
      <c r="Y80" s="85" t="str">
        <f>IF(OR(A80="",p_ModoCot&lt;&gt;"Automático"),"",IFERROR(_xlfn.WEBSERVICE("https://query1.finance.yahoo.com/v8/finance/chart/"&amp;X80&amp;"?range=1d&amp;interval=1d"),""))</f>
        <v/>
      </c>
      <c r="Z80" s="85" t="str">
        <f>IF(Y80="","",IFERROR(_xlfn.NUMBERVALUE(MID(Y80,SEARCH("""regularMarketPrice"":",Y80)+21,SEARCH(",",Y80&amp;",",SEARCH("""regularMarketPrice"":",Y80)+21)-SEARCH("""regularMarketPrice"":",Y80)-21),".",","),""))</f>
        <v/>
      </c>
      <c r="AA80" s="85" t="str">
        <f>IF(A80="","",ROUND(MAX(0,N(F80)*($K$6+$W$7)-K80),2))</f>
        <v/>
      </c>
      <c r="AB80" s="85" t="str">
        <f>IF(A80="","",IF(AND(M80&gt;0,M80&gt;=p_DifMin),AA80,0))</f>
        <v/>
      </c>
      <c r="AC80" s="85" t="str">
        <f>IF(A80="","",IF(AND(AB80&gt;0,N(O80)&lt;=p_MaxAtivos),AB80,0))</f>
        <v/>
      </c>
      <c r="AD80" s="85" t="str">
        <f>IF(A80="","",IF(OR(Q80&lt;=0,Q80&lt;p_CompraMin,N(H80)&lt;=0,N(W80)&lt;=0),0,IF($W$3="Sim",TRUNC(ROUND(MAX(0,(Q80-p_CorrFixa)/(H80*W80*$W$6)),9),$W$4),TRUNC(ROUND(MAX(0,(Q80-p_CorrFixa)/(H80*W80*$W$6)),9)/$W$5)*$W$5)))</f>
        <v/>
      </c>
      <c r="AE80" s="85" t="str">
        <f>IF(A80="","",IF(N(AD80)&gt;0,AD80*H80*W80*$W$6+p_CorrFixa,0))</f>
        <v/>
      </c>
      <c r="AF80" s="85" t="str">
        <f>IF(A80="","",IF(OR($Y$1&lt;=0,N(H80)&lt;=0,N(W80)&lt;=0,N(AB80)&lt;=0),0,IF($W$3="Sim",TRUNC(ROUND(MAX(0,($Y$1-IF(N(AD80)&gt;0,0,p_CorrFixa))/(H80*W80*$W$6)),9),$W$4),TRUNC(ROUND(MAX(0,($Y$1-IF(N(AD80)&gt;0,0,p_CorrFixa))/(H80*W80*$W$6)),9)/$W$5)*$W$5)))</f>
        <v/>
      </c>
      <c r="AG80" s="85" t="str">
        <f>IF(A80="","",IF(AND(N(AD80)=0,N(AF80)*(H80*W80*$W$6)+p_CorrFixa&lt;p_CompraMin),0,AF80))</f>
        <v/>
      </c>
      <c r="AH80" s="85" t="str">
        <f>IF(A80="","",IF(N(AG80)&gt;0,AB80,0))</f>
        <v/>
      </c>
      <c r="AI80" s="85" t="str">
        <f>IF(A80="","",IF(AND(AH80&gt;0,AH80=$AH$6,COUNTIF($AH$9:AH80,AH80)=1),1,0))</f>
        <v/>
      </c>
    </row>
    <row r="81">
      <c r="A81" s="96" t="n"/>
      <c r="B81" s="96" t="n"/>
      <c r="C81" s="96" t="n"/>
      <c r="D81" s="97" t="n"/>
      <c r="E81" s="98" t="n"/>
      <c r="F81" s="99" t="n"/>
      <c r="G81" s="100" t="n"/>
      <c r="H81" s="101" t="str">
        <f>IF(A81="","",IF(AND(p_ModoCot="Automático",ISNUMBER(Z81)),Z81,IF(N(G81)&gt;0,G81,0)))</f>
        <v/>
      </c>
      <c r="I81" s="73" t="str">
        <f>IF(A81="","",IF(W81=0,"Sem câmbio",IF(AND(p_ModoCot="Automático",ISNUMBER(Z81)),"Auto",IF(N(G81)&gt;0,"Manual","Sem cotação"))))</f>
        <v/>
      </c>
      <c r="J81" s="102" t="str">
        <f>IF(A81="","",N(E81)*H81)</f>
        <v/>
      </c>
      <c r="K81" s="70" t="str">
        <f>IF(A81="","",J81*W81)</f>
        <v/>
      </c>
      <c r="L81" s="30" t="str">
        <f>IF(A81="","",IF($K$6&gt;0,K81/$K$6,0))</f>
        <v/>
      </c>
      <c r="M81" s="72" t="str">
        <f>IF(A81="","",N(F81)-L81)</f>
        <v/>
      </c>
      <c r="N81" s="30" t="str">
        <f>IF(A81="","",IF($AB$6&gt;0,AB81/$AB$6,0))</f>
        <v/>
      </c>
      <c r="O81" s="74" t="str">
        <f>IF(A81="","",IF(AB81&lt;=0,"",COUNTIF($AB$9:$AB$208,"&gt;"&amp;AB81)+COUNTIF($AB$9:AB81,AB81)))</f>
        <v/>
      </c>
      <c r="P81" s="73" t="str">
        <f>IF(A81="","",IF(Q81&gt;0,"BUY","HOLD"))</f>
        <v/>
      </c>
      <c r="Q81" s="70" t="str">
        <f>IF(A81="","",IF($W$7&lt;=0,0,IF($AC$6&gt;0,$W$7*AC81/$AC$6,IF($F$6&gt;0,$W$7*N(F81)/$F$6,0))))</f>
        <v/>
      </c>
      <c r="R81" s="103" t="str">
        <f>IF(A81="","",N(AD81)+IF(AI81=1,N(AG81),0))</f>
        <v/>
      </c>
      <c r="S81" s="103" t="str">
        <f>IF(A81="","",N(E81)+N(R81))</f>
        <v/>
      </c>
      <c r="T81" s="70" t="str">
        <f>IF(A81="","",IF(N(R81)&gt;0,R81*H81*W81*$W$6+p_CorrFixa,0))</f>
        <v/>
      </c>
      <c r="V81" s="85" t="str">
        <f>IF(A81="","",IF(D81="",$W$1,D81))</f>
        <v/>
      </c>
      <c r="W81" s="85" t="str">
        <f>IF(A81="","",IFERROR(INDEX(moeda_fx,MATCH(V81,moeda_cod,0)),0))</f>
        <v/>
      </c>
      <c r="X81" s="85" t="str">
        <f>IF(A81="","",IF($W$2="",UPPER(TRIM(A81)),IF(RIGHT(UPPER(TRIM(A81)),LEN($W$2))=$W$2,UPPER(TRIM(A81)),UPPER(TRIM(A81))&amp;$W$2)))</f>
        <v/>
      </c>
      <c r="Y81" s="85" t="str">
        <f>IF(OR(A81="",p_ModoCot&lt;&gt;"Automático"),"",IFERROR(_xlfn.WEBSERVICE("https://query1.finance.yahoo.com/v8/finance/chart/"&amp;X81&amp;"?range=1d&amp;interval=1d"),""))</f>
        <v/>
      </c>
      <c r="Z81" s="85" t="str">
        <f>IF(Y81="","",IFERROR(_xlfn.NUMBERVALUE(MID(Y81,SEARCH("""regularMarketPrice"":",Y81)+21,SEARCH(",",Y81&amp;",",SEARCH("""regularMarketPrice"":",Y81)+21)-SEARCH("""regularMarketPrice"":",Y81)-21),".",","),""))</f>
        <v/>
      </c>
      <c r="AA81" s="85" t="str">
        <f>IF(A81="","",ROUND(MAX(0,N(F81)*($K$6+$W$7)-K81),2))</f>
        <v/>
      </c>
      <c r="AB81" s="85" t="str">
        <f>IF(A81="","",IF(AND(M81&gt;0,M81&gt;=p_DifMin),AA81,0))</f>
        <v/>
      </c>
      <c r="AC81" s="85" t="str">
        <f>IF(A81="","",IF(AND(AB81&gt;0,N(O81)&lt;=p_MaxAtivos),AB81,0))</f>
        <v/>
      </c>
      <c r="AD81" s="85" t="str">
        <f>IF(A81="","",IF(OR(Q81&lt;=0,Q81&lt;p_CompraMin,N(H81)&lt;=0,N(W81)&lt;=0),0,IF($W$3="Sim",TRUNC(ROUND(MAX(0,(Q81-p_CorrFixa)/(H81*W81*$W$6)),9),$W$4),TRUNC(ROUND(MAX(0,(Q81-p_CorrFixa)/(H81*W81*$W$6)),9)/$W$5)*$W$5)))</f>
        <v/>
      </c>
      <c r="AE81" s="85" t="str">
        <f>IF(A81="","",IF(N(AD81)&gt;0,AD81*H81*W81*$W$6+p_CorrFixa,0))</f>
        <v/>
      </c>
      <c r="AF81" s="85" t="str">
        <f>IF(A81="","",IF(OR($Y$1&lt;=0,N(H81)&lt;=0,N(W81)&lt;=0,N(AB81)&lt;=0),0,IF($W$3="Sim",TRUNC(ROUND(MAX(0,($Y$1-IF(N(AD81)&gt;0,0,p_CorrFixa))/(H81*W81*$W$6)),9),$W$4),TRUNC(ROUND(MAX(0,($Y$1-IF(N(AD81)&gt;0,0,p_CorrFixa))/(H81*W81*$W$6)),9)/$W$5)*$W$5)))</f>
        <v/>
      </c>
      <c r="AG81" s="85" t="str">
        <f>IF(A81="","",IF(AND(N(AD81)=0,N(AF81)*(H81*W81*$W$6)+p_CorrFixa&lt;p_CompraMin),0,AF81))</f>
        <v/>
      </c>
      <c r="AH81" s="85" t="str">
        <f>IF(A81="","",IF(N(AG81)&gt;0,AB81,0))</f>
        <v/>
      </c>
      <c r="AI81" s="85" t="str">
        <f>IF(A81="","",IF(AND(AH81&gt;0,AH81=$AH$6,COUNTIF($AH$9:AH81,AH81)=1),1,0))</f>
        <v/>
      </c>
    </row>
    <row r="82">
      <c r="A82" s="96" t="n"/>
      <c r="B82" s="96" t="n"/>
      <c r="C82" s="96" t="n"/>
      <c r="D82" s="97" t="n"/>
      <c r="E82" s="98" t="n"/>
      <c r="F82" s="99" t="n"/>
      <c r="G82" s="100" t="n"/>
      <c r="H82" s="104" t="str">
        <f>IF(A82="","",IF(AND(p_ModoCot="Automático",ISNUMBER(Z82)),Z82,IF(N(G82)&gt;0,G82,0)))</f>
        <v/>
      </c>
      <c r="I82" s="105" t="str">
        <f>IF(A82="","",IF(W82=0,"Sem câmbio",IF(AND(p_ModoCot="Automático",ISNUMBER(Z82)),"Auto",IF(N(G82)&gt;0,"Manual","Sem cotação"))))</f>
        <v/>
      </c>
      <c r="J82" s="106" t="str">
        <f>IF(A82="","",N(E82)*H82)</f>
        <v/>
      </c>
      <c r="K82" s="107" t="str">
        <f>IF(A82="","",J82*W82)</f>
        <v/>
      </c>
      <c r="L82" s="108" t="str">
        <f>IF(A82="","",IF($K$6&gt;0,K82/$K$6,0))</f>
        <v/>
      </c>
      <c r="M82" s="109" t="str">
        <f>IF(A82="","",N(F82)-L82)</f>
        <v/>
      </c>
      <c r="N82" s="108" t="str">
        <f>IF(A82="","",IF($AB$6&gt;0,AB82/$AB$6,0))</f>
        <v/>
      </c>
      <c r="O82" s="110" t="str">
        <f>IF(A82="","",IF(AB82&lt;=0,"",COUNTIF($AB$9:$AB$208,"&gt;"&amp;AB82)+COUNTIF($AB$9:AB82,AB82)))</f>
        <v/>
      </c>
      <c r="P82" s="105" t="str">
        <f>IF(A82="","",IF(Q82&gt;0,"BUY","HOLD"))</f>
        <v/>
      </c>
      <c r="Q82" s="107" t="str">
        <f>IF(A82="","",IF($W$7&lt;=0,0,IF($AC$6&gt;0,$W$7*AC82/$AC$6,IF($F$6&gt;0,$W$7*N(F82)/$F$6,0))))</f>
        <v/>
      </c>
      <c r="R82" s="111" t="str">
        <f>IF(A82="","",N(AD82)+IF(AI82=1,N(AG82),0))</f>
        <v/>
      </c>
      <c r="S82" s="111" t="str">
        <f>IF(A82="","",N(E82)+N(R82))</f>
        <v/>
      </c>
      <c r="T82" s="107" t="str">
        <f>IF(A82="","",IF(N(R82)&gt;0,R82*H82*W82*$W$6+p_CorrFixa,0))</f>
        <v/>
      </c>
      <c r="V82" s="85" t="str">
        <f>IF(A82="","",IF(D82="",$W$1,D82))</f>
        <v/>
      </c>
      <c r="W82" s="85" t="str">
        <f>IF(A82="","",IFERROR(INDEX(moeda_fx,MATCH(V82,moeda_cod,0)),0))</f>
        <v/>
      </c>
      <c r="X82" s="85" t="str">
        <f>IF(A82="","",IF($W$2="",UPPER(TRIM(A82)),IF(RIGHT(UPPER(TRIM(A82)),LEN($W$2))=$W$2,UPPER(TRIM(A82)),UPPER(TRIM(A82))&amp;$W$2)))</f>
        <v/>
      </c>
      <c r="Y82" s="85" t="str">
        <f>IF(OR(A82="",p_ModoCot&lt;&gt;"Automático"),"",IFERROR(_xlfn.WEBSERVICE("https://query1.finance.yahoo.com/v8/finance/chart/"&amp;X82&amp;"?range=1d&amp;interval=1d"),""))</f>
        <v/>
      </c>
      <c r="Z82" s="85" t="str">
        <f>IF(Y82="","",IFERROR(_xlfn.NUMBERVALUE(MID(Y82,SEARCH("""regularMarketPrice"":",Y82)+21,SEARCH(",",Y82&amp;",",SEARCH("""regularMarketPrice"":",Y82)+21)-SEARCH("""regularMarketPrice"":",Y82)-21),".",","),""))</f>
        <v/>
      </c>
      <c r="AA82" s="85" t="str">
        <f>IF(A82="","",ROUND(MAX(0,N(F82)*($K$6+$W$7)-K82),2))</f>
        <v/>
      </c>
      <c r="AB82" s="85" t="str">
        <f>IF(A82="","",IF(AND(M82&gt;0,M82&gt;=p_DifMin),AA82,0))</f>
        <v/>
      </c>
      <c r="AC82" s="85" t="str">
        <f>IF(A82="","",IF(AND(AB82&gt;0,N(O82)&lt;=p_MaxAtivos),AB82,0))</f>
        <v/>
      </c>
      <c r="AD82" s="85" t="str">
        <f>IF(A82="","",IF(OR(Q82&lt;=0,Q82&lt;p_CompraMin,N(H82)&lt;=0,N(W82)&lt;=0),0,IF($W$3="Sim",TRUNC(ROUND(MAX(0,(Q82-p_CorrFixa)/(H82*W82*$W$6)),9),$W$4),TRUNC(ROUND(MAX(0,(Q82-p_CorrFixa)/(H82*W82*$W$6)),9)/$W$5)*$W$5)))</f>
        <v/>
      </c>
      <c r="AE82" s="85" t="str">
        <f>IF(A82="","",IF(N(AD82)&gt;0,AD82*H82*W82*$W$6+p_CorrFixa,0))</f>
        <v/>
      </c>
      <c r="AF82" s="85" t="str">
        <f>IF(A82="","",IF(OR($Y$1&lt;=0,N(H82)&lt;=0,N(W82)&lt;=0,N(AB82)&lt;=0),0,IF($W$3="Sim",TRUNC(ROUND(MAX(0,($Y$1-IF(N(AD82)&gt;0,0,p_CorrFixa))/(H82*W82*$W$6)),9),$W$4),TRUNC(ROUND(MAX(0,($Y$1-IF(N(AD82)&gt;0,0,p_CorrFixa))/(H82*W82*$W$6)),9)/$W$5)*$W$5)))</f>
        <v/>
      </c>
      <c r="AG82" s="85" t="str">
        <f>IF(A82="","",IF(AND(N(AD82)=0,N(AF82)*(H82*W82*$W$6)+p_CorrFixa&lt;p_CompraMin),0,AF82))</f>
        <v/>
      </c>
      <c r="AH82" s="85" t="str">
        <f>IF(A82="","",IF(N(AG82)&gt;0,AB82,0))</f>
        <v/>
      </c>
      <c r="AI82" s="85" t="str">
        <f>IF(A82="","",IF(AND(AH82&gt;0,AH82=$AH$6,COUNTIF($AH$9:AH82,AH82)=1),1,0))</f>
        <v/>
      </c>
    </row>
    <row r="83">
      <c r="A83" s="96" t="n"/>
      <c r="B83" s="96" t="n"/>
      <c r="C83" s="96" t="n"/>
      <c r="D83" s="97" t="n"/>
      <c r="E83" s="98" t="n"/>
      <c r="F83" s="99" t="n"/>
      <c r="G83" s="100" t="n"/>
      <c r="H83" s="101" t="str">
        <f>IF(A83="","",IF(AND(p_ModoCot="Automático",ISNUMBER(Z83)),Z83,IF(N(G83)&gt;0,G83,0)))</f>
        <v/>
      </c>
      <c r="I83" s="73" t="str">
        <f>IF(A83="","",IF(W83=0,"Sem câmbio",IF(AND(p_ModoCot="Automático",ISNUMBER(Z83)),"Auto",IF(N(G83)&gt;0,"Manual","Sem cotação"))))</f>
        <v/>
      </c>
      <c r="J83" s="102" t="str">
        <f>IF(A83="","",N(E83)*H83)</f>
        <v/>
      </c>
      <c r="K83" s="70" t="str">
        <f>IF(A83="","",J83*W83)</f>
        <v/>
      </c>
      <c r="L83" s="30" t="str">
        <f>IF(A83="","",IF($K$6&gt;0,K83/$K$6,0))</f>
        <v/>
      </c>
      <c r="M83" s="72" t="str">
        <f>IF(A83="","",N(F83)-L83)</f>
        <v/>
      </c>
      <c r="N83" s="30" t="str">
        <f>IF(A83="","",IF($AB$6&gt;0,AB83/$AB$6,0))</f>
        <v/>
      </c>
      <c r="O83" s="74" t="str">
        <f>IF(A83="","",IF(AB83&lt;=0,"",COUNTIF($AB$9:$AB$208,"&gt;"&amp;AB83)+COUNTIF($AB$9:AB83,AB83)))</f>
        <v/>
      </c>
      <c r="P83" s="73" t="str">
        <f>IF(A83="","",IF(Q83&gt;0,"BUY","HOLD"))</f>
        <v/>
      </c>
      <c r="Q83" s="70" t="str">
        <f>IF(A83="","",IF($W$7&lt;=0,0,IF($AC$6&gt;0,$W$7*AC83/$AC$6,IF($F$6&gt;0,$W$7*N(F83)/$F$6,0))))</f>
        <v/>
      </c>
      <c r="R83" s="103" t="str">
        <f>IF(A83="","",N(AD83)+IF(AI83=1,N(AG83),0))</f>
        <v/>
      </c>
      <c r="S83" s="103" t="str">
        <f>IF(A83="","",N(E83)+N(R83))</f>
        <v/>
      </c>
      <c r="T83" s="70" t="str">
        <f>IF(A83="","",IF(N(R83)&gt;0,R83*H83*W83*$W$6+p_CorrFixa,0))</f>
        <v/>
      </c>
      <c r="V83" s="85" t="str">
        <f>IF(A83="","",IF(D83="",$W$1,D83))</f>
        <v/>
      </c>
      <c r="W83" s="85" t="str">
        <f>IF(A83="","",IFERROR(INDEX(moeda_fx,MATCH(V83,moeda_cod,0)),0))</f>
        <v/>
      </c>
      <c r="X83" s="85" t="str">
        <f>IF(A83="","",IF($W$2="",UPPER(TRIM(A83)),IF(RIGHT(UPPER(TRIM(A83)),LEN($W$2))=$W$2,UPPER(TRIM(A83)),UPPER(TRIM(A83))&amp;$W$2)))</f>
        <v/>
      </c>
      <c r="Y83" s="85" t="str">
        <f>IF(OR(A83="",p_ModoCot&lt;&gt;"Automático"),"",IFERROR(_xlfn.WEBSERVICE("https://query1.finance.yahoo.com/v8/finance/chart/"&amp;X83&amp;"?range=1d&amp;interval=1d"),""))</f>
        <v/>
      </c>
      <c r="Z83" s="85" t="str">
        <f>IF(Y83="","",IFERROR(_xlfn.NUMBERVALUE(MID(Y83,SEARCH("""regularMarketPrice"":",Y83)+21,SEARCH(",",Y83&amp;",",SEARCH("""regularMarketPrice"":",Y83)+21)-SEARCH("""regularMarketPrice"":",Y83)-21),".",","),""))</f>
        <v/>
      </c>
      <c r="AA83" s="85" t="str">
        <f>IF(A83="","",ROUND(MAX(0,N(F83)*($K$6+$W$7)-K83),2))</f>
        <v/>
      </c>
      <c r="AB83" s="85" t="str">
        <f>IF(A83="","",IF(AND(M83&gt;0,M83&gt;=p_DifMin),AA83,0))</f>
        <v/>
      </c>
      <c r="AC83" s="85" t="str">
        <f>IF(A83="","",IF(AND(AB83&gt;0,N(O83)&lt;=p_MaxAtivos),AB83,0))</f>
        <v/>
      </c>
      <c r="AD83" s="85" t="str">
        <f>IF(A83="","",IF(OR(Q83&lt;=0,Q83&lt;p_CompraMin,N(H83)&lt;=0,N(W83)&lt;=0),0,IF($W$3="Sim",TRUNC(ROUND(MAX(0,(Q83-p_CorrFixa)/(H83*W83*$W$6)),9),$W$4),TRUNC(ROUND(MAX(0,(Q83-p_CorrFixa)/(H83*W83*$W$6)),9)/$W$5)*$W$5)))</f>
        <v/>
      </c>
      <c r="AE83" s="85" t="str">
        <f>IF(A83="","",IF(N(AD83)&gt;0,AD83*H83*W83*$W$6+p_CorrFixa,0))</f>
        <v/>
      </c>
      <c r="AF83" s="85" t="str">
        <f>IF(A83="","",IF(OR($Y$1&lt;=0,N(H83)&lt;=0,N(W83)&lt;=0,N(AB83)&lt;=0),0,IF($W$3="Sim",TRUNC(ROUND(MAX(0,($Y$1-IF(N(AD83)&gt;0,0,p_CorrFixa))/(H83*W83*$W$6)),9),$W$4),TRUNC(ROUND(MAX(0,($Y$1-IF(N(AD83)&gt;0,0,p_CorrFixa))/(H83*W83*$W$6)),9)/$W$5)*$W$5)))</f>
        <v/>
      </c>
      <c r="AG83" s="85" t="str">
        <f>IF(A83="","",IF(AND(N(AD83)=0,N(AF83)*(H83*W83*$W$6)+p_CorrFixa&lt;p_CompraMin),0,AF83))</f>
        <v/>
      </c>
      <c r="AH83" s="85" t="str">
        <f>IF(A83="","",IF(N(AG83)&gt;0,AB83,0))</f>
        <v/>
      </c>
      <c r="AI83" s="85" t="str">
        <f>IF(A83="","",IF(AND(AH83&gt;0,AH83=$AH$6,COUNTIF($AH$9:AH83,AH83)=1),1,0))</f>
        <v/>
      </c>
    </row>
    <row r="84">
      <c r="A84" s="96" t="n"/>
      <c r="B84" s="96" t="n"/>
      <c r="C84" s="96" t="n"/>
      <c r="D84" s="97" t="n"/>
      <c r="E84" s="98" t="n"/>
      <c r="F84" s="99" t="n"/>
      <c r="G84" s="100" t="n"/>
      <c r="H84" s="104" t="str">
        <f>IF(A84="","",IF(AND(p_ModoCot="Automático",ISNUMBER(Z84)),Z84,IF(N(G84)&gt;0,G84,0)))</f>
        <v/>
      </c>
      <c r="I84" s="105" t="str">
        <f>IF(A84="","",IF(W84=0,"Sem câmbio",IF(AND(p_ModoCot="Automático",ISNUMBER(Z84)),"Auto",IF(N(G84)&gt;0,"Manual","Sem cotação"))))</f>
        <v/>
      </c>
      <c r="J84" s="106" t="str">
        <f>IF(A84="","",N(E84)*H84)</f>
        <v/>
      </c>
      <c r="K84" s="107" t="str">
        <f>IF(A84="","",J84*W84)</f>
        <v/>
      </c>
      <c r="L84" s="108" t="str">
        <f>IF(A84="","",IF($K$6&gt;0,K84/$K$6,0))</f>
        <v/>
      </c>
      <c r="M84" s="109" t="str">
        <f>IF(A84="","",N(F84)-L84)</f>
        <v/>
      </c>
      <c r="N84" s="108" t="str">
        <f>IF(A84="","",IF($AB$6&gt;0,AB84/$AB$6,0))</f>
        <v/>
      </c>
      <c r="O84" s="110" t="str">
        <f>IF(A84="","",IF(AB84&lt;=0,"",COUNTIF($AB$9:$AB$208,"&gt;"&amp;AB84)+COUNTIF($AB$9:AB84,AB84)))</f>
        <v/>
      </c>
      <c r="P84" s="105" t="str">
        <f>IF(A84="","",IF(Q84&gt;0,"BUY","HOLD"))</f>
        <v/>
      </c>
      <c r="Q84" s="107" t="str">
        <f>IF(A84="","",IF($W$7&lt;=0,0,IF($AC$6&gt;0,$W$7*AC84/$AC$6,IF($F$6&gt;0,$W$7*N(F84)/$F$6,0))))</f>
        <v/>
      </c>
      <c r="R84" s="111" t="str">
        <f>IF(A84="","",N(AD84)+IF(AI84=1,N(AG84),0))</f>
        <v/>
      </c>
      <c r="S84" s="111" t="str">
        <f>IF(A84="","",N(E84)+N(R84))</f>
        <v/>
      </c>
      <c r="T84" s="107" t="str">
        <f>IF(A84="","",IF(N(R84)&gt;0,R84*H84*W84*$W$6+p_CorrFixa,0))</f>
        <v/>
      </c>
      <c r="V84" s="85" t="str">
        <f>IF(A84="","",IF(D84="",$W$1,D84))</f>
        <v/>
      </c>
      <c r="W84" s="85" t="str">
        <f>IF(A84="","",IFERROR(INDEX(moeda_fx,MATCH(V84,moeda_cod,0)),0))</f>
        <v/>
      </c>
      <c r="X84" s="85" t="str">
        <f>IF(A84="","",IF($W$2="",UPPER(TRIM(A84)),IF(RIGHT(UPPER(TRIM(A84)),LEN($W$2))=$W$2,UPPER(TRIM(A84)),UPPER(TRIM(A84))&amp;$W$2)))</f>
        <v/>
      </c>
      <c r="Y84" s="85" t="str">
        <f>IF(OR(A84="",p_ModoCot&lt;&gt;"Automático"),"",IFERROR(_xlfn.WEBSERVICE("https://query1.finance.yahoo.com/v8/finance/chart/"&amp;X84&amp;"?range=1d&amp;interval=1d"),""))</f>
        <v/>
      </c>
      <c r="Z84" s="85" t="str">
        <f>IF(Y84="","",IFERROR(_xlfn.NUMBERVALUE(MID(Y84,SEARCH("""regularMarketPrice"":",Y84)+21,SEARCH(",",Y84&amp;",",SEARCH("""regularMarketPrice"":",Y84)+21)-SEARCH("""regularMarketPrice"":",Y84)-21),".",","),""))</f>
        <v/>
      </c>
      <c r="AA84" s="85" t="str">
        <f>IF(A84="","",ROUND(MAX(0,N(F84)*($K$6+$W$7)-K84),2))</f>
        <v/>
      </c>
      <c r="AB84" s="85" t="str">
        <f>IF(A84="","",IF(AND(M84&gt;0,M84&gt;=p_DifMin),AA84,0))</f>
        <v/>
      </c>
      <c r="AC84" s="85" t="str">
        <f>IF(A84="","",IF(AND(AB84&gt;0,N(O84)&lt;=p_MaxAtivos),AB84,0))</f>
        <v/>
      </c>
      <c r="AD84" s="85" t="str">
        <f>IF(A84="","",IF(OR(Q84&lt;=0,Q84&lt;p_CompraMin,N(H84)&lt;=0,N(W84)&lt;=0),0,IF($W$3="Sim",TRUNC(ROUND(MAX(0,(Q84-p_CorrFixa)/(H84*W84*$W$6)),9),$W$4),TRUNC(ROUND(MAX(0,(Q84-p_CorrFixa)/(H84*W84*$W$6)),9)/$W$5)*$W$5)))</f>
        <v/>
      </c>
      <c r="AE84" s="85" t="str">
        <f>IF(A84="","",IF(N(AD84)&gt;0,AD84*H84*W84*$W$6+p_CorrFixa,0))</f>
        <v/>
      </c>
      <c r="AF84" s="85" t="str">
        <f>IF(A84="","",IF(OR($Y$1&lt;=0,N(H84)&lt;=0,N(W84)&lt;=0,N(AB84)&lt;=0),0,IF($W$3="Sim",TRUNC(ROUND(MAX(0,($Y$1-IF(N(AD84)&gt;0,0,p_CorrFixa))/(H84*W84*$W$6)),9),$W$4),TRUNC(ROUND(MAX(0,($Y$1-IF(N(AD84)&gt;0,0,p_CorrFixa))/(H84*W84*$W$6)),9)/$W$5)*$W$5)))</f>
        <v/>
      </c>
      <c r="AG84" s="85" t="str">
        <f>IF(A84="","",IF(AND(N(AD84)=0,N(AF84)*(H84*W84*$W$6)+p_CorrFixa&lt;p_CompraMin),0,AF84))</f>
        <v/>
      </c>
      <c r="AH84" s="85" t="str">
        <f>IF(A84="","",IF(N(AG84)&gt;0,AB84,0))</f>
        <v/>
      </c>
      <c r="AI84" s="85" t="str">
        <f>IF(A84="","",IF(AND(AH84&gt;0,AH84=$AH$6,COUNTIF($AH$9:AH84,AH84)=1),1,0))</f>
        <v/>
      </c>
    </row>
    <row r="85">
      <c r="A85" s="96" t="n"/>
      <c r="B85" s="96" t="n"/>
      <c r="C85" s="96" t="n"/>
      <c r="D85" s="97" t="n"/>
      <c r="E85" s="98" t="n"/>
      <c r="F85" s="99" t="n"/>
      <c r="G85" s="100" t="n"/>
      <c r="H85" s="101" t="str">
        <f>IF(A85="","",IF(AND(p_ModoCot="Automático",ISNUMBER(Z85)),Z85,IF(N(G85)&gt;0,G85,0)))</f>
        <v/>
      </c>
      <c r="I85" s="73" t="str">
        <f>IF(A85="","",IF(W85=0,"Sem câmbio",IF(AND(p_ModoCot="Automático",ISNUMBER(Z85)),"Auto",IF(N(G85)&gt;0,"Manual","Sem cotação"))))</f>
        <v/>
      </c>
      <c r="J85" s="102" t="str">
        <f>IF(A85="","",N(E85)*H85)</f>
        <v/>
      </c>
      <c r="K85" s="70" t="str">
        <f>IF(A85="","",J85*W85)</f>
        <v/>
      </c>
      <c r="L85" s="30" t="str">
        <f>IF(A85="","",IF($K$6&gt;0,K85/$K$6,0))</f>
        <v/>
      </c>
      <c r="M85" s="72" t="str">
        <f>IF(A85="","",N(F85)-L85)</f>
        <v/>
      </c>
      <c r="N85" s="30" t="str">
        <f>IF(A85="","",IF($AB$6&gt;0,AB85/$AB$6,0))</f>
        <v/>
      </c>
      <c r="O85" s="74" t="str">
        <f>IF(A85="","",IF(AB85&lt;=0,"",COUNTIF($AB$9:$AB$208,"&gt;"&amp;AB85)+COUNTIF($AB$9:AB85,AB85)))</f>
        <v/>
      </c>
      <c r="P85" s="73" t="str">
        <f>IF(A85="","",IF(Q85&gt;0,"BUY","HOLD"))</f>
        <v/>
      </c>
      <c r="Q85" s="70" t="str">
        <f>IF(A85="","",IF($W$7&lt;=0,0,IF($AC$6&gt;0,$W$7*AC85/$AC$6,IF($F$6&gt;0,$W$7*N(F85)/$F$6,0))))</f>
        <v/>
      </c>
      <c r="R85" s="103" t="str">
        <f>IF(A85="","",N(AD85)+IF(AI85=1,N(AG85),0))</f>
        <v/>
      </c>
      <c r="S85" s="103" t="str">
        <f>IF(A85="","",N(E85)+N(R85))</f>
        <v/>
      </c>
      <c r="T85" s="70" t="str">
        <f>IF(A85="","",IF(N(R85)&gt;0,R85*H85*W85*$W$6+p_CorrFixa,0))</f>
        <v/>
      </c>
      <c r="V85" s="85" t="str">
        <f>IF(A85="","",IF(D85="",$W$1,D85))</f>
        <v/>
      </c>
      <c r="W85" s="85" t="str">
        <f>IF(A85="","",IFERROR(INDEX(moeda_fx,MATCH(V85,moeda_cod,0)),0))</f>
        <v/>
      </c>
      <c r="X85" s="85" t="str">
        <f>IF(A85="","",IF($W$2="",UPPER(TRIM(A85)),IF(RIGHT(UPPER(TRIM(A85)),LEN($W$2))=$W$2,UPPER(TRIM(A85)),UPPER(TRIM(A85))&amp;$W$2)))</f>
        <v/>
      </c>
      <c r="Y85" s="85" t="str">
        <f>IF(OR(A85="",p_ModoCot&lt;&gt;"Automático"),"",IFERROR(_xlfn.WEBSERVICE("https://query1.finance.yahoo.com/v8/finance/chart/"&amp;X85&amp;"?range=1d&amp;interval=1d"),""))</f>
        <v/>
      </c>
      <c r="Z85" s="85" t="str">
        <f>IF(Y85="","",IFERROR(_xlfn.NUMBERVALUE(MID(Y85,SEARCH("""regularMarketPrice"":",Y85)+21,SEARCH(",",Y85&amp;",",SEARCH("""regularMarketPrice"":",Y85)+21)-SEARCH("""regularMarketPrice"":",Y85)-21),".",","),""))</f>
        <v/>
      </c>
      <c r="AA85" s="85" t="str">
        <f>IF(A85="","",ROUND(MAX(0,N(F85)*($K$6+$W$7)-K85),2))</f>
        <v/>
      </c>
      <c r="AB85" s="85" t="str">
        <f>IF(A85="","",IF(AND(M85&gt;0,M85&gt;=p_DifMin),AA85,0))</f>
        <v/>
      </c>
      <c r="AC85" s="85" t="str">
        <f>IF(A85="","",IF(AND(AB85&gt;0,N(O85)&lt;=p_MaxAtivos),AB85,0))</f>
        <v/>
      </c>
      <c r="AD85" s="85" t="str">
        <f>IF(A85="","",IF(OR(Q85&lt;=0,Q85&lt;p_CompraMin,N(H85)&lt;=0,N(W85)&lt;=0),0,IF($W$3="Sim",TRUNC(ROUND(MAX(0,(Q85-p_CorrFixa)/(H85*W85*$W$6)),9),$W$4),TRUNC(ROUND(MAX(0,(Q85-p_CorrFixa)/(H85*W85*$W$6)),9)/$W$5)*$W$5)))</f>
        <v/>
      </c>
      <c r="AE85" s="85" t="str">
        <f>IF(A85="","",IF(N(AD85)&gt;0,AD85*H85*W85*$W$6+p_CorrFixa,0))</f>
        <v/>
      </c>
      <c r="AF85" s="85" t="str">
        <f>IF(A85="","",IF(OR($Y$1&lt;=0,N(H85)&lt;=0,N(W85)&lt;=0,N(AB85)&lt;=0),0,IF($W$3="Sim",TRUNC(ROUND(MAX(0,($Y$1-IF(N(AD85)&gt;0,0,p_CorrFixa))/(H85*W85*$W$6)),9),$W$4),TRUNC(ROUND(MAX(0,($Y$1-IF(N(AD85)&gt;0,0,p_CorrFixa))/(H85*W85*$W$6)),9)/$W$5)*$W$5)))</f>
        <v/>
      </c>
      <c r="AG85" s="85" t="str">
        <f>IF(A85="","",IF(AND(N(AD85)=0,N(AF85)*(H85*W85*$W$6)+p_CorrFixa&lt;p_CompraMin),0,AF85))</f>
        <v/>
      </c>
      <c r="AH85" s="85" t="str">
        <f>IF(A85="","",IF(N(AG85)&gt;0,AB85,0))</f>
        <v/>
      </c>
      <c r="AI85" s="85" t="str">
        <f>IF(A85="","",IF(AND(AH85&gt;0,AH85=$AH$6,COUNTIF($AH$9:AH85,AH85)=1),1,0))</f>
        <v/>
      </c>
    </row>
    <row r="86">
      <c r="A86" s="96" t="n"/>
      <c r="B86" s="96" t="n"/>
      <c r="C86" s="96" t="n"/>
      <c r="D86" s="97" t="n"/>
      <c r="E86" s="98" t="n"/>
      <c r="F86" s="99" t="n"/>
      <c r="G86" s="100" t="n"/>
      <c r="H86" s="104" t="str">
        <f>IF(A86="","",IF(AND(p_ModoCot="Automático",ISNUMBER(Z86)),Z86,IF(N(G86)&gt;0,G86,0)))</f>
        <v/>
      </c>
      <c r="I86" s="105" t="str">
        <f>IF(A86="","",IF(W86=0,"Sem câmbio",IF(AND(p_ModoCot="Automático",ISNUMBER(Z86)),"Auto",IF(N(G86)&gt;0,"Manual","Sem cotação"))))</f>
        <v/>
      </c>
      <c r="J86" s="106" t="str">
        <f>IF(A86="","",N(E86)*H86)</f>
        <v/>
      </c>
      <c r="K86" s="107" t="str">
        <f>IF(A86="","",J86*W86)</f>
        <v/>
      </c>
      <c r="L86" s="108" t="str">
        <f>IF(A86="","",IF($K$6&gt;0,K86/$K$6,0))</f>
        <v/>
      </c>
      <c r="M86" s="109" t="str">
        <f>IF(A86="","",N(F86)-L86)</f>
        <v/>
      </c>
      <c r="N86" s="108" t="str">
        <f>IF(A86="","",IF($AB$6&gt;0,AB86/$AB$6,0))</f>
        <v/>
      </c>
      <c r="O86" s="110" t="str">
        <f>IF(A86="","",IF(AB86&lt;=0,"",COUNTIF($AB$9:$AB$208,"&gt;"&amp;AB86)+COUNTIF($AB$9:AB86,AB86)))</f>
        <v/>
      </c>
      <c r="P86" s="105" t="str">
        <f>IF(A86="","",IF(Q86&gt;0,"BUY","HOLD"))</f>
        <v/>
      </c>
      <c r="Q86" s="107" t="str">
        <f>IF(A86="","",IF($W$7&lt;=0,0,IF($AC$6&gt;0,$W$7*AC86/$AC$6,IF($F$6&gt;0,$W$7*N(F86)/$F$6,0))))</f>
        <v/>
      </c>
      <c r="R86" s="111" t="str">
        <f>IF(A86="","",N(AD86)+IF(AI86=1,N(AG86),0))</f>
        <v/>
      </c>
      <c r="S86" s="111" t="str">
        <f>IF(A86="","",N(E86)+N(R86))</f>
        <v/>
      </c>
      <c r="T86" s="107" t="str">
        <f>IF(A86="","",IF(N(R86)&gt;0,R86*H86*W86*$W$6+p_CorrFixa,0))</f>
        <v/>
      </c>
      <c r="V86" s="85" t="str">
        <f>IF(A86="","",IF(D86="",$W$1,D86))</f>
        <v/>
      </c>
      <c r="W86" s="85" t="str">
        <f>IF(A86="","",IFERROR(INDEX(moeda_fx,MATCH(V86,moeda_cod,0)),0))</f>
        <v/>
      </c>
      <c r="X86" s="85" t="str">
        <f>IF(A86="","",IF($W$2="",UPPER(TRIM(A86)),IF(RIGHT(UPPER(TRIM(A86)),LEN($W$2))=$W$2,UPPER(TRIM(A86)),UPPER(TRIM(A86))&amp;$W$2)))</f>
        <v/>
      </c>
      <c r="Y86" s="85" t="str">
        <f>IF(OR(A86="",p_ModoCot&lt;&gt;"Automático"),"",IFERROR(_xlfn.WEBSERVICE("https://query1.finance.yahoo.com/v8/finance/chart/"&amp;X86&amp;"?range=1d&amp;interval=1d"),""))</f>
        <v/>
      </c>
      <c r="Z86" s="85" t="str">
        <f>IF(Y86="","",IFERROR(_xlfn.NUMBERVALUE(MID(Y86,SEARCH("""regularMarketPrice"":",Y86)+21,SEARCH(",",Y86&amp;",",SEARCH("""regularMarketPrice"":",Y86)+21)-SEARCH("""regularMarketPrice"":",Y86)-21),".",","),""))</f>
        <v/>
      </c>
      <c r="AA86" s="85" t="str">
        <f>IF(A86="","",ROUND(MAX(0,N(F86)*($K$6+$W$7)-K86),2))</f>
        <v/>
      </c>
      <c r="AB86" s="85" t="str">
        <f>IF(A86="","",IF(AND(M86&gt;0,M86&gt;=p_DifMin),AA86,0))</f>
        <v/>
      </c>
      <c r="AC86" s="85" t="str">
        <f>IF(A86="","",IF(AND(AB86&gt;0,N(O86)&lt;=p_MaxAtivos),AB86,0))</f>
        <v/>
      </c>
      <c r="AD86" s="85" t="str">
        <f>IF(A86="","",IF(OR(Q86&lt;=0,Q86&lt;p_CompraMin,N(H86)&lt;=0,N(W86)&lt;=0),0,IF($W$3="Sim",TRUNC(ROUND(MAX(0,(Q86-p_CorrFixa)/(H86*W86*$W$6)),9),$W$4),TRUNC(ROUND(MAX(0,(Q86-p_CorrFixa)/(H86*W86*$W$6)),9)/$W$5)*$W$5)))</f>
        <v/>
      </c>
      <c r="AE86" s="85" t="str">
        <f>IF(A86="","",IF(N(AD86)&gt;0,AD86*H86*W86*$W$6+p_CorrFixa,0))</f>
        <v/>
      </c>
      <c r="AF86" s="85" t="str">
        <f>IF(A86="","",IF(OR($Y$1&lt;=0,N(H86)&lt;=0,N(W86)&lt;=0,N(AB86)&lt;=0),0,IF($W$3="Sim",TRUNC(ROUND(MAX(0,($Y$1-IF(N(AD86)&gt;0,0,p_CorrFixa))/(H86*W86*$W$6)),9),$W$4),TRUNC(ROUND(MAX(0,($Y$1-IF(N(AD86)&gt;0,0,p_CorrFixa))/(H86*W86*$W$6)),9)/$W$5)*$W$5)))</f>
        <v/>
      </c>
      <c r="AG86" s="85" t="str">
        <f>IF(A86="","",IF(AND(N(AD86)=0,N(AF86)*(H86*W86*$W$6)+p_CorrFixa&lt;p_CompraMin),0,AF86))</f>
        <v/>
      </c>
      <c r="AH86" s="85" t="str">
        <f>IF(A86="","",IF(N(AG86)&gt;0,AB86,0))</f>
        <v/>
      </c>
      <c r="AI86" s="85" t="str">
        <f>IF(A86="","",IF(AND(AH86&gt;0,AH86=$AH$6,COUNTIF($AH$9:AH86,AH86)=1),1,0))</f>
        <v/>
      </c>
    </row>
    <row r="87">
      <c r="A87" s="96" t="n"/>
      <c r="B87" s="96" t="n"/>
      <c r="C87" s="96" t="n"/>
      <c r="D87" s="97" t="n"/>
      <c r="E87" s="98" t="n"/>
      <c r="F87" s="99" t="n"/>
      <c r="G87" s="100" t="n"/>
      <c r="H87" s="101" t="str">
        <f>IF(A87="","",IF(AND(p_ModoCot="Automático",ISNUMBER(Z87)),Z87,IF(N(G87)&gt;0,G87,0)))</f>
        <v/>
      </c>
      <c r="I87" s="73" t="str">
        <f>IF(A87="","",IF(W87=0,"Sem câmbio",IF(AND(p_ModoCot="Automático",ISNUMBER(Z87)),"Auto",IF(N(G87)&gt;0,"Manual","Sem cotação"))))</f>
        <v/>
      </c>
      <c r="J87" s="102" t="str">
        <f>IF(A87="","",N(E87)*H87)</f>
        <v/>
      </c>
      <c r="K87" s="70" t="str">
        <f>IF(A87="","",J87*W87)</f>
        <v/>
      </c>
      <c r="L87" s="30" t="str">
        <f>IF(A87="","",IF($K$6&gt;0,K87/$K$6,0))</f>
        <v/>
      </c>
      <c r="M87" s="72" t="str">
        <f>IF(A87="","",N(F87)-L87)</f>
        <v/>
      </c>
      <c r="N87" s="30" t="str">
        <f>IF(A87="","",IF($AB$6&gt;0,AB87/$AB$6,0))</f>
        <v/>
      </c>
      <c r="O87" s="74" t="str">
        <f>IF(A87="","",IF(AB87&lt;=0,"",COUNTIF($AB$9:$AB$208,"&gt;"&amp;AB87)+COUNTIF($AB$9:AB87,AB87)))</f>
        <v/>
      </c>
      <c r="P87" s="73" t="str">
        <f>IF(A87="","",IF(Q87&gt;0,"BUY","HOLD"))</f>
        <v/>
      </c>
      <c r="Q87" s="70" t="str">
        <f>IF(A87="","",IF($W$7&lt;=0,0,IF($AC$6&gt;0,$W$7*AC87/$AC$6,IF($F$6&gt;0,$W$7*N(F87)/$F$6,0))))</f>
        <v/>
      </c>
      <c r="R87" s="103" t="str">
        <f>IF(A87="","",N(AD87)+IF(AI87=1,N(AG87),0))</f>
        <v/>
      </c>
      <c r="S87" s="103" t="str">
        <f>IF(A87="","",N(E87)+N(R87))</f>
        <v/>
      </c>
      <c r="T87" s="70" t="str">
        <f>IF(A87="","",IF(N(R87)&gt;0,R87*H87*W87*$W$6+p_CorrFixa,0))</f>
        <v/>
      </c>
      <c r="V87" s="85" t="str">
        <f>IF(A87="","",IF(D87="",$W$1,D87))</f>
        <v/>
      </c>
      <c r="W87" s="85" t="str">
        <f>IF(A87="","",IFERROR(INDEX(moeda_fx,MATCH(V87,moeda_cod,0)),0))</f>
        <v/>
      </c>
      <c r="X87" s="85" t="str">
        <f>IF(A87="","",IF($W$2="",UPPER(TRIM(A87)),IF(RIGHT(UPPER(TRIM(A87)),LEN($W$2))=$W$2,UPPER(TRIM(A87)),UPPER(TRIM(A87))&amp;$W$2)))</f>
        <v/>
      </c>
      <c r="Y87" s="85" t="str">
        <f>IF(OR(A87="",p_ModoCot&lt;&gt;"Automático"),"",IFERROR(_xlfn.WEBSERVICE("https://query1.finance.yahoo.com/v8/finance/chart/"&amp;X87&amp;"?range=1d&amp;interval=1d"),""))</f>
        <v/>
      </c>
      <c r="Z87" s="85" t="str">
        <f>IF(Y87="","",IFERROR(_xlfn.NUMBERVALUE(MID(Y87,SEARCH("""regularMarketPrice"":",Y87)+21,SEARCH(",",Y87&amp;",",SEARCH("""regularMarketPrice"":",Y87)+21)-SEARCH("""regularMarketPrice"":",Y87)-21),".",","),""))</f>
        <v/>
      </c>
      <c r="AA87" s="85" t="str">
        <f>IF(A87="","",ROUND(MAX(0,N(F87)*($K$6+$W$7)-K87),2))</f>
        <v/>
      </c>
      <c r="AB87" s="85" t="str">
        <f>IF(A87="","",IF(AND(M87&gt;0,M87&gt;=p_DifMin),AA87,0))</f>
        <v/>
      </c>
      <c r="AC87" s="85" t="str">
        <f>IF(A87="","",IF(AND(AB87&gt;0,N(O87)&lt;=p_MaxAtivos),AB87,0))</f>
        <v/>
      </c>
      <c r="AD87" s="85" t="str">
        <f>IF(A87="","",IF(OR(Q87&lt;=0,Q87&lt;p_CompraMin,N(H87)&lt;=0,N(W87)&lt;=0),0,IF($W$3="Sim",TRUNC(ROUND(MAX(0,(Q87-p_CorrFixa)/(H87*W87*$W$6)),9),$W$4),TRUNC(ROUND(MAX(0,(Q87-p_CorrFixa)/(H87*W87*$W$6)),9)/$W$5)*$W$5)))</f>
        <v/>
      </c>
      <c r="AE87" s="85" t="str">
        <f>IF(A87="","",IF(N(AD87)&gt;0,AD87*H87*W87*$W$6+p_CorrFixa,0))</f>
        <v/>
      </c>
      <c r="AF87" s="85" t="str">
        <f>IF(A87="","",IF(OR($Y$1&lt;=0,N(H87)&lt;=0,N(W87)&lt;=0,N(AB87)&lt;=0),0,IF($W$3="Sim",TRUNC(ROUND(MAX(0,($Y$1-IF(N(AD87)&gt;0,0,p_CorrFixa))/(H87*W87*$W$6)),9),$W$4),TRUNC(ROUND(MAX(0,($Y$1-IF(N(AD87)&gt;0,0,p_CorrFixa))/(H87*W87*$W$6)),9)/$W$5)*$W$5)))</f>
        <v/>
      </c>
      <c r="AG87" s="85" t="str">
        <f>IF(A87="","",IF(AND(N(AD87)=0,N(AF87)*(H87*W87*$W$6)+p_CorrFixa&lt;p_CompraMin),0,AF87))</f>
        <v/>
      </c>
      <c r="AH87" s="85" t="str">
        <f>IF(A87="","",IF(N(AG87)&gt;0,AB87,0))</f>
        <v/>
      </c>
      <c r="AI87" s="85" t="str">
        <f>IF(A87="","",IF(AND(AH87&gt;0,AH87=$AH$6,COUNTIF($AH$9:AH87,AH87)=1),1,0))</f>
        <v/>
      </c>
    </row>
    <row r="88">
      <c r="A88" s="96" t="n"/>
      <c r="B88" s="96" t="n"/>
      <c r="C88" s="96" t="n"/>
      <c r="D88" s="97" t="n"/>
      <c r="E88" s="98" t="n"/>
      <c r="F88" s="99" t="n"/>
      <c r="G88" s="100" t="n"/>
      <c r="H88" s="104" t="str">
        <f>IF(A88="","",IF(AND(p_ModoCot="Automático",ISNUMBER(Z88)),Z88,IF(N(G88)&gt;0,G88,0)))</f>
        <v/>
      </c>
      <c r="I88" s="105" t="str">
        <f>IF(A88="","",IF(W88=0,"Sem câmbio",IF(AND(p_ModoCot="Automático",ISNUMBER(Z88)),"Auto",IF(N(G88)&gt;0,"Manual","Sem cotação"))))</f>
        <v/>
      </c>
      <c r="J88" s="106" t="str">
        <f>IF(A88="","",N(E88)*H88)</f>
        <v/>
      </c>
      <c r="K88" s="107" t="str">
        <f>IF(A88="","",J88*W88)</f>
        <v/>
      </c>
      <c r="L88" s="108" t="str">
        <f>IF(A88="","",IF($K$6&gt;0,K88/$K$6,0))</f>
        <v/>
      </c>
      <c r="M88" s="109" t="str">
        <f>IF(A88="","",N(F88)-L88)</f>
        <v/>
      </c>
      <c r="N88" s="108" t="str">
        <f>IF(A88="","",IF($AB$6&gt;0,AB88/$AB$6,0))</f>
        <v/>
      </c>
      <c r="O88" s="110" t="str">
        <f>IF(A88="","",IF(AB88&lt;=0,"",COUNTIF($AB$9:$AB$208,"&gt;"&amp;AB88)+COUNTIF($AB$9:AB88,AB88)))</f>
        <v/>
      </c>
      <c r="P88" s="105" t="str">
        <f>IF(A88="","",IF(Q88&gt;0,"BUY","HOLD"))</f>
        <v/>
      </c>
      <c r="Q88" s="107" t="str">
        <f>IF(A88="","",IF($W$7&lt;=0,0,IF($AC$6&gt;0,$W$7*AC88/$AC$6,IF($F$6&gt;0,$W$7*N(F88)/$F$6,0))))</f>
        <v/>
      </c>
      <c r="R88" s="111" t="str">
        <f>IF(A88="","",N(AD88)+IF(AI88=1,N(AG88),0))</f>
        <v/>
      </c>
      <c r="S88" s="111" t="str">
        <f>IF(A88="","",N(E88)+N(R88))</f>
        <v/>
      </c>
      <c r="T88" s="107" t="str">
        <f>IF(A88="","",IF(N(R88)&gt;0,R88*H88*W88*$W$6+p_CorrFixa,0))</f>
        <v/>
      </c>
      <c r="V88" s="85" t="str">
        <f>IF(A88="","",IF(D88="",$W$1,D88))</f>
        <v/>
      </c>
      <c r="W88" s="85" t="str">
        <f>IF(A88="","",IFERROR(INDEX(moeda_fx,MATCH(V88,moeda_cod,0)),0))</f>
        <v/>
      </c>
      <c r="X88" s="85" t="str">
        <f>IF(A88="","",IF($W$2="",UPPER(TRIM(A88)),IF(RIGHT(UPPER(TRIM(A88)),LEN($W$2))=$W$2,UPPER(TRIM(A88)),UPPER(TRIM(A88))&amp;$W$2)))</f>
        <v/>
      </c>
      <c r="Y88" s="85" t="str">
        <f>IF(OR(A88="",p_ModoCot&lt;&gt;"Automático"),"",IFERROR(_xlfn.WEBSERVICE("https://query1.finance.yahoo.com/v8/finance/chart/"&amp;X88&amp;"?range=1d&amp;interval=1d"),""))</f>
        <v/>
      </c>
      <c r="Z88" s="85" t="str">
        <f>IF(Y88="","",IFERROR(_xlfn.NUMBERVALUE(MID(Y88,SEARCH("""regularMarketPrice"":",Y88)+21,SEARCH(",",Y88&amp;",",SEARCH("""regularMarketPrice"":",Y88)+21)-SEARCH("""regularMarketPrice"":",Y88)-21),".",","),""))</f>
        <v/>
      </c>
      <c r="AA88" s="85" t="str">
        <f>IF(A88="","",ROUND(MAX(0,N(F88)*($K$6+$W$7)-K88),2))</f>
        <v/>
      </c>
      <c r="AB88" s="85" t="str">
        <f>IF(A88="","",IF(AND(M88&gt;0,M88&gt;=p_DifMin),AA88,0))</f>
        <v/>
      </c>
      <c r="AC88" s="85" t="str">
        <f>IF(A88="","",IF(AND(AB88&gt;0,N(O88)&lt;=p_MaxAtivos),AB88,0))</f>
        <v/>
      </c>
      <c r="AD88" s="85" t="str">
        <f>IF(A88="","",IF(OR(Q88&lt;=0,Q88&lt;p_CompraMin,N(H88)&lt;=0,N(W88)&lt;=0),0,IF($W$3="Sim",TRUNC(ROUND(MAX(0,(Q88-p_CorrFixa)/(H88*W88*$W$6)),9),$W$4),TRUNC(ROUND(MAX(0,(Q88-p_CorrFixa)/(H88*W88*$W$6)),9)/$W$5)*$W$5)))</f>
        <v/>
      </c>
      <c r="AE88" s="85" t="str">
        <f>IF(A88="","",IF(N(AD88)&gt;0,AD88*H88*W88*$W$6+p_CorrFixa,0))</f>
        <v/>
      </c>
      <c r="AF88" s="85" t="str">
        <f>IF(A88="","",IF(OR($Y$1&lt;=0,N(H88)&lt;=0,N(W88)&lt;=0,N(AB88)&lt;=0),0,IF($W$3="Sim",TRUNC(ROUND(MAX(0,($Y$1-IF(N(AD88)&gt;0,0,p_CorrFixa))/(H88*W88*$W$6)),9),$W$4),TRUNC(ROUND(MAX(0,($Y$1-IF(N(AD88)&gt;0,0,p_CorrFixa))/(H88*W88*$W$6)),9)/$W$5)*$W$5)))</f>
        <v/>
      </c>
      <c r="AG88" s="85" t="str">
        <f>IF(A88="","",IF(AND(N(AD88)=0,N(AF88)*(H88*W88*$W$6)+p_CorrFixa&lt;p_CompraMin),0,AF88))</f>
        <v/>
      </c>
      <c r="AH88" s="85" t="str">
        <f>IF(A88="","",IF(N(AG88)&gt;0,AB88,0))</f>
        <v/>
      </c>
      <c r="AI88" s="85" t="str">
        <f>IF(A88="","",IF(AND(AH88&gt;0,AH88=$AH$6,COUNTIF($AH$9:AH88,AH88)=1),1,0))</f>
        <v/>
      </c>
    </row>
    <row r="89">
      <c r="A89" s="96" t="n"/>
      <c r="B89" s="96" t="n"/>
      <c r="C89" s="96" t="n"/>
      <c r="D89" s="97" t="n"/>
      <c r="E89" s="98" t="n"/>
      <c r="F89" s="99" t="n"/>
      <c r="G89" s="100" t="n"/>
      <c r="H89" s="101" t="str">
        <f>IF(A89="","",IF(AND(p_ModoCot="Automático",ISNUMBER(Z89)),Z89,IF(N(G89)&gt;0,G89,0)))</f>
        <v/>
      </c>
      <c r="I89" s="73" t="str">
        <f>IF(A89="","",IF(W89=0,"Sem câmbio",IF(AND(p_ModoCot="Automático",ISNUMBER(Z89)),"Auto",IF(N(G89)&gt;0,"Manual","Sem cotação"))))</f>
        <v/>
      </c>
      <c r="J89" s="102" t="str">
        <f>IF(A89="","",N(E89)*H89)</f>
        <v/>
      </c>
      <c r="K89" s="70" t="str">
        <f>IF(A89="","",J89*W89)</f>
        <v/>
      </c>
      <c r="L89" s="30" t="str">
        <f>IF(A89="","",IF($K$6&gt;0,K89/$K$6,0))</f>
        <v/>
      </c>
      <c r="M89" s="72" t="str">
        <f>IF(A89="","",N(F89)-L89)</f>
        <v/>
      </c>
      <c r="N89" s="30" t="str">
        <f>IF(A89="","",IF($AB$6&gt;0,AB89/$AB$6,0))</f>
        <v/>
      </c>
      <c r="O89" s="74" t="str">
        <f>IF(A89="","",IF(AB89&lt;=0,"",COUNTIF($AB$9:$AB$208,"&gt;"&amp;AB89)+COUNTIF($AB$9:AB89,AB89)))</f>
        <v/>
      </c>
      <c r="P89" s="73" t="str">
        <f>IF(A89="","",IF(Q89&gt;0,"BUY","HOLD"))</f>
        <v/>
      </c>
      <c r="Q89" s="70" t="str">
        <f>IF(A89="","",IF($W$7&lt;=0,0,IF($AC$6&gt;0,$W$7*AC89/$AC$6,IF($F$6&gt;0,$W$7*N(F89)/$F$6,0))))</f>
        <v/>
      </c>
      <c r="R89" s="103" t="str">
        <f>IF(A89="","",N(AD89)+IF(AI89=1,N(AG89),0))</f>
        <v/>
      </c>
      <c r="S89" s="103" t="str">
        <f>IF(A89="","",N(E89)+N(R89))</f>
        <v/>
      </c>
      <c r="T89" s="70" t="str">
        <f>IF(A89="","",IF(N(R89)&gt;0,R89*H89*W89*$W$6+p_CorrFixa,0))</f>
        <v/>
      </c>
      <c r="V89" s="85" t="str">
        <f>IF(A89="","",IF(D89="",$W$1,D89))</f>
        <v/>
      </c>
      <c r="W89" s="85" t="str">
        <f>IF(A89="","",IFERROR(INDEX(moeda_fx,MATCH(V89,moeda_cod,0)),0))</f>
        <v/>
      </c>
      <c r="X89" s="85" t="str">
        <f>IF(A89="","",IF($W$2="",UPPER(TRIM(A89)),IF(RIGHT(UPPER(TRIM(A89)),LEN($W$2))=$W$2,UPPER(TRIM(A89)),UPPER(TRIM(A89))&amp;$W$2)))</f>
        <v/>
      </c>
      <c r="Y89" s="85" t="str">
        <f>IF(OR(A89="",p_ModoCot&lt;&gt;"Automático"),"",IFERROR(_xlfn.WEBSERVICE("https://query1.finance.yahoo.com/v8/finance/chart/"&amp;X89&amp;"?range=1d&amp;interval=1d"),""))</f>
        <v/>
      </c>
      <c r="Z89" s="85" t="str">
        <f>IF(Y89="","",IFERROR(_xlfn.NUMBERVALUE(MID(Y89,SEARCH("""regularMarketPrice"":",Y89)+21,SEARCH(",",Y89&amp;",",SEARCH("""regularMarketPrice"":",Y89)+21)-SEARCH("""regularMarketPrice"":",Y89)-21),".",","),""))</f>
        <v/>
      </c>
      <c r="AA89" s="85" t="str">
        <f>IF(A89="","",ROUND(MAX(0,N(F89)*($K$6+$W$7)-K89),2))</f>
        <v/>
      </c>
      <c r="AB89" s="85" t="str">
        <f>IF(A89="","",IF(AND(M89&gt;0,M89&gt;=p_DifMin),AA89,0))</f>
        <v/>
      </c>
      <c r="AC89" s="85" t="str">
        <f>IF(A89="","",IF(AND(AB89&gt;0,N(O89)&lt;=p_MaxAtivos),AB89,0))</f>
        <v/>
      </c>
      <c r="AD89" s="85" t="str">
        <f>IF(A89="","",IF(OR(Q89&lt;=0,Q89&lt;p_CompraMin,N(H89)&lt;=0,N(W89)&lt;=0),0,IF($W$3="Sim",TRUNC(ROUND(MAX(0,(Q89-p_CorrFixa)/(H89*W89*$W$6)),9),$W$4),TRUNC(ROUND(MAX(0,(Q89-p_CorrFixa)/(H89*W89*$W$6)),9)/$W$5)*$W$5)))</f>
        <v/>
      </c>
      <c r="AE89" s="85" t="str">
        <f>IF(A89="","",IF(N(AD89)&gt;0,AD89*H89*W89*$W$6+p_CorrFixa,0))</f>
        <v/>
      </c>
      <c r="AF89" s="85" t="str">
        <f>IF(A89="","",IF(OR($Y$1&lt;=0,N(H89)&lt;=0,N(W89)&lt;=0,N(AB89)&lt;=0),0,IF($W$3="Sim",TRUNC(ROUND(MAX(0,($Y$1-IF(N(AD89)&gt;0,0,p_CorrFixa))/(H89*W89*$W$6)),9),$W$4),TRUNC(ROUND(MAX(0,($Y$1-IF(N(AD89)&gt;0,0,p_CorrFixa))/(H89*W89*$W$6)),9)/$W$5)*$W$5)))</f>
        <v/>
      </c>
      <c r="AG89" s="85" t="str">
        <f>IF(A89="","",IF(AND(N(AD89)=0,N(AF89)*(H89*W89*$W$6)+p_CorrFixa&lt;p_CompraMin),0,AF89))</f>
        <v/>
      </c>
      <c r="AH89" s="85" t="str">
        <f>IF(A89="","",IF(N(AG89)&gt;0,AB89,0))</f>
        <v/>
      </c>
      <c r="AI89" s="85" t="str">
        <f>IF(A89="","",IF(AND(AH89&gt;0,AH89=$AH$6,COUNTIF($AH$9:AH89,AH89)=1),1,0))</f>
        <v/>
      </c>
    </row>
    <row r="90">
      <c r="A90" s="96" t="n"/>
      <c r="B90" s="96" t="n"/>
      <c r="C90" s="96" t="n"/>
      <c r="D90" s="97" t="n"/>
      <c r="E90" s="98" t="n"/>
      <c r="F90" s="99" t="n"/>
      <c r="G90" s="100" t="n"/>
      <c r="H90" s="104" t="str">
        <f>IF(A90="","",IF(AND(p_ModoCot="Automático",ISNUMBER(Z90)),Z90,IF(N(G90)&gt;0,G90,0)))</f>
        <v/>
      </c>
      <c r="I90" s="105" t="str">
        <f>IF(A90="","",IF(W90=0,"Sem câmbio",IF(AND(p_ModoCot="Automático",ISNUMBER(Z90)),"Auto",IF(N(G90)&gt;0,"Manual","Sem cotação"))))</f>
        <v/>
      </c>
      <c r="J90" s="106" t="str">
        <f>IF(A90="","",N(E90)*H90)</f>
        <v/>
      </c>
      <c r="K90" s="107" t="str">
        <f>IF(A90="","",J90*W90)</f>
        <v/>
      </c>
      <c r="L90" s="108" t="str">
        <f>IF(A90="","",IF($K$6&gt;0,K90/$K$6,0))</f>
        <v/>
      </c>
      <c r="M90" s="109" t="str">
        <f>IF(A90="","",N(F90)-L90)</f>
        <v/>
      </c>
      <c r="N90" s="108" t="str">
        <f>IF(A90="","",IF($AB$6&gt;0,AB90/$AB$6,0))</f>
        <v/>
      </c>
      <c r="O90" s="110" t="str">
        <f>IF(A90="","",IF(AB90&lt;=0,"",COUNTIF($AB$9:$AB$208,"&gt;"&amp;AB90)+COUNTIF($AB$9:AB90,AB90)))</f>
        <v/>
      </c>
      <c r="P90" s="105" t="str">
        <f>IF(A90="","",IF(Q90&gt;0,"BUY","HOLD"))</f>
        <v/>
      </c>
      <c r="Q90" s="107" t="str">
        <f>IF(A90="","",IF($W$7&lt;=0,0,IF($AC$6&gt;0,$W$7*AC90/$AC$6,IF($F$6&gt;0,$W$7*N(F90)/$F$6,0))))</f>
        <v/>
      </c>
      <c r="R90" s="111" t="str">
        <f>IF(A90="","",N(AD90)+IF(AI90=1,N(AG90),0))</f>
        <v/>
      </c>
      <c r="S90" s="111" t="str">
        <f>IF(A90="","",N(E90)+N(R90))</f>
        <v/>
      </c>
      <c r="T90" s="107" t="str">
        <f>IF(A90="","",IF(N(R90)&gt;0,R90*H90*W90*$W$6+p_CorrFixa,0))</f>
        <v/>
      </c>
      <c r="V90" s="85" t="str">
        <f>IF(A90="","",IF(D90="",$W$1,D90))</f>
        <v/>
      </c>
      <c r="W90" s="85" t="str">
        <f>IF(A90="","",IFERROR(INDEX(moeda_fx,MATCH(V90,moeda_cod,0)),0))</f>
        <v/>
      </c>
      <c r="X90" s="85" t="str">
        <f>IF(A90="","",IF($W$2="",UPPER(TRIM(A90)),IF(RIGHT(UPPER(TRIM(A90)),LEN($W$2))=$W$2,UPPER(TRIM(A90)),UPPER(TRIM(A90))&amp;$W$2)))</f>
        <v/>
      </c>
      <c r="Y90" s="85" t="str">
        <f>IF(OR(A90="",p_ModoCot&lt;&gt;"Automático"),"",IFERROR(_xlfn.WEBSERVICE("https://query1.finance.yahoo.com/v8/finance/chart/"&amp;X90&amp;"?range=1d&amp;interval=1d"),""))</f>
        <v/>
      </c>
      <c r="Z90" s="85" t="str">
        <f>IF(Y90="","",IFERROR(_xlfn.NUMBERVALUE(MID(Y90,SEARCH("""regularMarketPrice"":",Y90)+21,SEARCH(",",Y90&amp;",",SEARCH("""regularMarketPrice"":",Y90)+21)-SEARCH("""regularMarketPrice"":",Y90)-21),".",","),""))</f>
        <v/>
      </c>
      <c r="AA90" s="85" t="str">
        <f>IF(A90="","",ROUND(MAX(0,N(F90)*($K$6+$W$7)-K90),2))</f>
        <v/>
      </c>
      <c r="AB90" s="85" t="str">
        <f>IF(A90="","",IF(AND(M90&gt;0,M90&gt;=p_DifMin),AA90,0))</f>
        <v/>
      </c>
      <c r="AC90" s="85" t="str">
        <f>IF(A90="","",IF(AND(AB90&gt;0,N(O90)&lt;=p_MaxAtivos),AB90,0))</f>
        <v/>
      </c>
      <c r="AD90" s="85" t="str">
        <f>IF(A90="","",IF(OR(Q90&lt;=0,Q90&lt;p_CompraMin,N(H90)&lt;=0,N(W90)&lt;=0),0,IF($W$3="Sim",TRUNC(ROUND(MAX(0,(Q90-p_CorrFixa)/(H90*W90*$W$6)),9),$W$4),TRUNC(ROUND(MAX(0,(Q90-p_CorrFixa)/(H90*W90*$W$6)),9)/$W$5)*$W$5)))</f>
        <v/>
      </c>
      <c r="AE90" s="85" t="str">
        <f>IF(A90="","",IF(N(AD90)&gt;0,AD90*H90*W90*$W$6+p_CorrFixa,0))</f>
        <v/>
      </c>
      <c r="AF90" s="85" t="str">
        <f>IF(A90="","",IF(OR($Y$1&lt;=0,N(H90)&lt;=0,N(W90)&lt;=0,N(AB90)&lt;=0),0,IF($W$3="Sim",TRUNC(ROUND(MAX(0,($Y$1-IF(N(AD90)&gt;0,0,p_CorrFixa))/(H90*W90*$W$6)),9),$W$4),TRUNC(ROUND(MAX(0,($Y$1-IF(N(AD90)&gt;0,0,p_CorrFixa))/(H90*W90*$W$6)),9)/$W$5)*$W$5)))</f>
        <v/>
      </c>
      <c r="AG90" s="85" t="str">
        <f>IF(A90="","",IF(AND(N(AD90)=0,N(AF90)*(H90*W90*$W$6)+p_CorrFixa&lt;p_CompraMin),0,AF90))</f>
        <v/>
      </c>
      <c r="AH90" s="85" t="str">
        <f>IF(A90="","",IF(N(AG90)&gt;0,AB90,0))</f>
        <v/>
      </c>
      <c r="AI90" s="85" t="str">
        <f>IF(A90="","",IF(AND(AH90&gt;0,AH90=$AH$6,COUNTIF($AH$9:AH90,AH90)=1),1,0))</f>
        <v/>
      </c>
    </row>
    <row r="91">
      <c r="A91" s="96" t="n"/>
      <c r="B91" s="96" t="n"/>
      <c r="C91" s="96" t="n"/>
      <c r="D91" s="97" t="n"/>
      <c r="E91" s="98" t="n"/>
      <c r="F91" s="99" t="n"/>
      <c r="G91" s="100" t="n"/>
      <c r="H91" s="101" t="str">
        <f>IF(A91="","",IF(AND(p_ModoCot="Automático",ISNUMBER(Z91)),Z91,IF(N(G91)&gt;0,G91,0)))</f>
        <v/>
      </c>
      <c r="I91" s="73" t="str">
        <f>IF(A91="","",IF(W91=0,"Sem câmbio",IF(AND(p_ModoCot="Automático",ISNUMBER(Z91)),"Auto",IF(N(G91)&gt;0,"Manual","Sem cotação"))))</f>
        <v/>
      </c>
      <c r="J91" s="102" t="str">
        <f>IF(A91="","",N(E91)*H91)</f>
        <v/>
      </c>
      <c r="K91" s="70" t="str">
        <f>IF(A91="","",J91*W91)</f>
        <v/>
      </c>
      <c r="L91" s="30" t="str">
        <f>IF(A91="","",IF($K$6&gt;0,K91/$K$6,0))</f>
        <v/>
      </c>
      <c r="M91" s="72" t="str">
        <f>IF(A91="","",N(F91)-L91)</f>
        <v/>
      </c>
      <c r="N91" s="30" t="str">
        <f>IF(A91="","",IF($AB$6&gt;0,AB91/$AB$6,0))</f>
        <v/>
      </c>
      <c r="O91" s="74" t="str">
        <f>IF(A91="","",IF(AB91&lt;=0,"",COUNTIF($AB$9:$AB$208,"&gt;"&amp;AB91)+COUNTIF($AB$9:AB91,AB91)))</f>
        <v/>
      </c>
      <c r="P91" s="73" t="str">
        <f>IF(A91="","",IF(Q91&gt;0,"BUY","HOLD"))</f>
        <v/>
      </c>
      <c r="Q91" s="70" t="str">
        <f>IF(A91="","",IF($W$7&lt;=0,0,IF($AC$6&gt;0,$W$7*AC91/$AC$6,IF($F$6&gt;0,$W$7*N(F91)/$F$6,0))))</f>
        <v/>
      </c>
      <c r="R91" s="103" t="str">
        <f>IF(A91="","",N(AD91)+IF(AI91=1,N(AG91),0))</f>
        <v/>
      </c>
      <c r="S91" s="103" t="str">
        <f>IF(A91="","",N(E91)+N(R91))</f>
        <v/>
      </c>
      <c r="T91" s="70" t="str">
        <f>IF(A91="","",IF(N(R91)&gt;0,R91*H91*W91*$W$6+p_CorrFixa,0))</f>
        <v/>
      </c>
      <c r="V91" s="85" t="str">
        <f>IF(A91="","",IF(D91="",$W$1,D91))</f>
        <v/>
      </c>
      <c r="W91" s="85" t="str">
        <f>IF(A91="","",IFERROR(INDEX(moeda_fx,MATCH(V91,moeda_cod,0)),0))</f>
        <v/>
      </c>
      <c r="X91" s="85" t="str">
        <f>IF(A91="","",IF($W$2="",UPPER(TRIM(A91)),IF(RIGHT(UPPER(TRIM(A91)),LEN($W$2))=$W$2,UPPER(TRIM(A91)),UPPER(TRIM(A91))&amp;$W$2)))</f>
        <v/>
      </c>
      <c r="Y91" s="85" t="str">
        <f>IF(OR(A91="",p_ModoCot&lt;&gt;"Automático"),"",IFERROR(_xlfn.WEBSERVICE("https://query1.finance.yahoo.com/v8/finance/chart/"&amp;X91&amp;"?range=1d&amp;interval=1d"),""))</f>
        <v/>
      </c>
      <c r="Z91" s="85" t="str">
        <f>IF(Y91="","",IFERROR(_xlfn.NUMBERVALUE(MID(Y91,SEARCH("""regularMarketPrice"":",Y91)+21,SEARCH(",",Y91&amp;",",SEARCH("""regularMarketPrice"":",Y91)+21)-SEARCH("""regularMarketPrice"":",Y91)-21),".",","),""))</f>
        <v/>
      </c>
      <c r="AA91" s="85" t="str">
        <f>IF(A91="","",ROUND(MAX(0,N(F91)*($K$6+$W$7)-K91),2))</f>
        <v/>
      </c>
      <c r="AB91" s="85" t="str">
        <f>IF(A91="","",IF(AND(M91&gt;0,M91&gt;=p_DifMin),AA91,0))</f>
        <v/>
      </c>
      <c r="AC91" s="85" t="str">
        <f>IF(A91="","",IF(AND(AB91&gt;0,N(O91)&lt;=p_MaxAtivos),AB91,0))</f>
        <v/>
      </c>
      <c r="AD91" s="85" t="str">
        <f>IF(A91="","",IF(OR(Q91&lt;=0,Q91&lt;p_CompraMin,N(H91)&lt;=0,N(W91)&lt;=0),0,IF($W$3="Sim",TRUNC(ROUND(MAX(0,(Q91-p_CorrFixa)/(H91*W91*$W$6)),9),$W$4),TRUNC(ROUND(MAX(0,(Q91-p_CorrFixa)/(H91*W91*$W$6)),9)/$W$5)*$W$5)))</f>
        <v/>
      </c>
      <c r="AE91" s="85" t="str">
        <f>IF(A91="","",IF(N(AD91)&gt;0,AD91*H91*W91*$W$6+p_CorrFixa,0))</f>
        <v/>
      </c>
      <c r="AF91" s="85" t="str">
        <f>IF(A91="","",IF(OR($Y$1&lt;=0,N(H91)&lt;=0,N(W91)&lt;=0,N(AB91)&lt;=0),0,IF($W$3="Sim",TRUNC(ROUND(MAX(0,($Y$1-IF(N(AD91)&gt;0,0,p_CorrFixa))/(H91*W91*$W$6)),9),$W$4),TRUNC(ROUND(MAX(0,($Y$1-IF(N(AD91)&gt;0,0,p_CorrFixa))/(H91*W91*$W$6)),9)/$W$5)*$W$5)))</f>
        <v/>
      </c>
      <c r="AG91" s="85" t="str">
        <f>IF(A91="","",IF(AND(N(AD91)=0,N(AF91)*(H91*W91*$W$6)+p_CorrFixa&lt;p_CompraMin),0,AF91))</f>
        <v/>
      </c>
      <c r="AH91" s="85" t="str">
        <f>IF(A91="","",IF(N(AG91)&gt;0,AB91,0))</f>
        <v/>
      </c>
      <c r="AI91" s="85" t="str">
        <f>IF(A91="","",IF(AND(AH91&gt;0,AH91=$AH$6,COUNTIF($AH$9:AH91,AH91)=1),1,0))</f>
        <v/>
      </c>
    </row>
    <row r="92">
      <c r="A92" s="96" t="n"/>
      <c r="B92" s="96" t="n"/>
      <c r="C92" s="96" t="n"/>
      <c r="D92" s="97" t="n"/>
      <c r="E92" s="98" t="n"/>
      <c r="F92" s="99" t="n"/>
      <c r="G92" s="100" t="n"/>
      <c r="H92" s="104" t="str">
        <f>IF(A92="","",IF(AND(p_ModoCot="Automático",ISNUMBER(Z92)),Z92,IF(N(G92)&gt;0,G92,0)))</f>
        <v/>
      </c>
      <c r="I92" s="105" t="str">
        <f>IF(A92="","",IF(W92=0,"Sem câmbio",IF(AND(p_ModoCot="Automático",ISNUMBER(Z92)),"Auto",IF(N(G92)&gt;0,"Manual","Sem cotação"))))</f>
        <v/>
      </c>
      <c r="J92" s="106" t="str">
        <f>IF(A92="","",N(E92)*H92)</f>
        <v/>
      </c>
      <c r="K92" s="107" t="str">
        <f>IF(A92="","",J92*W92)</f>
        <v/>
      </c>
      <c r="L92" s="108" t="str">
        <f>IF(A92="","",IF($K$6&gt;0,K92/$K$6,0))</f>
        <v/>
      </c>
      <c r="M92" s="109" t="str">
        <f>IF(A92="","",N(F92)-L92)</f>
        <v/>
      </c>
      <c r="N92" s="108" t="str">
        <f>IF(A92="","",IF($AB$6&gt;0,AB92/$AB$6,0))</f>
        <v/>
      </c>
      <c r="O92" s="110" t="str">
        <f>IF(A92="","",IF(AB92&lt;=0,"",COUNTIF($AB$9:$AB$208,"&gt;"&amp;AB92)+COUNTIF($AB$9:AB92,AB92)))</f>
        <v/>
      </c>
      <c r="P92" s="105" t="str">
        <f>IF(A92="","",IF(Q92&gt;0,"BUY","HOLD"))</f>
        <v/>
      </c>
      <c r="Q92" s="107" t="str">
        <f>IF(A92="","",IF($W$7&lt;=0,0,IF($AC$6&gt;0,$W$7*AC92/$AC$6,IF($F$6&gt;0,$W$7*N(F92)/$F$6,0))))</f>
        <v/>
      </c>
      <c r="R92" s="111" t="str">
        <f>IF(A92="","",N(AD92)+IF(AI92=1,N(AG92),0))</f>
        <v/>
      </c>
      <c r="S92" s="111" t="str">
        <f>IF(A92="","",N(E92)+N(R92))</f>
        <v/>
      </c>
      <c r="T92" s="107" t="str">
        <f>IF(A92="","",IF(N(R92)&gt;0,R92*H92*W92*$W$6+p_CorrFixa,0))</f>
        <v/>
      </c>
      <c r="V92" s="85" t="str">
        <f>IF(A92="","",IF(D92="",$W$1,D92))</f>
        <v/>
      </c>
      <c r="W92" s="85" t="str">
        <f>IF(A92="","",IFERROR(INDEX(moeda_fx,MATCH(V92,moeda_cod,0)),0))</f>
        <v/>
      </c>
      <c r="X92" s="85" t="str">
        <f>IF(A92="","",IF($W$2="",UPPER(TRIM(A92)),IF(RIGHT(UPPER(TRIM(A92)),LEN($W$2))=$W$2,UPPER(TRIM(A92)),UPPER(TRIM(A92))&amp;$W$2)))</f>
        <v/>
      </c>
      <c r="Y92" s="85" t="str">
        <f>IF(OR(A92="",p_ModoCot&lt;&gt;"Automático"),"",IFERROR(_xlfn.WEBSERVICE("https://query1.finance.yahoo.com/v8/finance/chart/"&amp;X92&amp;"?range=1d&amp;interval=1d"),""))</f>
        <v/>
      </c>
      <c r="Z92" s="85" t="str">
        <f>IF(Y92="","",IFERROR(_xlfn.NUMBERVALUE(MID(Y92,SEARCH("""regularMarketPrice"":",Y92)+21,SEARCH(",",Y92&amp;",",SEARCH("""regularMarketPrice"":",Y92)+21)-SEARCH("""regularMarketPrice"":",Y92)-21),".",","),""))</f>
        <v/>
      </c>
      <c r="AA92" s="85" t="str">
        <f>IF(A92="","",ROUND(MAX(0,N(F92)*($K$6+$W$7)-K92),2))</f>
        <v/>
      </c>
      <c r="AB92" s="85" t="str">
        <f>IF(A92="","",IF(AND(M92&gt;0,M92&gt;=p_DifMin),AA92,0))</f>
        <v/>
      </c>
      <c r="AC92" s="85" t="str">
        <f>IF(A92="","",IF(AND(AB92&gt;0,N(O92)&lt;=p_MaxAtivos),AB92,0))</f>
        <v/>
      </c>
      <c r="AD92" s="85" t="str">
        <f>IF(A92="","",IF(OR(Q92&lt;=0,Q92&lt;p_CompraMin,N(H92)&lt;=0,N(W92)&lt;=0),0,IF($W$3="Sim",TRUNC(ROUND(MAX(0,(Q92-p_CorrFixa)/(H92*W92*$W$6)),9),$W$4),TRUNC(ROUND(MAX(0,(Q92-p_CorrFixa)/(H92*W92*$W$6)),9)/$W$5)*$W$5)))</f>
        <v/>
      </c>
      <c r="AE92" s="85" t="str">
        <f>IF(A92="","",IF(N(AD92)&gt;0,AD92*H92*W92*$W$6+p_CorrFixa,0))</f>
        <v/>
      </c>
      <c r="AF92" s="85" t="str">
        <f>IF(A92="","",IF(OR($Y$1&lt;=0,N(H92)&lt;=0,N(W92)&lt;=0,N(AB92)&lt;=0),0,IF($W$3="Sim",TRUNC(ROUND(MAX(0,($Y$1-IF(N(AD92)&gt;0,0,p_CorrFixa))/(H92*W92*$W$6)),9),$W$4),TRUNC(ROUND(MAX(0,($Y$1-IF(N(AD92)&gt;0,0,p_CorrFixa))/(H92*W92*$W$6)),9)/$W$5)*$W$5)))</f>
        <v/>
      </c>
      <c r="AG92" s="85" t="str">
        <f>IF(A92="","",IF(AND(N(AD92)=0,N(AF92)*(H92*W92*$W$6)+p_CorrFixa&lt;p_CompraMin),0,AF92))</f>
        <v/>
      </c>
      <c r="AH92" s="85" t="str">
        <f>IF(A92="","",IF(N(AG92)&gt;0,AB92,0))</f>
        <v/>
      </c>
      <c r="AI92" s="85" t="str">
        <f>IF(A92="","",IF(AND(AH92&gt;0,AH92=$AH$6,COUNTIF($AH$9:AH92,AH92)=1),1,0))</f>
        <v/>
      </c>
    </row>
    <row r="93">
      <c r="A93" s="96" t="n"/>
      <c r="B93" s="96" t="n"/>
      <c r="C93" s="96" t="n"/>
      <c r="D93" s="97" t="n"/>
      <c r="E93" s="98" t="n"/>
      <c r="F93" s="99" t="n"/>
      <c r="G93" s="100" t="n"/>
      <c r="H93" s="101" t="str">
        <f>IF(A93="","",IF(AND(p_ModoCot="Automático",ISNUMBER(Z93)),Z93,IF(N(G93)&gt;0,G93,0)))</f>
        <v/>
      </c>
      <c r="I93" s="73" t="str">
        <f>IF(A93="","",IF(W93=0,"Sem câmbio",IF(AND(p_ModoCot="Automático",ISNUMBER(Z93)),"Auto",IF(N(G93)&gt;0,"Manual","Sem cotação"))))</f>
        <v/>
      </c>
      <c r="J93" s="102" t="str">
        <f>IF(A93="","",N(E93)*H93)</f>
        <v/>
      </c>
      <c r="K93" s="70" t="str">
        <f>IF(A93="","",J93*W93)</f>
        <v/>
      </c>
      <c r="L93" s="30" t="str">
        <f>IF(A93="","",IF($K$6&gt;0,K93/$K$6,0))</f>
        <v/>
      </c>
      <c r="M93" s="72" t="str">
        <f>IF(A93="","",N(F93)-L93)</f>
        <v/>
      </c>
      <c r="N93" s="30" t="str">
        <f>IF(A93="","",IF($AB$6&gt;0,AB93/$AB$6,0))</f>
        <v/>
      </c>
      <c r="O93" s="74" t="str">
        <f>IF(A93="","",IF(AB93&lt;=0,"",COUNTIF($AB$9:$AB$208,"&gt;"&amp;AB93)+COUNTIF($AB$9:AB93,AB93)))</f>
        <v/>
      </c>
      <c r="P93" s="73" t="str">
        <f>IF(A93="","",IF(Q93&gt;0,"BUY","HOLD"))</f>
        <v/>
      </c>
      <c r="Q93" s="70" t="str">
        <f>IF(A93="","",IF($W$7&lt;=0,0,IF($AC$6&gt;0,$W$7*AC93/$AC$6,IF($F$6&gt;0,$W$7*N(F93)/$F$6,0))))</f>
        <v/>
      </c>
      <c r="R93" s="103" t="str">
        <f>IF(A93="","",N(AD93)+IF(AI93=1,N(AG93),0))</f>
        <v/>
      </c>
      <c r="S93" s="103" t="str">
        <f>IF(A93="","",N(E93)+N(R93))</f>
        <v/>
      </c>
      <c r="T93" s="70" t="str">
        <f>IF(A93="","",IF(N(R93)&gt;0,R93*H93*W93*$W$6+p_CorrFixa,0))</f>
        <v/>
      </c>
      <c r="V93" s="85" t="str">
        <f>IF(A93="","",IF(D93="",$W$1,D93))</f>
        <v/>
      </c>
      <c r="W93" s="85" t="str">
        <f>IF(A93="","",IFERROR(INDEX(moeda_fx,MATCH(V93,moeda_cod,0)),0))</f>
        <v/>
      </c>
      <c r="X93" s="85" t="str">
        <f>IF(A93="","",IF($W$2="",UPPER(TRIM(A93)),IF(RIGHT(UPPER(TRIM(A93)),LEN($W$2))=$W$2,UPPER(TRIM(A93)),UPPER(TRIM(A93))&amp;$W$2)))</f>
        <v/>
      </c>
      <c r="Y93" s="85" t="str">
        <f>IF(OR(A93="",p_ModoCot&lt;&gt;"Automático"),"",IFERROR(_xlfn.WEBSERVICE("https://query1.finance.yahoo.com/v8/finance/chart/"&amp;X93&amp;"?range=1d&amp;interval=1d"),""))</f>
        <v/>
      </c>
      <c r="Z93" s="85" t="str">
        <f>IF(Y93="","",IFERROR(_xlfn.NUMBERVALUE(MID(Y93,SEARCH("""regularMarketPrice"":",Y93)+21,SEARCH(",",Y93&amp;",",SEARCH("""regularMarketPrice"":",Y93)+21)-SEARCH("""regularMarketPrice"":",Y93)-21),".",","),""))</f>
        <v/>
      </c>
      <c r="AA93" s="85" t="str">
        <f>IF(A93="","",ROUND(MAX(0,N(F93)*($K$6+$W$7)-K93),2))</f>
        <v/>
      </c>
      <c r="AB93" s="85" t="str">
        <f>IF(A93="","",IF(AND(M93&gt;0,M93&gt;=p_DifMin),AA93,0))</f>
        <v/>
      </c>
      <c r="AC93" s="85" t="str">
        <f>IF(A93="","",IF(AND(AB93&gt;0,N(O93)&lt;=p_MaxAtivos),AB93,0))</f>
        <v/>
      </c>
      <c r="AD93" s="85" t="str">
        <f>IF(A93="","",IF(OR(Q93&lt;=0,Q93&lt;p_CompraMin,N(H93)&lt;=0,N(W93)&lt;=0),0,IF($W$3="Sim",TRUNC(ROUND(MAX(0,(Q93-p_CorrFixa)/(H93*W93*$W$6)),9),$W$4),TRUNC(ROUND(MAX(0,(Q93-p_CorrFixa)/(H93*W93*$W$6)),9)/$W$5)*$W$5)))</f>
        <v/>
      </c>
      <c r="AE93" s="85" t="str">
        <f>IF(A93="","",IF(N(AD93)&gt;0,AD93*H93*W93*$W$6+p_CorrFixa,0))</f>
        <v/>
      </c>
      <c r="AF93" s="85" t="str">
        <f>IF(A93="","",IF(OR($Y$1&lt;=0,N(H93)&lt;=0,N(W93)&lt;=0,N(AB93)&lt;=0),0,IF($W$3="Sim",TRUNC(ROUND(MAX(0,($Y$1-IF(N(AD93)&gt;0,0,p_CorrFixa))/(H93*W93*$W$6)),9),$W$4),TRUNC(ROUND(MAX(0,($Y$1-IF(N(AD93)&gt;0,0,p_CorrFixa))/(H93*W93*$W$6)),9)/$W$5)*$W$5)))</f>
        <v/>
      </c>
      <c r="AG93" s="85" t="str">
        <f>IF(A93="","",IF(AND(N(AD93)=0,N(AF93)*(H93*W93*$W$6)+p_CorrFixa&lt;p_CompraMin),0,AF93))</f>
        <v/>
      </c>
      <c r="AH93" s="85" t="str">
        <f>IF(A93="","",IF(N(AG93)&gt;0,AB93,0))</f>
        <v/>
      </c>
      <c r="AI93" s="85" t="str">
        <f>IF(A93="","",IF(AND(AH93&gt;0,AH93=$AH$6,COUNTIF($AH$9:AH93,AH93)=1),1,0))</f>
        <v/>
      </c>
    </row>
    <row r="94">
      <c r="A94" s="96" t="n"/>
      <c r="B94" s="96" t="n"/>
      <c r="C94" s="96" t="n"/>
      <c r="D94" s="97" t="n"/>
      <c r="E94" s="98" t="n"/>
      <c r="F94" s="99" t="n"/>
      <c r="G94" s="100" t="n"/>
      <c r="H94" s="104" t="str">
        <f>IF(A94="","",IF(AND(p_ModoCot="Automático",ISNUMBER(Z94)),Z94,IF(N(G94)&gt;0,G94,0)))</f>
        <v/>
      </c>
      <c r="I94" s="105" t="str">
        <f>IF(A94="","",IF(W94=0,"Sem câmbio",IF(AND(p_ModoCot="Automático",ISNUMBER(Z94)),"Auto",IF(N(G94)&gt;0,"Manual","Sem cotação"))))</f>
        <v/>
      </c>
      <c r="J94" s="106" t="str">
        <f>IF(A94="","",N(E94)*H94)</f>
        <v/>
      </c>
      <c r="K94" s="107" t="str">
        <f>IF(A94="","",J94*W94)</f>
        <v/>
      </c>
      <c r="L94" s="108" t="str">
        <f>IF(A94="","",IF($K$6&gt;0,K94/$K$6,0))</f>
        <v/>
      </c>
      <c r="M94" s="109" t="str">
        <f>IF(A94="","",N(F94)-L94)</f>
        <v/>
      </c>
      <c r="N94" s="108" t="str">
        <f>IF(A94="","",IF($AB$6&gt;0,AB94/$AB$6,0))</f>
        <v/>
      </c>
      <c r="O94" s="110" t="str">
        <f>IF(A94="","",IF(AB94&lt;=0,"",COUNTIF($AB$9:$AB$208,"&gt;"&amp;AB94)+COUNTIF($AB$9:AB94,AB94)))</f>
        <v/>
      </c>
      <c r="P94" s="105" t="str">
        <f>IF(A94="","",IF(Q94&gt;0,"BUY","HOLD"))</f>
        <v/>
      </c>
      <c r="Q94" s="107" t="str">
        <f>IF(A94="","",IF($W$7&lt;=0,0,IF($AC$6&gt;0,$W$7*AC94/$AC$6,IF($F$6&gt;0,$W$7*N(F94)/$F$6,0))))</f>
        <v/>
      </c>
      <c r="R94" s="111" t="str">
        <f>IF(A94="","",N(AD94)+IF(AI94=1,N(AG94),0))</f>
        <v/>
      </c>
      <c r="S94" s="111" t="str">
        <f>IF(A94="","",N(E94)+N(R94))</f>
        <v/>
      </c>
      <c r="T94" s="107" t="str">
        <f>IF(A94="","",IF(N(R94)&gt;0,R94*H94*W94*$W$6+p_CorrFixa,0))</f>
        <v/>
      </c>
      <c r="V94" s="85" t="str">
        <f>IF(A94="","",IF(D94="",$W$1,D94))</f>
        <v/>
      </c>
      <c r="W94" s="85" t="str">
        <f>IF(A94="","",IFERROR(INDEX(moeda_fx,MATCH(V94,moeda_cod,0)),0))</f>
        <v/>
      </c>
      <c r="X94" s="85" t="str">
        <f>IF(A94="","",IF($W$2="",UPPER(TRIM(A94)),IF(RIGHT(UPPER(TRIM(A94)),LEN($W$2))=$W$2,UPPER(TRIM(A94)),UPPER(TRIM(A94))&amp;$W$2)))</f>
        <v/>
      </c>
      <c r="Y94" s="85" t="str">
        <f>IF(OR(A94="",p_ModoCot&lt;&gt;"Automático"),"",IFERROR(_xlfn.WEBSERVICE("https://query1.finance.yahoo.com/v8/finance/chart/"&amp;X94&amp;"?range=1d&amp;interval=1d"),""))</f>
        <v/>
      </c>
      <c r="Z94" s="85" t="str">
        <f>IF(Y94="","",IFERROR(_xlfn.NUMBERVALUE(MID(Y94,SEARCH("""regularMarketPrice"":",Y94)+21,SEARCH(",",Y94&amp;",",SEARCH("""regularMarketPrice"":",Y94)+21)-SEARCH("""regularMarketPrice"":",Y94)-21),".",","),""))</f>
        <v/>
      </c>
      <c r="AA94" s="85" t="str">
        <f>IF(A94="","",ROUND(MAX(0,N(F94)*($K$6+$W$7)-K94),2))</f>
        <v/>
      </c>
      <c r="AB94" s="85" t="str">
        <f>IF(A94="","",IF(AND(M94&gt;0,M94&gt;=p_DifMin),AA94,0))</f>
        <v/>
      </c>
      <c r="AC94" s="85" t="str">
        <f>IF(A94="","",IF(AND(AB94&gt;0,N(O94)&lt;=p_MaxAtivos),AB94,0))</f>
        <v/>
      </c>
      <c r="AD94" s="85" t="str">
        <f>IF(A94="","",IF(OR(Q94&lt;=0,Q94&lt;p_CompraMin,N(H94)&lt;=0,N(W94)&lt;=0),0,IF($W$3="Sim",TRUNC(ROUND(MAX(0,(Q94-p_CorrFixa)/(H94*W94*$W$6)),9),$W$4),TRUNC(ROUND(MAX(0,(Q94-p_CorrFixa)/(H94*W94*$W$6)),9)/$W$5)*$W$5)))</f>
        <v/>
      </c>
      <c r="AE94" s="85" t="str">
        <f>IF(A94="","",IF(N(AD94)&gt;0,AD94*H94*W94*$W$6+p_CorrFixa,0))</f>
        <v/>
      </c>
      <c r="AF94" s="85" t="str">
        <f>IF(A94="","",IF(OR($Y$1&lt;=0,N(H94)&lt;=0,N(W94)&lt;=0,N(AB94)&lt;=0),0,IF($W$3="Sim",TRUNC(ROUND(MAX(0,($Y$1-IF(N(AD94)&gt;0,0,p_CorrFixa))/(H94*W94*$W$6)),9),$W$4),TRUNC(ROUND(MAX(0,($Y$1-IF(N(AD94)&gt;0,0,p_CorrFixa))/(H94*W94*$W$6)),9)/$W$5)*$W$5)))</f>
        <v/>
      </c>
      <c r="AG94" s="85" t="str">
        <f>IF(A94="","",IF(AND(N(AD94)=0,N(AF94)*(H94*W94*$W$6)+p_CorrFixa&lt;p_CompraMin),0,AF94))</f>
        <v/>
      </c>
      <c r="AH94" s="85" t="str">
        <f>IF(A94="","",IF(N(AG94)&gt;0,AB94,0))</f>
        <v/>
      </c>
      <c r="AI94" s="85" t="str">
        <f>IF(A94="","",IF(AND(AH94&gt;0,AH94=$AH$6,COUNTIF($AH$9:AH94,AH94)=1),1,0))</f>
        <v/>
      </c>
    </row>
    <row r="95">
      <c r="A95" s="96" t="n"/>
      <c r="B95" s="96" t="n"/>
      <c r="C95" s="96" t="n"/>
      <c r="D95" s="97" t="n"/>
      <c r="E95" s="98" t="n"/>
      <c r="F95" s="99" t="n"/>
      <c r="G95" s="100" t="n"/>
      <c r="H95" s="101" t="str">
        <f>IF(A95="","",IF(AND(p_ModoCot="Automático",ISNUMBER(Z95)),Z95,IF(N(G95)&gt;0,G95,0)))</f>
        <v/>
      </c>
      <c r="I95" s="73" t="str">
        <f>IF(A95="","",IF(W95=0,"Sem câmbio",IF(AND(p_ModoCot="Automático",ISNUMBER(Z95)),"Auto",IF(N(G95)&gt;0,"Manual","Sem cotação"))))</f>
        <v/>
      </c>
      <c r="J95" s="102" t="str">
        <f>IF(A95="","",N(E95)*H95)</f>
        <v/>
      </c>
      <c r="K95" s="70" t="str">
        <f>IF(A95="","",J95*W95)</f>
        <v/>
      </c>
      <c r="L95" s="30" t="str">
        <f>IF(A95="","",IF($K$6&gt;0,K95/$K$6,0))</f>
        <v/>
      </c>
      <c r="M95" s="72" t="str">
        <f>IF(A95="","",N(F95)-L95)</f>
        <v/>
      </c>
      <c r="N95" s="30" t="str">
        <f>IF(A95="","",IF($AB$6&gt;0,AB95/$AB$6,0))</f>
        <v/>
      </c>
      <c r="O95" s="74" t="str">
        <f>IF(A95="","",IF(AB95&lt;=0,"",COUNTIF($AB$9:$AB$208,"&gt;"&amp;AB95)+COUNTIF($AB$9:AB95,AB95)))</f>
        <v/>
      </c>
      <c r="P95" s="73" t="str">
        <f>IF(A95="","",IF(Q95&gt;0,"BUY","HOLD"))</f>
        <v/>
      </c>
      <c r="Q95" s="70" t="str">
        <f>IF(A95="","",IF($W$7&lt;=0,0,IF($AC$6&gt;0,$W$7*AC95/$AC$6,IF($F$6&gt;0,$W$7*N(F95)/$F$6,0))))</f>
        <v/>
      </c>
      <c r="R95" s="103" t="str">
        <f>IF(A95="","",N(AD95)+IF(AI95=1,N(AG95),0))</f>
        <v/>
      </c>
      <c r="S95" s="103" t="str">
        <f>IF(A95="","",N(E95)+N(R95))</f>
        <v/>
      </c>
      <c r="T95" s="70" t="str">
        <f>IF(A95="","",IF(N(R95)&gt;0,R95*H95*W95*$W$6+p_CorrFixa,0))</f>
        <v/>
      </c>
      <c r="V95" s="85" t="str">
        <f>IF(A95="","",IF(D95="",$W$1,D95))</f>
        <v/>
      </c>
      <c r="W95" s="85" t="str">
        <f>IF(A95="","",IFERROR(INDEX(moeda_fx,MATCH(V95,moeda_cod,0)),0))</f>
        <v/>
      </c>
      <c r="X95" s="85" t="str">
        <f>IF(A95="","",IF($W$2="",UPPER(TRIM(A95)),IF(RIGHT(UPPER(TRIM(A95)),LEN($W$2))=$W$2,UPPER(TRIM(A95)),UPPER(TRIM(A95))&amp;$W$2)))</f>
        <v/>
      </c>
      <c r="Y95" s="85" t="str">
        <f>IF(OR(A95="",p_ModoCot&lt;&gt;"Automático"),"",IFERROR(_xlfn.WEBSERVICE("https://query1.finance.yahoo.com/v8/finance/chart/"&amp;X95&amp;"?range=1d&amp;interval=1d"),""))</f>
        <v/>
      </c>
      <c r="Z95" s="85" t="str">
        <f>IF(Y95="","",IFERROR(_xlfn.NUMBERVALUE(MID(Y95,SEARCH("""regularMarketPrice"":",Y95)+21,SEARCH(",",Y95&amp;",",SEARCH("""regularMarketPrice"":",Y95)+21)-SEARCH("""regularMarketPrice"":",Y95)-21),".",","),""))</f>
        <v/>
      </c>
      <c r="AA95" s="85" t="str">
        <f>IF(A95="","",ROUND(MAX(0,N(F95)*($K$6+$W$7)-K95),2))</f>
        <v/>
      </c>
      <c r="AB95" s="85" t="str">
        <f>IF(A95="","",IF(AND(M95&gt;0,M95&gt;=p_DifMin),AA95,0))</f>
        <v/>
      </c>
      <c r="AC95" s="85" t="str">
        <f>IF(A95="","",IF(AND(AB95&gt;0,N(O95)&lt;=p_MaxAtivos),AB95,0))</f>
        <v/>
      </c>
      <c r="AD95" s="85" t="str">
        <f>IF(A95="","",IF(OR(Q95&lt;=0,Q95&lt;p_CompraMin,N(H95)&lt;=0,N(W95)&lt;=0),0,IF($W$3="Sim",TRUNC(ROUND(MAX(0,(Q95-p_CorrFixa)/(H95*W95*$W$6)),9),$W$4),TRUNC(ROUND(MAX(0,(Q95-p_CorrFixa)/(H95*W95*$W$6)),9)/$W$5)*$W$5)))</f>
        <v/>
      </c>
      <c r="AE95" s="85" t="str">
        <f>IF(A95="","",IF(N(AD95)&gt;0,AD95*H95*W95*$W$6+p_CorrFixa,0))</f>
        <v/>
      </c>
      <c r="AF95" s="85" t="str">
        <f>IF(A95="","",IF(OR($Y$1&lt;=0,N(H95)&lt;=0,N(W95)&lt;=0,N(AB95)&lt;=0),0,IF($W$3="Sim",TRUNC(ROUND(MAX(0,($Y$1-IF(N(AD95)&gt;0,0,p_CorrFixa))/(H95*W95*$W$6)),9),$W$4),TRUNC(ROUND(MAX(0,($Y$1-IF(N(AD95)&gt;0,0,p_CorrFixa))/(H95*W95*$W$6)),9)/$W$5)*$W$5)))</f>
        <v/>
      </c>
      <c r="AG95" s="85" t="str">
        <f>IF(A95="","",IF(AND(N(AD95)=0,N(AF95)*(H95*W95*$W$6)+p_CorrFixa&lt;p_CompraMin),0,AF95))</f>
        <v/>
      </c>
      <c r="AH95" s="85" t="str">
        <f>IF(A95="","",IF(N(AG95)&gt;0,AB95,0))</f>
        <v/>
      </c>
      <c r="AI95" s="85" t="str">
        <f>IF(A95="","",IF(AND(AH95&gt;0,AH95=$AH$6,COUNTIF($AH$9:AH95,AH95)=1),1,0))</f>
        <v/>
      </c>
    </row>
    <row r="96">
      <c r="A96" s="96" t="n"/>
      <c r="B96" s="96" t="n"/>
      <c r="C96" s="96" t="n"/>
      <c r="D96" s="97" t="n"/>
      <c r="E96" s="98" t="n"/>
      <c r="F96" s="99" t="n"/>
      <c r="G96" s="100" t="n"/>
      <c r="H96" s="104" t="str">
        <f>IF(A96="","",IF(AND(p_ModoCot="Automático",ISNUMBER(Z96)),Z96,IF(N(G96)&gt;0,G96,0)))</f>
        <v/>
      </c>
      <c r="I96" s="105" t="str">
        <f>IF(A96="","",IF(W96=0,"Sem câmbio",IF(AND(p_ModoCot="Automático",ISNUMBER(Z96)),"Auto",IF(N(G96)&gt;0,"Manual","Sem cotação"))))</f>
        <v/>
      </c>
      <c r="J96" s="106" t="str">
        <f>IF(A96="","",N(E96)*H96)</f>
        <v/>
      </c>
      <c r="K96" s="107" t="str">
        <f>IF(A96="","",J96*W96)</f>
        <v/>
      </c>
      <c r="L96" s="108" t="str">
        <f>IF(A96="","",IF($K$6&gt;0,K96/$K$6,0))</f>
        <v/>
      </c>
      <c r="M96" s="109" t="str">
        <f>IF(A96="","",N(F96)-L96)</f>
        <v/>
      </c>
      <c r="N96" s="108" t="str">
        <f>IF(A96="","",IF($AB$6&gt;0,AB96/$AB$6,0))</f>
        <v/>
      </c>
      <c r="O96" s="110" t="str">
        <f>IF(A96="","",IF(AB96&lt;=0,"",COUNTIF($AB$9:$AB$208,"&gt;"&amp;AB96)+COUNTIF($AB$9:AB96,AB96)))</f>
        <v/>
      </c>
      <c r="P96" s="105" t="str">
        <f>IF(A96="","",IF(Q96&gt;0,"BUY","HOLD"))</f>
        <v/>
      </c>
      <c r="Q96" s="107" t="str">
        <f>IF(A96="","",IF($W$7&lt;=0,0,IF($AC$6&gt;0,$W$7*AC96/$AC$6,IF($F$6&gt;0,$W$7*N(F96)/$F$6,0))))</f>
        <v/>
      </c>
      <c r="R96" s="111" t="str">
        <f>IF(A96="","",N(AD96)+IF(AI96=1,N(AG96),0))</f>
        <v/>
      </c>
      <c r="S96" s="111" t="str">
        <f>IF(A96="","",N(E96)+N(R96))</f>
        <v/>
      </c>
      <c r="T96" s="107" t="str">
        <f>IF(A96="","",IF(N(R96)&gt;0,R96*H96*W96*$W$6+p_CorrFixa,0))</f>
        <v/>
      </c>
      <c r="V96" s="85" t="str">
        <f>IF(A96="","",IF(D96="",$W$1,D96))</f>
        <v/>
      </c>
      <c r="W96" s="85" t="str">
        <f>IF(A96="","",IFERROR(INDEX(moeda_fx,MATCH(V96,moeda_cod,0)),0))</f>
        <v/>
      </c>
      <c r="X96" s="85" t="str">
        <f>IF(A96="","",IF($W$2="",UPPER(TRIM(A96)),IF(RIGHT(UPPER(TRIM(A96)),LEN($W$2))=$W$2,UPPER(TRIM(A96)),UPPER(TRIM(A96))&amp;$W$2)))</f>
        <v/>
      </c>
      <c r="Y96" s="85" t="str">
        <f>IF(OR(A96="",p_ModoCot&lt;&gt;"Automático"),"",IFERROR(_xlfn.WEBSERVICE("https://query1.finance.yahoo.com/v8/finance/chart/"&amp;X96&amp;"?range=1d&amp;interval=1d"),""))</f>
        <v/>
      </c>
      <c r="Z96" s="85" t="str">
        <f>IF(Y96="","",IFERROR(_xlfn.NUMBERVALUE(MID(Y96,SEARCH("""regularMarketPrice"":",Y96)+21,SEARCH(",",Y96&amp;",",SEARCH("""regularMarketPrice"":",Y96)+21)-SEARCH("""regularMarketPrice"":",Y96)-21),".",","),""))</f>
        <v/>
      </c>
      <c r="AA96" s="85" t="str">
        <f>IF(A96="","",ROUND(MAX(0,N(F96)*($K$6+$W$7)-K96),2))</f>
        <v/>
      </c>
      <c r="AB96" s="85" t="str">
        <f>IF(A96="","",IF(AND(M96&gt;0,M96&gt;=p_DifMin),AA96,0))</f>
        <v/>
      </c>
      <c r="AC96" s="85" t="str">
        <f>IF(A96="","",IF(AND(AB96&gt;0,N(O96)&lt;=p_MaxAtivos),AB96,0))</f>
        <v/>
      </c>
      <c r="AD96" s="85" t="str">
        <f>IF(A96="","",IF(OR(Q96&lt;=0,Q96&lt;p_CompraMin,N(H96)&lt;=0,N(W96)&lt;=0),0,IF($W$3="Sim",TRUNC(ROUND(MAX(0,(Q96-p_CorrFixa)/(H96*W96*$W$6)),9),$W$4),TRUNC(ROUND(MAX(0,(Q96-p_CorrFixa)/(H96*W96*$W$6)),9)/$W$5)*$W$5)))</f>
        <v/>
      </c>
      <c r="AE96" s="85" t="str">
        <f>IF(A96="","",IF(N(AD96)&gt;0,AD96*H96*W96*$W$6+p_CorrFixa,0))</f>
        <v/>
      </c>
      <c r="AF96" s="85" t="str">
        <f>IF(A96="","",IF(OR($Y$1&lt;=0,N(H96)&lt;=0,N(W96)&lt;=0,N(AB96)&lt;=0),0,IF($W$3="Sim",TRUNC(ROUND(MAX(0,($Y$1-IF(N(AD96)&gt;0,0,p_CorrFixa))/(H96*W96*$W$6)),9),$W$4),TRUNC(ROUND(MAX(0,($Y$1-IF(N(AD96)&gt;0,0,p_CorrFixa))/(H96*W96*$W$6)),9)/$W$5)*$W$5)))</f>
        <v/>
      </c>
      <c r="AG96" s="85" t="str">
        <f>IF(A96="","",IF(AND(N(AD96)=0,N(AF96)*(H96*W96*$W$6)+p_CorrFixa&lt;p_CompraMin),0,AF96))</f>
        <v/>
      </c>
      <c r="AH96" s="85" t="str">
        <f>IF(A96="","",IF(N(AG96)&gt;0,AB96,0))</f>
        <v/>
      </c>
      <c r="AI96" s="85" t="str">
        <f>IF(A96="","",IF(AND(AH96&gt;0,AH96=$AH$6,COUNTIF($AH$9:AH96,AH96)=1),1,0))</f>
        <v/>
      </c>
    </row>
    <row r="97">
      <c r="A97" s="96" t="n"/>
      <c r="B97" s="96" t="n"/>
      <c r="C97" s="96" t="n"/>
      <c r="D97" s="97" t="n"/>
      <c r="E97" s="98" t="n"/>
      <c r="F97" s="99" t="n"/>
      <c r="G97" s="100" t="n"/>
      <c r="H97" s="101" t="str">
        <f>IF(A97="","",IF(AND(p_ModoCot="Automático",ISNUMBER(Z97)),Z97,IF(N(G97)&gt;0,G97,0)))</f>
        <v/>
      </c>
      <c r="I97" s="73" t="str">
        <f>IF(A97="","",IF(W97=0,"Sem câmbio",IF(AND(p_ModoCot="Automático",ISNUMBER(Z97)),"Auto",IF(N(G97)&gt;0,"Manual","Sem cotação"))))</f>
        <v/>
      </c>
      <c r="J97" s="102" t="str">
        <f>IF(A97="","",N(E97)*H97)</f>
        <v/>
      </c>
      <c r="K97" s="70" t="str">
        <f>IF(A97="","",J97*W97)</f>
        <v/>
      </c>
      <c r="L97" s="30" t="str">
        <f>IF(A97="","",IF($K$6&gt;0,K97/$K$6,0))</f>
        <v/>
      </c>
      <c r="M97" s="72" t="str">
        <f>IF(A97="","",N(F97)-L97)</f>
        <v/>
      </c>
      <c r="N97" s="30" t="str">
        <f>IF(A97="","",IF($AB$6&gt;0,AB97/$AB$6,0))</f>
        <v/>
      </c>
      <c r="O97" s="74" t="str">
        <f>IF(A97="","",IF(AB97&lt;=0,"",COUNTIF($AB$9:$AB$208,"&gt;"&amp;AB97)+COUNTIF($AB$9:AB97,AB97)))</f>
        <v/>
      </c>
      <c r="P97" s="73" t="str">
        <f>IF(A97="","",IF(Q97&gt;0,"BUY","HOLD"))</f>
        <v/>
      </c>
      <c r="Q97" s="70" t="str">
        <f>IF(A97="","",IF($W$7&lt;=0,0,IF($AC$6&gt;0,$W$7*AC97/$AC$6,IF($F$6&gt;0,$W$7*N(F97)/$F$6,0))))</f>
        <v/>
      </c>
      <c r="R97" s="103" t="str">
        <f>IF(A97="","",N(AD97)+IF(AI97=1,N(AG97),0))</f>
        <v/>
      </c>
      <c r="S97" s="103" t="str">
        <f>IF(A97="","",N(E97)+N(R97))</f>
        <v/>
      </c>
      <c r="T97" s="70" t="str">
        <f>IF(A97="","",IF(N(R97)&gt;0,R97*H97*W97*$W$6+p_CorrFixa,0))</f>
        <v/>
      </c>
      <c r="V97" s="85" t="str">
        <f>IF(A97="","",IF(D97="",$W$1,D97))</f>
        <v/>
      </c>
      <c r="W97" s="85" t="str">
        <f>IF(A97="","",IFERROR(INDEX(moeda_fx,MATCH(V97,moeda_cod,0)),0))</f>
        <v/>
      </c>
      <c r="X97" s="85" t="str">
        <f>IF(A97="","",IF($W$2="",UPPER(TRIM(A97)),IF(RIGHT(UPPER(TRIM(A97)),LEN($W$2))=$W$2,UPPER(TRIM(A97)),UPPER(TRIM(A97))&amp;$W$2)))</f>
        <v/>
      </c>
      <c r="Y97" s="85" t="str">
        <f>IF(OR(A97="",p_ModoCot&lt;&gt;"Automático"),"",IFERROR(_xlfn.WEBSERVICE("https://query1.finance.yahoo.com/v8/finance/chart/"&amp;X97&amp;"?range=1d&amp;interval=1d"),""))</f>
        <v/>
      </c>
      <c r="Z97" s="85" t="str">
        <f>IF(Y97="","",IFERROR(_xlfn.NUMBERVALUE(MID(Y97,SEARCH("""regularMarketPrice"":",Y97)+21,SEARCH(",",Y97&amp;",",SEARCH("""regularMarketPrice"":",Y97)+21)-SEARCH("""regularMarketPrice"":",Y97)-21),".",","),""))</f>
        <v/>
      </c>
      <c r="AA97" s="85" t="str">
        <f>IF(A97="","",ROUND(MAX(0,N(F97)*($K$6+$W$7)-K97),2))</f>
        <v/>
      </c>
      <c r="AB97" s="85" t="str">
        <f>IF(A97="","",IF(AND(M97&gt;0,M97&gt;=p_DifMin),AA97,0))</f>
        <v/>
      </c>
      <c r="AC97" s="85" t="str">
        <f>IF(A97="","",IF(AND(AB97&gt;0,N(O97)&lt;=p_MaxAtivos),AB97,0))</f>
        <v/>
      </c>
      <c r="AD97" s="85" t="str">
        <f>IF(A97="","",IF(OR(Q97&lt;=0,Q97&lt;p_CompraMin,N(H97)&lt;=0,N(W97)&lt;=0),0,IF($W$3="Sim",TRUNC(ROUND(MAX(0,(Q97-p_CorrFixa)/(H97*W97*$W$6)),9),$W$4),TRUNC(ROUND(MAX(0,(Q97-p_CorrFixa)/(H97*W97*$W$6)),9)/$W$5)*$W$5)))</f>
        <v/>
      </c>
      <c r="AE97" s="85" t="str">
        <f>IF(A97="","",IF(N(AD97)&gt;0,AD97*H97*W97*$W$6+p_CorrFixa,0))</f>
        <v/>
      </c>
      <c r="AF97" s="85" t="str">
        <f>IF(A97="","",IF(OR($Y$1&lt;=0,N(H97)&lt;=0,N(W97)&lt;=0,N(AB97)&lt;=0),0,IF($W$3="Sim",TRUNC(ROUND(MAX(0,($Y$1-IF(N(AD97)&gt;0,0,p_CorrFixa))/(H97*W97*$W$6)),9),$W$4),TRUNC(ROUND(MAX(0,($Y$1-IF(N(AD97)&gt;0,0,p_CorrFixa))/(H97*W97*$W$6)),9)/$W$5)*$W$5)))</f>
        <v/>
      </c>
      <c r="AG97" s="85" t="str">
        <f>IF(A97="","",IF(AND(N(AD97)=0,N(AF97)*(H97*W97*$W$6)+p_CorrFixa&lt;p_CompraMin),0,AF97))</f>
        <v/>
      </c>
      <c r="AH97" s="85" t="str">
        <f>IF(A97="","",IF(N(AG97)&gt;0,AB97,0))</f>
        <v/>
      </c>
      <c r="AI97" s="85" t="str">
        <f>IF(A97="","",IF(AND(AH97&gt;0,AH97=$AH$6,COUNTIF($AH$9:AH97,AH97)=1),1,0))</f>
        <v/>
      </c>
    </row>
    <row r="98">
      <c r="A98" s="96" t="n"/>
      <c r="B98" s="96" t="n"/>
      <c r="C98" s="96" t="n"/>
      <c r="D98" s="97" t="n"/>
      <c r="E98" s="98" t="n"/>
      <c r="F98" s="99" t="n"/>
      <c r="G98" s="100" t="n"/>
      <c r="H98" s="104" t="str">
        <f>IF(A98="","",IF(AND(p_ModoCot="Automático",ISNUMBER(Z98)),Z98,IF(N(G98)&gt;0,G98,0)))</f>
        <v/>
      </c>
      <c r="I98" s="105" t="str">
        <f>IF(A98="","",IF(W98=0,"Sem câmbio",IF(AND(p_ModoCot="Automático",ISNUMBER(Z98)),"Auto",IF(N(G98)&gt;0,"Manual","Sem cotação"))))</f>
        <v/>
      </c>
      <c r="J98" s="106" t="str">
        <f>IF(A98="","",N(E98)*H98)</f>
        <v/>
      </c>
      <c r="K98" s="107" t="str">
        <f>IF(A98="","",J98*W98)</f>
        <v/>
      </c>
      <c r="L98" s="108" t="str">
        <f>IF(A98="","",IF($K$6&gt;0,K98/$K$6,0))</f>
        <v/>
      </c>
      <c r="M98" s="109" t="str">
        <f>IF(A98="","",N(F98)-L98)</f>
        <v/>
      </c>
      <c r="N98" s="108" t="str">
        <f>IF(A98="","",IF($AB$6&gt;0,AB98/$AB$6,0))</f>
        <v/>
      </c>
      <c r="O98" s="110" t="str">
        <f>IF(A98="","",IF(AB98&lt;=0,"",COUNTIF($AB$9:$AB$208,"&gt;"&amp;AB98)+COUNTIF($AB$9:AB98,AB98)))</f>
        <v/>
      </c>
      <c r="P98" s="105" t="str">
        <f>IF(A98="","",IF(Q98&gt;0,"BUY","HOLD"))</f>
        <v/>
      </c>
      <c r="Q98" s="107" t="str">
        <f>IF(A98="","",IF($W$7&lt;=0,0,IF($AC$6&gt;0,$W$7*AC98/$AC$6,IF($F$6&gt;0,$W$7*N(F98)/$F$6,0))))</f>
        <v/>
      </c>
      <c r="R98" s="111" t="str">
        <f>IF(A98="","",N(AD98)+IF(AI98=1,N(AG98),0))</f>
        <v/>
      </c>
      <c r="S98" s="111" t="str">
        <f>IF(A98="","",N(E98)+N(R98))</f>
        <v/>
      </c>
      <c r="T98" s="107" t="str">
        <f>IF(A98="","",IF(N(R98)&gt;0,R98*H98*W98*$W$6+p_CorrFixa,0))</f>
        <v/>
      </c>
      <c r="V98" s="85" t="str">
        <f>IF(A98="","",IF(D98="",$W$1,D98))</f>
        <v/>
      </c>
      <c r="W98" s="85" t="str">
        <f>IF(A98="","",IFERROR(INDEX(moeda_fx,MATCH(V98,moeda_cod,0)),0))</f>
        <v/>
      </c>
      <c r="X98" s="85" t="str">
        <f>IF(A98="","",IF($W$2="",UPPER(TRIM(A98)),IF(RIGHT(UPPER(TRIM(A98)),LEN($W$2))=$W$2,UPPER(TRIM(A98)),UPPER(TRIM(A98))&amp;$W$2)))</f>
        <v/>
      </c>
      <c r="Y98" s="85" t="str">
        <f>IF(OR(A98="",p_ModoCot&lt;&gt;"Automático"),"",IFERROR(_xlfn.WEBSERVICE("https://query1.finance.yahoo.com/v8/finance/chart/"&amp;X98&amp;"?range=1d&amp;interval=1d"),""))</f>
        <v/>
      </c>
      <c r="Z98" s="85" t="str">
        <f>IF(Y98="","",IFERROR(_xlfn.NUMBERVALUE(MID(Y98,SEARCH("""regularMarketPrice"":",Y98)+21,SEARCH(",",Y98&amp;",",SEARCH("""regularMarketPrice"":",Y98)+21)-SEARCH("""regularMarketPrice"":",Y98)-21),".",","),""))</f>
        <v/>
      </c>
      <c r="AA98" s="85" t="str">
        <f>IF(A98="","",ROUND(MAX(0,N(F98)*($K$6+$W$7)-K98),2))</f>
        <v/>
      </c>
      <c r="AB98" s="85" t="str">
        <f>IF(A98="","",IF(AND(M98&gt;0,M98&gt;=p_DifMin),AA98,0))</f>
        <v/>
      </c>
      <c r="AC98" s="85" t="str">
        <f>IF(A98="","",IF(AND(AB98&gt;0,N(O98)&lt;=p_MaxAtivos),AB98,0))</f>
        <v/>
      </c>
      <c r="AD98" s="85" t="str">
        <f>IF(A98="","",IF(OR(Q98&lt;=0,Q98&lt;p_CompraMin,N(H98)&lt;=0,N(W98)&lt;=0),0,IF($W$3="Sim",TRUNC(ROUND(MAX(0,(Q98-p_CorrFixa)/(H98*W98*$W$6)),9),$W$4),TRUNC(ROUND(MAX(0,(Q98-p_CorrFixa)/(H98*W98*$W$6)),9)/$W$5)*$W$5)))</f>
        <v/>
      </c>
      <c r="AE98" s="85" t="str">
        <f>IF(A98="","",IF(N(AD98)&gt;0,AD98*H98*W98*$W$6+p_CorrFixa,0))</f>
        <v/>
      </c>
      <c r="AF98" s="85" t="str">
        <f>IF(A98="","",IF(OR($Y$1&lt;=0,N(H98)&lt;=0,N(W98)&lt;=0,N(AB98)&lt;=0),0,IF($W$3="Sim",TRUNC(ROUND(MAX(0,($Y$1-IF(N(AD98)&gt;0,0,p_CorrFixa))/(H98*W98*$W$6)),9),$W$4),TRUNC(ROUND(MAX(0,($Y$1-IF(N(AD98)&gt;0,0,p_CorrFixa))/(H98*W98*$W$6)),9)/$W$5)*$W$5)))</f>
        <v/>
      </c>
      <c r="AG98" s="85" t="str">
        <f>IF(A98="","",IF(AND(N(AD98)=0,N(AF98)*(H98*W98*$W$6)+p_CorrFixa&lt;p_CompraMin),0,AF98))</f>
        <v/>
      </c>
      <c r="AH98" s="85" t="str">
        <f>IF(A98="","",IF(N(AG98)&gt;0,AB98,0))</f>
        <v/>
      </c>
      <c r="AI98" s="85" t="str">
        <f>IF(A98="","",IF(AND(AH98&gt;0,AH98=$AH$6,COUNTIF($AH$9:AH98,AH98)=1),1,0))</f>
        <v/>
      </c>
    </row>
    <row r="99">
      <c r="A99" s="96" t="n"/>
      <c r="B99" s="96" t="n"/>
      <c r="C99" s="96" t="n"/>
      <c r="D99" s="97" t="n"/>
      <c r="E99" s="98" t="n"/>
      <c r="F99" s="99" t="n"/>
      <c r="G99" s="100" t="n"/>
      <c r="H99" s="101" t="str">
        <f>IF(A99="","",IF(AND(p_ModoCot="Automático",ISNUMBER(Z99)),Z99,IF(N(G99)&gt;0,G99,0)))</f>
        <v/>
      </c>
      <c r="I99" s="73" t="str">
        <f>IF(A99="","",IF(W99=0,"Sem câmbio",IF(AND(p_ModoCot="Automático",ISNUMBER(Z99)),"Auto",IF(N(G99)&gt;0,"Manual","Sem cotação"))))</f>
        <v/>
      </c>
      <c r="J99" s="102" t="str">
        <f>IF(A99="","",N(E99)*H99)</f>
        <v/>
      </c>
      <c r="K99" s="70" t="str">
        <f>IF(A99="","",J99*W99)</f>
        <v/>
      </c>
      <c r="L99" s="30" t="str">
        <f>IF(A99="","",IF($K$6&gt;0,K99/$K$6,0))</f>
        <v/>
      </c>
      <c r="M99" s="72" t="str">
        <f>IF(A99="","",N(F99)-L99)</f>
        <v/>
      </c>
      <c r="N99" s="30" t="str">
        <f>IF(A99="","",IF($AB$6&gt;0,AB99/$AB$6,0))</f>
        <v/>
      </c>
      <c r="O99" s="74" t="str">
        <f>IF(A99="","",IF(AB99&lt;=0,"",COUNTIF($AB$9:$AB$208,"&gt;"&amp;AB99)+COUNTIF($AB$9:AB99,AB99)))</f>
        <v/>
      </c>
      <c r="P99" s="73" t="str">
        <f>IF(A99="","",IF(Q99&gt;0,"BUY","HOLD"))</f>
        <v/>
      </c>
      <c r="Q99" s="70" t="str">
        <f>IF(A99="","",IF($W$7&lt;=0,0,IF($AC$6&gt;0,$W$7*AC99/$AC$6,IF($F$6&gt;0,$W$7*N(F99)/$F$6,0))))</f>
        <v/>
      </c>
      <c r="R99" s="103" t="str">
        <f>IF(A99="","",N(AD99)+IF(AI99=1,N(AG99),0))</f>
        <v/>
      </c>
      <c r="S99" s="103" t="str">
        <f>IF(A99="","",N(E99)+N(R99))</f>
        <v/>
      </c>
      <c r="T99" s="70" t="str">
        <f>IF(A99="","",IF(N(R99)&gt;0,R99*H99*W99*$W$6+p_CorrFixa,0))</f>
        <v/>
      </c>
      <c r="V99" s="85" t="str">
        <f>IF(A99="","",IF(D99="",$W$1,D99))</f>
        <v/>
      </c>
      <c r="W99" s="85" t="str">
        <f>IF(A99="","",IFERROR(INDEX(moeda_fx,MATCH(V99,moeda_cod,0)),0))</f>
        <v/>
      </c>
      <c r="X99" s="85" t="str">
        <f>IF(A99="","",IF($W$2="",UPPER(TRIM(A99)),IF(RIGHT(UPPER(TRIM(A99)),LEN($W$2))=$W$2,UPPER(TRIM(A99)),UPPER(TRIM(A99))&amp;$W$2)))</f>
        <v/>
      </c>
      <c r="Y99" s="85" t="str">
        <f>IF(OR(A99="",p_ModoCot&lt;&gt;"Automático"),"",IFERROR(_xlfn.WEBSERVICE("https://query1.finance.yahoo.com/v8/finance/chart/"&amp;X99&amp;"?range=1d&amp;interval=1d"),""))</f>
        <v/>
      </c>
      <c r="Z99" s="85" t="str">
        <f>IF(Y99="","",IFERROR(_xlfn.NUMBERVALUE(MID(Y99,SEARCH("""regularMarketPrice"":",Y99)+21,SEARCH(",",Y99&amp;",",SEARCH("""regularMarketPrice"":",Y99)+21)-SEARCH("""regularMarketPrice"":",Y99)-21),".",","),""))</f>
        <v/>
      </c>
      <c r="AA99" s="85" t="str">
        <f>IF(A99="","",ROUND(MAX(0,N(F99)*($K$6+$W$7)-K99),2))</f>
        <v/>
      </c>
      <c r="AB99" s="85" t="str">
        <f>IF(A99="","",IF(AND(M99&gt;0,M99&gt;=p_DifMin),AA99,0))</f>
        <v/>
      </c>
      <c r="AC99" s="85" t="str">
        <f>IF(A99="","",IF(AND(AB99&gt;0,N(O99)&lt;=p_MaxAtivos),AB99,0))</f>
        <v/>
      </c>
      <c r="AD99" s="85" t="str">
        <f>IF(A99="","",IF(OR(Q99&lt;=0,Q99&lt;p_CompraMin,N(H99)&lt;=0,N(W99)&lt;=0),0,IF($W$3="Sim",TRUNC(ROUND(MAX(0,(Q99-p_CorrFixa)/(H99*W99*$W$6)),9),$W$4),TRUNC(ROUND(MAX(0,(Q99-p_CorrFixa)/(H99*W99*$W$6)),9)/$W$5)*$W$5)))</f>
        <v/>
      </c>
      <c r="AE99" s="85" t="str">
        <f>IF(A99="","",IF(N(AD99)&gt;0,AD99*H99*W99*$W$6+p_CorrFixa,0))</f>
        <v/>
      </c>
      <c r="AF99" s="85" t="str">
        <f>IF(A99="","",IF(OR($Y$1&lt;=0,N(H99)&lt;=0,N(W99)&lt;=0,N(AB99)&lt;=0),0,IF($W$3="Sim",TRUNC(ROUND(MAX(0,($Y$1-IF(N(AD99)&gt;0,0,p_CorrFixa))/(H99*W99*$W$6)),9),$W$4),TRUNC(ROUND(MAX(0,($Y$1-IF(N(AD99)&gt;0,0,p_CorrFixa))/(H99*W99*$W$6)),9)/$W$5)*$W$5)))</f>
        <v/>
      </c>
      <c r="AG99" s="85" t="str">
        <f>IF(A99="","",IF(AND(N(AD99)=0,N(AF99)*(H99*W99*$W$6)+p_CorrFixa&lt;p_CompraMin),0,AF99))</f>
        <v/>
      </c>
      <c r="AH99" s="85" t="str">
        <f>IF(A99="","",IF(N(AG99)&gt;0,AB99,0))</f>
        <v/>
      </c>
      <c r="AI99" s="85" t="str">
        <f>IF(A99="","",IF(AND(AH99&gt;0,AH99=$AH$6,COUNTIF($AH$9:AH99,AH99)=1),1,0))</f>
        <v/>
      </c>
    </row>
    <row r="100">
      <c r="A100" s="96" t="n"/>
      <c r="B100" s="96" t="n"/>
      <c r="C100" s="96" t="n"/>
      <c r="D100" s="97" t="n"/>
      <c r="E100" s="98" t="n"/>
      <c r="F100" s="99" t="n"/>
      <c r="G100" s="100" t="n"/>
      <c r="H100" s="104" t="str">
        <f>IF(A100="","",IF(AND(p_ModoCot="Automático",ISNUMBER(Z100)),Z100,IF(N(G100)&gt;0,G100,0)))</f>
        <v/>
      </c>
      <c r="I100" s="105" t="str">
        <f>IF(A100="","",IF(W100=0,"Sem câmbio",IF(AND(p_ModoCot="Automático",ISNUMBER(Z100)),"Auto",IF(N(G100)&gt;0,"Manual","Sem cotação"))))</f>
        <v/>
      </c>
      <c r="J100" s="106" t="str">
        <f>IF(A100="","",N(E100)*H100)</f>
        <v/>
      </c>
      <c r="K100" s="107" t="str">
        <f>IF(A100="","",J100*W100)</f>
        <v/>
      </c>
      <c r="L100" s="108" t="str">
        <f>IF(A100="","",IF($K$6&gt;0,K100/$K$6,0))</f>
        <v/>
      </c>
      <c r="M100" s="109" t="str">
        <f>IF(A100="","",N(F100)-L100)</f>
        <v/>
      </c>
      <c r="N100" s="108" t="str">
        <f>IF(A100="","",IF($AB$6&gt;0,AB100/$AB$6,0))</f>
        <v/>
      </c>
      <c r="O100" s="110" t="str">
        <f>IF(A100="","",IF(AB100&lt;=0,"",COUNTIF($AB$9:$AB$208,"&gt;"&amp;AB100)+COUNTIF($AB$9:AB100,AB100)))</f>
        <v/>
      </c>
      <c r="P100" s="105" t="str">
        <f>IF(A100="","",IF(Q100&gt;0,"BUY","HOLD"))</f>
        <v/>
      </c>
      <c r="Q100" s="107" t="str">
        <f>IF(A100="","",IF($W$7&lt;=0,0,IF($AC$6&gt;0,$W$7*AC100/$AC$6,IF($F$6&gt;0,$W$7*N(F100)/$F$6,0))))</f>
        <v/>
      </c>
      <c r="R100" s="111" t="str">
        <f>IF(A100="","",N(AD100)+IF(AI100=1,N(AG100),0))</f>
        <v/>
      </c>
      <c r="S100" s="111" t="str">
        <f>IF(A100="","",N(E100)+N(R100))</f>
        <v/>
      </c>
      <c r="T100" s="107" t="str">
        <f>IF(A100="","",IF(N(R100)&gt;0,R100*H100*W100*$W$6+p_CorrFixa,0))</f>
        <v/>
      </c>
      <c r="V100" s="85" t="str">
        <f>IF(A100="","",IF(D100="",$W$1,D100))</f>
        <v/>
      </c>
      <c r="W100" s="85" t="str">
        <f>IF(A100="","",IFERROR(INDEX(moeda_fx,MATCH(V100,moeda_cod,0)),0))</f>
        <v/>
      </c>
      <c r="X100" s="85" t="str">
        <f>IF(A100="","",IF($W$2="",UPPER(TRIM(A100)),IF(RIGHT(UPPER(TRIM(A100)),LEN($W$2))=$W$2,UPPER(TRIM(A100)),UPPER(TRIM(A100))&amp;$W$2)))</f>
        <v/>
      </c>
      <c r="Y100" s="85" t="str">
        <f>IF(OR(A100="",p_ModoCot&lt;&gt;"Automático"),"",IFERROR(_xlfn.WEBSERVICE("https://query1.finance.yahoo.com/v8/finance/chart/"&amp;X100&amp;"?range=1d&amp;interval=1d"),""))</f>
        <v/>
      </c>
      <c r="Z100" s="85" t="str">
        <f>IF(Y100="","",IFERROR(_xlfn.NUMBERVALUE(MID(Y100,SEARCH("""regularMarketPrice"":",Y100)+21,SEARCH(",",Y100&amp;",",SEARCH("""regularMarketPrice"":",Y100)+21)-SEARCH("""regularMarketPrice"":",Y100)-21),".",","),""))</f>
        <v/>
      </c>
      <c r="AA100" s="85" t="str">
        <f>IF(A100="","",ROUND(MAX(0,N(F100)*($K$6+$W$7)-K100),2))</f>
        <v/>
      </c>
      <c r="AB100" s="85" t="str">
        <f>IF(A100="","",IF(AND(M100&gt;0,M100&gt;=p_DifMin),AA100,0))</f>
        <v/>
      </c>
      <c r="AC100" s="85" t="str">
        <f>IF(A100="","",IF(AND(AB100&gt;0,N(O100)&lt;=p_MaxAtivos),AB100,0))</f>
        <v/>
      </c>
      <c r="AD100" s="85" t="str">
        <f>IF(A100="","",IF(OR(Q100&lt;=0,Q100&lt;p_CompraMin,N(H100)&lt;=0,N(W100)&lt;=0),0,IF($W$3="Sim",TRUNC(ROUND(MAX(0,(Q100-p_CorrFixa)/(H100*W100*$W$6)),9),$W$4),TRUNC(ROUND(MAX(0,(Q100-p_CorrFixa)/(H100*W100*$W$6)),9)/$W$5)*$W$5)))</f>
        <v/>
      </c>
      <c r="AE100" s="85" t="str">
        <f>IF(A100="","",IF(N(AD100)&gt;0,AD100*H100*W100*$W$6+p_CorrFixa,0))</f>
        <v/>
      </c>
      <c r="AF100" s="85" t="str">
        <f>IF(A100="","",IF(OR($Y$1&lt;=0,N(H100)&lt;=0,N(W100)&lt;=0,N(AB100)&lt;=0),0,IF($W$3="Sim",TRUNC(ROUND(MAX(0,($Y$1-IF(N(AD100)&gt;0,0,p_CorrFixa))/(H100*W100*$W$6)),9),$W$4),TRUNC(ROUND(MAX(0,($Y$1-IF(N(AD100)&gt;0,0,p_CorrFixa))/(H100*W100*$W$6)),9)/$W$5)*$W$5)))</f>
        <v/>
      </c>
      <c r="AG100" s="85" t="str">
        <f>IF(A100="","",IF(AND(N(AD100)=0,N(AF100)*(H100*W100*$W$6)+p_CorrFixa&lt;p_CompraMin),0,AF100))</f>
        <v/>
      </c>
      <c r="AH100" s="85" t="str">
        <f>IF(A100="","",IF(N(AG100)&gt;0,AB100,0))</f>
        <v/>
      </c>
      <c r="AI100" s="85" t="str">
        <f>IF(A100="","",IF(AND(AH100&gt;0,AH100=$AH$6,COUNTIF($AH$9:AH100,AH100)=1),1,0))</f>
        <v/>
      </c>
    </row>
    <row r="101">
      <c r="A101" s="96" t="n"/>
      <c r="B101" s="96" t="n"/>
      <c r="C101" s="96" t="n"/>
      <c r="D101" s="97" t="n"/>
      <c r="E101" s="98" t="n"/>
      <c r="F101" s="99" t="n"/>
      <c r="G101" s="100" t="n"/>
      <c r="H101" s="101" t="str">
        <f>IF(A101="","",IF(AND(p_ModoCot="Automático",ISNUMBER(Z101)),Z101,IF(N(G101)&gt;0,G101,0)))</f>
        <v/>
      </c>
      <c r="I101" s="73" t="str">
        <f>IF(A101="","",IF(W101=0,"Sem câmbio",IF(AND(p_ModoCot="Automático",ISNUMBER(Z101)),"Auto",IF(N(G101)&gt;0,"Manual","Sem cotação"))))</f>
        <v/>
      </c>
      <c r="J101" s="102" t="str">
        <f>IF(A101="","",N(E101)*H101)</f>
        <v/>
      </c>
      <c r="K101" s="70" t="str">
        <f>IF(A101="","",J101*W101)</f>
        <v/>
      </c>
      <c r="L101" s="30" t="str">
        <f>IF(A101="","",IF($K$6&gt;0,K101/$K$6,0))</f>
        <v/>
      </c>
      <c r="M101" s="72" t="str">
        <f>IF(A101="","",N(F101)-L101)</f>
        <v/>
      </c>
      <c r="N101" s="30" t="str">
        <f>IF(A101="","",IF($AB$6&gt;0,AB101/$AB$6,0))</f>
        <v/>
      </c>
      <c r="O101" s="74" t="str">
        <f>IF(A101="","",IF(AB101&lt;=0,"",COUNTIF($AB$9:$AB$208,"&gt;"&amp;AB101)+COUNTIF($AB$9:AB101,AB101)))</f>
        <v/>
      </c>
      <c r="P101" s="73" t="str">
        <f>IF(A101="","",IF(Q101&gt;0,"BUY","HOLD"))</f>
        <v/>
      </c>
      <c r="Q101" s="70" t="str">
        <f>IF(A101="","",IF($W$7&lt;=0,0,IF($AC$6&gt;0,$W$7*AC101/$AC$6,IF($F$6&gt;0,$W$7*N(F101)/$F$6,0))))</f>
        <v/>
      </c>
      <c r="R101" s="103" t="str">
        <f>IF(A101="","",N(AD101)+IF(AI101=1,N(AG101),0))</f>
        <v/>
      </c>
      <c r="S101" s="103" t="str">
        <f>IF(A101="","",N(E101)+N(R101))</f>
        <v/>
      </c>
      <c r="T101" s="70" t="str">
        <f>IF(A101="","",IF(N(R101)&gt;0,R101*H101*W101*$W$6+p_CorrFixa,0))</f>
        <v/>
      </c>
      <c r="V101" s="85" t="str">
        <f>IF(A101="","",IF(D101="",$W$1,D101))</f>
        <v/>
      </c>
      <c r="W101" s="85" t="str">
        <f>IF(A101="","",IFERROR(INDEX(moeda_fx,MATCH(V101,moeda_cod,0)),0))</f>
        <v/>
      </c>
      <c r="X101" s="85" t="str">
        <f>IF(A101="","",IF($W$2="",UPPER(TRIM(A101)),IF(RIGHT(UPPER(TRIM(A101)),LEN($W$2))=$W$2,UPPER(TRIM(A101)),UPPER(TRIM(A101))&amp;$W$2)))</f>
        <v/>
      </c>
      <c r="Y101" s="85" t="str">
        <f>IF(OR(A101="",p_ModoCot&lt;&gt;"Automático"),"",IFERROR(_xlfn.WEBSERVICE("https://query1.finance.yahoo.com/v8/finance/chart/"&amp;X101&amp;"?range=1d&amp;interval=1d"),""))</f>
        <v/>
      </c>
      <c r="Z101" s="85" t="str">
        <f>IF(Y101="","",IFERROR(_xlfn.NUMBERVALUE(MID(Y101,SEARCH("""regularMarketPrice"":",Y101)+21,SEARCH(",",Y101&amp;",",SEARCH("""regularMarketPrice"":",Y101)+21)-SEARCH("""regularMarketPrice"":",Y101)-21),".",","),""))</f>
        <v/>
      </c>
      <c r="AA101" s="85" t="str">
        <f>IF(A101="","",ROUND(MAX(0,N(F101)*($K$6+$W$7)-K101),2))</f>
        <v/>
      </c>
      <c r="AB101" s="85" t="str">
        <f>IF(A101="","",IF(AND(M101&gt;0,M101&gt;=p_DifMin),AA101,0))</f>
        <v/>
      </c>
      <c r="AC101" s="85" t="str">
        <f>IF(A101="","",IF(AND(AB101&gt;0,N(O101)&lt;=p_MaxAtivos),AB101,0))</f>
        <v/>
      </c>
      <c r="AD101" s="85" t="str">
        <f>IF(A101="","",IF(OR(Q101&lt;=0,Q101&lt;p_CompraMin,N(H101)&lt;=0,N(W101)&lt;=0),0,IF($W$3="Sim",TRUNC(ROUND(MAX(0,(Q101-p_CorrFixa)/(H101*W101*$W$6)),9),$W$4),TRUNC(ROUND(MAX(0,(Q101-p_CorrFixa)/(H101*W101*$W$6)),9)/$W$5)*$W$5)))</f>
        <v/>
      </c>
      <c r="AE101" s="85" t="str">
        <f>IF(A101="","",IF(N(AD101)&gt;0,AD101*H101*W101*$W$6+p_CorrFixa,0))</f>
        <v/>
      </c>
      <c r="AF101" s="85" t="str">
        <f>IF(A101="","",IF(OR($Y$1&lt;=0,N(H101)&lt;=0,N(W101)&lt;=0,N(AB101)&lt;=0),0,IF($W$3="Sim",TRUNC(ROUND(MAX(0,($Y$1-IF(N(AD101)&gt;0,0,p_CorrFixa))/(H101*W101*$W$6)),9),$W$4),TRUNC(ROUND(MAX(0,($Y$1-IF(N(AD101)&gt;0,0,p_CorrFixa))/(H101*W101*$W$6)),9)/$W$5)*$W$5)))</f>
        <v/>
      </c>
      <c r="AG101" s="85" t="str">
        <f>IF(A101="","",IF(AND(N(AD101)=0,N(AF101)*(H101*W101*$W$6)+p_CorrFixa&lt;p_CompraMin),0,AF101))</f>
        <v/>
      </c>
      <c r="AH101" s="85" t="str">
        <f>IF(A101="","",IF(N(AG101)&gt;0,AB101,0))</f>
        <v/>
      </c>
      <c r="AI101" s="85" t="str">
        <f>IF(A101="","",IF(AND(AH101&gt;0,AH101=$AH$6,COUNTIF($AH$9:AH101,AH101)=1),1,0))</f>
        <v/>
      </c>
    </row>
    <row r="102">
      <c r="A102" s="96" t="n"/>
      <c r="B102" s="96" t="n"/>
      <c r="C102" s="96" t="n"/>
      <c r="D102" s="97" t="n"/>
      <c r="E102" s="98" t="n"/>
      <c r="F102" s="99" t="n"/>
      <c r="G102" s="100" t="n"/>
      <c r="H102" s="104" t="str">
        <f>IF(A102="","",IF(AND(p_ModoCot="Automático",ISNUMBER(Z102)),Z102,IF(N(G102)&gt;0,G102,0)))</f>
        <v/>
      </c>
      <c r="I102" s="105" t="str">
        <f>IF(A102="","",IF(W102=0,"Sem câmbio",IF(AND(p_ModoCot="Automático",ISNUMBER(Z102)),"Auto",IF(N(G102)&gt;0,"Manual","Sem cotação"))))</f>
        <v/>
      </c>
      <c r="J102" s="106" t="str">
        <f>IF(A102="","",N(E102)*H102)</f>
        <v/>
      </c>
      <c r="K102" s="107" t="str">
        <f>IF(A102="","",J102*W102)</f>
        <v/>
      </c>
      <c r="L102" s="108" t="str">
        <f>IF(A102="","",IF($K$6&gt;0,K102/$K$6,0))</f>
        <v/>
      </c>
      <c r="M102" s="109" t="str">
        <f>IF(A102="","",N(F102)-L102)</f>
        <v/>
      </c>
      <c r="N102" s="108" t="str">
        <f>IF(A102="","",IF($AB$6&gt;0,AB102/$AB$6,0))</f>
        <v/>
      </c>
      <c r="O102" s="110" t="str">
        <f>IF(A102="","",IF(AB102&lt;=0,"",COUNTIF($AB$9:$AB$208,"&gt;"&amp;AB102)+COUNTIF($AB$9:AB102,AB102)))</f>
        <v/>
      </c>
      <c r="P102" s="105" t="str">
        <f>IF(A102="","",IF(Q102&gt;0,"BUY","HOLD"))</f>
        <v/>
      </c>
      <c r="Q102" s="107" t="str">
        <f>IF(A102="","",IF($W$7&lt;=0,0,IF($AC$6&gt;0,$W$7*AC102/$AC$6,IF($F$6&gt;0,$W$7*N(F102)/$F$6,0))))</f>
        <v/>
      </c>
      <c r="R102" s="111" t="str">
        <f>IF(A102="","",N(AD102)+IF(AI102=1,N(AG102),0))</f>
        <v/>
      </c>
      <c r="S102" s="111" t="str">
        <f>IF(A102="","",N(E102)+N(R102))</f>
        <v/>
      </c>
      <c r="T102" s="107" t="str">
        <f>IF(A102="","",IF(N(R102)&gt;0,R102*H102*W102*$W$6+p_CorrFixa,0))</f>
        <v/>
      </c>
      <c r="V102" s="85" t="str">
        <f>IF(A102="","",IF(D102="",$W$1,D102))</f>
        <v/>
      </c>
      <c r="W102" s="85" t="str">
        <f>IF(A102="","",IFERROR(INDEX(moeda_fx,MATCH(V102,moeda_cod,0)),0))</f>
        <v/>
      </c>
      <c r="X102" s="85" t="str">
        <f>IF(A102="","",IF($W$2="",UPPER(TRIM(A102)),IF(RIGHT(UPPER(TRIM(A102)),LEN($W$2))=$W$2,UPPER(TRIM(A102)),UPPER(TRIM(A102))&amp;$W$2)))</f>
        <v/>
      </c>
      <c r="Y102" s="85" t="str">
        <f>IF(OR(A102="",p_ModoCot&lt;&gt;"Automático"),"",IFERROR(_xlfn.WEBSERVICE("https://query1.finance.yahoo.com/v8/finance/chart/"&amp;X102&amp;"?range=1d&amp;interval=1d"),""))</f>
        <v/>
      </c>
      <c r="Z102" s="85" t="str">
        <f>IF(Y102="","",IFERROR(_xlfn.NUMBERVALUE(MID(Y102,SEARCH("""regularMarketPrice"":",Y102)+21,SEARCH(",",Y102&amp;",",SEARCH("""regularMarketPrice"":",Y102)+21)-SEARCH("""regularMarketPrice"":",Y102)-21),".",","),""))</f>
        <v/>
      </c>
      <c r="AA102" s="85" t="str">
        <f>IF(A102="","",ROUND(MAX(0,N(F102)*($K$6+$W$7)-K102),2))</f>
        <v/>
      </c>
      <c r="AB102" s="85" t="str">
        <f>IF(A102="","",IF(AND(M102&gt;0,M102&gt;=p_DifMin),AA102,0))</f>
        <v/>
      </c>
      <c r="AC102" s="85" t="str">
        <f>IF(A102="","",IF(AND(AB102&gt;0,N(O102)&lt;=p_MaxAtivos),AB102,0))</f>
        <v/>
      </c>
      <c r="AD102" s="85" t="str">
        <f>IF(A102="","",IF(OR(Q102&lt;=0,Q102&lt;p_CompraMin,N(H102)&lt;=0,N(W102)&lt;=0),0,IF($W$3="Sim",TRUNC(ROUND(MAX(0,(Q102-p_CorrFixa)/(H102*W102*$W$6)),9),$W$4),TRUNC(ROUND(MAX(0,(Q102-p_CorrFixa)/(H102*W102*$W$6)),9)/$W$5)*$W$5)))</f>
        <v/>
      </c>
      <c r="AE102" s="85" t="str">
        <f>IF(A102="","",IF(N(AD102)&gt;0,AD102*H102*W102*$W$6+p_CorrFixa,0))</f>
        <v/>
      </c>
      <c r="AF102" s="85" t="str">
        <f>IF(A102="","",IF(OR($Y$1&lt;=0,N(H102)&lt;=0,N(W102)&lt;=0,N(AB102)&lt;=0),0,IF($W$3="Sim",TRUNC(ROUND(MAX(0,($Y$1-IF(N(AD102)&gt;0,0,p_CorrFixa))/(H102*W102*$W$6)),9),$W$4),TRUNC(ROUND(MAX(0,($Y$1-IF(N(AD102)&gt;0,0,p_CorrFixa))/(H102*W102*$W$6)),9)/$W$5)*$W$5)))</f>
        <v/>
      </c>
      <c r="AG102" s="85" t="str">
        <f>IF(A102="","",IF(AND(N(AD102)=0,N(AF102)*(H102*W102*$W$6)+p_CorrFixa&lt;p_CompraMin),0,AF102))</f>
        <v/>
      </c>
      <c r="AH102" s="85" t="str">
        <f>IF(A102="","",IF(N(AG102)&gt;0,AB102,0))</f>
        <v/>
      </c>
      <c r="AI102" s="85" t="str">
        <f>IF(A102="","",IF(AND(AH102&gt;0,AH102=$AH$6,COUNTIF($AH$9:AH102,AH102)=1),1,0))</f>
        <v/>
      </c>
    </row>
    <row r="103">
      <c r="A103" s="96" t="n"/>
      <c r="B103" s="96" t="n"/>
      <c r="C103" s="96" t="n"/>
      <c r="D103" s="97" t="n"/>
      <c r="E103" s="98" t="n"/>
      <c r="F103" s="99" t="n"/>
      <c r="G103" s="100" t="n"/>
      <c r="H103" s="101" t="str">
        <f>IF(A103="","",IF(AND(p_ModoCot="Automático",ISNUMBER(Z103)),Z103,IF(N(G103)&gt;0,G103,0)))</f>
        <v/>
      </c>
      <c r="I103" s="73" t="str">
        <f>IF(A103="","",IF(W103=0,"Sem câmbio",IF(AND(p_ModoCot="Automático",ISNUMBER(Z103)),"Auto",IF(N(G103)&gt;0,"Manual","Sem cotação"))))</f>
        <v/>
      </c>
      <c r="J103" s="102" t="str">
        <f>IF(A103="","",N(E103)*H103)</f>
        <v/>
      </c>
      <c r="K103" s="70" t="str">
        <f>IF(A103="","",J103*W103)</f>
        <v/>
      </c>
      <c r="L103" s="30" t="str">
        <f>IF(A103="","",IF($K$6&gt;0,K103/$K$6,0))</f>
        <v/>
      </c>
      <c r="M103" s="72" t="str">
        <f>IF(A103="","",N(F103)-L103)</f>
        <v/>
      </c>
      <c r="N103" s="30" t="str">
        <f>IF(A103="","",IF($AB$6&gt;0,AB103/$AB$6,0))</f>
        <v/>
      </c>
      <c r="O103" s="74" t="str">
        <f>IF(A103="","",IF(AB103&lt;=0,"",COUNTIF($AB$9:$AB$208,"&gt;"&amp;AB103)+COUNTIF($AB$9:AB103,AB103)))</f>
        <v/>
      </c>
      <c r="P103" s="73" t="str">
        <f>IF(A103="","",IF(Q103&gt;0,"BUY","HOLD"))</f>
        <v/>
      </c>
      <c r="Q103" s="70" t="str">
        <f>IF(A103="","",IF($W$7&lt;=0,0,IF($AC$6&gt;0,$W$7*AC103/$AC$6,IF($F$6&gt;0,$W$7*N(F103)/$F$6,0))))</f>
        <v/>
      </c>
      <c r="R103" s="103" t="str">
        <f>IF(A103="","",N(AD103)+IF(AI103=1,N(AG103),0))</f>
        <v/>
      </c>
      <c r="S103" s="103" t="str">
        <f>IF(A103="","",N(E103)+N(R103))</f>
        <v/>
      </c>
      <c r="T103" s="70" t="str">
        <f>IF(A103="","",IF(N(R103)&gt;0,R103*H103*W103*$W$6+p_CorrFixa,0))</f>
        <v/>
      </c>
      <c r="V103" s="85" t="str">
        <f>IF(A103="","",IF(D103="",$W$1,D103))</f>
        <v/>
      </c>
      <c r="W103" s="85" t="str">
        <f>IF(A103="","",IFERROR(INDEX(moeda_fx,MATCH(V103,moeda_cod,0)),0))</f>
        <v/>
      </c>
      <c r="X103" s="85" t="str">
        <f>IF(A103="","",IF($W$2="",UPPER(TRIM(A103)),IF(RIGHT(UPPER(TRIM(A103)),LEN($W$2))=$W$2,UPPER(TRIM(A103)),UPPER(TRIM(A103))&amp;$W$2)))</f>
        <v/>
      </c>
      <c r="Y103" s="85" t="str">
        <f>IF(OR(A103="",p_ModoCot&lt;&gt;"Automático"),"",IFERROR(_xlfn.WEBSERVICE("https://query1.finance.yahoo.com/v8/finance/chart/"&amp;X103&amp;"?range=1d&amp;interval=1d"),""))</f>
        <v/>
      </c>
      <c r="Z103" s="85" t="str">
        <f>IF(Y103="","",IFERROR(_xlfn.NUMBERVALUE(MID(Y103,SEARCH("""regularMarketPrice"":",Y103)+21,SEARCH(",",Y103&amp;",",SEARCH("""regularMarketPrice"":",Y103)+21)-SEARCH("""regularMarketPrice"":",Y103)-21),".",","),""))</f>
        <v/>
      </c>
      <c r="AA103" s="85" t="str">
        <f>IF(A103="","",ROUND(MAX(0,N(F103)*($K$6+$W$7)-K103),2))</f>
        <v/>
      </c>
      <c r="AB103" s="85" t="str">
        <f>IF(A103="","",IF(AND(M103&gt;0,M103&gt;=p_DifMin),AA103,0))</f>
        <v/>
      </c>
      <c r="AC103" s="85" t="str">
        <f>IF(A103="","",IF(AND(AB103&gt;0,N(O103)&lt;=p_MaxAtivos),AB103,0))</f>
        <v/>
      </c>
      <c r="AD103" s="85" t="str">
        <f>IF(A103="","",IF(OR(Q103&lt;=0,Q103&lt;p_CompraMin,N(H103)&lt;=0,N(W103)&lt;=0),0,IF($W$3="Sim",TRUNC(ROUND(MAX(0,(Q103-p_CorrFixa)/(H103*W103*$W$6)),9),$W$4),TRUNC(ROUND(MAX(0,(Q103-p_CorrFixa)/(H103*W103*$W$6)),9)/$W$5)*$W$5)))</f>
        <v/>
      </c>
      <c r="AE103" s="85" t="str">
        <f>IF(A103="","",IF(N(AD103)&gt;0,AD103*H103*W103*$W$6+p_CorrFixa,0))</f>
        <v/>
      </c>
      <c r="AF103" s="85" t="str">
        <f>IF(A103="","",IF(OR($Y$1&lt;=0,N(H103)&lt;=0,N(W103)&lt;=0,N(AB103)&lt;=0),0,IF($W$3="Sim",TRUNC(ROUND(MAX(0,($Y$1-IF(N(AD103)&gt;0,0,p_CorrFixa))/(H103*W103*$W$6)),9),$W$4),TRUNC(ROUND(MAX(0,($Y$1-IF(N(AD103)&gt;0,0,p_CorrFixa))/(H103*W103*$W$6)),9)/$W$5)*$W$5)))</f>
        <v/>
      </c>
      <c r="AG103" s="85" t="str">
        <f>IF(A103="","",IF(AND(N(AD103)=0,N(AF103)*(H103*W103*$W$6)+p_CorrFixa&lt;p_CompraMin),0,AF103))</f>
        <v/>
      </c>
      <c r="AH103" s="85" t="str">
        <f>IF(A103="","",IF(N(AG103)&gt;0,AB103,0))</f>
        <v/>
      </c>
      <c r="AI103" s="85" t="str">
        <f>IF(A103="","",IF(AND(AH103&gt;0,AH103=$AH$6,COUNTIF($AH$9:AH103,AH103)=1),1,0))</f>
        <v/>
      </c>
    </row>
    <row r="104">
      <c r="A104" s="96" t="n"/>
      <c r="B104" s="96" t="n"/>
      <c r="C104" s="96" t="n"/>
      <c r="D104" s="97" t="n"/>
      <c r="E104" s="98" t="n"/>
      <c r="F104" s="99" t="n"/>
      <c r="G104" s="100" t="n"/>
      <c r="H104" s="104" t="str">
        <f>IF(A104="","",IF(AND(p_ModoCot="Automático",ISNUMBER(Z104)),Z104,IF(N(G104)&gt;0,G104,0)))</f>
        <v/>
      </c>
      <c r="I104" s="105" t="str">
        <f>IF(A104="","",IF(W104=0,"Sem câmbio",IF(AND(p_ModoCot="Automático",ISNUMBER(Z104)),"Auto",IF(N(G104)&gt;0,"Manual","Sem cotação"))))</f>
        <v/>
      </c>
      <c r="J104" s="106" t="str">
        <f>IF(A104="","",N(E104)*H104)</f>
        <v/>
      </c>
      <c r="K104" s="107" t="str">
        <f>IF(A104="","",J104*W104)</f>
        <v/>
      </c>
      <c r="L104" s="108" t="str">
        <f>IF(A104="","",IF($K$6&gt;0,K104/$K$6,0))</f>
        <v/>
      </c>
      <c r="M104" s="109" t="str">
        <f>IF(A104="","",N(F104)-L104)</f>
        <v/>
      </c>
      <c r="N104" s="108" t="str">
        <f>IF(A104="","",IF($AB$6&gt;0,AB104/$AB$6,0))</f>
        <v/>
      </c>
      <c r="O104" s="110" t="str">
        <f>IF(A104="","",IF(AB104&lt;=0,"",COUNTIF($AB$9:$AB$208,"&gt;"&amp;AB104)+COUNTIF($AB$9:AB104,AB104)))</f>
        <v/>
      </c>
      <c r="P104" s="105" t="str">
        <f>IF(A104="","",IF(Q104&gt;0,"BUY","HOLD"))</f>
        <v/>
      </c>
      <c r="Q104" s="107" t="str">
        <f>IF(A104="","",IF($W$7&lt;=0,0,IF($AC$6&gt;0,$W$7*AC104/$AC$6,IF($F$6&gt;0,$W$7*N(F104)/$F$6,0))))</f>
        <v/>
      </c>
      <c r="R104" s="111" t="str">
        <f>IF(A104="","",N(AD104)+IF(AI104=1,N(AG104),0))</f>
        <v/>
      </c>
      <c r="S104" s="111" t="str">
        <f>IF(A104="","",N(E104)+N(R104))</f>
        <v/>
      </c>
      <c r="T104" s="107" t="str">
        <f>IF(A104="","",IF(N(R104)&gt;0,R104*H104*W104*$W$6+p_CorrFixa,0))</f>
        <v/>
      </c>
      <c r="V104" s="85" t="str">
        <f>IF(A104="","",IF(D104="",$W$1,D104))</f>
        <v/>
      </c>
      <c r="W104" s="85" t="str">
        <f>IF(A104="","",IFERROR(INDEX(moeda_fx,MATCH(V104,moeda_cod,0)),0))</f>
        <v/>
      </c>
      <c r="X104" s="85" t="str">
        <f>IF(A104="","",IF($W$2="",UPPER(TRIM(A104)),IF(RIGHT(UPPER(TRIM(A104)),LEN($W$2))=$W$2,UPPER(TRIM(A104)),UPPER(TRIM(A104))&amp;$W$2)))</f>
        <v/>
      </c>
      <c r="Y104" s="85" t="str">
        <f>IF(OR(A104="",p_ModoCot&lt;&gt;"Automático"),"",IFERROR(_xlfn.WEBSERVICE("https://query1.finance.yahoo.com/v8/finance/chart/"&amp;X104&amp;"?range=1d&amp;interval=1d"),""))</f>
        <v/>
      </c>
      <c r="Z104" s="85" t="str">
        <f>IF(Y104="","",IFERROR(_xlfn.NUMBERVALUE(MID(Y104,SEARCH("""regularMarketPrice"":",Y104)+21,SEARCH(",",Y104&amp;",",SEARCH("""regularMarketPrice"":",Y104)+21)-SEARCH("""regularMarketPrice"":",Y104)-21),".",","),""))</f>
        <v/>
      </c>
      <c r="AA104" s="85" t="str">
        <f>IF(A104="","",ROUND(MAX(0,N(F104)*($K$6+$W$7)-K104),2))</f>
        <v/>
      </c>
      <c r="AB104" s="85" t="str">
        <f>IF(A104="","",IF(AND(M104&gt;0,M104&gt;=p_DifMin),AA104,0))</f>
        <v/>
      </c>
      <c r="AC104" s="85" t="str">
        <f>IF(A104="","",IF(AND(AB104&gt;0,N(O104)&lt;=p_MaxAtivos),AB104,0))</f>
        <v/>
      </c>
      <c r="AD104" s="85" t="str">
        <f>IF(A104="","",IF(OR(Q104&lt;=0,Q104&lt;p_CompraMin,N(H104)&lt;=0,N(W104)&lt;=0),0,IF($W$3="Sim",TRUNC(ROUND(MAX(0,(Q104-p_CorrFixa)/(H104*W104*$W$6)),9),$W$4),TRUNC(ROUND(MAX(0,(Q104-p_CorrFixa)/(H104*W104*$W$6)),9)/$W$5)*$W$5)))</f>
        <v/>
      </c>
      <c r="AE104" s="85" t="str">
        <f>IF(A104="","",IF(N(AD104)&gt;0,AD104*H104*W104*$W$6+p_CorrFixa,0))</f>
        <v/>
      </c>
      <c r="AF104" s="85" t="str">
        <f>IF(A104="","",IF(OR($Y$1&lt;=0,N(H104)&lt;=0,N(W104)&lt;=0,N(AB104)&lt;=0),0,IF($W$3="Sim",TRUNC(ROUND(MAX(0,($Y$1-IF(N(AD104)&gt;0,0,p_CorrFixa))/(H104*W104*$W$6)),9),$W$4),TRUNC(ROUND(MAX(0,($Y$1-IF(N(AD104)&gt;0,0,p_CorrFixa))/(H104*W104*$W$6)),9)/$W$5)*$W$5)))</f>
        <v/>
      </c>
      <c r="AG104" s="85" t="str">
        <f>IF(A104="","",IF(AND(N(AD104)=0,N(AF104)*(H104*W104*$W$6)+p_CorrFixa&lt;p_CompraMin),0,AF104))</f>
        <v/>
      </c>
      <c r="AH104" s="85" t="str">
        <f>IF(A104="","",IF(N(AG104)&gt;0,AB104,0))</f>
        <v/>
      </c>
      <c r="AI104" s="85" t="str">
        <f>IF(A104="","",IF(AND(AH104&gt;0,AH104=$AH$6,COUNTIF($AH$9:AH104,AH104)=1),1,0))</f>
        <v/>
      </c>
    </row>
    <row r="105">
      <c r="A105" s="96" t="n"/>
      <c r="B105" s="96" t="n"/>
      <c r="C105" s="96" t="n"/>
      <c r="D105" s="97" t="n"/>
      <c r="E105" s="98" t="n"/>
      <c r="F105" s="99" t="n"/>
      <c r="G105" s="100" t="n"/>
      <c r="H105" s="101" t="str">
        <f>IF(A105="","",IF(AND(p_ModoCot="Automático",ISNUMBER(Z105)),Z105,IF(N(G105)&gt;0,G105,0)))</f>
        <v/>
      </c>
      <c r="I105" s="73" t="str">
        <f>IF(A105="","",IF(W105=0,"Sem câmbio",IF(AND(p_ModoCot="Automático",ISNUMBER(Z105)),"Auto",IF(N(G105)&gt;0,"Manual","Sem cotação"))))</f>
        <v/>
      </c>
      <c r="J105" s="102" t="str">
        <f>IF(A105="","",N(E105)*H105)</f>
        <v/>
      </c>
      <c r="K105" s="70" t="str">
        <f>IF(A105="","",J105*W105)</f>
        <v/>
      </c>
      <c r="L105" s="30" t="str">
        <f>IF(A105="","",IF($K$6&gt;0,K105/$K$6,0))</f>
        <v/>
      </c>
      <c r="M105" s="72" t="str">
        <f>IF(A105="","",N(F105)-L105)</f>
        <v/>
      </c>
      <c r="N105" s="30" t="str">
        <f>IF(A105="","",IF($AB$6&gt;0,AB105/$AB$6,0))</f>
        <v/>
      </c>
      <c r="O105" s="74" t="str">
        <f>IF(A105="","",IF(AB105&lt;=0,"",COUNTIF($AB$9:$AB$208,"&gt;"&amp;AB105)+COUNTIF($AB$9:AB105,AB105)))</f>
        <v/>
      </c>
      <c r="P105" s="73" t="str">
        <f>IF(A105="","",IF(Q105&gt;0,"BUY","HOLD"))</f>
        <v/>
      </c>
      <c r="Q105" s="70" t="str">
        <f>IF(A105="","",IF($W$7&lt;=0,0,IF($AC$6&gt;0,$W$7*AC105/$AC$6,IF($F$6&gt;0,$W$7*N(F105)/$F$6,0))))</f>
        <v/>
      </c>
      <c r="R105" s="103" t="str">
        <f>IF(A105="","",N(AD105)+IF(AI105=1,N(AG105),0))</f>
        <v/>
      </c>
      <c r="S105" s="103" t="str">
        <f>IF(A105="","",N(E105)+N(R105))</f>
        <v/>
      </c>
      <c r="T105" s="70" t="str">
        <f>IF(A105="","",IF(N(R105)&gt;0,R105*H105*W105*$W$6+p_CorrFixa,0))</f>
        <v/>
      </c>
      <c r="V105" s="85" t="str">
        <f>IF(A105="","",IF(D105="",$W$1,D105))</f>
        <v/>
      </c>
      <c r="W105" s="85" t="str">
        <f>IF(A105="","",IFERROR(INDEX(moeda_fx,MATCH(V105,moeda_cod,0)),0))</f>
        <v/>
      </c>
      <c r="X105" s="85" t="str">
        <f>IF(A105="","",IF($W$2="",UPPER(TRIM(A105)),IF(RIGHT(UPPER(TRIM(A105)),LEN($W$2))=$W$2,UPPER(TRIM(A105)),UPPER(TRIM(A105))&amp;$W$2)))</f>
        <v/>
      </c>
      <c r="Y105" s="85" t="str">
        <f>IF(OR(A105="",p_ModoCot&lt;&gt;"Automático"),"",IFERROR(_xlfn.WEBSERVICE("https://query1.finance.yahoo.com/v8/finance/chart/"&amp;X105&amp;"?range=1d&amp;interval=1d"),""))</f>
        <v/>
      </c>
      <c r="Z105" s="85" t="str">
        <f>IF(Y105="","",IFERROR(_xlfn.NUMBERVALUE(MID(Y105,SEARCH("""regularMarketPrice"":",Y105)+21,SEARCH(",",Y105&amp;",",SEARCH("""regularMarketPrice"":",Y105)+21)-SEARCH("""regularMarketPrice"":",Y105)-21),".",","),""))</f>
        <v/>
      </c>
      <c r="AA105" s="85" t="str">
        <f>IF(A105="","",ROUND(MAX(0,N(F105)*($K$6+$W$7)-K105),2))</f>
        <v/>
      </c>
      <c r="AB105" s="85" t="str">
        <f>IF(A105="","",IF(AND(M105&gt;0,M105&gt;=p_DifMin),AA105,0))</f>
        <v/>
      </c>
      <c r="AC105" s="85" t="str">
        <f>IF(A105="","",IF(AND(AB105&gt;0,N(O105)&lt;=p_MaxAtivos),AB105,0))</f>
        <v/>
      </c>
      <c r="AD105" s="85" t="str">
        <f>IF(A105="","",IF(OR(Q105&lt;=0,Q105&lt;p_CompraMin,N(H105)&lt;=0,N(W105)&lt;=0),0,IF($W$3="Sim",TRUNC(ROUND(MAX(0,(Q105-p_CorrFixa)/(H105*W105*$W$6)),9),$W$4),TRUNC(ROUND(MAX(0,(Q105-p_CorrFixa)/(H105*W105*$W$6)),9)/$W$5)*$W$5)))</f>
        <v/>
      </c>
      <c r="AE105" s="85" t="str">
        <f>IF(A105="","",IF(N(AD105)&gt;0,AD105*H105*W105*$W$6+p_CorrFixa,0))</f>
        <v/>
      </c>
      <c r="AF105" s="85" t="str">
        <f>IF(A105="","",IF(OR($Y$1&lt;=0,N(H105)&lt;=0,N(W105)&lt;=0,N(AB105)&lt;=0),0,IF($W$3="Sim",TRUNC(ROUND(MAX(0,($Y$1-IF(N(AD105)&gt;0,0,p_CorrFixa))/(H105*W105*$W$6)),9),$W$4),TRUNC(ROUND(MAX(0,($Y$1-IF(N(AD105)&gt;0,0,p_CorrFixa))/(H105*W105*$W$6)),9)/$W$5)*$W$5)))</f>
        <v/>
      </c>
      <c r="AG105" s="85" t="str">
        <f>IF(A105="","",IF(AND(N(AD105)=0,N(AF105)*(H105*W105*$W$6)+p_CorrFixa&lt;p_CompraMin),0,AF105))</f>
        <v/>
      </c>
      <c r="AH105" s="85" t="str">
        <f>IF(A105="","",IF(N(AG105)&gt;0,AB105,0))</f>
        <v/>
      </c>
      <c r="AI105" s="85" t="str">
        <f>IF(A105="","",IF(AND(AH105&gt;0,AH105=$AH$6,COUNTIF($AH$9:AH105,AH105)=1),1,0))</f>
        <v/>
      </c>
    </row>
    <row r="106">
      <c r="A106" s="96" t="n"/>
      <c r="B106" s="96" t="n"/>
      <c r="C106" s="96" t="n"/>
      <c r="D106" s="97" t="n"/>
      <c r="E106" s="98" t="n"/>
      <c r="F106" s="99" t="n"/>
      <c r="G106" s="100" t="n"/>
      <c r="H106" s="104" t="str">
        <f>IF(A106="","",IF(AND(p_ModoCot="Automático",ISNUMBER(Z106)),Z106,IF(N(G106)&gt;0,G106,0)))</f>
        <v/>
      </c>
      <c r="I106" s="105" t="str">
        <f>IF(A106="","",IF(W106=0,"Sem câmbio",IF(AND(p_ModoCot="Automático",ISNUMBER(Z106)),"Auto",IF(N(G106)&gt;0,"Manual","Sem cotação"))))</f>
        <v/>
      </c>
      <c r="J106" s="106" t="str">
        <f>IF(A106="","",N(E106)*H106)</f>
        <v/>
      </c>
      <c r="K106" s="107" t="str">
        <f>IF(A106="","",J106*W106)</f>
        <v/>
      </c>
      <c r="L106" s="108" t="str">
        <f>IF(A106="","",IF($K$6&gt;0,K106/$K$6,0))</f>
        <v/>
      </c>
      <c r="M106" s="109" t="str">
        <f>IF(A106="","",N(F106)-L106)</f>
        <v/>
      </c>
      <c r="N106" s="108" t="str">
        <f>IF(A106="","",IF($AB$6&gt;0,AB106/$AB$6,0))</f>
        <v/>
      </c>
      <c r="O106" s="110" t="str">
        <f>IF(A106="","",IF(AB106&lt;=0,"",COUNTIF($AB$9:$AB$208,"&gt;"&amp;AB106)+COUNTIF($AB$9:AB106,AB106)))</f>
        <v/>
      </c>
      <c r="P106" s="105" t="str">
        <f>IF(A106="","",IF(Q106&gt;0,"BUY","HOLD"))</f>
        <v/>
      </c>
      <c r="Q106" s="107" t="str">
        <f>IF(A106="","",IF($W$7&lt;=0,0,IF($AC$6&gt;0,$W$7*AC106/$AC$6,IF($F$6&gt;0,$W$7*N(F106)/$F$6,0))))</f>
        <v/>
      </c>
      <c r="R106" s="111" t="str">
        <f>IF(A106="","",N(AD106)+IF(AI106=1,N(AG106),0))</f>
        <v/>
      </c>
      <c r="S106" s="111" t="str">
        <f>IF(A106="","",N(E106)+N(R106))</f>
        <v/>
      </c>
      <c r="T106" s="107" t="str">
        <f>IF(A106="","",IF(N(R106)&gt;0,R106*H106*W106*$W$6+p_CorrFixa,0))</f>
        <v/>
      </c>
      <c r="V106" s="85" t="str">
        <f>IF(A106="","",IF(D106="",$W$1,D106))</f>
        <v/>
      </c>
      <c r="W106" s="85" t="str">
        <f>IF(A106="","",IFERROR(INDEX(moeda_fx,MATCH(V106,moeda_cod,0)),0))</f>
        <v/>
      </c>
      <c r="X106" s="85" t="str">
        <f>IF(A106="","",IF($W$2="",UPPER(TRIM(A106)),IF(RIGHT(UPPER(TRIM(A106)),LEN($W$2))=$W$2,UPPER(TRIM(A106)),UPPER(TRIM(A106))&amp;$W$2)))</f>
        <v/>
      </c>
      <c r="Y106" s="85" t="str">
        <f>IF(OR(A106="",p_ModoCot&lt;&gt;"Automático"),"",IFERROR(_xlfn.WEBSERVICE("https://query1.finance.yahoo.com/v8/finance/chart/"&amp;X106&amp;"?range=1d&amp;interval=1d"),""))</f>
        <v/>
      </c>
      <c r="Z106" s="85" t="str">
        <f>IF(Y106="","",IFERROR(_xlfn.NUMBERVALUE(MID(Y106,SEARCH("""regularMarketPrice"":",Y106)+21,SEARCH(",",Y106&amp;",",SEARCH("""regularMarketPrice"":",Y106)+21)-SEARCH("""regularMarketPrice"":",Y106)-21),".",","),""))</f>
        <v/>
      </c>
      <c r="AA106" s="85" t="str">
        <f>IF(A106="","",ROUND(MAX(0,N(F106)*($K$6+$W$7)-K106),2))</f>
        <v/>
      </c>
      <c r="AB106" s="85" t="str">
        <f>IF(A106="","",IF(AND(M106&gt;0,M106&gt;=p_DifMin),AA106,0))</f>
        <v/>
      </c>
      <c r="AC106" s="85" t="str">
        <f>IF(A106="","",IF(AND(AB106&gt;0,N(O106)&lt;=p_MaxAtivos),AB106,0))</f>
        <v/>
      </c>
      <c r="AD106" s="85" t="str">
        <f>IF(A106="","",IF(OR(Q106&lt;=0,Q106&lt;p_CompraMin,N(H106)&lt;=0,N(W106)&lt;=0),0,IF($W$3="Sim",TRUNC(ROUND(MAX(0,(Q106-p_CorrFixa)/(H106*W106*$W$6)),9),$W$4),TRUNC(ROUND(MAX(0,(Q106-p_CorrFixa)/(H106*W106*$W$6)),9)/$W$5)*$W$5)))</f>
        <v/>
      </c>
      <c r="AE106" s="85" t="str">
        <f>IF(A106="","",IF(N(AD106)&gt;0,AD106*H106*W106*$W$6+p_CorrFixa,0))</f>
        <v/>
      </c>
      <c r="AF106" s="85" t="str">
        <f>IF(A106="","",IF(OR($Y$1&lt;=0,N(H106)&lt;=0,N(W106)&lt;=0,N(AB106)&lt;=0),0,IF($W$3="Sim",TRUNC(ROUND(MAX(0,($Y$1-IF(N(AD106)&gt;0,0,p_CorrFixa))/(H106*W106*$W$6)),9),$W$4),TRUNC(ROUND(MAX(0,($Y$1-IF(N(AD106)&gt;0,0,p_CorrFixa))/(H106*W106*$W$6)),9)/$W$5)*$W$5)))</f>
        <v/>
      </c>
      <c r="AG106" s="85" t="str">
        <f>IF(A106="","",IF(AND(N(AD106)=0,N(AF106)*(H106*W106*$W$6)+p_CorrFixa&lt;p_CompraMin),0,AF106))</f>
        <v/>
      </c>
      <c r="AH106" s="85" t="str">
        <f>IF(A106="","",IF(N(AG106)&gt;0,AB106,0))</f>
        <v/>
      </c>
      <c r="AI106" s="85" t="str">
        <f>IF(A106="","",IF(AND(AH106&gt;0,AH106=$AH$6,COUNTIF($AH$9:AH106,AH106)=1),1,0))</f>
        <v/>
      </c>
    </row>
    <row r="107">
      <c r="A107" s="96" t="n"/>
      <c r="B107" s="96" t="n"/>
      <c r="C107" s="96" t="n"/>
      <c r="D107" s="97" t="n"/>
      <c r="E107" s="98" t="n"/>
      <c r="F107" s="99" t="n"/>
      <c r="G107" s="100" t="n"/>
      <c r="H107" s="101" t="str">
        <f>IF(A107="","",IF(AND(p_ModoCot="Automático",ISNUMBER(Z107)),Z107,IF(N(G107)&gt;0,G107,0)))</f>
        <v/>
      </c>
      <c r="I107" s="73" t="str">
        <f>IF(A107="","",IF(W107=0,"Sem câmbio",IF(AND(p_ModoCot="Automático",ISNUMBER(Z107)),"Auto",IF(N(G107)&gt;0,"Manual","Sem cotação"))))</f>
        <v/>
      </c>
      <c r="J107" s="102" t="str">
        <f>IF(A107="","",N(E107)*H107)</f>
        <v/>
      </c>
      <c r="K107" s="70" t="str">
        <f>IF(A107="","",J107*W107)</f>
        <v/>
      </c>
      <c r="L107" s="30" t="str">
        <f>IF(A107="","",IF($K$6&gt;0,K107/$K$6,0))</f>
        <v/>
      </c>
      <c r="M107" s="72" t="str">
        <f>IF(A107="","",N(F107)-L107)</f>
        <v/>
      </c>
      <c r="N107" s="30" t="str">
        <f>IF(A107="","",IF($AB$6&gt;0,AB107/$AB$6,0))</f>
        <v/>
      </c>
      <c r="O107" s="74" t="str">
        <f>IF(A107="","",IF(AB107&lt;=0,"",COUNTIF($AB$9:$AB$208,"&gt;"&amp;AB107)+COUNTIF($AB$9:AB107,AB107)))</f>
        <v/>
      </c>
      <c r="P107" s="73" t="str">
        <f>IF(A107="","",IF(Q107&gt;0,"BUY","HOLD"))</f>
        <v/>
      </c>
      <c r="Q107" s="70" t="str">
        <f>IF(A107="","",IF($W$7&lt;=0,0,IF($AC$6&gt;0,$W$7*AC107/$AC$6,IF($F$6&gt;0,$W$7*N(F107)/$F$6,0))))</f>
        <v/>
      </c>
      <c r="R107" s="103" t="str">
        <f>IF(A107="","",N(AD107)+IF(AI107=1,N(AG107),0))</f>
        <v/>
      </c>
      <c r="S107" s="103" t="str">
        <f>IF(A107="","",N(E107)+N(R107))</f>
        <v/>
      </c>
      <c r="T107" s="70" t="str">
        <f>IF(A107="","",IF(N(R107)&gt;0,R107*H107*W107*$W$6+p_CorrFixa,0))</f>
        <v/>
      </c>
      <c r="V107" s="85" t="str">
        <f>IF(A107="","",IF(D107="",$W$1,D107))</f>
        <v/>
      </c>
      <c r="W107" s="85" t="str">
        <f>IF(A107="","",IFERROR(INDEX(moeda_fx,MATCH(V107,moeda_cod,0)),0))</f>
        <v/>
      </c>
      <c r="X107" s="85" t="str">
        <f>IF(A107="","",IF($W$2="",UPPER(TRIM(A107)),IF(RIGHT(UPPER(TRIM(A107)),LEN($W$2))=$W$2,UPPER(TRIM(A107)),UPPER(TRIM(A107))&amp;$W$2)))</f>
        <v/>
      </c>
      <c r="Y107" s="85" t="str">
        <f>IF(OR(A107="",p_ModoCot&lt;&gt;"Automático"),"",IFERROR(_xlfn.WEBSERVICE("https://query1.finance.yahoo.com/v8/finance/chart/"&amp;X107&amp;"?range=1d&amp;interval=1d"),""))</f>
        <v/>
      </c>
      <c r="Z107" s="85" t="str">
        <f>IF(Y107="","",IFERROR(_xlfn.NUMBERVALUE(MID(Y107,SEARCH("""regularMarketPrice"":",Y107)+21,SEARCH(",",Y107&amp;",",SEARCH("""regularMarketPrice"":",Y107)+21)-SEARCH("""regularMarketPrice"":",Y107)-21),".",","),""))</f>
        <v/>
      </c>
      <c r="AA107" s="85" t="str">
        <f>IF(A107="","",ROUND(MAX(0,N(F107)*($K$6+$W$7)-K107),2))</f>
        <v/>
      </c>
      <c r="AB107" s="85" t="str">
        <f>IF(A107="","",IF(AND(M107&gt;0,M107&gt;=p_DifMin),AA107,0))</f>
        <v/>
      </c>
      <c r="AC107" s="85" t="str">
        <f>IF(A107="","",IF(AND(AB107&gt;0,N(O107)&lt;=p_MaxAtivos),AB107,0))</f>
        <v/>
      </c>
      <c r="AD107" s="85" t="str">
        <f>IF(A107="","",IF(OR(Q107&lt;=0,Q107&lt;p_CompraMin,N(H107)&lt;=0,N(W107)&lt;=0),0,IF($W$3="Sim",TRUNC(ROUND(MAX(0,(Q107-p_CorrFixa)/(H107*W107*$W$6)),9),$W$4),TRUNC(ROUND(MAX(0,(Q107-p_CorrFixa)/(H107*W107*$W$6)),9)/$W$5)*$W$5)))</f>
        <v/>
      </c>
      <c r="AE107" s="85" t="str">
        <f>IF(A107="","",IF(N(AD107)&gt;0,AD107*H107*W107*$W$6+p_CorrFixa,0))</f>
        <v/>
      </c>
      <c r="AF107" s="85" t="str">
        <f>IF(A107="","",IF(OR($Y$1&lt;=0,N(H107)&lt;=0,N(W107)&lt;=0,N(AB107)&lt;=0),0,IF($W$3="Sim",TRUNC(ROUND(MAX(0,($Y$1-IF(N(AD107)&gt;0,0,p_CorrFixa))/(H107*W107*$W$6)),9),$W$4),TRUNC(ROUND(MAX(0,($Y$1-IF(N(AD107)&gt;0,0,p_CorrFixa))/(H107*W107*$W$6)),9)/$W$5)*$W$5)))</f>
        <v/>
      </c>
      <c r="AG107" s="85" t="str">
        <f>IF(A107="","",IF(AND(N(AD107)=0,N(AF107)*(H107*W107*$W$6)+p_CorrFixa&lt;p_CompraMin),0,AF107))</f>
        <v/>
      </c>
      <c r="AH107" s="85" t="str">
        <f>IF(A107="","",IF(N(AG107)&gt;0,AB107,0))</f>
        <v/>
      </c>
      <c r="AI107" s="85" t="str">
        <f>IF(A107="","",IF(AND(AH107&gt;0,AH107=$AH$6,COUNTIF($AH$9:AH107,AH107)=1),1,0))</f>
        <v/>
      </c>
    </row>
    <row r="108">
      <c r="A108" s="96" t="n"/>
      <c r="B108" s="96" t="n"/>
      <c r="C108" s="96" t="n"/>
      <c r="D108" s="97" t="n"/>
      <c r="E108" s="98" t="n"/>
      <c r="F108" s="99" t="n"/>
      <c r="G108" s="100" t="n"/>
      <c r="H108" s="104" t="str">
        <f>IF(A108="","",IF(AND(p_ModoCot="Automático",ISNUMBER(Z108)),Z108,IF(N(G108)&gt;0,G108,0)))</f>
        <v/>
      </c>
      <c r="I108" s="105" t="str">
        <f>IF(A108="","",IF(W108=0,"Sem câmbio",IF(AND(p_ModoCot="Automático",ISNUMBER(Z108)),"Auto",IF(N(G108)&gt;0,"Manual","Sem cotação"))))</f>
        <v/>
      </c>
      <c r="J108" s="106" t="str">
        <f>IF(A108="","",N(E108)*H108)</f>
        <v/>
      </c>
      <c r="K108" s="107" t="str">
        <f>IF(A108="","",J108*W108)</f>
        <v/>
      </c>
      <c r="L108" s="108" t="str">
        <f>IF(A108="","",IF($K$6&gt;0,K108/$K$6,0))</f>
        <v/>
      </c>
      <c r="M108" s="109" t="str">
        <f>IF(A108="","",N(F108)-L108)</f>
        <v/>
      </c>
      <c r="N108" s="108" t="str">
        <f>IF(A108="","",IF($AB$6&gt;0,AB108/$AB$6,0))</f>
        <v/>
      </c>
      <c r="O108" s="110" t="str">
        <f>IF(A108="","",IF(AB108&lt;=0,"",COUNTIF($AB$9:$AB$208,"&gt;"&amp;AB108)+COUNTIF($AB$9:AB108,AB108)))</f>
        <v/>
      </c>
      <c r="P108" s="105" t="str">
        <f>IF(A108="","",IF(Q108&gt;0,"BUY","HOLD"))</f>
        <v/>
      </c>
      <c r="Q108" s="107" t="str">
        <f>IF(A108="","",IF($W$7&lt;=0,0,IF($AC$6&gt;0,$W$7*AC108/$AC$6,IF($F$6&gt;0,$W$7*N(F108)/$F$6,0))))</f>
        <v/>
      </c>
      <c r="R108" s="111" t="str">
        <f>IF(A108="","",N(AD108)+IF(AI108=1,N(AG108),0))</f>
        <v/>
      </c>
      <c r="S108" s="111" t="str">
        <f>IF(A108="","",N(E108)+N(R108))</f>
        <v/>
      </c>
      <c r="T108" s="107" t="str">
        <f>IF(A108="","",IF(N(R108)&gt;0,R108*H108*W108*$W$6+p_CorrFixa,0))</f>
        <v/>
      </c>
      <c r="V108" s="85" t="str">
        <f>IF(A108="","",IF(D108="",$W$1,D108))</f>
        <v/>
      </c>
      <c r="W108" s="85" t="str">
        <f>IF(A108="","",IFERROR(INDEX(moeda_fx,MATCH(V108,moeda_cod,0)),0))</f>
        <v/>
      </c>
      <c r="X108" s="85" t="str">
        <f>IF(A108="","",IF($W$2="",UPPER(TRIM(A108)),IF(RIGHT(UPPER(TRIM(A108)),LEN($W$2))=$W$2,UPPER(TRIM(A108)),UPPER(TRIM(A108))&amp;$W$2)))</f>
        <v/>
      </c>
      <c r="Y108" s="85" t="str">
        <f>IF(OR(A108="",p_ModoCot&lt;&gt;"Automático"),"",IFERROR(_xlfn.WEBSERVICE("https://query1.finance.yahoo.com/v8/finance/chart/"&amp;X108&amp;"?range=1d&amp;interval=1d"),""))</f>
        <v/>
      </c>
      <c r="Z108" s="85" t="str">
        <f>IF(Y108="","",IFERROR(_xlfn.NUMBERVALUE(MID(Y108,SEARCH("""regularMarketPrice"":",Y108)+21,SEARCH(",",Y108&amp;",",SEARCH("""regularMarketPrice"":",Y108)+21)-SEARCH("""regularMarketPrice"":",Y108)-21),".",","),""))</f>
        <v/>
      </c>
      <c r="AA108" s="85" t="str">
        <f>IF(A108="","",ROUND(MAX(0,N(F108)*($K$6+$W$7)-K108),2))</f>
        <v/>
      </c>
      <c r="AB108" s="85" t="str">
        <f>IF(A108="","",IF(AND(M108&gt;0,M108&gt;=p_DifMin),AA108,0))</f>
        <v/>
      </c>
      <c r="AC108" s="85" t="str">
        <f>IF(A108="","",IF(AND(AB108&gt;0,N(O108)&lt;=p_MaxAtivos),AB108,0))</f>
        <v/>
      </c>
      <c r="AD108" s="85" t="str">
        <f>IF(A108="","",IF(OR(Q108&lt;=0,Q108&lt;p_CompraMin,N(H108)&lt;=0,N(W108)&lt;=0),0,IF($W$3="Sim",TRUNC(ROUND(MAX(0,(Q108-p_CorrFixa)/(H108*W108*$W$6)),9),$W$4),TRUNC(ROUND(MAX(0,(Q108-p_CorrFixa)/(H108*W108*$W$6)),9)/$W$5)*$W$5)))</f>
        <v/>
      </c>
      <c r="AE108" s="85" t="str">
        <f>IF(A108="","",IF(N(AD108)&gt;0,AD108*H108*W108*$W$6+p_CorrFixa,0))</f>
        <v/>
      </c>
      <c r="AF108" s="85" t="str">
        <f>IF(A108="","",IF(OR($Y$1&lt;=0,N(H108)&lt;=0,N(W108)&lt;=0,N(AB108)&lt;=0),0,IF($W$3="Sim",TRUNC(ROUND(MAX(0,($Y$1-IF(N(AD108)&gt;0,0,p_CorrFixa))/(H108*W108*$W$6)),9),$W$4),TRUNC(ROUND(MAX(0,($Y$1-IF(N(AD108)&gt;0,0,p_CorrFixa))/(H108*W108*$W$6)),9)/$W$5)*$W$5)))</f>
        <v/>
      </c>
      <c r="AG108" s="85" t="str">
        <f>IF(A108="","",IF(AND(N(AD108)=0,N(AF108)*(H108*W108*$W$6)+p_CorrFixa&lt;p_CompraMin),0,AF108))</f>
        <v/>
      </c>
      <c r="AH108" s="85" t="str">
        <f>IF(A108="","",IF(N(AG108)&gt;0,AB108,0))</f>
        <v/>
      </c>
      <c r="AI108" s="85" t="str">
        <f>IF(A108="","",IF(AND(AH108&gt;0,AH108=$AH$6,COUNTIF($AH$9:AH108,AH108)=1),1,0))</f>
        <v/>
      </c>
    </row>
    <row r="109">
      <c r="A109" s="96" t="n"/>
      <c r="B109" s="96" t="n"/>
      <c r="C109" s="96" t="n"/>
      <c r="D109" s="97" t="n"/>
      <c r="E109" s="98" t="n"/>
      <c r="F109" s="99" t="n"/>
      <c r="G109" s="100" t="n"/>
      <c r="H109" s="101" t="str">
        <f>IF(A109="","",IF(AND(p_ModoCot="Automático",ISNUMBER(Z109)),Z109,IF(N(G109)&gt;0,G109,0)))</f>
        <v/>
      </c>
      <c r="I109" s="73" t="str">
        <f>IF(A109="","",IF(W109=0,"Sem câmbio",IF(AND(p_ModoCot="Automático",ISNUMBER(Z109)),"Auto",IF(N(G109)&gt;0,"Manual","Sem cotação"))))</f>
        <v/>
      </c>
      <c r="J109" s="102" t="str">
        <f>IF(A109="","",N(E109)*H109)</f>
        <v/>
      </c>
      <c r="K109" s="70" t="str">
        <f>IF(A109="","",J109*W109)</f>
        <v/>
      </c>
      <c r="L109" s="30" t="str">
        <f>IF(A109="","",IF($K$6&gt;0,K109/$K$6,0))</f>
        <v/>
      </c>
      <c r="M109" s="72" t="str">
        <f>IF(A109="","",N(F109)-L109)</f>
        <v/>
      </c>
      <c r="N109" s="30" t="str">
        <f>IF(A109="","",IF($AB$6&gt;0,AB109/$AB$6,0))</f>
        <v/>
      </c>
      <c r="O109" s="74" t="str">
        <f>IF(A109="","",IF(AB109&lt;=0,"",COUNTIF($AB$9:$AB$208,"&gt;"&amp;AB109)+COUNTIF($AB$9:AB109,AB109)))</f>
        <v/>
      </c>
      <c r="P109" s="73" t="str">
        <f>IF(A109="","",IF(Q109&gt;0,"BUY","HOLD"))</f>
        <v/>
      </c>
      <c r="Q109" s="70" t="str">
        <f>IF(A109="","",IF($W$7&lt;=0,0,IF($AC$6&gt;0,$W$7*AC109/$AC$6,IF($F$6&gt;0,$W$7*N(F109)/$F$6,0))))</f>
        <v/>
      </c>
      <c r="R109" s="103" t="str">
        <f>IF(A109="","",N(AD109)+IF(AI109=1,N(AG109),0))</f>
        <v/>
      </c>
      <c r="S109" s="103" t="str">
        <f>IF(A109="","",N(E109)+N(R109))</f>
        <v/>
      </c>
      <c r="T109" s="70" t="str">
        <f>IF(A109="","",IF(N(R109)&gt;0,R109*H109*W109*$W$6+p_CorrFixa,0))</f>
        <v/>
      </c>
      <c r="V109" s="85" t="str">
        <f>IF(A109="","",IF(D109="",$W$1,D109))</f>
        <v/>
      </c>
      <c r="W109" s="85" t="str">
        <f>IF(A109="","",IFERROR(INDEX(moeda_fx,MATCH(V109,moeda_cod,0)),0))</f>
        <v/>
      </c>
      <c r="X109" s="85" t="str">
        <f>IF(A109="","",IF($W$2="",UPPER(TRIM(A109)),IF(RIGHT(UPPER(TRIM(A109)),LEN($W$2))=$W$2,UPPER(TRIM(A109)),UPPER(TRIM(A109))&amp;$W$2)))</f>
        <v/>
      </c>
      <c r="Y109" s="85" t="str">
        <f>IF(OR(A109="",p_ModoCot&lt;&gt;"Automático"),"",IFERROR(_xlfn.WEBSERVICE("https://query1.finance.yahoo.com/v8/finance/chart/"&amp;X109&amp;"?range=1d&amp;interval=1d"),""))</f>
        <v/>
      </c>
      <c r="Z109" s="85" t="str">
        <f>IF(Y109="","",IFERROR(_xlfn.NUMBERVALUE(MID(Y109,SEARCH("""regularMarketPrice"":",Y109)+21,SEARCH(",",Y109&amp;",",SEARCH("""regularMarketPrice"":",Y109)+21)-SEARCH("""regularMarketPrice"":",Y109)-21),".",","),""))</f>
        <v/>
      </c>
      <c r="AA109" s="85" t="str">
        <f>IF(A109="","",ROUND(MAX(0,N(F109)*($K$6+$W$7)-K109),2))</f>
        <v/>
      </c>
      <c r="AB109" s="85" t="str">
        <f>IF(A109="","",IF(AND(M109&gt;0,M109&gt;=p_DifMin),AA109,0))</f>
        <v/>
      </c>
      <c r="AC109" s="85" t="str">
        <f>IF(A109="","",IF(AND(AB109&gt;0,N(O109)&lt;=p_MaxAtivos),AB109,0))</f>
        <v/>
      </c>
      <c r="AD109" s="85" t="str">
        <f>IF(A109="","",IF(OR(Q109&lt;=0,Q109&lt;p_CompraMin,N(H109)&lt;=0,N(W109)&lt;=0),0,IF($W$3="Sim",TRUNC(ROUND(MAX(0,(Q109-p_CorrFixa)/(H109*W109*$W$6)),9),$W$4),TRUNC(ROUND(MAX(0,(Q109-p_CorrFixa)/(H109*W109*$W$6)),9)/$W$5)*$W$5)))</f>
        <v/>
      </c>
      <c r="AE109" s="85" t="str">
        <f>IF(A109="","",IF(N(AD109)&gt;0,AD109*H109*W109*$W$6+p_CorrFixa,0))</f>
        <v/>
      </c>
      <c r="AF109" s="85" t="str">
        <f>IF(A109="","",IF(OR($Y$1&lt;=0,N(H109)&lt;=0,N(W109)&lt;=0,N(AB109)&lt;=0),0,IF($W$3="Sim",TRUNC(ROUND(MAX(0,($Y$1-IF(N(AD109)&gt;0,0,p_CorrFixa))/(H109*W109*$W$6)),9),$W$4),TRUNC(ROUND(MAX(0,($Y$1-IF(N(AD109)&gt;0,0,p_CorrFixa))/(H109*W109*$W$6)),9)/$W$5)*$W$5)))</f>
        <v/>
      </c>
      <c r="AG109" s="85" t="str">
        <f>IF(A109="","",IF(AND(N(AD109)=0,N(AF109)*(H109*W109*$W$6)+p_CorrFixa&lt;p_CompraMin),0,AF109))</f>
        <v/>
      </c>
      <c r="AH109" s="85" t="str">
        <f>IF(A109="","",IF(N(AG109)&gt;0,AB109,0))</f>
        <v/>
      </c>
      <c r="AI109" s="85" t="str">
        <f>IF(A109="","",IF(AND(AH109&gt;0,AH109=$AH$6,COUNTIF($AH$9:AH109,AH109)=1),1,0))</f>
        <v/>
      </c>
    </row>
    <row r="110">
      <c r="A110" s="96" t="n"/>
      <c r="B110" s="96" t="n"/>
      <c r="C110" s="96" t="n"/>
      <c r="D110" s="97" t="n"/>
      <c r="E110" s="98" t="n"/>
      <c r="F110" s="99" t="n"/>
      <c r="G110" s="100" t="n"/>
      <c r="H110" s="104" t="str">
        <f>IF(A110="","",IF(AND(p_ModoCot="Automático",ISNUMBER(Z110)),Z110,IF(N(G110)&gt;0,G110,0)))</f>
        <v/>
      </c>
      <c r="I110" s="105" t="str">
        <f>IF(A110="","",IF(W110=0,"Sem câmbio",IF(AND(p_ModoCot="Automático",ISNUMBER(Z110)),"Auto",IF(N(G110)&gt;0,"Manual","Sem cotação"))))</f>
        <v/>
      </c>
      <c r="J110" s="106" t="str">
        <f>IF(A110="","",N(E110)*H110)</f>
        <v/>
      </c>
      <c r="K110" s="107" t="str">
        <f>IF(A110="","",J110*W110)</f>
        <v/>
      </c>
      <c r="L110" s="108" t="str">
        <f>IF(A110="","",IF($K$6&gt;0,K110/$K$6,0))</f>
        <v/>
      </c>
      <c r="M110" s="109" t="str">
        <f>IF(A110="","",N(F110)-L110)</f>
        <v/>
      </c>
      <c r="N110" s="108" t="str">
        <f>IF(A110="","",IF($AB$6&gt;0,AB110/$AB$6,0))</f>
        <v/>
      </c>
      <c r="O110" s="110" t="str">
        <f>IF(A110="","",IF(AB110&lt;=0,"",COUNTIF($AB$9:$AB$208,"&gt;"&amp;AB110)+COUNTIF($AB$9:AB110,AB110)))</f>
        <v/>
      </c>
      <c r="P110" s="105" t="str">
        <f>IF(A110="","",IF(Q110&gt;0,"BUY","HOLD"))</f>
        <v/>
      </c>
      <c r="Q110" s="107" t="str">
        <f>IF(A110="","",IF($W$7&lt;=0,0,IF($AC$6&gt;0,$W$7*AC110/$AC$6,IF($F$6&gt;0,$W$7*N(F110)/$F$6,0))))</f>
        <v/>
      </c>
      <c r="R110" s="111" t="str">
        <f>IF(A110="","",N(AD110)+IF(AI110=1,N(AG110),0))</f>
        <v/>
      </c>
      <c r="S110" s="111" t="str">
        <f>IF(A110="","",N(E110)+N(R110))</f>
        <v/>
      </c>
      <c r="T110" s="107" t="str">
        <f>IF(A110="","",IF(N(R110)&gt;0,R110*H110*W110*$W$6+p_CorrFixa,0))</f>
        <v/>
      </c>
      <c r="V110" s="85" t="str">
        <f>IF(A110="","",IF(D110="",$W$1,D110))</f>
        <v/>
      </c>
      <c r="W110" s="85" t="str">
        <f>IF(A110="","",IFERROR(INDEX(moeda_fx,MATCH(V110,moeda_cod,0)),0))</f>
        <v/>
      </c>
      <c r="X110" s="85" t="str">
        <f>IF(A110="","",IF($W$2="",UPPER(TRIM(A110)),IF(RIGHT(UPPER(TRIM(A110)),LEN($W$2))=$W$2,UPPER(TRIM(A110)),UPPER(TRIM(A110))&amp;$W$2)))</f>
        <v/>
      </c>
      <c r="Y110" s="85" t="str">
        <f>IF(OR(A110="",p_ModoCot&lt;&gt;"Automático"),"",IFERROR(_xlfn.WEBSERVICE("https://query1.finance.yahoo.com/v8/finance/chart/"&amp;X110&amp;"?range=1d&amp;interval=1d"),""))</f>
        <v/>
      </c>
      <c r="Z110" s="85" t="str">
        <f>IF(Y110="","",IFERROR(_xlfn.NUMBERVALUE(MID(Y110,SEARCH("""regularMarketPrice"":",Y110)+21,SEARCH(",",Y110&amp;",",SEARCH("""regularMarketPrice"":",Y110)+21)-SEARCH("""regularMarketPrice"":",Y110)-21),".",","),""))</f>
        <v/>
      </c>
      <c r="AA110" s="85" t="str">
        <f>IF(A110="","",ROUND(MAX(0,N(F110)*($K$6+$W$7)-K110),2))</f>
        <v/>
      </c>
      <c r="AB110" s="85" t="str">
        <f>IF(A110="","",IF(AND(M110&gt;0,M110&gt;=p_DifMin),AA110,0))</f>
        <v/>
      </c>
      <c r="AC110" s="85" t="str">
        <f>IF(A110="","",IF(AND(AB110&gt;0,N(O110)&lt;=p_MaxAtivos),AB110,0))</f>
        <v/>
      </c>
      <c r="AD110" s="85" t="str">
        <f>IF(A110="","",IF(OR(Q110&lt;=0,Q110&lt;p_CompraMin,N(H110)&lt;=0,N(W110)&lt;=0),0,IF($W$3="Sim",TRUNC(ROUND(MAX(0,(Q110-p_CorrFixa)/(H110*W110*$W$6)),9),$W$4),TRUNC(ROUND(MAX(0,(Q110-p_CorrFixa)/(H110*W110*$W$6)),9)/$W$5)*$W$5)))</f>
        <v/>
      </c>
      <c r="AE110" s="85" t="str">
        <f>IF(A110="","",IF(N(AD110)&gt;0,AD110*H110*W110*$W$6+p_CorrFixa,0))</f>
        <v/>
      </c>
      <c r="AF110" s="85" t="str">
        <f>IF(A110="","",IF(OR($Y$1&lt;=0,N(H110)&lt;=0,N(W110)&lt;=0,N(AB110)&lt;=0),0,IF($W$3="Sim",TRUNC(ROUND(MAX(0,($Y$1-IF(N(AD110)&gt;0,0,p_CorrFixa))/(H110*W110*$W$6)),9),$W$4),TRUNC(ROUND(MAX(0,($Y$1-IF(N(AD110)&gt;0,0,p_CorrFixa))/(H110*W110*$W$6)),9)/$W$5)*$W$5)))</f>
        <v/>
      </c>
      <c r="AG110" s="85" t="str">
        <f>IF(A110="","",IF(AND(N(AD110)=0,N(AF110)*(H110*W110*$W$6)+p_CorrFixa&lt;p_CompraMin),0,AF110))</f>
        <v/>
      </c>
      <c r="AH110" s="85" t="str">
        <f>IF(A110="","",IF(N(AG110)&gt;0,AB110,0))</f>
        <v/>
      </c>
      <c r="AI110" s="85" t="str">
        <f>IF(A110="","",IF(AND(AH110&gt;0,AH110=$AH$6,COUNTIF($AH$9:AH110,AH110)=1),1,0))</f>
        <v/>
      </c>
    </row>
    <row r="111">
      <c r="A111" s="96" t="n"/>
      <c r="B111" s="96" t="n"/>
      <c r="C111" s="96" t="n"/>
      <c r="D111" s="97" t="n"/>
      <c r="E111" s="98" t="n"/>
      <c r="F111" s="99" t="n"/>
      <c r="G111" s="100" t="n"/>
      <c r="H111" s="101" t="str">
        <f>IF(A111="","",IF(AND(p_ModoCot="Automático",ISNUMBER(Z111)),Z111,IF(N(G111)&gt;0,G111,0)))</f>
        <v/>
      </c>
      <c r="I111" s="73" t="str">
        <f>IF(A111="","",IF(W111=0,"Sem câmbio",IF(AND(p_ModoCot="Automático",ISNUMBER(Z111)),"Auto",IF(N(G111)&gt;0,"Manual","Sem cotação"))))</f>
        <v/>
      </c>
      <c r="J111" s="102" t="str">
        <f>IF(A111="","",N(E111)*H111)</f>
        <v/>
      </c>
      <c r="K111" s="70" t="str">
        <f>IF(A111="","",J111*W111)</f>
        <v/>
      </c>
      <c r="L111" s="30" t="str">
        <f>IF(A111="","",IF($K$6&gt;0,K111/$K$6,0))</f>
        <v/>
      </c>
      <c r="M111" s="72" t="str">
        <f>IF(A111="","",N(F111)-L111)</f>
        <v/>
      </c>
      <c r="N111" s="30" t="str">
        <f>IF(A111="","",IF($AB$6&gt;0,AB111/$AB$6,0))</f>
        <v/>
      </c>
      <c r="O111" s="74" t="str">
        <f>IF(A111="","",IF(AB111&lt;=0,"",COUNTIF($AB$9:$AB$208,"&gt;"&amp;AB111)+COUNTIF($AB$9:AB111,AB111)))</f>
        <v/>
      </c>
      <c r="P111" s="73" t="str">
        <f>IF(A111="","",IF(Q111&gt;0,"BUY","HOLD"))</f>
        <v/>
      </c>
      <c r="Q111" s="70" t="str">
        <f>IF(A111="","",IF($W$7&lt;=0,0,IF($AC$6&gt;0,$W$7*AC111/$AC$6,IF($F$6&gt;0,$W$7*N(F111)/$F$6,0))))</f>
        <v/>
      </c>
      <c r="R111" s="103" t="str">
        <f>IF(A111="","",N(AD111)+IF(AI111=1,N(AG111),0))</f>
        <v/>
      </c>
      <c r="S111" s="103" t="str">
        <f>IF(A111="","",N(E111)+N(R111))</f>
        <v/>
      </c>
      <c r="T111" s="70" t="str">
        <f>IF(A111="","",IF(N(R111)&gt;0,R111*H111*W111*$W$6+p_CorrFixa,0))</f>
        <v/>
      </c>
      <c r="V111" s="85" t="str">
        <f>IF(A111="","",IF(D111="",$W$1,D111))</f>
        <v/>
      </c>
      <c r="W111" s="85" t="str">
        <f>IF(A111="","",IFERROR(INDEX(moeda_fx,MATCH(V111,moeda_cod,0)),0))</f>
        <v/>
      </c>
      <c r="X111" s="85" t="str">
        <f>IF(A111="","",IF($W$2="",UPPER(TRIM(A111)),IF(RIGHT(UPPER(TRIM(A111)),LEN($W$2))=$W$2,UPPER(TRIM(A111)),UPPER(TRIM(A111))&amp;$W$2)))</f>
        <v/>
      </c>
      <c r="Y111" s="85" t="str">
        <f>IF(OR(A111="",p_ModoCot&lt;&gt;"Automático"),"",IFERROR(_xlfn.WEBSERVICE("https://query1.finance.yahoo.com/v8/finance/chart/"&amp;X111&amp;"?range=1d&amp;interval=1d"),""))</f>
        <v/>
      </c>
      <c r="Z111" s="85" t="str">
        <f>IF(Y111="","",IFERROR(_xlfn.NUMBERVALUE(MID(Y111,SEARCH("""regularMarketPrice"":",Y111)+21,SEARCH(",",Y111&amp;",",SEARCH("""regularMarketPrice"":",Y111)+21)-SEARCH("""regularMarketPrice"":",Y111)-21),".",","),""))</f>
        <v/>
      </c>
      <c r="AA111" s="85" t="str">
        <f>IF(A111="","",ROUND(MAX(0,N(F111)*($K$6+$W$7)-K111),2))</f>
        <v/>
      </c>
      <c r="AB111" s="85" t="str">
        <f>IF(A111="","",IF(AND(M111&gt;0,M111&gt;=p_DifMin),AA111,0))</f>
        <v/>
      </c>
      <c r="AC111" s="85" t="str">
        <f>IF(A111="","",IF(AND(AB111&gt;0,N(O111)&lt;=p_MaxAtivos),AB111,0))</f>
        <v/>
      </c>
      <c r="AD111" s="85" t="str">
        <f>IF(A111="","",IF(OR(Q111&lt;=0,Q111&lt;p_CompraMin,N(H111)&lt;=0,N(W111)&lt;=0),0,IF($W$3="Sim",TRUNC(ROUND(MAX(0,(Q111-p_CorrFixa)/(H111*W111*$W$6)),9),$W$4),TRUNC(ROUND(MAX(0,(Q111-p_CorrFixa)/(H111*W111*$W$6)),9)/$W$5)*$W$5)))</f>
        <v/>
      </c>
      <c r="AE111" s="85" t="str">
        <f>IF(A111="","",IF(N(AD111)&gt;0,AD111*H111*W111*$W$6+p_CorrFixa,0))</f>
        <v/>
      </c>
      <c r="AF111" s="85" t="str">
        <f>IF(A111="","",IF(OR($Y$1&lt;=0,N(H111)&lt;=0,N(W111)&lt;=0,N(AB111)&lt;=0),0,IF($W$3="Sim",TRUNC(ROUND(MAX(0,($Y$1-IF(N(AD111)&gt;0,0,p_CorrFixa))/(H111*W111*$W$6)),9),$W$4),TRUNC(ROUND(MAX(0,($Y$1-IF(N(AD111)&gt;0,0,p_CorrFixa))/(H111*W111*$W$6)),9)/$W$5)*$W$5)))</f>
        <v/>
      </c>
      <c r="AG111" s="85" t="str">
        <f>IF(A111="","",IF(AND(N(AD111)=0,N(AF111)*(H111*W111*$W$6)+p_CorrFixa&lt;p_CompraMin),0,AF111))</f>
        <v/>
      </c>
      <c r="AH111" s="85" t="str">
        <f>IF(A111="","",IF(N(AG111)&gt;0,AB111,0))</f>
        <v/>
      </c>
      <c r="AI111" s="85" t="str">
        <f>IF(A111="","",IF(AND(AH111&gt;0,AH111=$AH$6,COUNTIF($AH$9:AH111,AH111)=1),1,0))</f>
        <v/>
      </c>
    </row>
    <row r="112">
      <c r="A112" s="96" t="n"/>
      <c r="B112" s="96" t="n"/>
      <c r="C112" s="96" t="n"/>
      <c r="D112" s="97" t="n"/>
      <c r="E112" s="98" t="n"/>
      <c r="F112" s="99" t="n"/>
      <c r="G112" s="100" t="n"/>
      <c r="H112" s="104" t="str">
        <f>IF(A112="","",IF(AND(p_ModoCot="Automático",ISNUMBER(Z112)),Z112,IF(N(G112)&gt;0,G112,0)))</f>
        <v/>
      </c>
      <c r="I112" s="105" t="str">
        <f>IF(A112="","",IF(W112=0,"Sem câmbio",IF(AND(p_ModoCot="Automático",ISNUMBER(Z112)),"Auto",IF(N(G112)&gt;0,"Manual","Sem cotação"))))</f>
        <v/>
      </c>
      <c r="J112" s="106" t="str">
        <f>IF(A112="","",N(E112)*H112)</f>
        <v/>
      </c>
      <c r="K112" s="107" t="str">
        <f>IF(A112="","",J112*W112)</f>
        <v/>
      </c>
      <c r="L112" s="108" t="str">
        <f>IF(A112="","",IF($K$6&gt;0,K112/$K$6,0))</f>
        <v/>
      </c>
      <c r="M112" s="109" t="str">
        <f>IF(A112="","",N(F112)-L112)</f>
        <v/>
      </c>
      <c r="N112" s="108" t="str">
        <f>IF(A112="","",IF($AB$6&gt;0,AB112/$AB$6,0))</f>
        <v/>
      </c>
      <c r="O112" s="110" t="str">
        <f>IF(A112="","",IF(AB112&lt;=0,"",COUNTIF($AB$9:$AB$208,"&gt;"&amp;AB112)+COUNTIF($AB$9:AB112,AB112)))</f>
        <v/>
      </c>
      <c r="P112" s="105" t="str">
        <f>IF(A112="","",IF(Q112&gt;0,"BUY","HOLD"))</f>
        <v/>
      </c>
      <c r="Q112" s="107" t="str">
        <f>IF(A112="","",IF($W$7&lt;=0,0,IF($AC$6&gt;0,$W$7*AC112/$AC$6,IF($F$6&gt;0,$W$7*N(F112)/$F$6,0))))</f>
        <v/>
      </c>
      <c r="R112" s="111" t="str">
        <f>IF(A112="","",N(AD112)+IF(AI112=1,N(AG112),0))</f>
        <v/>
      </c>
      <c r="S112" s="111" t="str">
        <f>IF(A112="","",N(E112)+N(R112))</f>
        <v/>
      </c>
      <c r="T112" s="107" t="str">
        <f>IF(A112="","",IF(N(R112)&gt;0,R112*H112*W112*$W$6+p_CorrFixa,0))</f>
        <v/>
      </c>
      <c r="V112" s="85" t="str">
        <f>IF(A112="","",IF(D112="",$W$1,D112))</f>
        <v/>
      </c>
      <c r="W112" s="85" t="str">
        <f>IF(A112="","",IFERROR(INDEX(moeda_fx,MATCH(V112,moeda_cod,0)),0))</f>
        <v/>
      </c>
      <c r="X112" s="85" t="str">
        <f>IF(A112="","",IF($W$2="",UPPER(TRIM(A112)),IF(RIGHT(UPPER(TRIM(A112)),LEN($W$2))=$W$2,UPPER(TRIM(A112)),UPPER(TRIM(A112))&amp;$W$2)))</f>
        <v/>
      </c>
      <c r="Y112" s="85" t="str">
        <f>IF(OR(A112="",p_ModoCot&lt;&gt;"Automático"),"",IFERROR(_xlfn.WEBSERVICE("https://query1.finance.yahoo.com/v8/finance/chart/"&amp;X112&amp;"?range=1d&amp;interval=1d"),""))</f>
        <v/>
      </c>
      <c r="Z112" s="85" t="str">
        <f>IF(Y112="","",IFERROR(_xlfn.NUMBERVALUE(MID(Y112,SEARCH("""regularMarketPrice"":",Y112)+21,SEARCH(",",Y112&amp;",",SEARCH("""regularMarketPrice"":",Y112)+21)-SEARCH("""regularMarketPrice"":",Y112)-21),".",","),""))</f>
        <v/>
      </c>
      <c r="AA112" s="85" t="str">
        <f>IF(A112="","",ROUND(MAX(0,N(F112)*($K$6+$W$7)-K112),2))</f>
        <v/>
      </c>
      <c r="AB112" s="85" t="str">
        <f>IF(A112="","",IF(AND(M112&gt;0,M112&gt;=p_DifMin),AA112,0))</f>
        <v/>
      </c>
      <c r="AC112" s="85" t="str">
        <f>IF(A112="","",IF(AND(AB112&gt;0,N(O112)&lt;=p_MaxAtivos),AB112,0))</f>
        <v/>
      </c>
      <c r="AD112" s="85" t="str">
        <f>IF(A112="","",IF(OR(Q112&lt;=0,Q112&lt;p_CompraMin,N(H112)&lt;=0,N(W112)&lt;=0),0,IF($W$3="Sim",TRUNC(ROUND(MAX(0,(Q112-p_CorrFixa)/(H112*W112*$W$6)),9),$W$4),TRUNC(ROUND(MAX(0,(Q112-p_CorrFixa)/(H112*W112*$W$6)),9)/$W$5)*$W$5)))</f>
        <v/>
      </c>
      <c r="AE112" s="85" t="str">
        <f>IF(A112="","",IF(N(AD112)&gt;0,AD112*H112*W112*$W$6+p_CorrFixa,0))</f>
        <v/>
      </c>
      <c r="AF112" s="85" t="str">
        <f>IF(A112="","",IF(OR($Y$1&lt;=0,N(H112)&lt;=0,N(W112)&lt;=0,N(AB112)&lt;=0),0,IF($W$3="Sim",TRUNC(ROUND(MAX(0,($Y$1-IF(N(AD112)&gt;0,0,p_CorrFixa))/(H112*W112*$W$6)),9),$W$4),TRUNC(ROUND(MAX(0,($Y$1-IF(N(AD112)&gt;0,0,p_CorrFixa))/(H112*W112*$W$6)),9)/$W$5)*$W$5)))</f>
        <v/>
      </c>
      <c r="AG112" s="85" t="str">
        <f>IF(A112="","",IF(AND(N(AD112)=0,N(AF112)*(H112*W112*$W$6)+p_CorrFixa&lt;p_CompraMin),0,AF112))</f>
        <v/>
      </c>
      <c r="AH112" s="85" t="str">
        <f>IF(A112="","",IF(N(AG112)&gt;0,AB112,0))</f>
        <v/>
      </c>
      <c r="AI112" s="85" t="str">
        <f>IF(A112="","",IF(AND(AH112&gt;0,AH112=$AH$6,COUNTIF($AH$9:AH112,AH112)=1),1,0))</f>
        <v/>
      </c>
    </row>
    <row r="113">
      <c r="A113" s="96" t="n"/>
      <c r="B113" s="96" t="n"/>
      <c r="C113" s="96" t="n"/>
      <c r="D113" s="97" t="n"/>
      <c r="E113" s="98" t="n"/>
      <c r="F113" s="99" t="n"/>
      <c r="G113" s="100" t="n"/>
      <c r="H113" s="101" t="str">
        <f>IF(A113="","",IF(AND(p_ModoCot="Automático",ISNUMBER(Z113)),Z113,IF(N(G113)&gt;0,G113,0)))</f>
        <v/>
      </c>
      <c r="I113" s="73" t="str">
        <f>IF(A113="","",IF(W113=0,"Sem câmbio",IF(AND(p_ModoCot="Automático",ISNUMBER(Z113)),"Auto",IF(N(G113)&gt;0,"Manual","Sem cotação"))))</f>
        <v/>
      </c>
      <c r="J113" s="102" t="str">
        <f>IF(A113="","",N(E113)*H113)</f>
        <v/>
      </c>
      <c r="K113" s="70" t="str">
        <f>IF(A113="","",J113*W113)</f>
        <v/>
      </c>
      <c r="L113" s="30" t="str">
        <f>IF(A113="","",IF($K$6&gt;0,K113/$K$6,0))</f>
        <v/>
      </c>
      <c r="M113" s="72" t="str">
        <f>IF(A113="","",N(F113)-L113)</f>
        <v/>
      </c>
      <c r="N113" s="30" t="str">
        <f>IF(A113="","",IF($AB$6&gt;0,AB113/$AB$6,0))</f>
        <v/>
      </c>
      <c r="O113" s="74" t="str">
        <f>IF(A113="","",IF(AB113&lt;=0,"",COUNTIF($AB$9:$AB$208,"&gt;"&amp;AB113)+COUNTIF($AB$9:AB113,AB113)))</f>
        <v/>
      </c>
      <c r="P113" s="73" t="str">
        <f>IF(A113="","",IF(Q113&gt;0,"BUY","HOLD"))</f>
        <v/>
      </c>
      <c r="Q113" s="70" t="str">
        <f>IF(A113="","",IF($W$7&lt;=0,0,IF($AC$6&gt;0,$W$7*AC113/$AC$6,IF($F$6&gt;0,$W$7*N(F113)/$F$6,0))))</f>
        <v/>
      </c>
      <c r="R113" s="103" t="str">
        <f>IF(A113="","",N(AD113)+IF(AI113=1,N(AG113),0))</f>
        <v/>
      </c>
      <c r="S113" s="103" t="str">
        <f>IF(A113="","",N(E113)+N(R113))</f>
        <v/>
      </c>
      <c r="T113" s="70" t="str">
        <f>IF(A113="","",IF(N(R113)&gt;0,R113*H113*W113*$W$6+p_CorrFixa,0))</f>
        <v/>
      </c>
      <c r="V113" s="85" t="str">
        <f>IF(A113="","",IF(D113="",$W$1,D113))</f>
        <v/>
      </c>
      <c r="W113" s="85" t="str">
        <f>IF(A113="","",IFERROR(INDEX(moeda_fx,MATCH(V113,moeda_cod,0)),0))</f>
        <v/>
      </c>
      <c r="X113" s="85" t="str">
        <f>IF(A113="","",IF($W$2="",UPPER(TRIM(A113)),IF(RIGHT(UPPER(TRIM(A113)),LEN($W$2))=$W$2,UPPER(TRIM(A113)),UPPER(TRIM(A113))&amp;$W$2)))</f>
        <v/>
      </c>
      <c r="Y113" s="85" t="str">
        <f>IF(OR(A113="",p_ModoCot&lt;&gt;"Automático"),"",IFERROR(_xlfn.WEBSERVICE("https://query1.finance.yahoo.com/v8/finance/chart/"&amp;X113&amp;"?range=1d&amp;interval=1d"),""))</f>
        <v/>
      </c>
      <c r="Z113" s="85" t="str">
        <f>IF(Y113="","",IFERROR(_xlfn.NUMBERVALUE(MID(Y113,SEARCH("""regularMarketPrice"":",Y113)+21,SEARCH(",",Y113&amp;",",SEARCH("""regularMarketPrice"":",Y113)+21)-SEARCH("""regularMarketPrice"":",Y113)-21),".",","),""))</f>
        <v/>
      </c>
      <c r="AA113" s="85" t="str">
        <f>IF(A113="","",ROUND(MAX(0,N(F113)*($K$6+$W$7)-K113),2))</f>
        <v/>
      </c>
      <c r="AB113" s="85" t="str">
        <f>IF(A113="","",IF(AND(M113&gt;0,M113&gt;=p_DifMin),AA113,0))</f>
        <v/>
      </c>
      <c r="AC113" s="85" t="str">
        <f>IF(A113="","",IF(AND(AB113&gt;0,N(O113)&lt;=p_MaxAtivos),AB113,0))</f>
        <v/>
      </c>
      <c r="AD113" s="85" t="str">
        <f>IF(A113="","",IF(OR(Q113&lt;=0,Q113&lt;p_CompraMin,N(H113)&lt;=0,N(W113)&lt;=0),0,IF($W$3="Sim",TRUNC(ROUND(MAX(0,(Q113-p_CorrFixa)/(H113*W113*$W$6)),9),$W$4),TRUNC(ROUND(MAX(0,(Q113-p_CorrFixa)/(H113*W113*$W$6)),9)/$W$5)*$W$5)))</f>
        <v/>
      </c>
      <c r="AE113" s="85" t="str">
        <f>IF(A113="","",IF(N(AD113)&gt;0,AD113*H113*W113*$W$6+p_CorrFixa,0))</f>
        <v/>
      </c>
      <c r="AF113" s="85" t="str">
        <f>IF(A113="","",IF(OR($Y$1&lt;=0,N(H113)&lt;=0,N(W113)&lt;=0,N(AB113)&lt;=0),0,IF($W$3="Sim",TRUNC(ROUND(MAX(0,($Y$1-IF(N(AD113)&gt;0,0,p_CorrFixa))/(H113*W113*$W$6)),9),$W$4),TRUNC(ROUND(MAX(0,($Y$1-IF(N(AD113)&gt;0,0,p_CorrFixa))/(H113*W113*$W$6)),9)/$W$5)*$W$5)))</f>
        <v/>
      </c>
      <c r="AG113" s="85" t="str">
        <f>IF(A113="","",IF(AND(N(AD113)=0,N(AF113)*(H113*W113*$W$6)+p_CorrFixa&lt;p_CompraMin),0,AF113))</f>
        <v/>
      </c>
      <c r="AH113" s="85" t="str">
        <f>IF(A113="","",IF(N(AG113)&gt;0,AB113,0))</f>
        <v/>
      </c>
      <c r="AI113" s="85" t="str">
        <f>IF(A113="","",IF(AND(AH113&gt;0,AH113=$AH$6,COUNTIF($AH$9:AH113,AH113)=1),1,0))</f>
        <v/>
      </c>
    </row>
    <row r="114">
      <c r="A114" s="96" t="n"/>
      <c r="B114" s="96" t="n"/>
      <c r="C114" s="96" t="n"/>
      <c r="D114" s="97" t="n"/>
      <c r="E114" s="98" t="n"/>
      <c r="F114" s="99" t="n"/>
      <c r="G114" s="100" t="n"/>
      <c r="H114" s="104" t="str">
        <f>IF(A114="","",IF(AND(p_ModoCot="Automático",ISNUMBER(Z114)),Z114,IF(N(G114)&gt;0,G114,0)))</f>
        <v/>
      </c>
      <c r="I114" s="105" t="str">
        <f>IF(A114="","",IF(W114=0,"Sem câmbio",IF(AND(p_ModoCot="Automático",ISNUMBER(Z114)),"Auto",IF(N(G114)&gt;0,"Manual","Sem cotação"))))</f>
        <v/>
      </c>
      <c r="J114" s="106" t="str">
        <f>IF(A114="","",N(E114)*H114)</f>
        <v/>
      </c>
      <c r="K114" s="107" t="str">
        <f>IF(A114="","",J114*W114)</f>
        <v/>
      </c>
      <c r="L114" s="108" t="str">
        <f>IF(A114="","",IF($K$6&gt;0,K114/$K$6,0))</f>
        <v/>
      </c>
      <c r="M114" s="109" t="str">
        <f>IF(A114="","",N(F114)-L114)</f>
        <v/>
      </c>
      <c r="N114" s="108" t="str">
        <f>IF(A114="","",IF($AB$6&gt;0,AB114/$AB$6,0))</f>
        <v/>
      </c>
      <c r="O114" s="110" t="str">
        <f>IF(A114="","",IF(AB114&lt;=0,"",COUNTIF($AB$9:$AB$208,"&gt;"&amp;AB114)+COUNTIF($AB$9:AB114,AB114)))</f>
        <v/>
      </c>
      <c r="P114" s="105" t="str">
        <f>IF(A114="","",IF(Q114&gt;0,"BUY","HOLD"))</f>
        <v/>
      </c>
      <c r="Q114" s="107" t="str">
        <f>IF(A114="","",IF($W$7&lt;=0,0,IF($AC$6&gt;0,$W$7*AC114/$AC$6,IF($F$6&gt;0,$W$7*N(F114)/$F$6,0))))</f>
        <v/>
      </c>
      <c r="R114" s="111" t="str">
        <f>IF(A114="","",N(AD114)+IF(AI114=1,N(AG114),0))</f>
        <v/>
      </c>
      <c r="S114" s="111" t="str">
        <f>IF(A114="","",N(E114)+N(R114))</f>
        <v/>
      </c>
      <c r="T114" s="107" t="str">
        <f>IF(A114="","",IF(N(R114)&gt;0,R114*H114*W114*$W$6+p_CorrFixa,0))</f>
        <v/>
      </c>
      <c r="V114" s="85" t="str">
        <f>IF(A114="","",IF(D114="",$W$1,D114))</f>
        <v/>
      </c>
      <c r="W114" s="85" t="str">
        <f>IF(A114="","",IFERROR(INDEX(moeda_fx,MATCH(V114,moeda_cod,0)),0))</f>
        <v/>
      </c>
      <c r="X114" s="85" t="str">
        <f>IF(A114="","",IF($W$2="",UPPER(TRIM(A114)),IF(RIGHT(UPPER(TRIM(A114)),LEN($W$2))=$W$2,UPPER(TRIM(A114)),UPPER(TRIM(A114))&amp;$W$2)))</f>
        <v/>
      </c>
      <c r="Y114" s="85" t="str">
        <f>IF(OR(A114="",p_ModoCot&lt;&gt;"Automático"),"",IFERROR(_xlfn.WEBSERVICE("https://query1.finance.yahoo.com/v8/finance/chart/"&amp;X114&amp;"?range=1d&amp;interval=1d"),""))</f>
        <v/>
      </c>
      <c r="Z114" s="85" t="str">
        <f>IF(Y114="","",IFERROR(_xlfn.NUMBERVALUE(MID(Y114,SEARCH("""regularMarketPrice"":",Y114)+21,SEARCH(",",Y114&amp;",",SEARCH("""regularMarketPrice"":",Y114)+21)-SEARCH("""regularMarketPrice"":",Y114)-21),".",","),""))</f>
        <v/>
      </c>
      <c r="AA114" s="85" t="str">
        <f>IF(A114="","",ROUND(MAX(0,N(F114)*($K$6+$W$7)-K114),2))</f>
        <v/>
      </c>
      <c r="AB114" s="85" t="str">
        <f>IF(A114="","",IF(AND(M114&gt;0,M114&gt;=p_DifMin),AA114,0))</f>
        <v/>
      </c>
      <c r="AC114" s="85" t="str">
        <f>IF(A114="","",IF(AND(AB114&gt;0,N(O114)&lt;=p_MaxAtivos),AB114,0))</f>
        <v/>
      </c>
      <c r="AD114" s="85" t="str">
        <f>IF(A114="","",IF(OR(Q114&lt;=0,Q114&lt;p_CompraMin,N(H114)&lt;=0,N(W114)&lt;=0),0,IF($W$3="Sim",TRUNC(ROUND(MAX(0,(Q114-p_CorrFixa)/(H114*W114*$W$6)),9),$W$4),TRUNC(ROUND(MAX(0,(Q114-p_CorrFixa)/(H114*W114*$W$6)),9)/$W$5)*$W$5)))</f>
        <v/>
      </c>
      <c r="AE114" s="85" t="str">
        <f>IF(A114="","",IF(N(AD114)&gt;0,AD114*H114*W114*$W$6+p_CorrFixa,0))</f>
        <v/>
      </c>
      <c r="AF114" s="85" t="str">
        <f>IF(A114="","",IF(OR($Y$1&lt;=0,N(H114)&lt;=0,N(W114)&lt;=0,N(AB114)&lt;=0),0,IF($W$3="Sim",TRUNC(ROUND(MAX(0,($Y$1-IF(N(AD114)&gt;0,0,p_CorrFixa))/(H114*W114*$W$6)),9),$W$4),TRUNC(ROUND(MAX(0,($Y$1-IF(N(AD114)&gt;0,0,p_CorrFixa))/(H114*W114*$W$6)),9)/$W$5)*$W$5)))</f>
        <v/>
      </c>
      <c r="AG114" s="85" t="str">
        <f>IF(A114="","",IF(AND(N(AD114)=0,N(AF114)*(H114*W114*$W$6)+p_CorrFixa&lt;p_CompraMin),0,AF114))</f>
        <v/>
      </c>
      <c r="AH114" s="85" t="str">
        <f>IF(A114="","",IF(N(AG114)&gt;0,AB114,0))</f>
        <v/>
      </c>
      <c r="AI114" s="85" t="str">
        <f>IF(A114="","",IF(AND(AH114&gt;0,AH114=$AH$6,COUNTIF($AH$9:AH114,AH114)=1),1,0))</f>
        <v/>
      </c>
    </row>
    <row r="115">
      <c r="A115" s="96" t="n"/>
      <c r="B115" s="96" t="n"/>
      <c r="C115" s="96" t="n"/>
      <c r="D115" s="97" t="n"/>
      <c r="E115" s="98" t="n"/>
      <c r="F115" s="99" t="n"/>
      <c r="G115" s="100" t="n"/>
      <c r="H115" s="101" t="str">
        <f>IF(A115="","",IF(AND(p_ModoCot="Automático",ISNUMBER(Z115)),Z115,IF(N(G115)&gt;0,G115,0)))</f>
        <v/>
      </c>
      <c r="I115" s="73" t="str">
        <f>IF(A115="","",IF(W115=0,"Sem câmbio",IF(AND(p_ModoCot="Automático",ISNUMBER(Z115)),"Auto",IF(N(G115)&gt;0,"Manual","Sem cotação"))))</f>
        <v/>
      </c>
      <c r="J115" s="102" t="str">
        <f>IF(A115="","",N(E115)*H115)</f>
        <v/>
      </c>
      <c r="K115" s="70" t="str">
        <f>IF(A115="","",J115*W115)</f>
        <v/>
      </c>
      <c r="L115" s="30" t="str">
        <f>IF(A115="","",IF($K$6&gt;0,K115/$K$6,0))</f>
        <v/>
      </c>
      <c r="M115" s="72" t="str">
        <f>IF(A115="","",N(F115)-L115)</f>
        <v/>
      </c>
      <c r="N115" s="30" t="str">
        <f>IF(A115="","",IF($AB$6&gt;0,AB115/$AB$6,0))</f>
        <v/>
      </c>
      <c r="O115" s="74" t="str">
        <f>IF(A115="","",IF(AB115&lt;=0,"",COUNTIF($AB$9:$AB$208,"&gt;"&amp;AB115)+COUNTIF($AB$9:AB115,AB115)))</f>
        <v/>
      </c>
      <c r="P115" s="73" t="str">
        <f>IF(A115="","",IF(Q115&gt;0,"BUY","HOLD"))</f>
        <v/>
      </c>
      <c r="Q115" s="70" t="str">
        <f>IF(A115="","",IF($W$7&lt;=0,0,IF($AC$6&gt;0,$W$7*AC115/$AC$6,IF($F$6&gt;0,$W$7*N(F115)/$F$6,0))))</f>
        <v/>
      </c>
      <c r="R115" s="103" t="str">
        <f>IF(A115="","",N(AD115)+IF(AI115=1,N(AG115),0))</f>
        <v/>
      </c>
      <c r="S115" s="103" t="str">
        <f>IF(A115="","",N(E115)+N(R115))</f>
        <v/>
      </c>
      <c r="T115" s="70" t="str">
        <f>IF(A115="","",IF(N(R115)&gt;0,R115*H115*W115*$W$6+p_CorrFixa,0))</f>
        <v/>
      </c>
      <c r="V115" s="85" t="str">
        <f>IF(A115="","",IF(D115="",$W$1,D115))</f>
        <v/>
      </c>
      <c r="W115" s="85" t="str">
        <f>IF(A115="","",IFERROR(INDEX(moeda_fx,MATCH(V115,moeda_cod,0)),0))</f>
        <v/>
      </c>
      <c r="X115" s="85" t="str">
        <f>IF(A115="","",IF($W$2="",UPPER(TRIM(A115)),IF(RIGHT(UPPER(TRIM(A115)),LEN($W$2))=$W$2,UPPER(TRIM(A115)),UPPER(TRIM(A115))&amp;$W$2)))</f>
        <v/>
      </c>
      <c r="Y115" s="85" t="str">
        <f>IF(OR(A115="",p_ModoCot&lt;&gt;"Automático"),"",IFERROR(_xlfn.WEBSERVICE("https://query1.finance.yahoo.com/v8/finance/chart/"&amp;X115&amp;"?range=1d&amp;interval=1d"),""))</f>
        <v/>
      </c>
      <c r="Z115" s="85" t="str">
        <f>IF(Y115="","",IFERROR(_xlfn.NUMBERVALUE(MID(Y115,SEARCH("""regularMarketPrice"":",Y115)+21,SEARCH(",",Y115&amp;",",SEARCH("""regularMarketPrice"":",Y115)+21)-SEARCH("""regularMarketPrice"":",Y115)-21),".",","),""))</f>
        <v/>
      </c>
      <c r="AA115" s="85" t="str">
        <f>IF(A115="","",ROUND(MAX(0,N(F115)*($K$6+$W$7)-K115),2))</f>
        <v/>
      </c>
      <c r="AB115" s="85" t="str">
        <f>IF(A115="","",IF(AND(M115&gt;0,M115&gt;=p_DifMin),AA115,0))</f>
        <v/>
      </c>
      <c r="AC115" s="85" t="str">
        <f>IF(A115="","",IF(AND(AB115&gt;0,N(O115)&lt;=p_MaxAtivos),AB115,0))</f>
        <v/>
      </c>
      <c r="AD115" s="85" t="str">
        <f>IF(A115="","",IF(OR(Q115&lt;=0,Q115&lt;p_CompraMin,N(H115)&lt;=0,N(W115)&lt;=0),0,IF($W$3="Sim",TRUNC(ROUND(MAX(0,(Q115-p_CorrFixa)/(H115*W115*$W$6)),9),$W$4),TRUNC(ROUND(MAX(0,(Q115-p_CorrFixa)/(H115*W115*$W$6)),9)/$W$5)*$W$5)))</f>
        <v/>
      </c>
      <c r="AE115" s="85" t="str">
        <f>IF(A115="","",IF(N(AD115)&gt;0,AD115*H115*W115*$W$6+p_CorrFixa,0))</f>
        <v/>
      </c>
      <c r="AF115" s="85" t="str">
        <f>IF(A115="","",IF(OR($Y$1&lt;=0,N(H115)&lt;=0,N(W115)&lt;=0,N(AB115)&lt;=0),0,IF($W$3="Sim",TRUNC(ROUND(MAX(0,($Y$1-IF(N(AD115)&gt;0,0,p_CorrFixa))/(H115*W115*$W$6)),9),$W$4),TRUNC(ROUND(MAX(0,($Y$1-IF(N(AD115)&gt;0,0,p_CorrFixa))/(H115*W115*$W$6)),9)/$W$5)*$W$5)))</f>
        <v/>
      </c>
      <c r="AG115" s="85" t="str">
        <f>IF(A115="","",IF(AND(N(AD115)=0,N(AF115)*(H115*W115*$W$6)+p_CorrFixa&lt;p_CompraMin),0,AF115))</f>
        <v/>
      </c>
      <c r="AH115" s="85" t="str">
        <f>IF(A115="","",IF(N(AG115)&gt;0,AB115,0))</f>
        <v/>
      </c>
      <c r="AI115" s="85" t="str">
        <f>IF(A115="","",IF(AND(AH115&gt;0,AH115=$AH$6,COUNTIF($AH$9:AH115,AH115)=1),1,0))</f>
        <v/>
      </c>
    </row>
    <row r="116">
      <c r="A116" s="96" t="n"/>
      <c r="B116" s="96" t="n"/>
      <c r="C116" s="96" t="n"/>
      <c r="D116" s="97" t="n"/>
      <c r="E116" s="98" t="n"/>
      <c r="F116" s="99" t="n"/>
      <c r="G116" s="100" t="n"/>
      <c r="H116" s="104" t="str">
        <f>IF(A116="","",IF(AND(p_ModoCot="Automático",ISNUMBER(Z116)),Z116,IF(N(G116)&gt;0,G116,0)))</f>
        <v/>
      </c>
      <c r="I116" s="105" t="str">
        <f>IF(A116="","",IF(W116=0,"Sem câmbio",IF(AND(p_ModoCot="Automático",ISNUMBER(Z116)),"Auto",IF(N(G116)&gt;0,"Manual","Sem cotação"))))</f>
        <v/>
      </c>
      <c r="J116" s="106" t="str">
        <f>IF(A116="","",N(E116)*H116)</f>
        <v/>
      </c>
      <c r="K116" s="107" t="str">
        <f>IF(A116="","",J116*W116)</f>
        <v/>
      </c>
      <c r="L116" s="108" t="str">
        <f>IF(A116="","",IF($K$6&gt;0,K116/$K$6,0))</f>
        <v/>
      </c>
      <c r="M116" s="109" t="str">
        <f>IF(A116="","",N(F116)-L116)</f>
        <v/>
      </c>
      <c r="N116" s="108" t="str">
        <f>IF(A116="","",IF($AB$6&gt;0,AB116/$AB$6,0))</f>
        <v/>
      </c>
      <c r="O116" s="110" t="str">
        <f>IF(A116="","",IF(AB116&lt;=0,"",COUNTIF($AB$9:$AB$208,"&gt;"&amp;AB116)+COUNTIF($AB$9:AB116,AB116)))</f>
        <v/>
      </c>
      <c r="P116" s="105" t="str">
        <f>IF(A116="","",IF(Q116&gt;0,"BUY","HOLD"))</f>
        <v/>
      </c>
      <c r="Q116" s="107" t="str">
        <f>IF(A116="","",IF($W$7&lt;=0,0,IF($AC$6&gt;0,$W$7*AC116/$AC$6,IF($F$6&gt;0,$W$7*N(F116)/$F$6,0))))</f>
        <v/>
      </c>
      <c r="R116" s="111" t="str">
        <f>IF(A116="","",N(AD116)+IF(AI116=1,N(AG116),0))</f>
        <v/>
      </c>
      <c r="S116" s="111" t="str">
        <f>IF(A116="","",N(E116)+N(R116))</f>
        <v/>
      </c>
      <c r="T116" s="107" t="str">
        <f>IF(A116="","",IF(N(R116)&gt;0,R116*H116*W116*$W$6+p_CorrFixa,0))</f>
        <v/>
      </c>
      <c r="V116" s="85" t="str">
        <f>IF(A116="","",IF(D116="",$W$1,D116))</f>
        <v/>
      </c>
      <c r="W116" s="85" t="str">
        <f>IF(A116="","",IFERROR(INDEX(moeda_fx,MATCH(V116,moeda_cod,0)),0))</f>
        <v/>
      </c>
      <c r="X116" s="85" t="str">
        <f>IF(A116="","",IF($W$2="",UPPER(TRIM(A116)),IF(RIGHT(UPPER(TRIM(A116)),LEN($W$2))=$W$2,UPPER(TRIM(A116)),UPPER(TRIM(A116))&amp;$W$2)))</f>
        <v/>
      </c>
      <c r="Y116" s="85" t="str">
        <f>IF(OR(A116="",p_ModoCot&lt;&gt;"Automático"),"",IFERROR(_xlfn.WEBSERVICE("https://query1.finance.yahoo.com/v8/finance/chart/"&amp;X116&amp;"?range=1d&amp;interval=1d"),""))</f>
        <v/>
      </c>
      <c r="Z116" s="85" t="str">
        <f>IF(Y116="","",IFERROR(_xlfn.NUMBERVALUE(MID(Y116,SEARCH("""regularMarketPrice"":",Y116)+21,SEARCH(",",Y116&amp;",",SEARCH("""regularMarketPrice"":",Y116)+21)-SEARCH("""regularMarketPrice"":",Y116)-21),".",","),""))</f>
        <v/>
      </c>
      <c r="AA116" s="85" t="str">
        <f>IF(A116="","",ROUND(MAX(0,N(F116)*($K$6+$W$7)-K116),2))</f>
        <v/>
      </c>
      <c r="AB116" s="85" t="str">
        <f>IF(A116="","",IF(AND(M116&gt;0,M116&gt;=p_DifMin),AA116,0))</f>
        <v/>
      </c>
      <c r="AC116" s="85" t="str">
        <f>IF(A116="","",IF(AND(AB116&gt;0,N(O116)&lt;=p_MaxAtivos),AB116,0))</f>
        <v/>
      </c>
      <c r="AD116" s="85" t="str">
        <f>IF(A116="","",IF(OR(Q116&lt;=0,Q116&lt;p_CompraMin,N(H116)&lt;=0,N(W116)&lt;=0),0,IF($W$3="Sim",TRUNC(ROUND(MAX(0,(Q116-p_CorrFixa)/(H116*W116*$W$6)),9),$W$4),TRUNC(ROUND(MAX(0,(Q116-p_CorrFixa)/(H116*W116*$W$6)),9)/$W$5)*$W$5)))</f>
        <v/>
      </c>
      <c r="AE116" s="85" t="str">
        <f>IF(A116="","",IF(N(AD116)&gt;0,AD116*H116*W116*$W$6+p_CorrFixa,0))</f>
        <v/>
      </c>
      <c r="AF116" s="85" t="str">
        <f>IF(A116="","",IF(OR($Y$1&lt;=0,N(H116)&lt;=0,N(W116)&lt;=0,N(AB116)&lt;=0),0,IF($W$3="Sim",TRUNC(ROUND(MAX(0,($Y$1-IF(N(AD116)&gt;0,0,p_CorrFixa))/(H116*W116*$W$6)),9),$W$4),TRUNC(ROUND(MAX(0,($Y$1-IF(N(AD116)&gt;0,0,p_CorrFixa))/(H116*W116*$W$6)),9)/$W$5)*$W$5)))</f>
        <v/>
      </c>
      <c r="AG116" s="85" t="str">
        <f>IF(A116="","",IF(AND(N(AD116)=0,N(AF116)*(H116*W116*$W$6)+p_CorrFixa&lt;p_CompraMin),0,AF116))</f>
        <v/>
      </c>
      <c r="AH116" s="85" t="str">
        <f>IF(A116="","",IF(N(AG116)&gt;0,AB116,0))</f>
        <v/>
      </c>
      <c r="AI116" s="85" t="str">
        <f>IF(A116="","",IF(AND(AH116&gt;0,AH116=$AH$6,COUNTIF($AH$9:AH116,AH116)=1),1,0))</f>
        <v/>
      </c>
    </row>
    <row r="117">
      <c r="A117" s="96" t="n"/>
      <c r="B117" s="96" t="n"/>
      <c r="C117" s="96" t="n"/>
      <c r="D117" s="97" t="n"/>
      <c r="E117" s="98" t="n"/>
      <c r="F117" s="99" t="n"/>
      <c r="G117" s="100" t="n"/>
      <c r="H117" s="101" t="str">
        <f>IF(A117="","",IF(AND(p_ModoCot="Automático",ISNUMBER(Z117)),Z117,IF(N(G117)&gt;0,G117,0)))</f>
        <v/>
      </c>
      <c r="I117" s="73" t="str">
        <f>IF(A117="","",IF(W117=0,"Sem câmbio",IF(AND(p_ModoCot="Automático",ISNUMBER(Z117)),"Auto",IF(N(G117)&gt;0,"Manual","Sem cotação"))))</f>
        <v/>
      </c>
      <c r="J117" s="102" t="str">
        <f>IF(A117="","",N(E117)*H117)</f>
        <v/>
      </c>
      <c r="K117" s="70" t="str">
        <f>IF(A117="","",J117*W117)</f>
        <v/>
      </c>
      <c r="L117" s="30" t="str">
        <f>IF(A117="","",IF($K$6&gt;0,K117/$K$6,0))</f>
        <v/>
      </c>
      <c r="M117" s="72" t="str">
        <f>IF(A117="","",N(F117)-L117)</f>
        <v/>
      </c>
      <c r="N117" s="30" t="str">
        <f>IF(A117="","",IF($AB$6&gt;0,AB117/$AB$6,0))</f>
        <v/>
      </c>
      <c r="O117" s="74" t="str">
        <f>IF(A117="","",IF(AB117&lt;=0,"",COUNTIF($AB$9:$AB$208,"&gt;"&amp;AB117)+COUNTIF($AB$9:AB117,AB117)))</f>
        <v/>
      </c>
      <c r="P117" s="73" t="str">
        <f>IF(A117="","",IF(Q117&gt;0,"BUY","HOLD"))</f>
        <v/>
      </c>
      <c r="Q117" s="70" t="str">
        <f>IF(A117="","",IF($W$7&lt;=0,0,IF($AC$6&gt;0,$W$7*AC117/$AC$6,IF($F$6&gt;0,$W$7*N(F117)/$F$6,0))))</f>
        <v/>
      </c>
      <c r="R117" s="103" t="str">
        <f>IF(A117="","",N(AD117)+IF(AI117=1,N(AG117),0))</f>
        <v/>
      </c>
      <c r="S117" s="103" t="str">
        <f>IF(A117="","",N(E117)+N(R117))</f>
        <v/>
      </c>
      <c r="T117" s="70" t="str">
        <f>IF(A117="","",IF(N(R117)&gt;0,R117*H117*W117*$W$6+p_CorrFixa,0))</f>
        <v/>
      </c>
      <c r="V117" s="85" t="str">
        <f>IF(A117="","",IF(D117="",$W$1,D117))</f>
        <v/>
      </c>
      <c r="W117" s="85" t="str">
        <f>IF(A117="","",IFERROR(INDEX(moeda_fx,MATCH(V117,moeda_cod,0)),0))</f>
        <v/>
      </c>
      <c r="X117" s="85" t="str">
        <f>IF(A117="","",IF($W$2="",UPPER(TRIM(A117)),IF(RIGHT(UPPER(TRIM(A117)),LEN($W$2))=$W$2,UPPER(TRIM(A117)),UPPER(TRIM(A117))&amp;$W$2)))</f>
        <v/>
      </c>
      <c r="Y117" s="85" t="str">
        <f>IF(OR(A117="",p_ModoCot&lt;&gt;"Automático"),"",IFERROR(_xlfn.WEBSERVICE("https://query1.finance.yahoo.com/v8/finance/chart/"&amp;X117&amp;"?range=1d&amp;interval=1d"),""))</f>
        <v/>
      </c>
      <c r="Z117" s="85" t="str">
        <f>IF(Y117="","",IFERROR(_xlfn.NUMBERVALUE(MID(Y117,SEARCH("""regularMarketPrice"":",Y117)+21,SEARCH(",",Y117&amp;",",SEARCH("""regularMarketPrice"":",Y117)+21)-SEARCH("""regularMarketPrice"":",Y117)-21),".",","),""))</f>
        <v/>
      </c>
      <c r="AA117" s="85" t="str">
        <f>IF(A117="","",ROUND(MAX(0,N(F117)*($K$6+$W$7)-K117),2))</f>
        <v/>
      </c>
      <c r="AB117" s="85" t="str">
        <f>IF(A117="","",IF(AND(M117&gt;0,M117&gt;=p_DifMin),AA117,0))</f>
        <v/>
      </c>
      <c r="AC117" s="85" t="str">
        <f>IF(A117="","",IF(AND(AB117&gt;0,N(O117)&lt;=p_MaxAtivos),AB117,0))</f>
        <v/>
      </c>
      <c r="AD117" s="85" t="str">
        <f>IF(A117="","",IF(OR(Q117&lt;=0,Q117&lt;p_CompraMin,N(H117)&lt;=0,N(W117)&lt;=0),0,IF($W$3="Sim",TRUNC(ROUND(MAX(0,(Q117-p_CorrFixa)/(H117*W117*$W$6)),9),$W$4),TRUNC(ROUND(MAX(0,(Q117-p_CorrFixa)/(H117*W117*$W$6)),9)/$W$5)*$W$5)))</f>
        <v/>
      </c>
      <c r="AE117" s="85" t="str">
        <f>IF(A117="","",IF(N(AD117)&gt;0,AD117*H117*W117*$W$6+p_CorrFixa,0))</f>
        <v/>
      </c>
      <c r="AF117" s="85" t="str">
        <f>IF(A117="","",IF(OR($Y$1&lt;=0,N(H117)&lt;=0,N(W117)&lt;=0,N(AB117)&lt;=0),0,IF($W$3="Sim",TRUNC(ROUND(MAX(0,($Y$1-IF(N(AD117)&gt;0,0,p_CorrFixa))/(H117*W117*$W$6)),9),$W$4),TRUNC(ROUND(MAX(0,($Y$1-IF(N(AD117)&gt;0,0,p_CorrFixa))/(H117*W117*$W$6)),9)/$W$5)*$W$5)))</f>
        <v/>
      </c>
      <c r="AG117" s="85" t="str">
        <f>IF(A117="","",IF(AND(N(AD117)=0,N(AF117)*(H117*W117*$W$6)+p_CorrFixa&lt;p_CompraMin),0,AF117))</f>
        <v/>
      </c>
      <c r="AH117" s="85" t="str">
        <f>IF(A117="","",IF(N(AG117)&gt;0,AB117,0))</f>
        <v/>
      </c>
      <c r="AI117" s="85" t="str">
        <f>IF(A117="","",IF(AND(AH117&gt;0,AH117=$AH$6,COUNTIF($AH$9:AH117,AH117)=1),1,0))</f>
        <v/>
      </c>
    </row>
    <row r="118">
      <c r="A118" s="96" t="n"/>
      <c r="B118" s="96" t="n"/>
      <c r="C118" s="96" t="n"/>
      <c r="D118" s="97" t="n"/>
      <c r="E118" s="98" t="n"/>
      <c r="F118" s="99" t="n"/>
      <c r="G118" s="100" t="n"/>
      <c r="H118" s="104" t="str">
        <f>IF(A118="","",IF(AND(p_ModoCot="Automático",ISNUMBER(Z118)),Z118,IF(N(G118)&gt;0,G118,0)))</f>
        <v/>
      </c>
      <c r="I118" s="105" t="str">
        <f>IF(A118="","",IF(W118=0,"Sem câmbio",IF(AND(p_ModoCot="Automático",ISNUMBER(Z118)),"Auto",IF(N(G118)&gt;0,"Manual","Sem cotação"))))</f>
        <v/>
      </c>
      <c r="J118" s="106" t="str">
        <f>IF(A118="","",N(E118)*H118)</f>
        <v/>
      </c>
      <c r="K118" s="107" t="str">
        <f>IF(A118="","",J118*W118)</f>
        <v/>
      </c>
      <c r="L118" s="108" t="str">
        <f>IF(A118="","",IF($K$6&gt;0,K118/$K$6,0))</f>
        <v/>
      </c>
      <c r="M118" s="109" t="str">
        <f>IF(A118="","",N(F118)-L118)</f>
        <v/>
      </c>
      <c r="N118" s="108" t="str">
        <f>IF(A118="","",IF($AB$6&gt;0,AB118/$AB$6,0))</f>
        <v/>
      </c>
      <c r="O118" s="110" t="str">
        <f>IF(A118="","",IF(AB118&lt;=0,"",COUNTIF($AB$9:$AB$208,"&gt;"&amp;AB118)+COUNTIF($AB$9:AB118,AB118)))</f>
        <v/>
      </c>
      <c r="P118" s="105" t="str">
        <f>IF(A118="","",IF(Q118&gt;0,"BUY","HOLD"))</f>
        <v/>
      </c>
      <c r="Q118" s="107" t="str">
        <f>IF(A118="","",IF($W$7&lt;=0,0,IF($AC$6&gt;0,$W$7*AC118/$AC$6,IF($F$6&gt;0,$W$7*N(F118)/$F$6,0))))</f>
        <v/>
      </c>
      <c r="R118" s="111" t="str">
        <f>IF(A118="","",N(AD118)+IF(AI118=1,N(AG118),0))</f>
        <v/>
      </c>
      <c r="S118" s="111" t="str">
        <f>IF(A118="","",N(E118)+N(R118))</f>
        <v/>
      </c>
      <c r="T118" s="107" t="str">
        <f>IF(A118="","",IF(N(R118)&gt;0,R118*H118*W118*$W$6+p_CorrFixa,0))</f>
        <v/>
      </c>
      <c r="V118" s="85" t="str">
        <f>IF(A118="","",IF(D118="",$W$1,D118))</f>
        <v/>
      </c>
      <c r="W118" s="85" t="str">
        <f>IF(A118="","",IFERROR(INDEX(moeda_fx,MATCH(V118,moeda_cod,0)),0))</f>
        <v/>
      </c>
      <c r="X118" s="85" t="str">
        <f>IF(A118="","",IF($W$2="",UPPER(TRIM(A118)),IF(RIGHT(UPPER(TRIM(A118)),LEN($W$2))=$W$2,UPPER(TRIM(A118)),UPPER(TRIM(A118))&amp;$W$2)))</f>
        <v/>
      </c>
      <c r="Y118" s="85" t="str">
        <f>IF(OR(A118="",p_ModoCot&lt;&gt;"Automático"),"",IFERROR(_xlfn.WEBSERVICE("https://query1.finance.yahoo.com/v8/finance/chart/"&amp;X118&amp;"?range=1d&amp;interval=1d"),""))</f>
        <v/>
      </c>
      <c r="Z118" s="85" t="str">
        <f>IF(Y118="","",IFERROR(_xlfn.NUMBERVALUE(MID(Y118,SEARCH("""regularMarketPrice"":",Y118)+21,SEARCH(",",Y118&amp;",",SEARCH("""regularMarketPrice"":",Y118)+21)-SEARCH("""regularMarketPrice"":",Y118)-21),".",","),""))</f>
        <v/>
      </c>
      <c r="AA118" s="85" t="str">
        <f>IF(A118="","",ROUND(MAX(0,N(F118)*($K$6+$W$7)-K118),2))</f>
        <v/>
      </c>
      <c r="AB118" s="85" t="str">
        <f>IF(A118="","",IF(AND(M118&gt;0,M118&gt;=p_DifMin),AA118,0))</f>
        <v/>
      </c>
      <c r="AC118" s="85" t="str">
        <f>IF(A118="","",IF(AND(AB118&gt;0,N(O118)&lt;=p_MaxAtivos),AB118,0))</f>
        <v/>
      </c>
      <c r="AD118" s="85" t="str">
        <f>IF(A118="","",IF(OR(Q118&lt;=0,Q118&lt;p_CompraMin,N(H118)&lt;=0,N(W118)&lt;=0),0,IF($W$3="Sim",TRUNC(ROUND(MAX(0,(Q118-p_CorrFixa)/(H118*W118*$W$6)),9),$W$4),TRUNC(ROUND(MAX(0,(Q118-p_CorrFixa)/(H118*W118*$W$6)),9)/$W$5)*$W$5)))</f>
        <v/>
      </c>
      <c r="AE118" s="85" t="str">
        <f>IF(A118="","",IF(N(AD118)&gt;0,AD118*H118*W118*$W$6+p_CorrFixa,0))</f>
        <v/>
      </c>
      <c r="AF118" s="85" t="str">
        <f>IF(A118="","",IF(OR($Y$1&lt;=0,N(H118)&lt;=0,N(W118)&lt;=0,N(AB118)&lt;=0),0,IF($W$3="Sim",TRUNC(ROUND(MAX(0,($Y$1-IF(N(AD118)&gt;0,0,p_CorrFixa))/(H118*W118*$W$6)),9),$W$4),TRUNC(ROUND(MAX(0,($Y$1-IF(N(AD118)&gt;0,0,p_CorrFixa))/(H118*W118*$W$6)),9)/$W$5)*$W$5)))</f>
        <v/>
      </c>
      <c r="AG118" s="85" t="str">
        <f>IF(A118="","",IF(AND(N(AD118)=0,N(AF118)*(H118*W118*$W$6)+p_CorrFixa&lt;p_CompraMin),0,AF118))</f>
        <v/>
      </c>
      <c r="AH118" s="85" t="str">
        <f>IF(A118="","",IF(N(AG118)&gt;0,AB118,0))</f>
        <v/>
      </c>
      <c r="AI118" s="85" t="str">
        <f>IF(A118="","",IF(AND(AH118&gt;0,AH118=$AH$6,COUNTIF($AH$9:AH118,AH118)=1),1,0))</f>
        <v/>
      </c>
    </row>
    <row r="119">
      <c r="A119" s="96" t="n"/>
      <c r="B119" s="96" t="n"/>
      <c r="C119" s="96" t="n"/>
      <c r="D119" s="97" t="n"/>
      <c r="E119" s="98" t="n"/>
      <c r="F119" s="99" t="n"/>
      <c r="G119" s="100" t="n"/>
      <c r="H119" s="101" t="str">
        <f>IF(A119="","",IF(AND(p_ModoCot="Automático",ISNUMBER(Z119)),Z119,IF(N(G119)&gt;0,G119,0)))</f>
        <v/>
      </c>
      <c r="I119" s="73" t="str">
        <f>IF(A119="","",IF(W119=0,"Sem câmbio",IF(AND(p_ModoCot="Automático",ISNUMBER(Z119)),"Auto",IF(N(G119)&gt;0,"Manual","Sem cotação"))))</f>
        <v/>
      </c>
      <c r="J119" s="102" t="str">
        <f>IF(A119="","",N(E119)*H119)</f>
        <v/>
      </c>
      <c r="K119" s="70" t="str">
        <f>IF(A119="","",J119*W119)</f>
        <v/>
      </c>
      <c r="L119" s="30" t="str">
        <f>IF(A119="","",IF($K$6&gt;0,K119/$K$6,0))</f>
        <v/>
      </c>
      <c r="M119" s="72" t="str">
        <f>IF(A119="","",N(F119)-L119)</f>
        <v/>
      </c>
      <c r="N119" s="30" t="str">
        <f>IF(A119="","",IF($AB$6&gt;0,AB119/$AB$6,0))</f>
        <v/>
      </c>
      <c r="O119" s="74" t="str">
        <f>IF(A119="","",IF(AB119&lt;=0,"",COUNTIF($AB$9:$AB$208,"&gt;"&amp;AB119)+COUNTIF($AB$9:AB119,AB119)))</f>
        <v/>
      </c>
      <c r="P119" s="73" t="str">
        <f>IF(A119="","",IF(Q119&gt;0,"BUY","HOLD"))</f>
        <v/>
      </c>
      <c r="Q119" s="70" t="str">
        <f>IF(A119="","",IF($W$7&lt;=0,0,IF($AC$6&gt;0,$W$7*AC119/$AC$6,IF($F$6&gt;0,$W$7*N(F119)/$F$6,0))))</f>
        <v/>
      </c>
      <c r="R119" s="103" t="str">
        <f>IF(A119="","",N(AD119)+IF(AI119=1,N(AG119),0))</f>
        <v/>
      </c>
      <c r="S119" s="103" t="str">
        <f>IF(A119="","",N(E119)+N(R119))</f>
        <v/>
      </c>
      <c r="T119" s="70" t="str">
        <f>IF(A119="","",IF(N(R119)&gt;0,R119*H119*W119*$W$6+p_CorrFixa,0))</f>
        <v/>
      </c>
      <c r="V119" s="85" t="str">
        <f>IF(A119="","",IF(D119="",$W$1,D119))</f>
        <v/>
      </c>
      <c r="W119" s="85" t="str">
        <f>IF(A119="","",IFERROR(INDEX(moeda_fx,MATCH(V119,moeda_cod,0)),0))</f>
        <v/>
      </c>
      <c r="X119" s="85" t="str">
        <f>IF(A119="","",IF($W$2="",UPPER(TRIM(A119)),IF(RIGHT(UPPER(TRIM(A119)),LEN($W$2))=$W$2,UPPER(TRIM(A119)),UPPER(TRIM(A119))&amp;$W$2)))</f>
        <v/>
      </c>
      <c r="Y119" s="85" t="str">
        <f>IF(OR(A119="",p_ModoCot&lt;&gt;"Automático"),"",IFERROR(_xlfn.WEBSERVICE("https://query1.finance.yahoo.com/v8/finance/chart/"&amp;X119&amp;"?range=1d&amp;interval=1d"),""))</f>
        <v/>
      </c>
      <c r="Z119" s="85" t="str">
        <f>IF(Y119="","",IFERROR(_xlfn.NUMBERVALUE(MID(Y119,SEARCH("""regularMarketPrice"":",Y119)+21,SEARCH(",",Y119&amp;",",SEARCH("""regularMarketPrice"":",Y119)+21)-SEARCH("""regularMarketPrice"":",Y119)-21),".",","),""))</f>
        <v/>
      </c>
      <c r="AA119" s="85" t="str">
        <f>IF(A119="","",ROUND(MAX(0,N(F119)*($K$6+$W$7)-K119),2))</f>
        <v/>
      </c>
      <c r="AB119" s="85" t="str">
        <f>IF(A119="","",IF(AND(M119&gt;0,M119&gt;=p_DifMin),AA119,0))</f>
        <v/>
      </c>
      <c r="AC119" s="85" t="str">
        <f>IF(A119="","",IF(AND(AB119&gt;0,N(O119)&lt;=p_MaxAtivos),AB119,0))</f>
        <v/>
      </c>
      <c r="AD119" s="85" t="str">
        <f>IF(A119="","",IF(OR(Q119&lt;=0,Q119&lt;p_CompraMin,N(H119)&lt;=0,N(W119)&lt;=0),0,IF($W$3="Sim",TRUNC(ROUND(MAX(0,(Q119-p_CorrFixa)/(H119*W119*$W$6)),9),$W$4),TRUNC(ROUND(MAX(0,(Q119-p_CorrFixa)/(H119*W119*$W$6)),9)/$W$5)*$W$5)))</f>
        <v/>
      </c>
      <c r="AE119" s="85" t="str">
        <f>IF(A119="","",IF(N(AD119)&gt;0,AD119*H119*W119*$W$6+p_CorrFixa,0))</f>
        <v/>
      </c>
      <c r="AF119" s="85" t="str">
        <f>IF(A119="","",IF(OR($Y$1&lt;=0,N(H119)&lt;=0,N(W119)&lt;=0,N(AB119)&lt;=0),0,IF($W$3="Sim",TRUNC(ROUND(MAX(0,($Y$1-IF(N(AD119)&gt;0,0,p_CorrFixa))/(H119*W119*$W$6)),9),$W$4),TRUNC(ROUND(MAX(0,($Y$1-IF(N(AD119)&gt;0,0,p_CorrFixa))/(H119*W119*$W$6)),9)/$W$5)*$W$5)))</f>
        <v/>
      </c>
      <c r="AG119" s="85" t="str">
        <f>IF(A119="","",IF(AND(N(AD119)=0,N(AF119)*(H119*W119*$W$6)+p_CorrFixa&lt;p_CompraMin),0,AF119))</f>
        <v/>
      </c>
      <c r="AH119" s="85" t="str">
        <f>IF(A119="","",IF(N(AG119)&gt;0,AB119,0))</f>
        <v/>
      </c>
      <c r="AI119" s="85" t="str">
        <f>IF(A119="","",IF(AND(AH119&gt;0,AH119=$AH$6,COUNTIF($AH$9:AH119,AH119)=1),1,0))</f>
        <v/>
      </c>
    </row>
    <row r="120">
      <c r="A120" s="96" t="n"/>
      <c r="B120" s="96" t="n"/>
      <c r="C120" s="96" t="n"/>
      <c r="D120" s="97" t="n"/>
      <c r="E120" s="98" t="n"/>
      <c r="F120" s="99" t="n"/>
      <c r="G120" s="100" t="n"/>
      <c r="H120" s="104" t="str">
        <f>IF(A120="","",IF(AND(p_ModoCot="Automático",ISNUMBER(Z120)),Z120,IF(N(G120)&gt;0,G120,0)))</f>
        <v/>
      </c>
      <c r="I120" s="105" t="str">
        <f>IF(A120="","",IF(W120=0,"Sem câmbio",IF(AND(p_ModoCot="Automático",ISNUMBER(Z120)),"Auto",IF(N(G120)&gt;0,"Manual","Sem cotação"))))</f>
        <v/>
      </c>
      <c r="J120" s="106" t="str">
        <f>IF(A120="","",N(E120)*H120)</f>
        <v/>
      </c>
      <c r="K120" s="107" t="str">
        <f>IF(A120="","",J120*W120)</f>
        <v/>
      </c>
      <c r="L120" s="108" t="str">
        <f>IF(A120="","",IF($K$6&gt;0,K120/$K$6,0))</f>
        <v/>
      </c>
      <c r="M120" s="109" t="str">
        <f>IF(A120="","",N(F120)-L120)</f>
        <v/>
      </c>
      <c r="N120" s="108" t="str">
        <f>IF(A120="","",IF($AB$6&gt;0,AB120/$AB$6,0))</f>
        <v/>
      </c>
      <c r="O120" s="110" t="str">
        <f>IF(A120="","",IF(AB120&lt;=0,"",COUNTIF($AB$9:$AB$208,"&gt;"&amp;AB120)+COUNTIF($AB$9:AB120,AB120)))</f>
        <v/>
      </c>
      <c r="P120" s="105" t="str">
        <f>IF(A120="","",IF(Q120&gt;0,"BUY","HOLD"))</f>
        <v/>
      </c>
      <c r="Q120" s="107" t="str">
        <f>IF(A120="","",IF($W$7&lt;=0,0,IF($AC$6&gt;0,$W$7*AC120/$AC$6,IF($F$6&gt;0,$W$7*N(F120)/$F$6,0))))</f>
        <v/>
      </c>
      <c r="R120" s="111" t="str">
        <f>IF(A120="","",N(AD120)+IF(AI120=1,N(AG120),0))</f>
        <v/>
      </c>
      <c r="S120" s="111" t="str">
        <f>IF(A120="","",N(E120)+N(R120))</f>
        <v/>
      </c>
      <c r="T120" s="107" t="str">
        <f>IF(A120="","",IF(N(R120)&gt;0,R120*H120*W120*$W$6+p_CorrFixa,0))</f>
        <v/>
      </c>
      <c r="V120" s="85" t="str">
        <f>IF(A120="","",IF(D120="",$W$1,D120))</f>
        <v/>
      </c>
      <c r="W120" s="85" t="str">
        <f>IF(A120="","",IFERROR(INDEX(moeda_fx,MATCH(V120,moeda_cod,0)),0))</f>
        <v/>
      </c>
      <c r="X120" s="85" t="str">
        <f>IF(A120="","",IF($W$2="",UPPER(TRIM(A120)),IF(RIGHT(UPPER(TRIM(A120)),LEN($W$2))=$W$2,UPPER(TRIM(A120)),UPPER(TRIM(A120))&amp;$W$2)))</f>
        <v/>
      </c>
      <c r="Y120" s="85" t="str">
        <f>IF(OR(A120="",p_ModoCot&lt;&gt;"Automático"),"",IFERROR(_xlfn.WEBSERVICE("https://query1.finance.yahoo.com/v8/finance/chart/"&amp;X120&amp;"?range=1d&amp;interval=1d"),""))</f>
        <v/>
      </c>
      <c r="Z120" s="85" t="str">
        <f>IF(Y120="","",IFERROR(_xlfn.NUMBERVALUE(MID(Y120,SEARCH("""regularMarketPrice"":",Y120)+21,SEARCH(",",Y120&amp;",",SEARCH("""regularMarketPrice"":",Y120)+21)-SEARCH("""regularMarketPrice"":",Y120)-21),".",","),""))</f>
        <v/>
      </c>
      <c r="AA120" s="85" t="str">
        <f>IF(A120="","",ROUND(MAX(0,N(F120)*($K$6+$W$7)-K120),2))</f>
        <v/>
      </c>
      <c r="AB120" s="85" t="str">
        <f>IF(A120="","",IF(AND(M120&gt;0,M120&gt;=p_DifMin),AA120,0))</f>
        <v/>
      </c>
      <c r="AC120" s="85" t="str">
        <f>IF(A120="","",IF(AND(AB120&gt;0,N(O120)&lt;=p_MaxAtivos),AB120,0))</f>
        <v/>
      </c>
      <c r="AD120" s="85" t="str">
        <f>IF(A120="","",IF(OR(Q120&lt;=0,Q120&lt;p_CompraMin,N(H120)&lt;=0,N(W120)&lt;=0),0,IF($W$3="Sim",TRUNC(ROUND(MAX(0,(Q120-p_CorrFixa)/(H120*W120*$W$6)),9),$W$4),TRUNC(ROUND(MAX(0,(Q120-p_CorrFixa)/(H120*W120*$W$6)),9)/$W$5)*$W$5)))</f>
        <v/>
      </c>
      <c r="AE120" s="85" t="str">
        <f>IF(A120="","",IF(N(AD120)&gt;0,AD120*H120*W120*$W$6+p_CorrFixa,0))</f>
        <v/>
      </c>
      <c r="AF120" s="85" t="str">
        <f>IF(A120="","",IF(OR($Y$1&lt;=0,N(H120)&lt;=0,N(W120)&lt;=0,N(AB120)&lt;=0),0,IF($W$3="Sim",TRUNC(ROUND(MAX(0,($Y$1-IF(N(AD120)&gt;0,0,p_CorrFixa))/(H120*W120*$W$6)),9),$W$4),TRUNC(ROUND(MAX(0,($Y$1-IF(N(AD120)&gt;0,0,p_CorrFixa))/(H120*W120*$W$6)),9)/$W$5)*$W$5)))</f>
        <v/>
      </c>
      <c r="AG120" s="85" t="str">
        <f>IF(A120="","",IF(AND(N(AD120)=0,N(AF120)*(H120*W120*$W$6)+p_CorrFixa&lt;p_CompraMin),0,AF120))</f>
        <v/>
      </c>
      <c r="AH120" s="85" t="str">
        <f>IF(A120="","",IF(N(AG120)&gt;0,AB120,0))</f>
        <v/>
      </c>
      <c r="AI120" s="85" t="str">
        <f>IF(A120="","",IF(AND(AH120&gt;0,AH120=$AH$6,COUNTIF($AH$9:AH120,AH120)=1),1,0))</f>
        <v/>
      </c>
    </row>
    <row r="121">
      <c r="A121" s="96" t="n"/>
      <c r="B121" s="96" t="n"/>
      <c r="C121" s="96" t="n"/>
      <c r="D121" s="97" t="n"/>
      <c r="E121" s="98" t="n"/>
      <c r="F121" s="99" t="n"/>
      <c r="G121" s="100" t="n"/>
      <c r="H121" s="101" t="str">
        <f>IF(A121="","",IF(AND(p_ModoCot="Automático",ISNUMBER(Z121)),Z121,IF(N(G121)&gt;0,G121,0)))</f>
        <v/>
      </c>
      <c r="I121" s="73" t="str">
        <f>IF(A121="","",IF(W121=0,"Sem câmbio",IF(AND(p_ModoCot="Automático",ISNUMBER(Z121)),"Auto",IF(N(G121)&gt;0,"Manual","Sem cotação"))))</f>
        <v/>
      </c>
      <c r="J121" s="102" t="str">
        <f>IF(A121="","",N(E121)*H121)</f>
        <v/>
      </c>
      <c r="K121" s="70" t="str">
        <f>IF(A121="","",J121*W121)</f>
        <v/>
      </c>
      <c r="L121" s="30" t="str">
        <f>IF(A121="","",IF($K$6&gt;0,K121/$K$6,0))</f>
        <v/>
      </c>
      <c r="M121" s="72" t="str">
        <f>IF(A121="","",N(F121)-L121)</f>
        <v/>
      </c>
      <c r="N121" s="30" t="str">
        <f>IF(A121="","",IF($AB$6&gt;0,AB121/$AB$6,0))</f>
        <v/>
      </c>
      <c r="O121" s="74" t="str">
        <f>IF(A121="","",IF(AB121&lt;=0,"",COUNTIF($AB$9:$AB$208,"&gt;"&amp;AB121)+COUNTIF($AB$9:AB121,AB121)))</f>
        <v/>
      </c>
      <c r="P121" s="73" t="str">
        <f>IF(A121="","",IF(Q121&gt;0,"BUY","HOLD"))</f>
        <v/>
      </c>
      <c r="Q121" s="70" t="str">
        <f>IF(A121="","",IF($W$7&lt;=0,0,IF($AC$6&gt;0,$W$7*AC121/$AC$6,IF($F$6&gt;0,$W$7*N(F121)/$F$6,0))))</f>
        <v/>
      </c>
      <c r="R121" s="103" t="str">
        <f>IF(A121="","",N(AD121)+IF(AI121=1,N(AG121),0))</f>
        <v/>
      </c>
      <c r="S121" s="103" t="str">
        <f>IF(A121="","",N(E121)+N(R121))</f>
        <v/>
      </c>
      <c r="T121" s="70" t="str">
        <f>IF(A121="","",IF(N(R121)&gt;0,R121*H121*W121*$W$6+p_CorrFixa,0))</f>
        <v/>
      </c>
      <c r="V121" s="85" t="str">
        <f>IF(A121="","",IF(D121="",$W$1,D121))</f>
        <v/>
      </c>
      <c r="W121" s="85" t="str">
        <f>IF(A121="","",IFERROR(INDEX(moeda_fx,MATCH(V121,moeda_cod,0)),0))</f>
        <v/>
      </c>
      <c r="X121" s="85" t="str">
        <f>IF(A121="","",IF($W$2="",UPPER(TRIM(A121)),IF(RIGHT(UPPER(TRIM(A121)),LEN($W$2))=$W$2,UPPER(TRIM(A121)),UPPER(TRIM(A121))&amp;$W$2)))</f>
        <v/>
      </c>
      <c r="Y121" s="85" t="str">
        <f>IF(OR(A121="",p_ModoCot&lt;&gt;"Automático"),"",IFERROR(_xlfn.WEBSERVICE("https://query1.finance.yahoo.com/v8/finance/chart/"&amp;X121&amp;"?range=1d&amp;interval=1d"),""))</f>
        <v/>
      </c>
      <c r="Z121" s="85" t="str">
        <f>IF(Y121="","",IFERROR(_xlfn.NUMBERVALUE(MID(Y121,SEARCH("""regularMarketPrice"":",Y121)+21,SEARCH(",",Y121&amp;",",SEARCH("""regularMarketPrice"":",Y121)+21)-SEARCH("""regularMarketPrice"":",Y121)-21),".",","),""))</f>
        <v/>
      </c>
      <c r="AA121" s="85" t="str">
        <f>IF(A121="","",ROUND(MAX(0,N(F121)*($K$6+$W$7)-K121),2))</f>
        <v/>
      </c>
      <c r="AB121" s="85" t="str">
        <f>IF(A121="","",IF(AND(M121&gt;0,M121&gt;=p_DifMin),AA121,0))</f>
        <v/>
      </c>
      <c r="AC121" s="85" t="str">
        <f>IF(A121="","",IF(AND(AB121&gt;0,N(O121)&lt;=p_MaxAtivos),AB121,0))</f>
        <v/>
      </c>
      <c r="AD121" s="85" t="str">
        <f>IF(A121="","",IF(OR(Q121&lt;=0,Q121&lt;p_CompraMin,N(H121)&lt;=0,N(W121)&lt;=0),0,IF($W$3="Sim",TRUNC(ROUND(MAX(0,(Q121-p_CorrFixa)/(H121*W121*$W$6)),9),$W$4),TRUNC(ROUND(MAX(0,(Q121-p_CorrFixa)/(H121*W121*$W$6)),9)/$W$5)*$W$5)))</f>
        <v/>
      </c>
      <c r="AE121" s="85" t="str">
        <f>IF(A121="","",IF(N(AD121)&gt;0,AD121*H121*W121*$W$6+p_CorrFixa,0))</f>
        <v/>
      </c>
      <c r="AF121" s="85" t="str">
        <f>IF(A121="","",IF(OR($Y$1&lt;=0,N(H121)&lt;=0,N(W121)&lt;=0,N(AB121)&lt;=0),0,IF($W$3="Sim",TRUNC(ROUND(MAX(0,($Y$1-IF(N(AD121)&gt;0,0,p_CorrFixa))/(H121*W121*$W$6)),9),$W$4),TRUNC(ROUND(MAX(0,($Y$1-IF(N(AD121)&gt;0,0,p_CorrFixa))/(H121*W121*$W$6)),9)/$W$5)*$W$5)))</f>
        <v/>
      </c>
      <c r="AG121" s="85" t="str">
        <f>IF(A121="","",IF(AND(N(AD121)=0,N(AF121)*(H121*W121*$W$6)+p_CorrFixa&lt;p_CompraMin),0,AF121))</f>
        <v/>
      </c>
      <c r="AH121" s="85" t="str">
        <f>IF(A121="","",IF(N(AG121)&gt;0,AB121,0))</f>
        <v/>
      </c>
      <c r="AI121" s="85" t="str">
        <f>IF(A121="","",IF(AND(AH121&gt;0,AH121=$AH$6,COUNTIF($AH$9:AH121,AH121)=1),1,0))</f>
        <v/>
      </c>
    </row>
    <row r="122">
      <c r="A122" s="96" t="n"/>
      <c r="B122" s="96" t="n"/>
      <c r="C122" s="96" t="n"/>
      <c r="D122" s="97" t="n"/>
      <c r="E122" s="98" t="n"/>
      <c r="F122" s="99" t="n"/>
      <c r="G122" s="100" t="n"/>
      <c r="H122" s="104" t="str">
        <f>IF(A122="","",IF(AND(p_ModoCot="Automático",ISNUMBER(Z122)),Z122,IF(N(G122)&gt;0,G122,0)))</f>
        <v/>
      </c>
      <c r="I122" s="105" t="str">
        <f>IF(A122="","",IF(W122=0,"Sem câmbio",IF(AND(p_ModoCot="Automático",ISNUMBER(Z122)),"Auto",IF(N(G122)&gt;0,"Manual","Sem cotação"))))</f>
        <v/>
      </c>
      <c r="J122" s="106" t="str">
        <f>IF(A122="","",N(E122)*H122)</f>
        <v/>
      </c>
      <c r="K122" s="107" t="str">
        <f>IF(A122="","",J122*W122)</f>
        <v/>
      </c>
      <c r="L122" s="108" t="str">
        <f>IF(A122="","",IF($K$6&gt;0,K122/$K$6,0))</f>
        <v/>
      </c>
      <c r="M122" s="109" t="str">
        <f>IF(A122="","",N(F122)-L122)</f>
        <v/>
      </c>
      <c r="N122" s="108" t="str">
        <f>IF(A122="","",IF($AB$6&gt;0,AB122/$AB$6,0))</f>
        <v/>
      </c>
      <c r="O122" s="110" t="str">
        <f>IF(A122="","",IF(AB122&lt;=0,"",COUNTIF($AB$9:$AB$208,"&gt;"&amp;AB122)+COUNTIF($AB$9:AB122,AB122)))</f>
        <v/>
      </c>
      <c r="P122" s="105" t="str">
        <f>IF(A122="","",IF(Q122&gt;0,"BUY","HOLD"))</f>
        <v/>
      </c>
      <c r="Q122" s="107" t="str">
        <f>IF(A122="","",IF($W$7&lt;=0,0,IF($AC$6&gt;0,$W$7*AC122/$AC$6,IF($F$6&gt;0,$W$7*N(F122)/$F$6,0))))</f>
        <v/>
      </c>
      <c r="R122" s="111" t="str">
        <f>IF(A122="","",N(AD122)+IF(AI122=1,N(AG122),0))</f>
        <v/>
      </c>
      <c r="S122" s="111" t="str">
        <f>IF(A122="","",N(E122)+N(R122))</f>
        <v/>
      </c>
      <c r="T122" s="107" t="str">
        <f>IF(A122="","",IF(N(R122)&gt;0,R122*H122*W122*$W$6+p_CorrFixa,0))</f>
        <v/>
      </c>
      <c r="V122" s="85" t="str">
        <f>IF(A122="","",IF(D122="",$W$1,D122))</f>
        <v/>
      </c>
      <c r="W122" s="85" t="str">
        <f>IF(A122="","",IFERROR(INDEX(moeda_fx,MATCH(V122,moeda_cod,0)),0))</f>
        <v/>
      </c>
      <c r="X122" s="85" t="str">
        <f>IF(A122="","",IF($W$2="",UPPER(TRIM(A122)),IF(RIGHT(UPPER(TRIM(A122)),LEN($W$2))=$W$2,UPPER(TRIM(A122)),UPPER(TRIM(A122))&amp;$W$2)))</f>
        <v/>
      </c>
      <c r="Y122" s="85" t="str">
        <f>IF(OR(A122="",p_ModoCot&lt;&gt;"Automático"),"",IFERROR(_xlfn.WEBSERVICE("https://query1.finance.yahoo.com/v8/finance/chart/"&amp;X122&amp;"?range=1d&amp;interval=1d"),""))</f>
        <v/>
      </c>
      <c r="Z122" s="85" t="str">
        <f>IF(Y122="","",IFERROR(_xlfn.NUMBERVALUE(MID(Y122,SEARCH("""regularMarketPrice"":",Y122)+21,SEARCH(",",Y122&amp;",",SEARCH("""regularMarketPrice"":",Y122)+21)-SEARCH("""regularMarketPrice"":",Y122)-21),".",","),""))</f>
        <v/>
      </c>
      <c r="AA122" s="85" t="str">
        <f>IF(A122="","",ROUND(MAX(0,N(F122)*($K$6+$W$7)-K122),2))</f>
        <v/>
      </c>
      <c r="AB122" s="85" t="str">
        <f>IF(A122="","",IF(AND(M122&gt;0,M122&gt;=p_DifMin),AA122,0))</f>
        <v/>
      </c>
      <c r="AC122" s="85" t="str">
        <f>IF(A122="","",IF(AND(AB122&gt;0,N(O122)&lt;=p_MaxAtivos),AB122,0))</f>
        <v/>
      </c>
      <c r="AD122" s="85" t="str">
        <f>IF(A122="","",IF(OR(Q122&lt;=0,Q122&lt;p_CompraMin,N(H122)&lt;=0,N(W122)&lt;=0),0,IF($W$3="Sim",TRUNC(ROUND(MAX(0,(Q122-p_CorrFixa)/(H122*W122*$W$6)),9),$W$4),TRUNC(ROUND(MAX(0,(Q122-p_CorrFixa)/(H122*W122*$W$6)),9)/$W$5)*$W$5)))</f>
        <v/>
      </c>
      <c r="AE122" s="85" t="str">
        <f>IF(A122="","",IF(N(AD122)&gt;0,AD122*H122*W122*$W$6+p_CorrFixa,0))</f>
        <v/>
      </c>
      <c r="AF122" s="85" t="str">
        <f>IF(A122="","",IF(OR($Y$1&lt;=0,N(H122)&lt;=0,N(W122)&lt;=0,N(AB122)&lt;=0),0,IF($W$3="Sim",TRUNC(ROUND(MAX(0,($Y$1-IF(N(AD122)&gt;0,0,p_CorrFixa))/(H122*W122*$W$6)),9),$W$4),TRUNC(ROUND(MAX(0,($Y$1-IF(N(AD122)&gt;0,0,p_CorrFixa))/(H122*W122*$W$6)),9)/$W$5)*$W$5)))</f>
        <v/>
      </c>
      <c r="AG122" s="85" t="str">
        <f>IF(A122="","",IF(AND(N(AD122)=0,N(AF122)*(H122*W122*$W$6)+p_CorrFixa&lt;p_CompraMin),0,AF122))</f>
        <v/>
      </c>
      <c r="AH122" s="85" t="str">
        <f>IF(A122="","",IF(N(AG122)&gt;0,AB122,0))</f>
        <v/>
      </c>
      <c r="AI122" s="85" t="str">
        <f>IF(A122="","",IF(AND(AH122&gt;0,AH122=$AH$6,COUNTIF($AH$9:AH122,AH122)=1),1,0))</f>
        <v/>
      </c>
    </row>
    <row r="123">
      <c r="A123" s="96" t="n"/>
      <c r="B123" s="96" t="n"/>
      <c r="C123" s="96" t="n"/>
      <c r="D123" s="97" t="n"/>
      <c r="E123" s="98" t="n"/>
      <c r="F123" s="99" t="n"/>
      <c r="G123" s="100" t="n"/>
      <c r="H123" s="101" t="str">
        <f>IF(A123="","",IF(AND(p_ModoCot="Automático",ISNUMBER(Z123)),Z123,IF(N(G123)&gt;0,G123,0)))</f>
        <v/>
      </c>
      <c r="I123" s="73" t="str">
        <f>IF(A123="","",IF(W123=0,"Sem câmbio",IF(AND(p_ModoCot="Automático",ISNUMBER(Z123)),"Auto",IF(N(G123)&gt;0,"Manual","Sem cotação"))))</f>
        <v/>
      </c>
      <c r="J123" s="102" t="str">
        <f>IF(A123="","",N(E123)*H123)</f>
        <v/>
      </c>
      <c r="K123" s="70" t="str">
        <f>IF(A123="","",J123*W123)</f>
        <v/>
      </c>
      <c r="L123" s="30" t="str">
        <f>IF(A123="","",IF($K$6&gt;0,K123/$K$6,0))</f>
        <v/>
      </c>
      <c r="M123" s="72" t="str">
        <f>IF(A123="","",N(F123)-L123)</f>
        <v/>
      </c>
      <c r="N123" s="30" t="str">
        <f>IF(A123="","",IF($AB$6&gt;0,AB123/$AB$6,0))</f>
        <v/>
      </c>
      <c r="O123" s="74" t="str">
        <f>IF(A123="","",IF(AB123&lt;=0,"",COUNTIF($AB$9:$AB$208,"&gt;"&amp;AB123)+COUNTIF($AB$9:AB123,AB123)))</f>
        <v/>
      </c>
      <c r="P123" s="73" t="str">
        <f>IF(A123="","",IF(Q123&gt;0,"BUY","HOLD"))</f>
        <v/>
      </c>
      <c r="Q123" s="70" t="str">
        <f>IF(A123="","",IF($W$7&lt;=0,0,IF($AC$6&gt;0,$W$7*AC123/$AC$6,IF($F$6&gt;0,$W$7*N(F123)/$F$6,0))))</f>
        <v/>
      </c>
      <c r="R123" s="103" t="str">
        <f>IF(A123="","",N(AD123)+IF(AI123=1,N(AG123),0))</f>
        <v/>
      </c>
      <c r="S123" s="103" t="str">
        <f>IF(A123="","",N(E123)+N(R123))</f>
        <v/>
      </c>
      <c r="T123" s="70" t="str">
        <f>IF(A123="","",IF(N(R123)&gt;0,R123*H123*W123*$W$6+p_CorrFixa,0))</f>
        <v/>
      </c>
      <c r="V123" s="85" t="str">
        <f>IF(A123="","",IF(D123="",$W$1,D123))</f>
        <v/>
      </c>
      <c r="W123" s="85" t="str">
        <f>IF(A123="","",IFERROR(INDEX(moeda_fx,MATCH(V123,moeda_cod,0)),0))</f>
        <v/>
      </c>
      <c r="X123" s="85" t="str">
        <f>IF(A123="","",IF($W$2="",UPPER(TRIM(A123)),IF(RIGHT(UPPER(TRIM(A123)),LEN($W$2))=$W$2,UPPER(TRIM(A123)),UPPER(TRIM(A123))&amp;$W$2)))</f>
        <v/>
      </c>
      <c r="Y123" s="85" t="str">
        <f>IF(OR(A123="",p_ModoCot&lt;&gt;"Automático"),"",IFERROR(_xlfn.WEBSERVICE("https://query1.finance.yahoo.com/v8/finance/chart/"&amp;X123&amp;"?range=1d&amp;interval=1d"),""))</f>
        <v/>
      </c>
      <c r="Z123" s="85" t="str">
        <f>IF(Y123="","",IFERROR(_xlfn.NUMBERVALUE(MID(Y123,SEARCH("""regularMarketPrice"":",Y123)+21,SEARCH(",",Y123&amp;",",SEARCH("""regularMarketPrice"":",Y123)+21)-SEARCH("""regularMarketPrice"":",Y123)-21),".",","),""))</f>
        <v/>
      </c>
      <c r="AA123" s="85" t="str">
        <f>IF(A123="","",ROUND(MAX(0,N(F123)*($K$6+$W$7)-K123),2))</f>
        <v/>
      </c>
      <c r="AB123" s="85" t="str">
        <f>IF(A123="","",IF(AND(M123&gt;0,M123&gt;=p_DifMin),AA123,0))</f>
        <v/>
      </c>
      <c r="AC123" s="85" t="str">
        <f>IF(A123="","",IF(AND(AB123&gt;0,N(O123)&lt;=p_MaxAtivos),AB123,0))</f>
        <v/>
      </c>
      <c r="AD123" s="85" t="str">
        <f>IF(A123="","",IF(OR(Q123&lt;=0,Q123&lt;p_CompraMin,N(H123)&lt;=0,N(W123)&lt;=0),0,IF($W$3="Sim",TRUNC(ROUND(MAX(0,(Q123-p_CorrFixa)/(H123*W123*$W$6)),9),$W$4),TRUNC(ROUND(MAX(0,(Q123-p_CorrFixa)/(H123*W123*$W$6)),9)/$W$5)*$W$5)))</f>
        <v/>
      </c>
      <c r="AE123" s="85" t="str">
        <f>IF(A123="","",IF(N(AD123)&gt;0,AD123*H123*W123*$W$6+p_CorrFixa,0))</f>
        <v/>
      </c>
      <c r="AF123" s="85" t="str">
        <f>IF(A123="","",IF(OR($Y$1&lt;=0,N(H123)&lt;=0,N(W123)&lt;=0,N(AB123)&lt;=0),0,IF($W$3="Sim",TRUNC(ROUND(MAX(0,($Y$1-IF(N(AD123)&gt;0,0,p_CorrFixa))/(H123*W123*$W$6)),9),$W$4),TRUNC(ROUND(MAX(0,($Y$1-IF(N(AD123)&gt;0,0,p_CorrFixa))/(H123*W123*$W$6)),9)/$W$5)*$W$5)))</f>
        <v/>
      </c>
      <c r="AG123" s="85" t="str">
        <f>IF(A123="","",IF(AND(N(AD123)=0,N(AF123)*(H123*W123*$W$6)+p_CorrFixa&lt;p_CompraMin),0,AF123))</f>
        <v/>
      </c>
      <c r="AH123" s="85" t="str">
        <f>IF(A123="","",IF(N(AG123)&gt;0,AB123,0))</f>
        <v/>
      </c>
      <c r="AI123" s="85" t="str">
        <f>IF(A123="","",IF(AND(AH123&gt;0,AH123=$AH$6,COUNTIF($AH$9:AH123,AH123)=1),1,0))</f>
        <v/>
      </c>
    </row>
    <row r="124">
      <c r="A124" s="96" t="n"/>
      <c r="B124" s="96" t="n"/>
      <c r="C124" s="96" t="n"/>
      <c r="D124" s="97" t="n"/>
      <c r="E124" s="98" t="n"/>
      <c r="F124" s="99" t="n"/>
      <c r="G124" s="100" t="n"/>
      <c r="H124" s="104" t="str">
        <f>IF(A124="","",IF(AND(p_ModoCot="Automático",ISNUMBER(Z124)),Z124,IF(N(G124)&gt;0,G124,0)))</f>
        <v/>
      </c>
      <c r="I124" s="105" t="str">
        <f>IF(A124="","",IF(W124=0,"Sem câmbio",IF(AND(p_ModoCot="Automático",ISNUMBER(Z124)),"Auto",IF(N(G124)&gt;0,"Manual","Sem cotação"))))</f>
        <v/>
      </c>
      <c r="J124" s="106" t="str">
        <f>IF(A124="","",N(E124)*H124)</f>
        <v/>
      </c>
      <c r="K124" s="107" t="str">
        <f>IF(A124="","",J124*W124)</f>
        <v/>
      </c>
      <c r="L124" s="108" t="str">
        <f>IF(A124="","",IF($K$6&gt;0,K124/$K$6,0))</f>
        <v/>
      </c>
      <c r="M124" s="109" t="str">
        <f>IF(A124="","",N(F124)-L124)</f>
        <v/>
      </c>
      <c r="N124" s="108" t="str">
        <f>IF(A124="","",IF($AB$6&gt;0,AB124/$AB$6,0))</f>
        <v/>
      </c>
      <c r="O124" s="110" t="str">
        <f>IF(A124="","",IF(AB124&lt;=0,"",COUNTIF($AB$9:$AB$208,"&gt;"&amp;AB124)+COUNTIF($AB$9:AB124,AB124)))</f>
        <v/>
      </c>
      <c r="P124" s="105" t="str">
        <f>IF(A124="","",IF(Q124&gt;0,"BUY","HOLD"))</f>
        <v/>
      </c>
      <c r="Q124" s="107" t="str">
        <f>IF(A124="","",IF($W$7&lt;=0,0,IF($AC$6&gt;0,$W$7*AC124/$AC$6,IF($F$6&gt;0,$W$7*N(F124)/$F$6,0))))</f>
        <v/>
      </c>
      <c r="R124" s="111" t="str">
        <f>IF(A124="","",N(AD124)+IF(AI124=1,N(AG124),0))</f>
        <v/>
      </c>
      <c r="S124" s="111" t="str">
        <f>IF(A124="","",N(E124)+N(R124))</f>
        <v/>
      </c>
      <c r="T124" s="107" t="str">
        <f>IF(A124="","",IF(N(R124)&gt;0,R124*H124*W124*$W$6+p_CorrFixa,0))</f>
        <v/>
      </c>
      <c r="V124" s="85" t="str">
        <f>IF(A124="","",IF(D124="",$W$1,D124))</f>
        <v/>
      </c>
      <c r="W124" s="85" t="str">
        <f>IF(A124="","",IFERROR(INDEX(moeda_fx,MATCH(V124,moeda_cod,0)),0))</f>
        <v/>
      </c>
      <c r="X124" s="85" t="str">
        <f>IF(A124="","",IF($W$2="",UPPER(TRIM(A124)),IF(RIGHT(UPPER(TRIM(A124)),LEN($W$2))=$W$2,UPPER(TRIM(A124)),UPPER(TRIM(A124))&amp;$W$2)))</f>
        <v/>
      </c>
      <c r="Y124" s="85" t="str">
        <f>IF(OR(A124="",p_ModoCot&lt;&gt;"Automático"),"",IFERROR(_xlfn.WEBSERVICE("https://query1.finance.yahoo.com/v8/finance/chart/"&amp;X124&amp;"?range=1d&amp;interval=1d"),""))</f>
        <v/>
      </c>
      <c r="Z124" s="85" t="str">
        <f>IF(Y124="","",IFERROR(_xlfn.NUMBERVALUE(MID(Y124,SEARCH("""regularMarketPrice"":",Y124)+21,SEARCH(",",Y124&amp;",",SEARCH("""regularMarketPrice"":",Y124)+21)-SEARCH("""regularMarketPrice"":",Y124)-21),".",","),""))</f>
        <v/>
      </c>
      <c r="AA124" s="85" t="str">
        <f>IF(A124="","",ROUND(MAX(0,N(F124)*($K$6+$W$7)-K124),2))</f>
        <v/>
      </c>
      <c r="AB124" s="85" t="str">
        <f>IF(A124="","",IF(AND(M124&gt;0,M124&gt;=p_DifMin),AA124,0))</f>
        <v/>
      </c>
      <c r="AC124" s="85" t="str">
        <f>IF(A124="","",IF(AND(AB124&gt;0,N(O124)&lt;=p_MaxAtivos),AB124,0))</f>
        <v/>
      </c>
      <c r="AD124" s="85" t="str">
        <f>IF(A124="","",IF(OR(Q124&lt;=0,Q124&lt;p_CompraMin,N(H124)&lt;=0,N(W124)&lt;=0),0,IF($W$3="Sim",TRUNC(ROUND(MAX(0,(Q124-p_CorrFixa)/(H124*W124*$W$6)),9),$W$4),TRUNC(ROUND(MAX(0,(Q124-p_CorrFixa)/(H124*W124*$W$6)),9)/$W$5)*$W$5)))</f>
        <v/>
      </c>
      <c r="AE124" s="85" t="str">
        <f>IF(A124="","",IF(N(AD124)&gt;0,AD124*H124*W124*$W$6+p_CorrFixa,0))</f>
        <v/>
      </c>
      <c r="AF124" s="85" t="str">
        <f>IF(A124="","",IF(OR($Y$1&lt;=0,N(H124)&lt;=0,N(W124)&lt;=0,N(AB124)&lt;=0),0,IF($W$3="Sim",TRUNC(ROUND(MAX(0,($Y$1-IF(N(AD124)&gt;0,0,p_CorrFixa))/(H124*W124*$W$6)),9),$W$4),TRUNC(ROUND(MAX(0,($Y$1-IF(N(AD124)&gt;0,0,p_CorrFixa))/(H124*W124*$W$6)),9)/$W$5)*$W$5)))</f>
        <v/>
      </c>
      <c r="AG124" s="85" t="str">
        <f>IF(A124="","",IF(AND(N(AD124)=0,N(AF124)*(H124*W124*$W$6)+p_CorrFixa&lt;p_CompraMin),0,AF124))</f>
        <v/>
      </c>
      <c r="AH124" s="85" t="str">
        <f>IF(A124="","",IF(N(AG124)&gt;0,AB124,0))</f>
        <v/>
      </c>
      <c r="AI124" s="85" t="str">
        <f>IF(A124="","",IF(AND(AH124&gt;0,AH124=$AH$6,COUNTIF($AH$9:AH124,AH124)=1),1,0))</f>
        <v/>
      </c>
    </row>
    <row r="125">
      <c r="A125" s="96" t="n"/>
      <c r="B125" s="96" t="n"/>
      <c r="C125" s="96" t="n"/>
      <c r="D125" s="97" t="n"/>
      <c r="E125" s="98" t="n"/>
      <c r="F125" s="99" t="n"/>
      <c r="G125" s="100" t="n"/>
      <c r="H125" s="101" t="str">
        <f>IF(A125="","",IF(AND(p_ModoCot="Automático",ISNUMBER(Z125)),Z125,IF(N(G125)&gt;0,G125,0)))</f>
        <v/>
      </c>
      <c r="I125" s="73" t="str">
        <f>IF(A125="","",IF(W125=0,"Sem câmbio",IF(AND(p_ModoCot="Automático",ISNUMBER(Z125)),"Auto",IF(N(G125)&gt;0,"Manual","Sem cotação"))))</f>
        <v/>
      </c>
      <c r="J125" s="102" t="str">
        <f>IF(A125="","",N(E125)*H125)</f>
        <v/>
      </c>
      <c r="K125" s="70" t="str">
        <f>IF(A125="","",J125*W125)</f>
        <v/>
      </c>
      <c r="L125" s="30" t="str">
        <f>IF(A125="","",IF($K$6&gt;0,K125/$K$6,0))</f>
        <v/>
      </c>
      <c r="M125" s="72" t="str">
        <f>IF(A125="","",N(F125)-L125)</f>
        <v/>
      </c>
      <c r="N125" s="30" t="str">
        <f>IF(A125="","",IF($AB$6&gt;0,AB125/$AB$6,0))</f>
        <v/>
      </c>
      <c r="O125" s="74" t="str">
        <f>IF(A125="","",IF(AB125&lt;=0,"",COUNTIF($AB$9:$AB$208,"&gt;"&amp;AB125)+COUNTIF($AB$9:AB125,AB125)))</f>
        <v/>
      </c>
      <c r="P125" s="73" t="str">
        <f>IF(A125="","",IF(Q125&gt;0,"BUY","HOLD"))</f>
        <v/>
      </c>
      <c r="Q125" s="70" t="str">
        <f>IF(A125="","",IF($W$7&lt;=0,0,IF($AC$6&gt;0,$W$7*AC125/$AC$6,IF($F$6&gt;0,$W$7*N(F125)/$F$6,0))))</f>
        <v/>
      </c>
      <c r="R125" s="103" t="str">
        <f>IF(A125="","",N(AD125)+IF(AI125=1,N(AG125),0))</f>
        <v/>
      </c>
      <c r="S125" s="103" t="str">
        <f>IF(A125="","",N(E125)+N(R125))</f>
        <v/>
      </c>
      <c r="T125" s="70" t="str">
        <f>IF(A125="","",IF(N(R125)&gt;0,R125*H125*W125*$W$6+p_CorrFixa,0))</f>
        <v/>
      </c>
      <c r="V125" s="85" t="str">
        <f>IF(A125="","",IF(D125="",$W$1,D125))</f>
        <v/>
      </c>
      <c r="W125" s="85" t="str">
        <f>IF(A125="","",IFERROR(INDEX(moeda_fx,MATCH(V125,moeda_cod,0)),0))</f>
        <v/>
      </c>
      <c r="X125" s="85" t="str">
        <f>IF(A125="","",IF($W$2="",UPPER(TRIM(A125)),IF(RIGHT(UPPER(TRIM(A125)),LEN($W$2))=$W$2,UPPER(TRIM(A125)),UPPER(TRIM(A125))&amp;$W$2)))</f>
        <v/>
      </c>
      <c r="Y125" s="85" t="str">
        <f>IF(OR(A125="",p_ModoCot&lt;&gt;"Automático"),"",IFERROR(_xlfn.WEBSERVICE("https://query1.finance.yahoo.com/v8/finance/chart/"&amp;X125&amp;"?range=1d&amp;interval=1d"),""))</f>
        <v/>
      </c>
      <c r="Z125" s="85" t="str">
        <f>IF(Y125="","",IFERROR(_xlfn.NUMBERVALUE(MID(Y125,SEARCH("""regularMarketPrice"":",Y125)+21,SEARCH(",",Y125&amp;",",SEARCH("""regularMarketPrice"":",Y125)+21)-SEARCH("""regularMarketPrice"":",Y125)-21),".",","),""))</f>
        <v/>
      </c>
      <c r="AA125" s="85" t="str">
        <f>IF(A125="","",ROUND(MAX(0,N(F125)*($K$6+$W$7)-K125),2))</f>
        <v/>
      </c>
      <c r="AB125" s="85" t="str">
        <f>IF(A125="","",IF(AND(M125&gt;0,M125&gt;=p_DifMin),AA125,0))</f>
        <v/>
      </c>
      <c r="AC125" s="85" t="str">
        <f>IF(A125="","",IF(AND(AB125&gt;0,N(O125)&lt;=p_MaxAtivos),AB125,0))</f>
        <v/>
      </c>
      <c r="AD125" s="85" t="str">
        <f>IF(A125="","",IF(OR(Q125&lt;=0,Q125&lt;p_CompraMin,N(H125)&lt;=0,N(W125)&lt;=0),0,IF($W$3="Sim",TRUNC(ROUND(MAX(0,(Q125-p_CorrFixa)/(H125*W125*$W$6)),9),$W$4),TRUNC(ROUND(MAX(0,(Q125-p_CorrFixa)/(H125*W125*$W$6)),9)/$W$5)*$W$5)))</f>
        <v/>
      </c>
      <c r="AE125" s="85" t="str">
        <f>IF(A125="","",IF(N(AD125)&gt;0,AD125*H125*W125*$W$6+p_CorrFixa,0))</f>
        <v/>
      </c>
      <c r="AF125" s="85" t="str">
        <f>IF(A125="","",IF(OR($Y$1&lt;=0,N(H125)&lt;=0,N(W125)&lt;=0,N(AB125)&lt;=0),0,IF($W$3="Sim",TRUNC(ROUND(MAX(0,($Y$1-IF(N(AD125)&gt;0,0,p_CorrFixa))/(H125*W125*$W$6)),9),$W$4),TRUNC(ROUND(MAX(0,($Y$1-IF(N(AD125)&gt;0,0,p_CorrFixa))/(H125*W125*$W$6)),9)/$W$5)*$W$5)))</f>
        <v/>
      </c>
      <c r="AG125" s="85" t="str">
        <f>IF(A125="","",IF(AND(N(AD125)=0,N(AF125)*(H125*W125*$W$6)+p_CorrFixa&lt;p_CompraMin),0,AF125))</f>
        <v/>
      </c>
      <c r="AH125" s="85" t="str">
        <f>IF(A125="","",IF(N(AG125)&gt;0,AB125,0))</f>
        <v/>
      </c>
      <c r="AI125" s="85" t="str">
        <f>IF(A125="","",IF(AND(AH125&gt;0,AH125=$AH$6,COUNTIF($AH$9:AH125,AH125)=1),1,0))</f>
        <v/>
      </c>
    </row>
    <row r="126">
      <c r="A126" s="96" t="n"/>
      <c r="B126" s="96" t="n"/>
      <c r="C126" s="96" t="n"/>
      <c r="D126" s="97" t="n"/>
      <c r="E126" s="98" t="n"/>
      <c r="F126" s="99" t="n"/>
      <c r="G126" s="100" t="n"/>
      <c r="H126" s="104" t="str">
        <f>IF(A126="","",IF(AND(p_ModoCot="Automático",ISNUMBER(Z126)),Z126,IF(N(G126)&gt;0,G126,0)))</f>
        <v/>
      </c>
      <c r="I126" s="105" t="str">
        <f>IF(A126="","",IF(W126=0,"Sem câmbio",IF(AND(p_ModoCot="Automático",ISNUMBER(Z126)),"Auto",IF(N(G126)&gt;0,"Manual","Sem cotação"))))</f>
        <v/>
      </c>
      <c r="J126" s="106" t="str">
        <f>IF(A126="","",N(E126)*H126)</f>
        <v/>
      </c>
      <c r="K126" s="107" t="str">
        <f>IF(A126="","",J126*W126)</f>
        <v/>
      </c>
      <c r="L126" s="108" t="str">
        <f>IF(A126="","",IF($K$6&gt;0,K126/$K$6,0))</f>
        <v/>
      </c>
      <c r="M126" s="109" t="str">
        <f>IF(A126="","",N(F126)-L126)</f>
        <v/>
      </c>
      <c r="N126" s="108" t="str">
        <f>IF(A126="","",IF($AB$6&gt;0,AB126/$AB$6,0))</f>
        <v/>
      </c>
      <c r="O126" s="110" t="str">
        <f>IF(A126="","",IF(AB126&lt;=0,"",COUNTIF($AB$9:$AB$208,"&gt;"&amp;AB126)+COUNTIF($AB$9:AB126,AB126)))</f>
        <v/>
      </c>
      <c r="P126" s="105" t="str">
        <f>IF(A126="","",IF(Q126&gt;0,"BUY","HOLD"))</f>
        <v/>
      </c>
      <c r="Q126" s="107" t="str">
        <f>IF(A126="","",IF($W$7&lt;=0,0,IF($AC$6&gt;0,$W$7*AC126/$AC$6,IF($F$6&gt;0,$W$7*N(F126)/$F$6,0))))</f>
        <v/>
      </c>
      <c r="R126" s="111" t="str">
        <f>IF(A126="","",N(AD126)+IF(AI126=1,N(AG126),0))</f>
        <v/>
      </c>
      <c r="S126" s="111" t="str">
        <f>IF(A126="","",N(E126)+N(R126))</f>
        <v/>
      </c>
      <c r="T126" s="107" t="str">
        <f>IF(A126="","",IF(N(R126)&gt;0,R126*H126*W126*$W$6+p_CorrFixa,0))</f>
        <v/>
      </c>
      <c r="V126" s="85" t="str">
        <f>IF(A126="","",IF(D126="",$W$1,D126))</f>
        <v/>
      </c>
      <c r="W126" s="85" t="str">
        <f>IF(A126="","",IFERROR(INDEX(moeda_fx,MATCH(V126,moeda_cod,0)),0))</f>
        <v/>
      </c>
      <c r="X126" s="85" t="str">
        <f>IF(A126="","",IF($W$2="",UPPER(TRIM(A126)),IF(RIGHT(UPPER(TRIM(A126)),LEN($W$2))=$W$2,UPPER(TRIM(A126)),UPPER(TRIM(A126))&amp;$W$2)))</f>
        <v/>
      </c>
      <c r="Y126" s="85" t="str">
        <f>IF(OR(A126="",p_ModoCot&lt;&gt;"Automático"),"",IFERROR(_xlfn.WEBSERVICE("https://query1.finance.yahoo.com/v8/finance/chart/"&amp;X126&amp;"?range=1d&amp;interval=1d"),""))</f>
        <v/>
      </c>
      <c r="Z126" s="85" t="str">
        <f>IF(Y126="","",IFERROR(_xlfn.NUMBERVALUE(MID(Y126,SEARCH("""regularMarketPrice"":",Y126)+21,SEARCH(",",Y126&amp;",",SEARCH("""regularMarketPrice"":",Y126)+21)-SEARCH("""regularMarketPrice"":",Y126)-21),".",","),""))</f>
        <v/>
      </c>
      <c r="AA126" s="85" t="str">
        <f>IF(A126="","",ROUND(MAX(0,N(F126)*($K$6+$W$7)-K126),2))</f>
        <v/>
      </c>
      <c r="AB126" s="85" t="str">
        <f>IF(A126="","",IF(AND(M126&gt;0,M126&gt;=p_DifMin),AA126,0))</f>
        <v/>
      </c>
      <c r="AC126" s="85" t="str">
        <f>IF(A126="","",IF(AND(AB126&gt;0,N(O126)&lt;=p_MaxAtivos),AB126,0))</f>
        <v/>
      </c>
      <c r="AD126" s="85" t="str">
        <f>IF(A126="","",IF(OR(Q126&lt;=0,Q126&lt;p_CompraMin,N(H126)&lt;=0,N(W126)&lt;=0),0,IF($W$3="Sim",TRUNC(ROUND(MAX(0,(Q126-p_CorrFixa)/(H126*W126*$W$6)),9),$W$4),TRUNC(ROUND(MAX(0,(Q126-p_CorrFixa)/(H126*W126*$W$6)),9)/$W$5)*$W$5)))</f>
        <v/>
      </c>
      <c r="AE126" s="85" t="str">
        <f>IF(A126="","",IF(N(AD126)&gt;0,AD126*H126*W126*$W$6+p_CorrFixa,0))</f>
        <v/>
      </c>
      <c r="AF126" s="85" t="str">
        <f>IF(A126="","",IF(OR($Y$1&lt;=0,N(H126)&lt;=0,N(W126)&lt;=0,N(AB126)&lt;=0),0,IF($W$3="Sim",TRUNC(ROUND(MAX(0,($Y$1-IF(N(AD126)&gt;0,0,p_CorrFixa))/(H126*W126*$W$6)),9),$W$4),TRUNC(ROUND(MAX(0,($Y$1-IF(N(AD126)&gt;0,0,p_CorrFixa))/(H126*W126*$W$6)),9)/$W$5)*$W$5)))</f>
        <v/>
      </c>
      <c r="AG126" s="85" t="str">
        <f>IF(A126="","",IF(AND(N(AD126)=0,N(AF126)*(H126*W126*$W$6)+p_CorrFixa&lt;p_CompraMin),0,AF126))</f>
        <v/>
      </c>
      <c r="AH126" s="85" t="str">
        <f>IF(A126="","",IF(N(AG126)&gt;0,AB126,0))</f>
        <v/>
      </c>
      <c r="AI126" s="85" t="str">
        <f>IF(A126="","",IF(AND(AH126&gt;0,AH126=$AH$6,COUNTIF($AH$9:AH126,AH126)=1),1,0))</f>
        <v/>
      </c>
    </row>
    <row r="127">
      <c r="A127" s="96" t="n"/>
      <c r="B127" s="96" t="n"/>
      <c r="C127" s="96" t="n"/>
      <c r="D127" s="97" t="n"/>
      <c r="E127" s="98" t="n"/>
      <c r="F127" s="99" t="n"/>
      <c r="G127" s="100" t="n"/>
      <c r="H127" s="101" t="str">
        <f>IF(A127="","",IF(AND(p_ModoCot="Automático",ISNUMBER(Z127)),Z127,IF(N(G127)&gt;0,G127,0)))</f>
        <v/>
      </c>
      <c r="I127" s="73" t="str">
        <f>IF(A127="","",IF(W127=0,"Sem câmbio",IF(AND(p_ModoCot="Automático",ISNUMBER(Z127)),"Auto",IF(N(G127)&gt;0,"Manual","Sem cotação"))))</f>
        <v/>
      </c>
      <c r="J127" s="102" t="str">
        <f>IF(A127="","",N(E127)*H127)</f>
        <v/>
      </c>
      <c r="K127" s="70" t="str">
        <f>IF(A127="","",J127*W127)</f>
        <v/>
      </c>
      <c r="L127" s="30" t="str">
        <f>IF(A127="","",IF($K$6&gt;0,K127/$K$6,0))</f>
        <v/>
      </c>
      <c r="M127" s="72" t="str">
        <f>IF(A127="","",N(F127)-L127)</f>
        <v/>
      </c>
      <c r="N127" s="30" t="str">
        <f>IF(A127="","",IF($AB$6&gt;0,AB127/$AB$6,0))</f>
        <v/>
      </c>
      <c r="O127" s="74" t="str">
        <f>IF(A127="","",IF(AB127&lt;=0,"",COUNTIF($AB$9:$AB$208,"&gt;"&amp;AB127)+COUNTIF($AB$9:AB127,AB127)))</f>
        <v/>
      </c>
      <c r="P127" s="73" t="str">
        <f>IF(A127="","",IF(Q127&gt;0,"BUY","HOLD"))</f>
        <v/>
      </c>
      <c r="Q127" s="70" t="str">
        <f>IF(A127="","",IF($W$7&lt;=0,0,IF($AC$6&gt;0,$W$7*AC127/$AC$6,IF($F$6&gt;0,$W$7*N(F127)/$F$6,0))))</f>
        <v/>
      </c>
      <c r="R127" s="103" t="str">
        <f>IF(A127="","",N(AD127)+IF(AI127=1,N(AG127),0))</f>
        <v/>
      </c>
      <c r="S127" s="103" t="str">
        <f>IF(A127="","",N(E127)+N(R127))</f>
        <v/>
      </c>
      <c r="T127" s="70" t="str">
        <f>IF(A127="","",IF(N(R127)&gt;0,R127*H127*W127*$W$6+p_CorrFixa,0))</f>
        <v/>
      </c>
      <c r="V127" s="85" t="str">
        <f>IF(A127="","",IF(D127="",$W$1,D127))</f>
        <v/>
      </c>
      <c r="W127" s="85" t="str">
        <f>IF(A127="","",IFERROR(INDEX(moeda_fx,MATCH(V127,moeda_cod,0)),0))</f>
        <v/>
      </c>
      <c r="X127" s="85" t="str">
        <f>IF(A127="","",IF($W$2="",UPPER(TRIM(A127)),IF(RIGHT(UPPER(TRIM(A127)),LEN($W$2))=$W$2,UPPER(TRIM(A127)),UPPER(TRIM(A127))&amp;$W$2)))</f>
        <v/>
      </c>
      <c r="Y127" s="85" t="str">
        <f>IF(OR(A127="",p_ModoCot&lt;&gt;"Automático"),"",IFERROR(_xlfn.WEBSERVICE("https://query1.finance.yahoo.com/v8/finance/chart/"&amp;X127&amp;"?range=1d&amp;interval=1d"),""))</f>
        <v/>
      </c>
      <c r="Z127" s="85" t="str">
        <f>IF(Y127="","",IFERROR(_xlfn.NUMBERVALUE(MID(Y127,SEARCH("""regularMarketPrice"":",Y127)+21,SEARCH(",",Y127&amp;",",SEARCH("""regularMarketPrice"":",Y127)+21)-SEARCH("""regularMarketPrice"":",Y127)-21),".",","),""))</f>
        <v/>
      </c>
      <c r="AA127" s="85" t="str">
        <f>IF(A127="","",ROUND(MAX(0,N(F127)*($K$6+$W$7)-K127),2))</f>
        <v/>
      </c>
      <c r="AB127" s="85" t="str">
        <f>IF(A127="","",IF(AND(M127&gt;0,M127&gt;=p_DifMin),AA127,0))</f>
        <v/>
      </c>
      <c r="AC127" s="85" t="str">
        <f>IF(A127="","",IF(AND(AB127&gt;0,N(O127)&lt;=p_MaxAtivos),AB127,0))</f>
        <v/>
      </c>
      <c r="AD127" s="85" t="str">
        <f>IF(A127="","",IF(OR(Q127&lt;=0,Q127&lt;p_CompraMin,N(H127)&lt;=0,N(W127)&lt;=0),0,IF($W$3="Sim",TRUNC(ROUND(MAX(0,(Q127-p_CorrFixa)/(H127*W127*$W$6)),9),$W$4),TRUNC(ROUND(MAX(0,(Q127-p_CorrFixa)/(H127*W127*$W$6)),9)/$W$5)*$W$5)))</f>
        <v/>
      </c>
      <c r="AE127" s="85" t="str">
        <f>IF(A127="","",IF(N(AD127)&gt;0,AD127*H127*W127*$W$6+p_CorrFixa,0))</f>
        <v/>
      </c>
      <c r="AF127" s="85" t="str">
        <f>IF(A127="","",IF(OR($Y$1&lt;=0,N(H127)&lt;=0,N(W127)&lt;=0,N(AB127)&lt;=0),0,IF($W$3="Sim",TRUNC(ROUND(MAX(0,($Y$1-IF(N(AD127)&gt;0,0,p_CorrFixa))/(H127*W127*$W$6)),9),$W$4),TRUNC(ROUND(MAX(0,($Y$1-IF(N(AD127)&gt;0,0,p_CorrFixa))/(H127*W127*$W$6)),9)/$W$5)*$W$5)))</f>
        <v/>
      </c>
      <c r="AG127" s="85" t="str">
        <f>IF(A127="","",IF(AND(N(AD127)=0,N(AF127)*(H127*W127*$W$6)+p_CorrFixa&lt;p_CompraMin),0,AF127))</f>
        <v/>
      </c>
      <c r="AH127" s="85" t="str">
        <f>IF(A127="","",IF(N(AG127)&gt;0,AB127,0))</f>
        <v/>
      </c>
      <c r="AI127" s="85" t="str">
        <f>IF(A127="","",IF(AND(AH127&gt;0,AH127=$AH$6,COUNTIF($AH$9:AH127,AH127)=1),1,0))</f>
        <v/>
      </c>
    </row>
    <row r="128">
      <c r="A128" s="96" t="n"/>
      <c r="B128" s="96" t="n"/>
      <c r="C128" s="96" t="n"/>
      <c r="D128" s="97" t="n"/>
      <c r="E128" s="98" t="n"/>
      <c r="F128" s="99" t="n"/>
      <c r="G128" s="100" t="n"/>
      <c r="H128" s="104" t="str">
        <f>IF(A128="","",IF(AND(p_ModoCot="Automático",ISNUMBER(Z128)),Z128,IF(N(G128)&gt;0,G128,0)))</f>
        <v/>
      </c>
      <c r="I128" s="105" t="str">
        <f>IF(A128="","",IF(W128=0,"Sem câmbio",IF(AND(p_ModoCot="Automático",ISNUMBER(Z128)),"Auto",IF(N(G128)&gt;0,"Manual","Sem cotação"))))</f>
        <v/>
      </c>
      <c r="J128" s="106" t="str">
        <f>IF(A128="","",N(E128)*H128)</f>
        <v/>
      </c>
      <c r="K128" s="107" t="str">
        <f>IF(A128="","",J128*W128)</f>
        <v/>
      </c>
      <c r="L128" s="108" t="str">
        <f>IF(A128="","",IF($K$6&gt;0,K128/$K$6,0))</f>
        <v/>
      </c>
      <c r="M128" s="109" t="str">
        <f>IF(A128="","",N(F128)-L128)</f>
        <v/>
      </c>
      <c r="N128" s="108" t="str">
        <f>IF(A128="","",IF($AB$6&gt;0,AB128/$AB$6,0))</f>
        <v/>
      </c>
      <c r="O128" s="110" t="str">
        <f>IF(A128="","",IF(AB128&lt;=0,"",COUNTIF($AB$9:$AB$208,"&gt;"&amp;AB128)+COUNTIF($AB$9:AB128,AB128)))</f>
        <v/>
      </c>
      <c r="P128" s="105" t="str">
        <f>IF(A128="","",IF(Q128&gt;0,"BUY","HOLD"))</f>
        <v/>
      </c>
      <c r="Q128" s="107" t="str">
        <f>IF(A128="","",IF($W$7&lt;=0,0,IF($AC$6&gt;0,$W$7*AC128/$AC$6,IF($F$6&gt;0,$W$7*N(F128)/$F$6,0))))</f>
        <v/>
      </c>
      <c r="R128" s="111" t="str">
        <f>IF(A128="","",N(AD128)+IF(AI128=1,N(AG128),0))</f>
        <v/>
      </c>
      <c r="S128" s="111" t="str">
        <f>IF(A128="","",N(E128)+N(R128))</f>
        <v/>
      </c>
      <c r="T128" s="107" t="str">
        <f>IF(A128="","",IF(N(R128)&gt;0,R128*H128*W128*$W$6+p_CorrFixa,0))</f>
        <v/>
      </c>
      <c r="V128" s="85" t="str">
        <f>IF(A128="","",IF(D128="",$W$1,D128))</f>
        <v/>
      </c>
      <c r="W128" s="85" t="str">
        <f>IF(A128="","",IFERROR(INDEX(moeda_fx,MATCH(V128,moeda_cod,0)),0))</f>
        <v/>
      </c>
      <c r="X128" s="85" t="str">
        <f>IF(A128="","",IF($W$2="",UPPER(TRIM(A128)),IF(RIGHT(UPPER(TRIM(A128)),LEN($W$2))=$W$2,UPPER(TRIM(A128)),UPPER(TRIM(A128))&amp;$W$2)))</f>
        <v/>
      </c>
      <c r="Y128" s="85" t="str">
        <f>IF(OR(A128="",p_ModoCot&lt;&gt;"Automático"),"",IFERROR(_xlfn.WEBSERVICE("https://query1.finance.yahoo.com/v8/finance/chart/"&amp;X128&amp;"?range=1d&amp;interval=1d"),""))</f>
        <v/>
      </c>
      <c r="Z128" s="85" t="str">
        <f>IF(Y128="","",IFERROR(_xlfn.NUMBERVALUE(MID(Y128,SEARCH("""regularMarketPrice"":",Y128)+21,SEARCH(",",Y128&amp;",",SEARCH("""regularMarketPrice"":",Y128)+21)-SEARCH("""regularMarketPrice"":",Y128)-21),".",","),""))</f>
        <v/>
      </c>
      <c r="AA128" s="85" t="str">
        <f>IF(A128="","",ROUND(MAX(0,N(F128)*($K$6+$W$7)-K128),2))</f>
        <v/>
      </c>
      <c r="AB128" s="85" t="str">
        <f>IF(A128="","",IF(AND(M128&gt;0,M128&gt;=p_DifMin),AA128,0))</f>
        <v/>
      </c>
      <c r="AC128" s="85" t="str">
        <f>IF(A128="","",IF(AND(AB128&gt;0,N(O128)&lt;=p_MaxAtivos),AB128,0))</f>
        <v/>
      </c>
      <c r="AD128" s="85" t="str">
        <f>IF(A128="","",IF(OR(Q128&lt;=0,Q128&lt;p_CompraMin,N(H128)&lt;=0,N(W128)&lt;=0),0,IF($W$3="Sim",TRUNC(ROUND(MAX(0,(Q128-p_CorrFixa)/(H128*W128*$W$6)),9),$W$4),TRUNC(ROUND(MAX(0,(Q128-p_CorrFixa)/(H128*W128*$W$6)),9)/$W$5)*$W$5)))</f>
        <v/>
      </c>
      <c r="AE128" s="85" t="str">
        <f>IF(A128="","",IF(N(AD128)&gt;0,AD128*H128*W128*$W$6+p_CorrFixa,0))</f>
        <v/>
      </c>
      <c r="AF128" s="85" t="str">
        <f>IF(A128="","",IF(OR($Y$1&lt;=0,N(H128)&lt;=0,N(W128)&lt;=0,N(AB128)&lt;=0),0,IF($W$3="Sim",TRUNC(ROUND(MAX(0,($Y$1-IF(N(AD128)&gt;0,0,p_CorrFixa))/(H128*W128*$W$6)),9),$W$4),TRUNC(ROUND(MAX(0,($Y$1-IF(N(AD128)&gt;0,0,p_CorrFixa))/(H128*W128*$W$6)),9)/$W$5)*$W$5)))</f>
        <v/>
      </c>
      <c r="AG128" s="85" t="str">
        <f>IF(A128="","",IF(AND(N(AD128)=0,N(AF128)*(H128*W128*$W$6)+p_CorrFixa&lt;p_CompraMin),0,AF128))</f>
        <v/>
      </c>
      <c r="AH128" s="85" t="str">
        <f>IF(A128="","",IF(N(AG128)&gt;0,AB128,0))</f>
        <v/>
      </c>
      <c r="AI128" s="85" t="str">
        <f>IF(A128="","",IF(AND(AH128&gt;0,AH128=$AH$6,COUNTIF($AH$9:AH128,AH128)=1),1,0))</f>
        <v/>
      </c>
    </row>
    <row r="129">
      <c r="A129" s="96" t="n"/>
      <c r="B129" s="96" t="n"/>
      <c r="C129" s="96" t="n"/>
      <c r="D129" s="97" t="n"/>
      <c r="E129" s="98" t="n"/>
      <c r="F129" s="99" t="n"/>
      <c r="G129" s="100" t="n"/>
      <c r="H129" s="101" t="str">
        <f>IF(A129="","",IF(AND(p_ModoCot="Automático",ISNUMBER(Z129)),Z129,IF(N(G129)&gt;0,G129,0)))</f>
        <v/>
      </c>
      <c r="I129" s="73" t="str">
        <f>IF(A129="","",IF(W129=0,"Sem câmbio",IF(AND(p_ModoCot="Automático",ISNUMBER(Z129)),"Auto",IF(N(G129)&gt;0,"Manual","Sem cotação"))))</f>
        <v/>
      </c>
      <c r="J129" s="102" t="str">
        <f>IF(A129="","",N(E129)*H129)</f>
        <v/>
      </c>
      <c r="K129" s="70" t="str">
        <f>IF(A129="","",J129*W129)</f>
        <v/>
      </c>
      <c r="L129" s="30" t="str">
        <f>IF(A129="","",IF($K$6&gt;0,K129/$K$6,0))</f>
        <v/>
      </c>
      <c r="M129" s="72" t="str">
        <f>IF(A129="","",N(F129)-L129)</f>
        <v/>
      </c>
      <c r="N129" s="30" t="str">
        <f>IF(A129="","",IF($AB$6&gt;0,AB129/$AB$6,0))</f>
        <v/>
      </c>
      <c r="O129" s="74" t="str">
        <f>IF(A129="","",IF(AB129&lt;=0,"",COUNTIF($AB$9:$AB$208,"&gt;"&amp;AB129)+COUNTIF($AB$9:AB129,AB129)))</f>
        <v/>
      </c>
      <c r="P129" s="73" t="str">
        <f>IF(A129="","",IF(Q129&gt;0,"BUY","HOLD"))</f>
        <v/>
      </c>
      <c r="Q129" s="70" t="str">
        <f>IF(A129="","",IF($W$7&lt;=0,0,IF($AC$6&gt;0,$W$7*AC129/$AC$6,IF($F$6&gt;0,$W$7*N(F129)/$F$6,0))))</f>
        <v/>
      </c>
      <c r="R129" s="103" t="str">
        <f>IF(A129="","",N(AD129)+IF(AI129=1,N(AG129),0))</f>
        <v/>
      </c>
      <c r="S129" s="103" t="str">
        <f>IF(A129="","",N(E129)+N(R129))</f>
        <v/>
      </c>
      <c r="T129" s="70" t="str">
        <f>IF(A129="","",IF(N(R129)&gt;0,R129*H129*W129*$W$6+p_CorrFixa,0))</f>
        <v/>
      </c>
      <c r="V129" s="85" t="str">
        <f>IF(A129="","",IF(D129="",$W$1,D129))</f>
        <v/>
      </c>
      <c r="W129" s="85" t="str">
        <f>IF(A129="","",IFERROR(INDEX(moeda_fx,MATCH(V129,moeda_cod,0)),0))</f>
        <v/>
      </c>
      <c r="X129" s="85" t="str">
        <f>IF(A129="","",IF($W$2="",UPPER(TRIM(A129)),IF(RIGHT(UPPER(TRIM(A129)),LEN($W$2))=$W$2,UPPER(TRIM(A129)),UPPER(TRIM(A129))&amp;$W$2)))</f>
        <v/>
      </c>
      <c r="Y129" s="85" t="str">
        <f>IF(OR(A129="",p_ModoCot&lt;&gt;"Automático"),"",IFERROR(_xlfn.WEBSERVICE("https://query1.finance.yahoo.com/v8/finance/chart/"&amp;X129&amp;"?range=1d&amp;interval=1d"),""))</f>
        <v/>
      </c>
      <c r="Z129" s="85" t="str">
        <f>IF(Y129="","",IFERROR(_xlfn.NUMBERVALUE(MID(Y129,SEARCH("""regularMarketPrice"":",Y129)+21,SEARCH(",",Y129&amp;",",SEARCH("""regularMarketPrice"":",Y129)+21)-SEARCH("""regularMarketPrice"":",Y129)-21),".",","),""))</f>
        <v/>
      </c>
      <c r="AA129" s="85" t="str">
        <f>IF(A129="","",ROUND(MAX(0,N(F129)*($K$6+$W$7)-K129),2))</f>
        <v/>
      </c>
      <c r="AB129" s="85" t="str">
        <f>IF(A129="","",IF(AND(M129&gt;0,M129&gt;=p_DifMin),AA129,0))</f>
        <v/>
      </c>
      <c r="AC129" s="85" t="str">
        <f>IF(A129="","",IF(AND(AB129&gt;0,N(O129)&lt;=p_MaxAtivos),AB129,0))</f>
        <v/>
      </c>
      <c r="AD129" s="85" t="str">
        <f>IF(A129="","",IF(OR(Q129&lt;=0,Q129&lt;p_CompraMin,N(H129)&lt;=0,N(W129)&lt;=0),0,IF($W$3="Sim",TRUNC(ROUND(MAX(0,(Q129-p_CorrFixa)/(H129*W129*$W$6)),9),$W$4),TRUNC(ROUND(MAX(0,(Q129-p_CorrFixa)/(H129*W129*$W$6)),9)/$W$5)*$W$5)))</f>
        <v/>
      </c>
      <c r="AE129" s="85" t="str">
        <f>IF(A129="","",IF(N(AD129)&gt;0,AD129*H129*W129*$W$6+p_CorrFixa,0))</f>
        <v/>
      </c>
      <c r="AF129" s="85" t="str">
        <f>IF(A129="","",IF(OR($Y$1&lt;=0,N(H129)&lt;=0,N(W129)&lt;=0,N(AB129)&lt;=0),0,IF($W$3="Sim",TRUNC(ROUND(MAX(0,($Y$1-IF(N(AD129)&gt;0,0,p_CorrFixa))/(H129*W129*$W$6)),9),$W$4),TRUNC(ROUND(MAX(0,($Y$1-IF(N(AD129)&gt;0,0,p_CorrFixa))/(H129*W129*$W$6)),9)/$W$5)*$W$5)))</f>
        <v/>
      </c>
      <c r="AG129" s="85" t="str">
        <f>IF(A129="","",IF(AND(N(AD129)=0,N(AF129)*(H129*W129*$W$6)+p_CorrFixa&lt;p_CompraMin),0,AF129))</f>
        <v/>
      </c>
      <c r="AH129" s="85" t="str">
        <f>IF(A129="","",IF(N(AG129)&gt;0,AB129,0))</f>
        <v/>
      </c>
      <c r="AI129" s="85" t="str">
        <f>IF(A129="","",IF(AND(AH129&gt;0,AH129=$AH$6,COUNTIF($AH$9:AH129,AH129)=1),1,0))</f>
        <v/>
      </c>
    </row>
    <row r="130">
      <c r="A130" s="96" t="n"/>
      <c r="B130" s="96" t="n"/>
      <c r="C130" s="96" t="n"/>
      <c r="D130" s="97" t="n"/>
      <c r="E130" s="98" t="n"/>
      <c r="F130" s="99" t="n"/>
      <c r="G130" s="100" t="n"/>
      <c r="H130" s="104" t="str">
        <f>IF(A130="","",IF(AND(p_ModoCot="Automático",ISNUMBER(Z130)),Z130,IF(N(G130)&gt;0,G130,0)))</f>
        <v/>
      </c>
      <c r="I130" s="105" t="str">
        <f>IF(A130="","",IF(W130=0,"Sem câmbio",IF(AND(p_ModoCot="Automático",ISNUMBER(Z130)),"Auto",IF(N(G130)&gt;0,"Manual","Sem cotação"))))</f>
        <v/>
      </c>
      <c r="J130" s="106" t="str">
        <f>IF(A130="","",N(E130)*H130)</f>
        <v/>
      </c>
      <c r="K130" s="107" t="str">
        <f>IF(A130="","",J130*W130)</f>
        <v/>
      </c>
      <c r="L130" s="108" t="str">
        <f>IF(A130="","",IF($K$6&gt;0,K130/$K$6,0))</f>
        <v/>
      </c>
      <c r="M130" s="109" t="str">
        <f>IF(A130="","",N(F130)-L130)</f>
        <v/>
      </c>
      <c r="N130" s="108" t="str">
        <f>IF(A130="","",IF($AB$6&gt;0,AB130/$AB$6,0))</f>
        <v/>
      </c>
      <c r="O130" s="110" t="str">
        <f>IF(A130="","",IF(AB130&lt;=0,"",COUNTIF($AB$9:$AB$208,"&gt;"&amp;AB130)+COUNTIF($AB$9:AB130,AB130)))</f>
        <v/>
      </c>
      <c r="P130" s="105" t="str">
        <f>IF(A130="","",IF(Q130&gt;0,"BUY","HOLD"))</f>
        <v/>
      </c>
      <c r="Q130" s="107" t="str">
        <f>IF(A130="","",IF($W$7&lt;=0,0,IF($AC$6&gt;0,$W$7*AC130/$AC$6,IF($F$6&gt;0,$W$7*N(F130)/$F$6,0))))</f>
        <v/>
      </c>
      <c r="R130" s="111" t="str">
        <f>IF(A130="","",N(AD130)+IF(AI130=1,N(AG130),0))</f>
        <v/>
      </c>
      <c r="S130" s="111" t="str">
        <f>IF(A130="","",N(E130)+N(R130))</f>
        <v/>
      </c>
      <c r="T130" s="107" t="str">
        <f>IF(A130="","",IF(N(R130)&gt;0,R130*H130*W130*$W$6+p_CorrFixa,0))</f>
        <v/>
      </c>
      <c r="V130" s="85" t="str">
        <f>IF(A130="","",IF(D130="",$W$1,D130))</f>
        <v/>
      </c>
      <c r="W130" s="85" t="str">
        <f>IF(A130="","",IFERROR(INDEX(moeda_fx,MATCH(V130,moeda_cod,0)),0))</f>
        <v/>
      </c>
      <c r="X130" s="85" t="str">
        <f>IF(A130="","",IF($W$2="",UPPER(TRIM(A130)),IF(RIGHT(UPPER(TRIM(A130)),LEN($W$2))=$W$2,UPPER(TRIM(A130)),UPPER(TRIM(A130))&amp;$W$2)))</f>
        <v/>
      </c>
      <c r="Y130" s="85" t="str">
        <f>IF(OR(A130="",p_ModoCot&lt;&gt;"Automático"),"",IFERROR(_xlfn.WEBSERVICE("https://query1.finance.yahoo.com/v8/finance/chart/"&amp;X130&amp;"?range=1d&amp;interval=1d"),""))</f>
        <v/>
      </c>
      <c r="Z130" s="85" t="str">
        <f>IF(Y130="","",IFERROR(_xlfn.NUMBERVALUE(MID(Y130,SEARCH("""regularMarketPrice"":",Y130)+21,SEARCH(",",Y130&amp;",",SEARCH("""regularMarketPrice"":",Y130)+21)-SEARCH("""regularMarketPrice"":",Y130)-21),".",","),""))</f>
        <v/>
      </c>
      <c r="AA130" s="85" t="str">
        <f>IF(A130="","",ROUND(MAX(0,N(F130)*($K$6+$W$7)-K130),2))</f>
        <v/>
      </c>
      <c r="AB130" s="85" t="str">
        <f>IF(A130="","",IF(AND(M130&gt;0,M130&gt;=p_DifMin),AA130,0))</f>
        <v/>
      </c>
      <c r="AC130" s="85" t="str">
        <f>IF(A130="","",IF(AND(AB130&gt;0,N(O130)&lt;=p_MaxAtivos),AB130,0))</f>
        <v/>
      </c>
      <c r="AD130" s="85" t="str">
        <f>IF(A130="","",IF(OR(Q130&lt;=0,Q130&lt;p_CompraMin,N(H130)&lt;=0,N(W130)&lt;=0),0,IF($W$3="Sim",TRUNC(ROUND(MAX(0,(Q130-p_CorrFixa)/(H130*W130*$W$6)),9),$W$4),TRUNC(ROUND(MAX(0,(Q130-p_CorrFixa)/(H130*W130*$W$6)),9)/$W$5)*$W$5)))</f>
        <v/>
      </c>
      <c r="AE130" s="85" t="str">
        <f>IF(A130="","",IF(N(AD130)&gt;0,AD130*H130*W130*$W$6+p_CorrFixa,0))</f>
        <v/>
      </c>
      <c r="AF130" s="85" t="str">
        <f>IF(A130="","",IF(OR($Y$1&lt;=0,N(H130)&lt;=0,N(W130)&lt;=0,N(AB130)&lt;=0),0,IF($W$3="Sim",TRUNC(ROUND(MAX(0,($Y$1-IF(N(AD130)&gt;0,0,p_CorrFixa))/(H130*W130*$W$6)),9),$W$4),TRUNC(ROUND(MAX(0,($Y$1-IF(N(AD130)&gt;0,0,p_CorrFixa))/(H130*W130*$W$6)),9)/$W$5)*$W$5)))</f>
        <v/>
      </c>
      <c r="AG130" s="85" t="str">
        <f>IF(A130="","",IF(AND(N(AD130)=0,N(AF130)*(H130*W130*$W$6)+p_CorrFixa&lt;p_CompraMin),0,AF130))</f>
        <v/>
      </c>
      <c r="AH130" s="85" t="str">
        <f>IF(A130="","",IF(N(AG130)&gt;0,AB130,0))</f>
        <v/>
      </c>
      <c r="AI130" s="85" t="str">
        <f>IF(A130="","",IF(AND(AH130&gt;0,AH130=$AH$6,COUNTIF($AH$9:AH130,AH130)=1),1,0))</f>
        <v/>
      </c>
    </row>
    <row r="131">
      <c r="A131" s="96" t="n"/>
      <c r="B131" s="96" t="n"/>
      <c r="C131" s="96" t="n"/>
      <c r="D131" s="97" t="n"/>
      <c r="E131" s="98" t="n"/>
      <c r="F131" s="99" t="n"/>
      <c r="G131" s="100" t="n"/>
      <c r="H131" s="101" t="str">
        <f>IF(A131="","",IF(AND(p_ModoCot="Automático",ISNUMBER(Z131)),Z131,IF(N(G131)&gt;0,G131,0)))</f>
        <v/>
      </c>
      <c r="I131" s="73" t="str">
        <f>IF(A131="","",IF(W131=0,"Sem câmbio",IF(AND(p_ModoCot="Automático",ISNUMBER(Z131)),"Auto",IF(N(G131)&gt;0,"Manual","Sem cotação"))))</f>
        <v/>
      </c>
      <c r="J131" s="102" t="str">
        <f>IF(A131="","",N(E131)*H131)</f>
        <v/>
      </c>
      <c r="K131" s="70" t="str">
        <f>IF(A131="","",J131*W131)</f>
        <v/>
      </c>
      <c r="L131" s="30" t="str">
        <f>IF(A131="","",IF($K$6&gt;0,K131/$K$6,0))</f>
        <v/>
      </c>
      <c r="M131" s="72" t="str">
        <f>IF(A131="","",N(F131)-L131)</f>
        <v/>
      </c>
      <c r="N131" s="30" t="str">
        <f>IF(A131="","",IF($AB$6&gt;0,AB131/$AB$6,0))</f>
        <v/>
      </c>
      <c r="O131" s="74" t="str">
        <f>IF(A131="","",IF(AB131&lt;=0,"",COUNTIF($AB$9:$AB$208,"&gt;"&amp;AB131)+COUNTIF($AB$9:AB131,AB131)))</f>
        <v/>
      </c>
      <c r="P131" s="73" t="str">
        <f>IF(A131="","",IF(Q131&gt;0,"BUY","HOLD"))</f>
        <v/>
      </c>
      <c r="Q131" s="70" t="str">
        <f>IF(A131="","",IF($W$7&lt;=0,0,IF($AC$6&gt;0,$W$7*AC131/$AC$6,IF($F$6&gt;0,$W$7*N(F131)/$F$6,0))))</f>
        <v/>
      </c>
      <c r="R131" s="103" t="str">
        <f>IF(A131="","",N(AD131)+IF(AI131=1,N(AG131),0))</f>
        <v/>
      </c>
      <c r="S131" s="103" t="str">
        <f>IF(A131="","",N(E131)+N(R131))</f>
        <v/>
      </c>
      <c r="T131" s="70" t="str">
        <f>IF(A131="","",IF(N(R131)&gt;0,R131*H131*W131*$W$6+p_CorrFixa,0))</f>
        <v/>
      </c>
      <c r="V131" s="85" t="str">
        <f>IF(A131="","",IF(D131="",$W$1,D131))</f>
        <v/>
      </c>
      <c r="W131" s="85" t="str">
        <f>IF(A131="","",IFERROR(INDEX(moeda_fx,MATCH(V131,moeda_cod,0)),0))</f>
        <v/>
      </c>
      <c r="X131" s="85" t="str">
        <f>IF(A131="","",IF($W$2="",UPPER(TRIM(A131)),IF(RIGHT(UPPER(TRIM(A131)),LEN($W$2))=$W$2,UPPER(TRIM(A131)),UPPER(TRIM(A131))&amp;$W$2)))</f>
        <v/>
      </c>
      <c r="Y131" s="85" t="str">
        <f>IF(OR(A131="",p_ModoCot&lt;&gt;"Automático"),"",IFERROR(_xlfn.WEBSERVICE("https://query1.finance.yahoo.com/v8/finance/chart/"&amp;X131&amp;"?range=1d&amp;interval=1d"),""))</f>
        <v/>
      </c>
      <c r="Z131" s="85" t="str">
        <f>IF(Y131="","",IFERROR(_xlfn.NUMBERVALUE(MID(Y131,SEARCH("""regularMarketPrice"":",Y131)+21,SEARCH(",",Y131&amp;",",SEARCH("""regularMarketPrice"":",Y131)+21)-SEARCH("""regularMarketPrice"":",Y131)-21),".",","),""))</f>
        <v/>
      </c>
      <c r="AA131" s="85" t="str">
        <f>IF(A131="","",ROUND(MAX(0,N(F131)*($K$6+$W$7)-K131),2))</f>
        <v/>
      </c>
      <c r="AB131" s="85" t="str">
        <f>IF(A131="","",IF(AND(M131&gt;0,M131&gt;=p_DifMin),AA131,0))</f>
        <v/>
      </c>
      <c r="AC131" s="85" t="str">
        <f>IF(A131="","",IF(AND(AB131&gt;0,N(O131)&lt;=p_MaxAtivos),AB131,0))</f>
        <v/>
      </c>
      <c r="AD131" s="85" t="str">
        <f>IF(A131="","",IF(OR(Q131&lt;=0,Q131&lt;p_CompraMin,N(H131)&lt;=0,N(W131)&lt;=0),0,IF($W$3="Sim",TRUNC(ROUND(MAX(0,(Q131-p_CorrFixa)/(H131*W131*$W$6)),9),$W$4),TRUNC(ROUND(MAX(0,(Q131-p_CorrFixa)/(H131*W131*$W$6)),9)/$W$5)*$W$5)))</f>
        <v/>
      </c>
      <c r="AE131" s="85" t="str">
        <f>IF(A131="","",IF(N(AD131)&gt;0,AD131*H131*W131*$W$6+p_CorrFixa,0))</f>
        <v/>
      </c>
      <c r="AF131" s="85" t="str">
        <f>IF(A131="","",IF(OR($Y$1&lt;=0,N(H131)&lt;=0,N(W131)&lt;=0,N(AB131)&lt;=0),0,IF($W$3="Sim",TRUNC(ROUND(MAX(0,($Y$1-IF(N(AD131)&gt;0,0,p_CorrFixa))/(H131*W131*$W$6)),9),$W$4),TRUNC(ROUND(MAX(0,($Y$1-IF(N(AD131)&gt;0,0,p_CorrFixa))/(H131*W131*$W$6)),9)/$W$5)*$W$5)))</f>
        <v/>
      </c>
      <c r="AG131" s="85" t="str">
        <f>IF(A131="","",IF(AND(N(AD131)=0,N(AF131)*(H131*W131*$W$6)+p_CorrFixa&lt;p_CompraMin),0,AF131))</f>
        <v/>
      </c>
      <c r="AH131" s="85" t="str">
        <f>IF(A131="","",IF(N(AG131)&gt;0,AB131,0))</f>
        <v/>
      </c>
      <c r="AI131" s="85" t="str">
        <f>IF(A131="","",IF(AND(AH131&gt;0,AH131=$AH$6,COUNTIF($AH$9:AH131,AH131)=1),1,0))</f>
        <v/>
      </c>
    </row>
    <row r="132">
      <c r="A132" s="96" t="n"/>
      <c r="B132" s="96" t="n"/>
      <c r="C132" s="96" t="n"/>
      <c r="D132" s="97" t="n"/>
      <c r="E132" s="98" t="n"/>
      <c r="F132" s="99" t="n"/>
      <c r="G132" s="100" t="n"/>
      <c r="H132" s="104" t="str">
        <f>IF(A132="","",IF(AND(p_ModoCot="Automático",ISNUMBER(Z132)),Z132,IF(N(G132)&gt;0,G132,0)))</f>
        <v/>
      </c>
      <c r="I132" s="105" t="str">
        <f>IF(A132="","",IF(W132=0,"Sem câmbio",IF(AND(p_ModoCot="Automático",ISNUMBER(Z132)),"Auto",IF(N(G132)&gt;0,"Manual","Sem cotação"))))</f>
        <v/>
      </c>
      <c r="J132" s="106" t="str">
        <f>IF(A132="","",N(E132)*H132)</f>
        <v/>
      </c>
      <c r="K132" s="107" t="str">
        <f>IF(A132="","",J132*W132)</f>
        <v/>
      </c>
      <c r="L132" s="108" t="str">
        <f>IF(A132="","",IF($K$6&gt;0,K132/$K$6,0))</f>
        <v/>
      </c>
      <c r="M132" s="109" t="str">
        <f>IF(A132="","",N(F132)-L132)</f>
        <v/>
      </c>
      <c r="N132" s="108" t="str">
        <f>IF(A132="","",IF($AB$6&gt;0,AB132/$AB$6,0))</f>
        <v/>
      </c>
      <c r="O132" s="110" t="str">
        <f>IF(A132="","",IF(AB132&lt;=0,"",COUNTIF($AB$9:$AB$208,"&gt;"&amp;AB132)+COUNTIF($AB$9:AB132,AB132)))</f>
        <v/>
      </c>
      <c r="P132" s="105" t="str">
        <f>IF(A132="","",IF(Q132&gt;0,"BUY","HOLD"))</f>
        <v/>
      </c>
      <c r="Q132" s="107" t="str">
        <f>IF(A132="","",IF($W$7&lt;=0,0,IF($AC$6&gt;0,$W$7*AC132/$AC$6,IF($F$6&gt;0,$W$7*N(F132)/$F$6,0))))</f>
        <v/>
      </c>
      <c r="R132" s="111" t="str">
        <f>IF(A132="","",N(AD132)+IF(AI132=1,N(AG132),0))</f>
        <v/>
      </c>
      <c r="S132" s="111" t="str">
        <f>IF(A132="","",N(E132)+N(R132))</f>
        <v/>
      </c>
      <c r="T132" s="107" t="str">
        <f>IF(A132="","",IF(N(R132)&gt;0,R132*H132*W132*$W$6+p_CorrFixa,0))</f>
        <v/>
      </c>
      <c r="V132" s="85" t="str">
        <f>IF(A132="","",IF(D132="",$W$1,D132))</f>
        <v/>
      </c>
      <c r="W132" s="85" t="str">
        <f>IF(A132="","",IFERROR(INDEX(moeda_fx,MATCH(V132,moeda_cod,0)),0))</f>
        <v/>
      </c>
      <c r="X132" s="85" t="str">
        <f>IF(A132="","",IF($W$2="",UPPER(TRIM(A132)),IF(RIGHT(UPPER(TRIM(A132)),LEN($W$2))=$W$2,UPPER(TRIM(A132)),UPPER(TRIM(A132))&amp;$W$2)))</f>
        <v/>
      </c>
      <c r="Y132" s="85" t="str">
        <f>IF(OR(A132="",p_ModoCot&lt;&gt;"Automático"),"",IFERROR(_xlfn.WEBSERVICE("https://query1.finance.yahoo.com/v8/finance/chart/"&amp;X132&amp;"?range=1d&amp;interval=1d"),""))</f>
        <v/>
      </c>
      <c r="Z132" s="85" t="str">
        <f>IF(Y132="","",IFERROR(_xlfn.NUMBERVALUE(MID(Y132,SEARCH("""regularMarketPrice"":",Y132)+21,SEARCH(",",Y132&amp;",",SEARCH("""regularMarketPrice"":",Y132)+21)-SEARCH("""regularMarketPrice"":",Y132)-21),".",","),""))</f>
        <v/>
      </c>
      <c r="AA132" s="85" t="str">
        <f>IF(A132="","",ROUND(MAX(0,N(F132)*($K$6+$W$7)-K132),2))</f>
        <v/>
      </c>
      <c r="AB132" s="85" t="str">
        <f>IF(A132="","",IF(AND(M132&gt;0,M132&gt;=p_DifMin),AA132,0))</f>
        <v/>
      </c>
      <c r="AC132" s="85" t="str">
        <f>IF(A132="","",IF(AND(AB132&gt;0,N(O132)&lt;=p_MaxAtivos),AB132,0))</f>
        <v/>
      </c>
      <c r="AD132" s="85" t="str">
        <f>IF(A132="","",IF(OR(Q132&lt;=0,Q132&lt;p_CompraMin,N(H132)&lt;=0,N(W132)&lt;=0),0,IF($W$3="Sim",TRUNC(ROUND(MAX(0,(Q132-p_CorrFixa)/(H132*W132*$W$6)),9),$W$4),TRUNC(ROUND(MAX(0,(Q132-p_CorrFixa)/(H132*W132*$W$6)),9)/$W$5)*$W$5)))</f>
        <v/>
      </c>
      <c r="AE132" s="85" t="str">
        <f>IF(A132="","",IF(N(AD132)&gt;0,AD132*H132*W132*$W$6+p_CorrFixa,0))</f>
        <v/>
      </c>
      <c r="AF132" s="85" t="str">
        <f>IF(A132="","",IF(OR($Y$1&lt;=0,N(H132)&lt;=0,N(W132)&lt;=0,N(AB132)&lt;=0),0,IF($W$3="Sim",TRUNC(ROUND(MAX(0,($Y$1-IF(N(AD132)&gt;0,0,p_CorrFixa))/(H132*W132*$W$6)),9),$W$4),TRUNC(ROUND(MAX(0,($Y$1-IF(N(AD132)&gt;0,0,p_CorrFixa))/(H132*W132*$W$6)),9)/$W$5)*$W$5)))</f>
        <v/>
      </c>
      <c r="AG132" s="85" t="str">
        <f>IF(A132="","",IF(AND(N(AD132)=0,N(AF132)*(H132*W132*$W$6)+p_CorrFixa&lt;p_CompraMin),0,AF132))</f>
        <v/>
      </c>
      <c r="AH132" s="85" t="str">
        <f>IF(A132="","",IF(N(AG132)&gt;0,AB132,0))</f>
        <v/>
      </c>
      <c r="AI132" s="85" t="str">
        <f>IF(A132="","",IF(AND(AH132&gt;0,AH132=$AH$6,COUNTIF($AH$9:AH132,AH132)=1),1,0))</f>
        <v/>
      </c>
    </row>
    <row r="133">
      <c r="A133" s="96" t="n"/>
      <c r="B133" s="96" t="n"/>
      <c r="C133" s="96" t="n"/>
      <c r="D133" s="97" t="n"/>
      <c r="E133" s="98" t="n"/>
      <c r="F133" s="99" t="n"/>
      <c r="G133" s="100" t="n"/>
      <c r="H133" s="101" t="str">
        <f>IF(A133="","",IF(AND(p_ModoCot="Automático",ISNUMBER(Z133)),Z133,IF(N(G133)&gt;0,G133,0)))</f>
        <v/>
      </c>
      <c r="I133" s="73" t="str">
        <f>IF(A133="","",IF(W133=0,"Sem câmbio",IF(AND(p_ModoCot="Automático",ISNUMBER(Z133)),"Auto",IF(N(G133)&gt;0,"Manual","Sem cotação"))))</f>
        <v/>
      </c>
      <c r="J133" s="102" t="str">
        <f>IF(A133="","",N(E133)*H133)</f>
        <v/>
      </c>
      <c r="K133" s="70" t="str">
        <f>IF(A133="","",J133*W133)</f>
        <v/>
      </c>
      <c r="L133" s="30" t="str">
        <f>IF(A133="","",IF($K$6&gt;0,K133/$K$6,0))</f>
        <v/>
      </c>
      <c r="M133" s="72" t="str">
        <f>IF(A133="","",N(F133)-L133)</f>
        <v/>
      </c>
      <c r="N133" s="30" t="str">
        <f>IF(A133="","",IF($AB$6&gt;0,AB133/$AB$6,0))</f>
        <v/>
      </c>
      <c r="O133" s="74" t="str">
        <f>IF(A133="","",IF(AB133&lt;=0,"",COUNTIF($AB$9:$AB$208,"&gt;"&amp;AB133)+COUNTIF($AB$9:AB133,AB133)))</f>
        <v/>
      </c>
      <c r="P133" s="73" t="str">
        <f>IF(A133="","",IF(Q133&gt;0,"BUY","HOLD"))</f>
        <v/>
      </c>
      <c r="Q133" s="70" t="str">
        <f>IF(A133="","",IF($W$7&lt;=0,0,IF($AC$6&gt;0,$W$7*AC133/$AC$6,IF($F$6&gt;0,$W$7*N(F133)/$F$6,0))))</f>
        <v/>
      </c>
      <c r="R133" s="103" t="str">
        <f>IF(A133="","",N(AD133)+IF(AI133=1,N(AG133),0))</f>
        <v/>
      </c>
      <c r="S133" s="103" t="str">
        <f>IF(A133="","",N(E133)+N(R133))</f>
        <v/>
      </c>
      <c r="T133" s="70" t="str">
        <f>IF(A133="","",IF(N(R133)&gt;0,R133*H133*W133*$W$6+p_CorrFixa,0))</f>
        <v/>
      </c>
      <c r="V133" s="85" t="str">
        <f>IF(A133="","",IF(D133="",$W$1,D133))</f>
        <v/>
      </c>
      <c r="W133" s="85" t="str">
        <f>IF(A133="","",IFERROR(INDEX(moeda_fx,MATCH(V133,moeda_cod,0)),0))</f>
        <v/>
      </c>
      <c r="X133" s="85" t="str">
        <f>IF(A133="","",IF($W$2="",UPPER(TRIM(A133)),IF(RIGHT(UPPER(TRIM(A133)),LEN($W$2))=$W$2,UPPER(TRIM(A133)),UPPER(TRIM(A133))&amp;$W$2)))</f>
        <v/>
      </c>
      <c r="Y133" s="85" t="str">
        <f>IF(OR(A133="",p_ModoCot&lt;&gt;"Automático"),"",IFERROR(_xlfn.WEBSERVICE("https://query1.finance.yahoo.com/v8/finance/chart/"&amp;X133&amp;"?range=1d&amp;interval=1d"),""))</f>
        <v/>
      </c>
      <c r="Z133" s="85" t="str">
        <f>IF(Y133="","",IFERROR(_xlfn.NUMBERVALUE(MID(Y133,SEARCH("""regularMarketPrice"":",Y133)+21,SEARCH(",",Y133&amp;",",SEARCH("""regularMarketPrice"":",Y133)+21)-SEARCH("""regularMarketPrice"":",Y133)-21),".",","),""))</f>
        <v/>
      </c>
      <c r="AA133" s="85" t="str">
        <f>IF(A133="","",ROUND(MAX(0,N(F133)*($K$6+$W$7)-K133),2))</f>
        <v/>
      </c>
      <c r="AB133" s="85" t="str">
        <f>IF(A133="","",IF(AND(M133&gt;0,M133&gt;=p_DifMin),AA133,0))</f>
        <v/>
      </c>
      <c r="AC133" s="85" t="str">
        <f>IF(A133="","",IF(AND(AB133&gt;0,N(O133)&lt;=p_MaxAtivos),AB133,0))</f>
        <v/>
      </c>
      <c r="AD133" s="85" t="str">
        <f>IF(A133="","",IF(OR(Q133&lt;=0,Q133&lt;p_CompraMin,N(H133)&lt;=0,N(W133)&lt;=0),0,IF($W$3="Sim",TRUNC(ROUND(MAX(0,(Q133-p_CorrFixa)/(H133*W133*$W$6)),9),$W$4),TRUNC(ROUND(MAX(0,(Q133-p_CorrFixa)/(H133*W133*$W$6)),9)/$W$5)*$W$5)))</f>
        <v/>
      </c>
      <c r="AE133" s="85" t="str">
        <f>IF(A133="","",IF(N(AD133)&gt;0,AD133*H133*W133*$W$6+p_CorrFixa,0))</f>
        <v/>
      </c>
      <c r="AF133" s="85" t="str">
        <f>IF(A133="","",IF(OR($Y$1&lt;=0,N(H133)&lt;=0,N(W133)&lt;=0,N(AB133)&lt;=0),0,IF($W$3="Sim",TRUNC(ROUND(MAX(0,($Y$1-IF(N(AD133)&gt;0,0,p_CorrFixa))/(H133*W133*$W$6)),9),$W$4),TRUNC(ROUND(MAX(0,($Y$1-IF(N(AD133)&gt;0,0,p_CorrFixa))/(H133*W133*$W$6)),9)/$W$5)*$W$5)))</f>
        <v/>
      </c>
      <c r="AG133" s="85" t="str">
        <f>IF(A133="","",IF(AND(N(AD133)=0,N(AF133)*(H133*W133*$W$6)+p_CorrFixa&lt;p_CompraMin),0,AF133))</f>
        <v/>
      </c>
      <c r="AH133" s="85" t="str">
        <f>IF(A133="","",IF(N(AG133)&gt;0,AB133,0))</f>
        <v/>
      </c>
      <c r="AI133" s="85" t="str">
        <f>IF(A133="","",IF(AND(AH133&gt;0,AH133=$AH$6,COUNTIF($AH$9:AH133,AH133)=1),1,0))</f>
        <v/>
      </c>
    </row>
    <row r="134">
      <c r="A134" s="96" t="n"/>
      <c r="B134" s="96" t="n"/>
      <c r="C134" s="96" t="n"/>
      <c r="D134" s="97" t="n"/>
      <c r="E134" s="98" t="n"/>
      <c r="F134" s="99" t="n"/>
      <c r="G134" s="100" t="n"/>
      <c r="H134" s="104" t="str">
        <f>IF(A134="","",IF(AND(p_ModoCot="Automático",ISNUMBER(Z134)),Z134,IF(N(G134)&gt;0,G134,0)))</f>
        <v/>
      </c>
      <c r="I134" s="105" t="str">
        <f>IF(A134="","",IF(W134=0,"Sem câmbio",IF(AND(p_ModoCot="Automático",ISNUMBER(Z134)),"Auto",IF(N(G134)&gt;0,"Manual","Sem cotação"))))</f>
        <v/>
      </c>
      <c r="J134" s="106" t="str">
        <f>IF(A134="","",N(E134)*H134)</f>
        <v/>
      </c>
      <c r="K134" s="107" t="str">
        <f>IF(A134="","",J134*W134)</f>
        <v/>
      </c>
      <c r="L134" s="108" t="str">
        <f>IF(A134="","",IF($K$6&gt;0,K134/$K$6,0))</f>
        <v/>
      </c>
      <c r="M134" s="109" t="str">
        <f>IF(A134="","",N(F134)-L134)</f>
        <v/>
      </c>
      <c r="N134" s="108" t="str">
        <f>IF(A134="","",IF($AB$6&gt;0,AB134/$AB$6,0))</f>
        <v/>
      </c>
      <c r="O134" s="110" t="str">
        <f>IF(A134="","",IF(AB134&lt;=0,"",COUNTIF($AB$9:$AB$208,"&gt;"&amp;AB134)+COUNTIF($AB$9:AB134,AB134)))</f>
        <v/>
      </c>
      <c r="P134" s="105" t="str">
        <f>IF(A134="","",IF(Q134&gt;0,"BUY","HOLD"))</f>
        <v/>
      </c>
      <c r="Q134" s="107" t="str">
        <f>IF(A134="","",IF($W$7&lt;=0,0,IF($AC$6&gt;0,$W$7*AC134/$AC$6,IF($F$6&gt;0,$W$7*N(F134)/$F$6,0))))</f>
        <v/>
      </c>
      <c r="R134" s="111" t="str">
        <f>IF(A134="","",N(AD134)+IF(AI134=1,N(AG134),0))</f>
        <v/>
      </c>
      <c r="S134" s="111" t="str">
        <f>IF(A134="","",N(E134)+N(R134))</f>
        <v/>
      </c>
      <c r="T134" s="107" t="str">
        <f>IF(A134="","",IF(N(R134)&gt;0,R134*H134*W134*$W$6+p_CorrFixa,0))</f>
        <v/>
      </c>
      <c r="V134" s="85" t="str">
        <f>IF(A134="","",IF(D134="",$W$1,D134))</f>
        <v/>
      </c>
      <c r="W134" s="85" t="str">
        <f>IF(A134="","",IFERROR(INDEX(moeda_fx,MATCH(V134,moeda_cod,0)),0))</f>
        <v/>
      </c>
      <c r="X134" s="85" t="str">
        <f>IF(A134="","",IF($W$2="",UPPER(TRIM(A134)),IF(RIGHT(UPPER(TRIM(A134)),LEN($W$2))=$W$2,UPPER(TRIM(A134)),UPPER(TRIM(A134))&amp;$W$2)))</f>
        <v/>
      </c>
      <c r="Y134" s="85" t="str">
        <f>IF(OR(A134="",p_ModoCot&lt;&gt;"Automático"),"",IFERROR(_xlfn.WEBSERVICE("https://query1.finance.yahoo.com/v8/finance/chart/"&amp;X134&amp;"?range=1d&amp;interval=1d"),""))</f>
        <v/>
      </c>
      <c r="Z134" s="85" t="str">
        <f>IF(Y134="","",IFERROR(_xlfn.NUMBERVALUE(MID(Y134,SEARCH("""regularMarketPrice"":",Y134)+21,SEARCH(",",Y134&amp;",",SEARCH("""regularMarketPrice"":",Y134)+21)-SEARCH("""regularMarketPrice"":",Y134)-21),".",","),""))</f>
        <v/>
      </c>
      <c r="AA134" s="85" t="str">
        <f>IF(A134="","",ROUND(MAX(0,N(F134)*($K$6+$W$7)-K134),2))</f>
        <v/>
      </c>
      <c r="AB134" s="85" t="str">
        <f>IF(A134="","",IF(AND(M134&gt;0,M134&gt;=p_DifMin),AA134,0))</f>
        <v/>
      </c>
      <c r="AC134" s="85" t="str">
        <f>IF(A134="","",IF(AND(AB134&gt;0,N(O134)&lt;=p_MaxAtivos),AB134,0))</f>
        <v/>
      </c>
      <c r="AD134" s="85" t="str">
        <f>IF(A134="","",IF(OR(Q134&lt;=0,Q134&lt;p_CompraMin,N(H134)&lt;=0,N(W134)&lt;=0),0,IF($W$3="Sim",TRUNC(ROUND(MAX(0,(Q134-p_CorrFixa)/(H134*W134*$W$6)),9),$W$4),TRUNC(ROUND(MAX(0,(Q134-p_CorrFixa)/(H134*W134*$W$6)),9)/$W$5)*$W$5)))</f>
        <v/>
      </c>
      <c r="AE134" s="85" t="str">
        <f>IF(A134="","",IF(N(AD134)&gt;0,AD134*H134*W134*$W$6+p_CorrFixa,0))</f>
        <v/>
      </c>
      <c r="AF134" s="85" t="str">
        <f>IF(A134="","",IF(OR($Y$1&lt;=0,N(H134)&lt;=0,N(W134)&lt;=0,N(AB134)&lt;=0),0,IF($W$3="Sim",TRUNC(ROUND(MAX(0,($Y$1-IF(N(AD134)&gt;0,0,p_CorrFixa))/(H134*W134*$W$6)),9),$W$4),TRUNC(ROUND(MAX(0,($Y$1-IF(N(AD134)&gt;0,0,p_CorrFixa))/(H134*W134*$W$6)),9)/$W$5)*$W$5)))</f>
        <v/>
      </c>
      <c r="AG134" s="85" t="str">
        <f>IF(A134="","",IF(AND(N(AD134)=0,N(AF134)*(H134*W134*$W$6)+p_CorrFixa&lt;p_CompraMin),0,AF134))</f>
        <v/>
      </c>
      <c r="AH134" s="85" t="str">
        <f>IF(A134="","",IF(N(AG134)&gt;0,AB134,0))</f>
        <v/>
      </c>
      <c r="AI134" s="85" t="str">
        <f>IF(A134="","",IF(AND(AH134&gt;0,AH134=$AH$6,COUNTIF($AH$9:AH134,AH134)=1),1,0))</f>
        <v/>
      </c>
    </row>
    <row r="135">
      <c r="A135" s="96" t="n"/>
      <c r="B135" s="96" t="n"/>
      <c r="C135" s="96" t="n"/>
      <c r="D135" s="97" t="n"/>
      <c r="E135" s="98" t="n"/>
      <c r="F135" s="99" t="n"/>
      <c r="G135" s="100" t="n"/>
      <c r="H135" s="101" t="str">
        <f>IF(A135="","",IF(AND(p_ModoCot="Automático",ISNUMBER(Z135)),Z135,IF(N(G135)&gt;0,G135,0)))</f>
        <v/>
      </c>
      <c r="I135" s="73" t="str">
        <f>IF(A135="","",IF(W135=0,"Sem câmbio",IF(AND(p_ModoCot="Automático",ISNUMBER(Z135)),"Auto",IF(N(G135)&gt;0,"Manual","Sem cotação"))))</f>
        <v/>
      </c>
      <c r="J135" s="102" t="str">
        <f>IF(A135="","",N(E135)*H135)</f>
        <v/>
      </c>
      <c r="K135" s="70" t="str">
        <f>IF(A135="","",J135*W135)</f>
        <v/>
      </c>
      <c r="L135" s="30" t="str">
        <f>IF(A135="","",IF($K$6&gt;0,K135/$K$6,0))</f>
        <v/>
      </c>
      <c r="M135" s="72" t="str">
        <f>IF(A135="","",N(F135)-L135)</f>
        <v/>
      </c>
      <c r="N135" s="30" t="str">
        <f>IF(A135="","",IF($AB$6&gt;0,AB135/$AB$6,0))</f>
        <v/>
      </c>
      <c r="O135" s="74" t="str">
        <f>IF(A135="","",IF(AB135&lt;=0,"",COUNTIF($AB$9:$AB$208,"&gt;"&amp;AB135)+COUNTIF($AB$9:AB135,AB135)))</f>
        <v/>
      </c>
      <c r="P135" s="73" t="str">
        <f>IF(A135="","",IF(Q135&gt;0,"BUY","HOLD"))</f>
        <v/>
      </c>
      <c r="Q135" s="70" t="str">
        <f>IF(A135="","",IF($W$7&lt;=0,0,IF($AC$6&gt;0,$W$7*AC135/$AC$6,IF($F$6&gt;0,$W$7*N(F135)/$F$6,0))))</f>
        <v/>
      </c>
      <c r="R135" s="103" t="str">
        <f>IF(A135="","",N(AD135)+IF(AI135=1,N(AG135),0))</f>
        <v/>
      </c>
      <c r="S135" s="103" t="str">
        <f>IF(A135="","",N(E135)+N(R135))</f>
        <v/>
      </c>
      <c r="T135" s="70" t="str">
        <f>IF(A135="","",IF(N(R135)&gt;0,R135*H135*W135*$W$6+p_CorrFixa,0))</f>
        <v/>
      </c>
      <c r="V135" s="85" t="str">
        <f>IF(A135="","",IF(D135="",$W$1,D135))</f>
        <v/>
      </c>
      <c r="W135" s="85" t="str">
        <f>IF(A135="","",IFERROR(INDEX(moeda_fx,MATCH(V135,moeda_cod,0)),0))</f>
        <v/>
      </c>
      <c r="X135" s="85" t="str">
        <f>IF(A135="","",IF($W$2="",UPPER(TRIM(A135)),IF(RIGHT(UPPER(TRIM(A135)),LEN($W$2))=$W$2,UPPER(TRIM(A135)),UPPER(TRIM(A135))&amp;$W$2)))</f>
        <v/>
      </c>
      <c r="Y135" s="85" t="str">
        <f>IF(OR(A135="",p_ModoCot&lt;&gt;"Automático"),"",IFERROR(_xlfn.WEBSERVICE("https://query1.finance.yahoo.com/v8/finance/chart/"&amp;X135&amp;"?range=1d&amp;interval=1d"),""))</f>
        <v/>
      </c>
      <c r="Z135" s="85" t="str">
        <f>IF(Y135="","",IFERROR(_xlfn.NUMBERVALUE(MID(Y135,SEARCH("""regularMarketPrice"":",Y135)+21,SEARCH(",",Y135&amp;",",SEARCH("""regularMarketPrice"":",Y135)+21)-SEARCH("""regularMarketPrice"":",Y135)-21),".",","),""))</f>
        <v/>
      </c>
      <c r="AA135" s="85" t="str">
        <f>IF(A135="","",ROUND(MAX(0,N(F135)*($K$6+$W$7)-K135),2))</f>
        <v/>
      </c>
      <c r="AB135" s="85" t="str">
        <f>IF(A135="","",IF(AND(M135&gt;0,M135&gt;=p_DifMin),AA135,0))</f>
        <v/>
      </c>
      <c r="AC135" s="85" t="str">
        <f>IF(A135="","",IF(AND(AB135&gt;0,N(O135)&lt;=p_MaxAtivos),AB135,0))</f>
        <v/>
      </c>
      <c r="AD135" s="85" t="str">
        <f>IF(A135="","",IF(OR(Q135&lt;=0,Q135&lt;p_CompraMin,N(H135)&lt;=0,N(W135)&lt;=0),0,IF($W$3="Sim",TRUNC(ROUND(MAX(0,(Q135-p_CorrFixa)/(H135*W135*$W$6)),9),$W$4),TRUNC(ROUND(MAX(0,(Q135-p_CorrFixa)/(H135*W135*$W$6)),9)/$W$5)*$W$5)))</f>
        <v/>
      </c>
      <c r="AE135" s="85" t="str">
        <f>IF(A135="","",IF(N(AD135)&gt;0,AD135*H135*W135*$W$6+p_CorrFixa,0))</f>
        <v/>
      </c>
      <c r="AF135" s="85" t="str">
        <f>IF(A135="","",IF(OR($Y$1&lt;=0,N(H135)&lt;=0,N(W135)&lt;=0,N(AB135)&lt;=0),0,IF($W$3="Sim",TRUNC(ROUND(MAX(0,($Y$1-IF(N(AD135)&gt;0,0,p_CorrFixa))/(H135*W135*$W$6)),9),$W$4),TRUNC(ROUND(MAX(0,($Y$1-IF(N(AD135)&gt;0,0,p_CorrFixa))/(H135*W135*$W$6)),9)/$W$5)*$W$5)))</f>
        <v/>
      </c>
      <c r="AG135" s="85" t="str">
        <f>IF(A135="","",IF(AND(N(AD135)=0,N(AF135)*(H135*W135*$W$6)+p_CorrFixa&lt;p_CompraMin),0,AF135))</f>
        <v/>
      </c>
      <c r="AH135" s="85" t="str">
        <f>IF(A135="","",IF(N(AG135)&gt;0,AB135,0))</f>
        <v/>
      </c>
      <c r="AI135" s="85" t="str">
        <f>IF(A135="","",IF(AND(AH135&gt;0,AH135=$AH$6,COUNTIF($AH$9:AH135,AH135)=1),1,0))</f>
        <v/>
      </c>
    </row>
    <row r="136">
      <c r="A136" s="96" t="n"/>
      <c r="B136" s="96" t="n"/>
      <c r="C136" s="96" t="n"/>
      <c r="D136" s="97" t="n"/>
      <c r="E136" s="98" t="n"/>
      <c r="F136" s="99" t="n"/>
      <c r="G136" s="100" t="n"/>
      <c r="H136" s="104" t="str">
        <f>IF(A136="","",IF(AND(p_ModoCot="Automático",ISNUMBER(Z136)),Z136,IF(N(G136)&gt;0,G136,0)))</f>
        <v/>
      </c>
      <c r="I136" s="105" t="str">
        <f>IF(A136="","",IF(W136=0,"Sem câmbio",IF(AND(p_ModoCot="Automático",ISNUMBER(Z136)),"Auto",IF(N(G136)&gt;0,"Manual","Sem cotação"))))</f>
        <v/>
      </c>
      <c r="J136" s="106" t="str">
        <f>IF(A136="","",N(E136)*H136)</f>
        <v/>
      </c>
      <c r="K136" s="107" t="str">
        <f>IF(A136="","",J136*W136)</f>
        <v/>
      </c>
      <c r="L136" s="108" t="str">
        <f>IF(A136="","",IF($K$6&gt;0,K136/$K$6,0))</f>
        <v/>
      </c>
      <c r="M136" s="109" t="str">
        <f>IF(A136="","",N(F136)-L136)</f>
        <v/>
      </c>
      <c r="N136" s="108" t="str">
        <f>IF(A136="","",IF($AB$6&gt;0,AB136/$AB$6,0))</f>
        <v/>
      </c>
      <c r="O136" s="110" t="str">
        <f>IF(A136="","",IF(AB136&lt;=0,"",COUNTIF($AB$9:$AB$208,"&gt;"&amp;AB136)+COUNTIF($AB$9:AB136,AB136)))</f>
        <v/>
      </c>
      <c r="P136" s="105" t="str">
        <f>IF(A136="","",IF(Q136&gt;0,"BUY","HOLD"))</f>
        <v/>
      </c>
      <c r="Q136" s="107" t="str">
        <f>IF(A136="","",IF($W$7&lt;=0,0,IF($AC$6&gt;0,$W$7*AC136/$AC$6,IF($F$6&gt;0,$W$7*N(F136)/$F$6,0))))</f>
        <v/>
      </c>
      <c r="R136" s="111" t="str">
        <f>IF(A136="","",N(AD136)+IF(AI136=1,N(AG136),0))</f>
        <v/>
      </c>
      <c r="S136" s="111" t="str">
        <f>IF(A136="","",N(E136)+N(R136))</f>
        <v/>
      </c>
      <c r="T136" s="107" t="str">
        <f>IF(A136="","",IF(N(R136)&gt;0,R136*H136*W136*$W$6+p_CorrFixa,0))</f>
        <v/>
      </c>
      <c r="V136" s="85" t="str">
        <f>IF(A136="","",IF(D136="",$W$1,D136))</f>
        <v/>
      </c>
      <c r="W136" s="85" t="str">
        <f>IF(A136="","",IFERROR(INDEX(moeda_fx,MATCH(V136,moeda_cod,0)),0))</f>
        <v/>
      </c>
      <c r="X136" s="85" t="str">
        <f>IF(A136="","",IF($W$2="",UPPER(TRIM(A136)),IF(RIGHT(UPPER(TRIM(A136)),LEN($W$2))=$W$2,UPPER(TRIM(A136)),UPPER(TRIM(A136))&amp;$W$2)))</f>
        <v/>
      </c>
      <c r="Y136" s="85" t="str">
        <f>IF(OR(A136="",p_ModoCot&lt;&gt;"Automático"),"",IFERROR(_xlfn.WEBSERVICE("https://query1.finance.yahoo.com/v8/finance/chart/"&amp;X136&amp;"?range=1d&amp;interval=1d"),""))</f>
        <v/>
      </c>
      <c r="Z136" s="85" t="str">
        <f>IF(Y136="","",IFERROR(_xlfn.NUMBERVALUE(MID(Y136,SEARCH("""regularMarketPrice"":",Y136)+21,SEARCH(",",Y136&amp;",",SEARCH("""regularMarketPrice"":",Y136)+21)-SEARCH("""regularMarketPrice"":",Y136)-21),".",","),""))</f>
        <v/>
      </c>
      <c r="AA136" s="85" t="str">
        <f>IF(A136="","",ROUND(MAX(0,N(F136)*($K$6+$W$7)-K136),2))</f>
        <v/>
      </c>
      <c r="AB136" s="85" t="str">
        <f>IF(A136="","",IF(AND(M136&gt;0,M136&gt;=p_DifMin),AA136,0))</f>
        <v/>
      </c>
      <c r="AC136" s="85" t="str">
        <f>IF(A136="","",IF(AND(AB136&gt;0,N(O136)&lt;=p_MaxAtivos),AB136,0))</f>
        <v/>
      </c>
      <c r="AD136" s="85" t="str">
        <f>IF(A136="","",IF(OR(Q136&lt;=0,Q136&lt;p_CompraMin,N(H136)&lt;=0,N(W136)&lt;=0),0,IF($W$3="Sim",TRUNC(ROUND(MAX(0,(Q136-p_CorrFixa)/(H136*W136*$W$6)),9),$W$4),TRUNC(ROUND(MAX(0,(Q136-p_CorrFixa)/(H136*W136*$W$6)),9)/$W$5)*$W$5)))</f>
        <v/>
      </c>
      <c r="AE136" s="85" t="str">
        <f>IF(A136="","",IF(N(AD136)&gt;0,AD136*H136*W136*$W$6+p_CorrFixa,0))</f>
        <v/>
      </c>
      <c r="AF136" s="85" t="str">
        <f>IF(A136="","",IF(OR($Y$1&lt;=0,N(H136)&lt;=0,N(W136)&lt;=0,N(AB136)&lt;=0),0,IF($W$3="Sim",TRUNC(ROUND(MAX(0,($Y$1-IF(N(AD136)&gt;0,0,p_CorrFixa))/(H136*W136*$W$6)),9),$W$4),TRUNC(ROUND(MAX(0,($Y$1-IF(N(AD136)&gt;0,0,p_CorrFixa))/(H136*W136*$W$6)),9)/$W$5)*$W$5)))</f>
        <v/>
      </c>
      <c r="AG136" s="85" t="str">
        <f>IF(A136="","",IF(AND(N(AD136)=0,N(AF136)*(H136*W136*$W$6)+p_CorrFixa&lt;p_CompraMin),0,AF136))</f>
        <v/>
      </c>
      <c r="AH136" s="85" t="str">
        <f>IF(A136="","",IF(N(AG136)&gt;0,AB136,0))</f>
        <v/>
      </c>
      <c r="AI136" s="85" t="str">
        <f>IF(A136="","",IF(AND(AH136&gt;0,AH136=$AH$6,COUNTIF($AH$9:AH136,AH136)=1),1,0))</f>
        <v/>
      </c>
    </row>
    <row r="137">
      <c r="A137" s="96" t="n"/>
      <c r="B137" s="96" t="n"/>
      <c r="C137" s="96" t="n"/>
      <c r="D137" s="97" t="n"/>
      <c r="E137" s="98" t="n"/>
      <c r="F137" s="99" t="n"/>
      <c r="G137" s="100" t="n"/>
      <c r="H137" s="101" t="str">
        <f>IF(A137="","",IF(AND(p_ModoCot="Automático",ISNUMBER(Z137)),Z137,IF(N(G137)&gt;0,G137,0)))</f>
        <v/>
      </c>
      <c r="I137" s="73" t="str">
        <f>IF(A137="","",IF(W137=0,"Sem câmbio",IF(AND(p_ModoCot="Automático",ISNUMBER(Z137)),"Auto",IF(N(G137)&gt;0,"Manual","Sem cotação"))))</f>
        <v/>
      </c>
      <c r="J137" s="102" t="str">
        <f>IF(A137="","",N(E137)*H137)</f>
        <v/>
      </c>
      <c r="K137" s="70" t="str">
        <f>IF(A137="","",J137*W137)</f>
        <v/>
      </c>
      <c r="L137" s="30" t="str">
        <f>IF(A137="","",IF($K$6&gt;0,K137/$K$6,0))</f>
        <v/>
      </c>
      <c r="M137" s="72" t="str">
        <f>IF(A137="","",N(F137)-L137)</f>
        <v/>
      </c>
      <c r="N137" s="30" t="str">
        <f>IF(A137="","",IF($AB$6&gt;0,AB137/$AB$6,0))</f>
        <v/>
      </c>
      <c r="O137" s="74" t="str">
        <f>IF(A137="","",IF(AB137&lt;=0,"",COUNTIF($AB$9:$AB$208,"&gt;"&amp;AB137)+COUNTIF($AB$9:AB137,AB137)))</f>
        <v/>
      </c>
      <c r="P137" s="73" t="str">
        <f>IF(A137="","",IF(Q137&gt;0,"BUY","HOLD"))</f>
        <v/>
      </c>
      <c r="Q137" s="70" t="str">
        <f>IF(A137="","",IF($W$7&lt;=0,0,IF($AC$6&gt;0,$W$7*AC137/$AC$6,IF($F$6&gt;0,$W$7*N(F137)/$F$6,0))))</f>
        <v/>
      </c>
      <c r="R137" s="103" t="str">
        <f>IF(A137="","",N(AD137)+IF(AI137=1,N(AG137),0))</f>
        <v/>
      </c>
      <c r="S137" s="103" t="str">
        <f>IF(A137="","",N(E137)+N(R137))</f>
        <v/>
      </c>
      <c r="T137" s="70" t="str">
        <f>IF(A137="","",IF(N(R137)&gt;0,R137*H137*W137*$W$6+p_CorrFixa,0))</f>
        <v/>
      </c>
      <c r="V137" s="85" t="str">
        <f>IF(A137="","",IF(D137="",$W$1,D137))</f>
        <v/>
      </c>
      <c r="W137" s="85" t="str">
        <f>IF(A137="","",IFERROR(INDEX(moeda_fx,MATCH(V137,moeda_cod,0)),0))</f>
        <v/>
      </c>
      <c r="X137" s="85" t="str">
        <f>IF(A137="","",IF($W$2="",UPPER(TRIM(A137)),IF(RIGHT(UPPER(TRIM(A137)),LEN($W$2))=$W$2,UPPER(TRIM(A137)),UPPER(TRIM(A137))&amp;$W$2)))</f>
        <v/>
      </c>
      <c r="Y137" s="85" t="str">
        <f>IF(OR(A137="",p_ModoCot&lt;&gt;"Automático"),"",IFERROR(_xlfn.WEBSERVICE("https://query1.finance.yahoo.com/v8/finance/chart/"&amp;X137&amp;"?range=1d&amp;interval=1d"),""))</f>
        <v/>
      </c>
      <c r="Z137" s="85" t="str">
        <f>IF(Y137="","",IFERROR(_xlfn.NUMBERVALUE(MID(Y137,SEARCH("""regularMarketPrice"":",Y137)+21,SEARCH(",",Y137&amp;",",SEARCH("""regularMarketPrice"":",Y137)+21)-SEARCH("""regularMarketPrice"":",Y137)-21),".",","),""))</f>
        <v/>
      </c>
      <c r="AA137" s="85" t="str">
        <f>IF(A137="","",ROUND(MAX(0,N(F137)*($K$6+$W$7)-K137),2))</f>
        <v/>
      </c>
      <c r="AB137" s="85" t="str">
        <f>IF(A137="","",IF(AND(M137&gt;0,M137&gt;=p_DifMin),AA137,0))</f>
        <v/>
      </c>
      <c r="AC137" s="85" t="str">
        <f>IF(A137="","",IF(AND(AB137&gt;0,N(O137)&lt;=p_MaxAtivos),AB137,0))</f>
        <v/>
      </c>
      <c r="AD137" s="85" t="str">
        <f>IF(A137="","",IF(OR(Q137&lt;=0,Q137&lt;p_CompraMin,N(H137)&lt;=0,N(W137)&lt;=0),0,IF($W$3="Sim",TRUNC(ROUND(MAX(0,(Q137-p_CorrFixa)/(H137*W137*$W$6)),9),$W$4),TRUNC(ROUND(MAX(0,(Q137-p_CorrFixa)/(H137*W137*$W$6)),9)/$W$5)*$W$5)))</f>
        <v/>
      </c>
      <c r="AE137" s="85" t="str">
        <f>IF(A137="","",IF(N(AD137)&gt;0,AD137*H137*W137*$W$6+p_CorrFixa,0))</f>
        <v/>
      </c>
      <c r="AF137" s="85" t="str">
        <f>IF(A137="","",IF(OR($Y$1&lt;=0,N(H137)&lt;=0,N(W137)&lt;=0,N(AB137)&lt;=0),0,IF($W$3="Sim",TRUNC(ROUND(MAX(0,($Y$1-IF(N(AD137)&gt;0,0,p_CorrFixa))/(H137*W137*$W$6)),9),$W$4),TRUNC(ROUND(MAX(0,($Y$1-IF(N(AD137)&gt;0,0,p_CorrFixa))/(H137*W137*$W$6)),9)/$W$5)*$W$5)))</f>
        <v/>
      </c>
      <c r="AG137" s="85" t="str">
        <f>IF(A137="","",IF(AND(N(AD137)=0,N(AF137)*(H137*W137*$W$6)+p_CorrFixa&lt;p_CompraMin),0,AF137))</f>
        <v/>
      </c>
      <c r="AH137" s="85" t="str">
        <f>IF(A137="","",IF(N(AG137)&gt;0,AB137,0))</f>
        <v/>
      </c>
      <c r="AI137" s="85" t="str">
        <f>IF(A137="","",IF(AND(AH137&gt;0,AH137=$AH$6,COUNTIF($AH$9:AH137,AH137)=1),1,0))</f>
        <v/>
      </c>
    </row>
    <row r="138">
      <c r="A138" s="96" t="n"/>
      <c r="B138" s="96" t="n"/>
      <c r="C138" s="96" t="n"/>
      <c r="D138" s="97" t="n"/>
      <c r="E138" s="98" t="n"/>
      <c r="F138" s="99" t="n"/>
      <c r="G138" s="100" t="n"/>
      <c r="H138" s="104" t="str">
        <f>IF(A138="","",IF(AND(p_ModoCot="Automático",ISNUMBER(Z138)),Z138,IF(N(G138)&gt;0,G138,0)))</f>
        <v/>
      </c>
      <c r="I138" s="105" t="str">
        <f>IF(A138="","",IF(W138=0,"Sem câmbio",IF(AND(p_ModoCot="Automático",ISNUMBER(Z138)),"Auto",IF(N(G138)&gt;0,"Manual","Sem cotação"))))</f>
        <v/>
      </c>
      <c r="J138" s="106" t="str">
        <f>IF(A138="","",N(E138)*H138)</f>
        <v/>
      </c>
      <c r="K138" s="107" t="str">
        <f>IF(A138="","",J138*W138)</f>
        <v/>
      </c>
      <c r="L138" s="108" t="str">
        <f>IF(A138="","",IF($K$6&gt;0,K138/$K$6,0))</f>
        <v/>
      </c>
      <c r="M138" s="109" t="str">
        <f>IF(A138="","",N(F138)-L138)</f>
        <v/>
      </c>
      <c r="N138" s="108" t="str">
        <f>IF(A138="","",IF($AB$6&gt;0,AB138/$AB$6,0))</f>
        <v/>
      </c>
      <c r="O138" s="110" t="str">
        <f>IF(A138="","",IF(AB138&lt;=0,"",COUNTIF($AB$9:$AB$208,"&gt;"&amp;AB138)+COUNTIF($AB$9:AB138,AB138)))</f>
        <v/>
      </c>
      <c r="P138" s="105" t="str">
        <f>IF(A138="","",IF(Q138&gt;0,"BUY","HOLD"))</f>
        <v/>
      </c>
      <c r="Q138" s="107" t="str">
        <f>IF(A138="","",IF($W$7&lt;=0,0,IF($AC$6&gt;0,$W$7*AC138/$AC$6,IF($F$6&gt;0,$W$7*N(F138)/$F$6,0))))</f>
        <v/>
      </c>
      <c r="R138" s="111" t="str">
        <f>IF(A138="","",N(AD138)+IF(AI138=1,N(AG138),0))</f>
        <v/>
      </c>
      <c r="S138" s="111" t="str">
        <f>IF(A138="","",N(E138)+N(R138))</f>
        <v/>
      </c>
      <c r="T138" s="107" t="str">
        <f>IF(A138="","",IF(N(R138)&gt;0,R138*H138*W138*$W$6+p_CorrFixa,0))</f>
        <v/>
      </c>
      <c r="V138" s="85" t="str">
        <f>IF(A138="","",IF(D138="",$W$1,D138))</f>
        <v/>
      </c>
      <c r="W138" s="85" t="str">
        <f>IF(A138="","",IFERROR(INDEX(moeda_fx,MATCH(V138,moeda_cod,0)),0))</f>
        <v/>
      </c>
      <c r="X138" s="85" t="str">
        <f>IF(A138="","",IF($W$2="",UPPER(TRIM(A138)),IF(RIGHT(UPPER(TRIM(A138)),LEN($W$2))=$W$2,UPPER(TRIM(A138)),UPPER(TRIM(A138))&amp;$W$2)))</f>
        <v/>
      </c>
      <c r="Y138" s="85" t="str">
        <f>IF(OR(A138="",p_ModoCot&lt;&gt;"Automático"),"",IFERROR(_xlfn.WEBSERVICE("https://query1.finance.yahoo.com/v8/finance/chart/"&amp;X138&amp;"?range=1d&amp;interval=1d"),""))</f>
        <v/>
      </c>
      <c r="Z138" s="85" t="str">
        <f>IF(Y138="","",IFERROR(_xlfn.NUMBERVALUE(MID(Y138,SEARCH("""regularMarketPrice"":",Y138)+21,SEARCH(",",Y138&amp;",",SEARCH("""regularMarketPrice"":",Y138)+21)-SEARCH("""regularMarketPrice"":",Y138)-21),".",","),""))</f>
        <v/>
      </c>
      <c r="AA138" s="85" t="str">
        <f>IF(A138="","",ROUND(MAX(0,N(F138)*($K$6+$W$7)-K138),2))</f>
        <v/>
      </c>
      <c r="AB138" s="85" t="str">
        <f>IF(A138="","",IF(AND(M138&gt;0,M138&gt;=p_DifMin),AA138,0))</f>
        <v/>
      </c>
      <c r="AC138" s="85" t="str">
        <f>IF(A138="","",IF(AND(AB138&gt;0,N(O138)&lt;=p_MaxAtivos),AB138,0))</f>
        <v/>
      </c>
      <c r="AD138" s="85" t="str">
        <f>IF(A138="","",IF(OR(Q138&lt;=0,Q138&lt;p_CompraMin,N(H138)&lt;=0,N(W138)&lt;=0),0,IF($W$3="Sim",TRUNC(ROUND(MAX(0,(Q138-p_CorrFixa)/(H138*W138*$W$6)),9),$W$4),TRUNC(ROUND(MAX(0,(Q138-p_CorrFixa)/(H138*W138*$W$6)),9)/$W$5)*$W$5)))</f>
        <v/>
      </c>
      <c r="AE138" s="85" t="str">
        <f>IF(A138="","",IF(N(AD138)&gt;0,AD138*H138*W138*$W$6+p_CorrFixa,0))</f>
        <v/>
      </c>
      <c r="AF138" s="85" t="str">
        <f>IF(A138="","",IF(OR($Y$1&lt;=0,N(H138)&lt;=0,N(W138)&lt;=0,N(AB138)&lt;=0),0,IF($W$3="Sim",TRUNC(ROUND(MAX(0,($Y$1-IF(N(AD138)&gt;0,0,p_CorrFixa))/(H138*W138*$W$6)),9),$W$4),TRUNC(ROUND(MAX(0,($Y$1-IF(N(AD138)&gt;0,0,p_CorrFixa))/(H138*W138*$W$6)),9)/$W$5)*$W$5)))</f>
        <v/>
      </c>
      <c r="AG138" s="85" t="str">
        <f>IF(A138="","",IF(AND(N(AD138)=0,N(AF138)*(H138*W138*$W$6)+p_CorrFixa&lt;p_CompraMin),0,AF138))</f>
        <v/>
      </c>
      <c r="AH138" s="85" t="str">
        <f>IF(A138="","",IF(N(AG138)&gt;0,AB138,0))</f>
        <v/>
      </c>
      <c r="AI138" s="85" t="str">
        <f>IF(A138="","",IF(AND(AH138&gt;0,AH138=$AH$6,COUNTIF($AH$9:AH138,AH138)=1),1,0))</f>
        <v/>
      </c>
    </row>
    <row r="139">
      <c r="A139" s="96" t="n"/>
      <c r="B139" s="96" t="n"/>
      <c r="C139" s="96" t="n"/>
      <c r="D139" s="97" t="n"/>
      <c r="E139" s="98" t="n"/>
      <c r="F139" s="99" t="n"/>
      <c r="G139" s="100" t="n"/>
      <c r="H139" s="101" t="str">
        <f>IF(A139="","",IF(AND(p_ModoCot="Automático",ISNUMBER(Z139)),Z139,IF(N(G139)&gt;0,G139,0)))</f>
        <v/>
      </c>
      <c r="I139" s="73" t="str">
        <f>IF(A139="","",IF(W139=0,"Sem câmbio",IF(AND(p_ModoCot="Automático",ISNUMBER(Z139)),"Auto",IF(N(G139)&gt;0,"Manual","Sem cotação"))))</f>
        <v/>
      </c>
      <c r="J139" s="102" t="str">
        <f>IF(A139="","",N(E139)*H139)</f>
        <v/>
      </c>
      <c r="K139" s="70" t="str">
        <f>IF(A139="","",J139*W139)</f>
        <v/>
      </c>
      <c r="L139" s="30" t="str">
        <f>IF(A139="","",IF($K$6&gt;0,K139/$K$6,0))</f>
        <v/>
      </c>
      <c r="M139" s="72" t="str">
        <f>IF(A139="","",N(F139)-L139)</f>
        <v/>
      </c>
      <c r="N139" s="30" t="str">
        <f>IF(A139="","",IF($AB$6&gt;0,AB139/$AB$6,0))</f>
        <v/>
      </c>
      <c r="O139" s="74" t="str">
        <f>IF(A139="","",IF(AB139&lt;=0,"",COUNTIF($AB$9:$AB$208,"&gt;"&amp;AB139)+COUNTIF($AB$9:AB139,AB139)))</f>
        <v/>
      </c>
      <c r="P139" s="73" t="str">
        <f>IF(A139="","",IF(Q139&gt;0,"BUY","HOLD"))</f>
        <v/>
      </c>
      <c r="Q139" s="70" t="str">
        <f>IF(A139="","",IF($W$7&lt;=0,0,IF($AC$6&gt;0,$W$7*AC139/$AC$6,IF($F$6&gt;0,$W$7*N(F139)/$F$6,0))))</f>
        <v/>
      </c>
      <c r="R139" s="103" t="str">
        <f>IF(A139="","",N(AD139)+IF(AI139=1,N(AG139),0))</f>
        <v/>
      </c>
      <c r="S139" s="103" t="str">
        <f>IF(A139="","",N(E139)+N(R139))</f>
        <v/>
      </c>
      <c r="T139" s="70" t="str">
        <f>IF(A139="","",IF(N(R139)&gt;0,R139*H139*W139*$W$6+p_CorrFixa,0))</f>
        <v/>
      </c>
      <c r="V139" s="85" t="str">
        <f>IF(A139="","",IF(D139="",$W$1,D139))</f>
        <v/>
      </c>
      <c r="W139" s="85" t="str">
        <f>IF(A139="","",IFERROR(INDEX(moeda_fx,MATCH(V139,moeda_cod,0)),0))</f>
        <v/>
      </c>
      <c r="X139" s="85" t="str">
        <f>IF(A139="","",IF($W$2="",UPPER(TRIM(A139)),IF(RIGHT(UPPER(TRIM(A139)),LEN($W$2))=$W$2,UPPER(TRIM(A139)),UPPER(TRIM(A139))&amp;$W$2)))</f>
        <v/>
      </c>
      <c r="Y139" s="85" t="str">
        <f>IF(OR(A139="",p_ModoCot&lt;&gt;"Automático"),"",IFERROR(_xlfn.WEBSERVICE("https://query1.finance.yahoo.com/v8/finance/chart/"&amp;X139&amp;"?range=1d&amp;interval=1d"),""))</f>
        <v/>
      </c>
      <c r="Z139" s="85" t="str">
        <f>IF(Y139="","",IFERROR(_xlfn.NUMBERVALUE(MID(Y139,SEARCH("""regularMarketPrice"":",Y139)+21,SEARCH(",",Y139&amp;",",SEARCH("""regularMarketPrice"":",Y139)+21)-SEARCH("""regularMarketPrice"":",Y139)-21),".",","),""))</f>
        <v/>
      </c>
      <c r="AA139" s="85" t="str">
        <f>IF(A139="","",ROUND(MAX(0,N(F139)*($K$6+$W$7)-K139),2))</f>
        <v/>
      </c>
      <c r="AB139" s="85" t="str">
        <f>IF(A139="","",IF(AND(M139&gt;0,M139&gt;=p_DifMin),AA139,0))</f>
        <v/>
      </c>
      <c r="AC139" s="85" t="str">
        <f>IF(A139="","",IF(AND(AB139&gt;0,N(O139)&lt;=p_MaxAtivos),AB139,0))</f>
        <v/>
      </c>
      <c r="AD139" s="85" t="str">
        <f>IF(A139="","",IF(OR(Q139&lt;=0,Q139&lt;p_CompraMin,N(H139)&lt;=0,N(W139)&lt;=0),0,IF($W$3="Sim",TRUNC(ROUND(MAX(0,(Q139-p_CorrFixa)/(H139*W139*$W$6)),9),$W$4),TRUNC(ROUND(MAX(0,(Q139-p_CorrFixa)/(H139*W139*$W$6)),9)/$W$5)*$W$5)))</f>
        <v/>
      </c>
      <c r="AE139" s="85" t="str">
        <f>IF(A139="","",IF(N(AD139)&gt;0,AD139*H139*W139*$W$6+p_CorrFixa,0))</f>
        <v/>
      </c>
      <c r="AF139" s="85" t="str">
        <f>IF(A139="","",IF(OR($Y$1&lt;=0,N(H139)&lt;=0,N(W139)&lt;=0,N(AB139)&lt;=0),0,IF($W$3="Sim",TRUNC(ROUND(MAX(0,($Y$1-IF(N(AD139)&gt;0,0,p_CorrFixa))/(H139*W139*$W$6)),9),$W$4),TRUNC(ROUND(MAX(0,($Y$1-IF(N(AD139)&gt;0,0,p_CorrFixa))/(H139*W139*$W$6)),9)/$W$5)*$W$5)))</f>
        <v/>
      </c>
      <c r="AG139" s="85" t="str">
        <f>IF(A139="","",IF(AND(N(AD139)=0,N(AF139)*(H139*W139*$W$6)+p_CorrFixa&lt;p_CompraMin),0,AF139))</f>
        <v/>
      </c>
      <c r="AH139" s="85" t="str">
        <f>IF(A139="","",IF(N(AG139)&gt;0,AB139,0))</f>
        <v/>
      </c>
      <c r="AI139" s="85" t="str">
        <f>IF(A139="","",IF(AND(AH139&gt;0,AH139=$AH$6,COUNTIF($AH$9:AH139,AH139)=1),1,0))</f>
        <v/>
      </c>
    </row>
    <row r="140">
      <c r="A140" s="96" t="n"/>
      <c r="B140" s="96" t="n"/>
      <c r="C140" s="96" t="n"/>
      <c r="D140" s="97" t="n"/>
      <c r="E140" s="98" t="n"/>
      <c r="F140" s="99" t="n"/>
      <c r="G140" s="100" t="n"/>
      <c r="H140" s="104" t="str">
        <f>IF(A140="","",IF(AND(p_ModoCot="Automático",ISNUMBER(Z140)),Z140,IF(N(G140)&gt;0,G140,0)))</f>
        <v/>
      </c>
      <c r="I140" s="105" t="str">
        <f>IF(A140="","",IF(W140=0,"Sem câmbio",IF(AND(p_ModoCot="Automático",ISNUMBER(Z140)),"Auto",IF(N(G140)&gt;0,"Manual","Sem cotação"))))</f>
        <v/>
      </c>
      <c r="J140" s="106" t="str">
        <f>IF(A140="","",N(E140)*H140)</f>
        <v/>
      </c>
      <c r="K140" s="107" t="str">
        <f>IF(A140="","",J140*W140)</f>
        <v/>
      </c>
      <c r="L140" s="108" t="str">
        <f>IF(A140="","",IF($K$6&gt;0,K140/$K$6,0))</f>
        <v/>
      </c>
      <c r="M140" s="109" t="str">
        <f>IF(A140="","",N(F140)-L140)</f>
        <v/>
      </c>
      <c r="N140" s="108" t="str">
        <f>IF(A140="","",IF($AB$6&gt;0,AB140/$AB$6,0))</f>
        <v/>
      </c>
      <c r="O140" s="110" t="str">
        <f>IF(A140="","",IF(AB140&lt;=0,"",COUNTIF($AB$9:$AB$208,"&gt;"&amp;AB140)+COUNTIF($AB$9:AB140,AB140)))</f>
        <v/>
      </c>
      <c r="P140" s="105" t="str">
        <f>IF(A140="","",IF(Q140&gt;0,"BUY","HOLD"))</f>
        <v/>
      </c>
      <c r="Q140" s="107" t="str">
        <f>IF(A140="","",IF($W$7&lt;=0,0,IF($AC$6&gt;0,$W$7*AC140/$AC$6,IF($F$6&gt;0,$W$7*N(F140)/$F$6,0))))</f>
        <v/>
      </c>
      <c r="R140" s="111" t="str">
        <f>IF(A140="","",N(AD140)+IF(AI140=1,N(AG140),0))</f>
        <v/>
      </c>
      <c r="S140" s="111" t="str">
        <f>IF(A140="","",N(E140)+N(R140))</f>
        <v/>
      </c>
      <c r="T140" s="107" t="str">
        <f>IF(A140="","",IF(N(R140)&gt;0,R140*H140*W140*$W$6+p_CorrFixa,0))</f>
        <v/>
      </c>
      <c r="V140" s="85" t="str">
        <f>IF(A140="","",IF(D140="",$W$1,D140))</f>
        <v/>
      </c>
      <c r="W140" s="85" t="str">
        <f>IF(A140="","",IFERROR(INDEX(moeda_fx,MATCH(V140,moeda_cod,0)),0))</f>
        <v/>
      </c>
      <c r="X140" s="85" t="str">
        <f>IF(A140="","",IF($W$2="",UPPER(TRIM(A140)),IF(RIGHT(UPPER(TRIM(A140)),LEN($W$2))=$W$2,UPPER(TRIM(A140)),UPPER(TRIM(A140))&amp;$W$2)))</f>
        <v/>
      </c>
      <c r="Y140" s="85" t="str">
        <f>IF(OR(A140="",p_ModoCot&lt;&gt;"Automático"),"",IFERROR(_xlfn.WEBSERVICE("https://query1.finance.yahoo.com/v8/finance/chart/"&amp;X140&amp;"?range=1d&amp;interval=1d"),""))</f>
        <v/>
      </c>
      <c r="Z140" s="85" t="str">
        <f>IF(Y140="","",IFERROR(_xlfn.NUMBERVALUE(MID(Y140,SEARCH("""regularMarketPrice"":",Y140)+21,SEARCH(",",Y140&amp;",",SEARCH("""regularMarketPrice"":",Y140)+21)-SEARCH("""regularMarketPrice"":",Y140)-21),".",","),""))</f>
        <v/>
      </c>
      <c r="AA140" s="85" t="str">
        <f>IF(A140="","",ROUND(MAX(0,N(F140)*($K$6+$W$7)-K140),2))</f>
        <v/>
      </c>
      <c r="AB140" s="85" t="str">
        <f>IF(A140="","",IF(AND(M140&gt;0,M140&gt;=p_DifMin),AA140,0))</f>
        <v/>
      </c>
      <c r="AC140" s="85" t="str">
        <f>IF(A140="","",IF(AND(AB140&gt;0,N(O140)&lt;=p_MaxAtivos),AB140,0))</f>
        <v/>
      </c>
      <c r="AD140" s="85" t="str">
        <f>IF(A140="","",IF(OR(Q140&lt;=0,Q140&lt;p_CompraMin,N(H140)&lt;=0,N(W140)&lt;=0),0,IF($W$3="Sim",TRUNC(ROUND(MAX(0,(Q140-p_CorrFixa)/(H140*W140*$W$6)),9),$W$4),TRUNC(ROUND(MAX(0,(Q140-p_CorrFixa)/(H140*W140*$W$6)),9)/$W$5)*$W$5)))</f>
        <v/>
      </c>
      <c r="AE140" s="85" t="str">
        <f>IF(A140="","",IF(N(AD140)&gt;0,AD140*H140*W140*$W$6+p_CorrFixa,0))</f>
        <v/>
      </c>
      <c r="AF140" s="85" t="str">
        <f>IF(A140="","",IF(OR($Y$1&lt;=0,N(H140)&lt;=0,N(W140)&lt;=0,N(AB140)&lt;=0),0,IF($W$3="Sim",TRUNC(ROUND(MAX(0,($Y$1-IF(N(AD140)&gt;0,0,p_CorrFixa))/(H140*W140*$W$6)),9),$W$4),TRUNC(ROUND(MAX(0,($Y$1-IF(N(AD140)&gt;0,0,p_CorrFixa))/(H140*W140*$W$6)),9)/$W$5)*$W$5)))</f>
        <v/>
      </c>
      <c r="AG140" s="85" t="str">
        <f>IF(A140="","",IF(AND(N(AD140)=0,N(AF140)*(H140*W140*$W$6)+p_CorrFixa&lt;p_CompraMin),0,AF140))</f>
        <v/>
      </c>
      <c r="AH140" s="85" t="str">
        <f>IF(A140="","",IF(N(AG140)&gt;0,AB140,0))</f>
        <v/>
      </c>
      <c r="AI140" s="85" t="str">
        <f>IF(A140="","",IF(AND(AH140&gt;0,AH140=$AH$6,COUNTIF($AH$9:AH140,AH140)=1),1,0))</f>
        <v/>
      </c>
    </row>
    <row r="141">
      <c r="A141" s="96" t="n"/>
      <c r="B141" s="96" t="n"/>
      <c r="C141" s="96" t="n"/>
      <c r="D141" s="97" t="n"/>
      <c r="E141" s="98" t="n"/>
      <c r="F141" s="99" t="n"/>
      <c r="G141" s="100" t="n"/>
      <c r="H141" s="101" t="str">
        <f>IF(A141="","",IF(AND(p_ModoCot="Automático",ISNUMBER(Z141)),Z141,IF(N(G141)&gt;0,G141,0)))</f>
        <v/>
      </c>
      <c r="I141" s="73" t="str">
        <f>IF(A141="","",IF(W141=0,"Sem câmbio",IF(AND(p_ModoCot="Automático",ISNUMBER(Z141)),"Auto",IF(N(G141)&gt;0,"Manual","Sem cotação"))))</f>
        <v/>
      </c>
      <c r="J141" s="102" t="str">
        <f>IF(A141="","",N(E141)*H141)</f>
        <v/>
      </c>
      <c r="K141" s="70" t="str">
        <f>IF(A141="","",J141*W141)</f>
        <v/>
      </c>
      <c r="L141" s="30" t="str">
        <f>IF(A141="","",IF($K$6&gt;0,K141/$K$6,0))</f>
        <v/>
      </c>
      <c r="M141" s="72" t="str">
        <f>IF(A141="","",N(F141)-L141)</f>
        <v/>
      </c>
      <c r="N141" s="30" t="str">
        <f>IF(A141="","",IF($AB$6&gt;0,AB141/$AB$6,0))</f>
        <v/>
      </c>
      <c r="O141" s="74" t="str">
        <f>IF(A141="","",IF(AB141&lt;=0,"",COUNTIF($AB$9:$AB$208,"&gt;"&amp;AB141)+COUNTIF($AB$9:AB141,AB141)))</f>
        <v/>
      </c>
      <c r="P141" s="73" t="str">
        <f>IF(A141="","",IF(Q141&gt;0,"BUY","HOLD"))</f>
        <v/>
      </c>
      <c r="Q141" s="70" t="str">
        <f>IF(A141="","",IF($W$7&lt;=0,0,IF($AC$6&gt;0,$W$7*AC141/$AC$6,IF($F$6&gt;0,$W$7*N(F141)/$F$6,0))))</f>
        <v/>
      </c>
      <c r="R141" s="103" t="str">
        <f>IF(A141="","",N(AD141)+IF(AI141=1,N(AG141),0))</f>
        <v/>
      </c>
      <c r="S141" s="103" t="str">
        <f>IF(A141="","",N(E141)+N(R141))</f>
        <v/>
      </c>
      <c r="T141" s="70" t="str">
        <f>IF(A141="","",IF(N(R141)&gt;0,R141*H141*W141*$W$6+p_CorrFixa,0))</f>
        <v/>
      </c>
      <c r="V141" s="85" t="str">
        <f>IF(A141="","",IF(D141="",$W$1,D141))</f>
        <v/>
      </c>
      <c r="W141" s="85" t="str">
        <f>IF(A141="","",IFERROR(INDEX(moeda_fx,MATCH(V141,moeda_cod,0)),0))</f>
        <v/>
      </c>
      <c r="X141" s="85" t="str">
        <f>IF(A141="","",IF($W$2="",UPPER(TRIM(A141)),IF(RIGHT(UPPER(TRIM(A141)),LEN($W$2))=$W$2,UPPER(TRIM(A141)),UPPER(TRIM(A141))&amp;$W$2)))</f>
        <v/>
      </c>
      <c r="Y141" s="85" t="str">
        <f>IF(OR(A141="",p_ModoCot&lt;&gt;"Automático"),"",IFERROR(_xlfn.WEBSERVICE("https://query1.finance.yahoo.com/v8/finance/chart/"&amp;X141&amp;"?range=1d&amp;interval=1d"),""))</f>
        <v/>
      </c>
      <c r="Z141" s="85" t="str">
        <f>IF(Y141="","",IFERROR(_xlfn.NUMBERVALUE(MID(Y141,SEARCH("""regularMarketPrice"":",Y141)+21,SEARCH(",",Y141&amp;",",SEARCH("""regularMarketPrice"":",Y141)+21)-SEARCH("""regularMarketPrice"":",Y141)-21),".",","),""))</f>
        <v/>
      </c>
      <c r="AA141" s="85" t="str">
        <f>IF(A141="","",ROUND(MAX(0,N(F141)*($K$6+$W$7)-K141),2))</f>
        <v/>
      </c>
      <c r="AB141" s="85" t="str">
        <f>IF(A141="","",IF(AND(M141&gt;0,M141&gt;=p_DifMin),AA141,0))</f>
        <v/>
      </c>
      <c r="AC141" s="85" t="str">
        <f>IF(A141="","",IF(AND(AB141&gt;0,N(O141)&lt;=p_MaxAtivos),AB141,0))</f>
        <v/>
      </c>
      <c r="AD141" s="85" t="str">
        <f>IF(A141="","",IF(OR(Q141&lt;=0,Q141&lt;p_CompraMin,N(H141)&lt;=0,N(W141)&lt;=0),0,IF($W$3="Sim",TRUNC(ROUND(MAX(0,(Q141-p_CorrFixa)/(H141*W141*$W$6)),9),$W$4),TRUNC(ROUND(MAX(0,(Q141-p_CorrFixa)/(H141*W141*$W$6)),9)/$W$5)*$W$5)))</f>
        <v/>
      </c>
      <c r="AE141" s="85" t="str">
        <f>IF(A141="","",IF(N(AD141)&gt;0,AD141*H141*W141*$W$6+p_CorrFixa,0))</f>
        <v/>
      </c>
      <c r="AF141" s="85" t="str">
        <f>IF(A141="","",IF(OR($Y$1&lt;=0,N(H141)&lt;=0,N(W141)&lt;=0,N(AB141)&lt;=0),0,IF($W$3="Sim",TRUNC(ROUND(MAX(0,($Y$1-IF(N(AD141)&gt;0,0,p_CorrFixa))/(H141*W141*$W$6)),9),$W$4),TRUNC(ROUND(MAX(0,($Y$1-IF(N(AD141)&gt;0,0,p_CorrFixa))/(H141*W141*$W$6)),9)/$W$5)*$W$5)))</f>
        <v/>
      </c>
      <c r="AG141" s="85" t="str">
        <f>IF(A141="","",IF(AND(N(AD141)=0,N(AF141)*(H141*W141*$W$6)+p_CorrFixa&lt;p_CompraMin),0,AF141))</f>
        <v/>
      </c>
      <c r="AH141" s="85" t="str">
        <f>IF(A141="","",IF(N(AG141)&gt;0,AB141,0))</f>
        <v/>
      </c>
      <c r="AI141" s="85" t="str">
        <f>IF(A141="","",IF(AND(AH141&gt;0,AH141=$AH$6,COUNTIF($AH$9:AH141,AH141)=1),1,0))</f>
        <v/>
      </c>
    </row>
    <row r="142">
      <c r="A142" s="96" t="n"/>
      <c r="B142" s="96" t="n"/>
      <c r="C142" s="96" t="n"/>
      <c r="D142" s="97" t="n"/>
      <c r="E142" s="98" t="n"/>
      <c r="F142" s="99" t="n"/>
      <c r="G142" s="100" t="n"/>
      <c r="H142" s="104" t="str">
        <f>IF(A142="","",IF(AND(p_ModoCot="Automático",ISNUMBER(Z142)),Z142,IF(N(G142)&gt;0,G142,0)))</f>
        <v/>
      </c>
      <c r="I142" s="105" t="str">
        <f>IF(A142="","",IF(W142=0,"Sem câmbio",IF(AND(p_ModoCot="Automático",ISNUMBER(Z142)),"Auto",IF(N(G142)&gt;0,"Manual","Sem cotação"))))</f>
        <v/>
      </c>
      <c r="J142" s="106" t="str">
        <f>IF(A142="","",N(E142)*H142)</f>
        <v/>
      </c>
      <c r="K142" s="107" t="str">
        <f>IF(A142="","",J142*W142)</f>
        <v/>
      </c>
      <c r="L142" s="108" t="str">
        <f>IF(A142="","",IF($K$6&gt;0,K142/$K$6,0))</f>
        <v/>
      </c>
      <c r="M142" s="109" t="str">
        <f>IF(A142="","",N(F142)-L142)</f>
        <v/>
      </c>
      <c r="N142" s="108" t="str">
        <f>IF(A142="","",IF($AB$6&gt;0,AB142/$AB$6,0))</f>
        <v/>
      </c>
      <c r="O142" s="110" t="str">
        <f>IF(A142="","",IF(AB142&lt;=0,"",COUNTIF($AB$9:$AB$208,"&gt;"&amp;AB142)+COUNTIF($AB$9:AB142,AB142)))</f>
        <v/>
      </c>
      <c r="P142" s="105" t="str">
        <f>IF(A142="","",IF(Q142&gt;0,"BUY","HOLD"))</f>
        <v/>
      </c>
      <c r="Q142" s="107" t="str">
        <f>IF(A142="","",IF($W$7&lt;=0,0,IF($AC$6&gt;0,$W$7*AC142/$AC$6,IF($F$6&gt;0,$W$7*N(F142)/$F$6,0))))</f>
        <v/>
      </c>
      <c r="R142" s="111" t="str">
        <f>IF(A142="","",N(AD142)+IF(AI142=1,N(AG142),0))</f>
        <v/>
      </c>
      <c r="S142" s="111" t="str">
        <f>IF(A142="","",N(E142)+N(R142))</f>
        <v/>
      </c>
      <c r="T142" s="107" t="str">
        <f>IF(A142="","",IF(N(R142)&gt;0,R142*H142*W142*$W$6+p_CorrFixa,0))</f>
        <v/>
      </c>
      <c r="V142" s="85" t="str">
        <f>IF(A142="","",IF(D142="",$W$1,D142))</f>
        <v/>
      </c>
      <c r="W142" s="85" t="str">
        <f>IF(A142="","",IFERROR(INDEX(moeda_fx,MATCH(V142,moeda_cod,0)),0))</f>
        <v/>
      </c>
      <c r="X142" s="85" t="str">
        <f>IF(A142="","",IF($W$2="",UPPER(TRIM(A142)),IF(RIGHT(UPPER(TRIM(A142)),LEN($W$2))=$W$2,UPPER(TRIM(A142)),UPPER(TRIM(A142))&amp;$W$2)))</f>
        <v/>
      </c>
      <c r="Y142" s="85" t="str">
        <f>IF(OR(A142="",p_ModoCot&lt;&gt;"Automático"),"",IFERROR(_xlfn.WEBSERVICE("https://query1.finance.yahoo.com/v8/finance/chart/"&amp;X142&amp;"?range=1d&amp;interval=1d"),""))</f>
        <v/>
      </c>
      <c r="Z142" s="85" t="str">
        <f>IF(Y142="","",IFERROR(_xlfn.NUMBERVALUE(MID(Y142,SEARCH("""regularMarketPrice"":",Y142)+21,SEARCH(",",Y142&amp;",",SEARCH("""regularMarketPrice"":",Y142)+21)-SEARCH("""regularMarketPrice"":",Y142)-21),".",","),""))</f>
        <v/>
      </c>
      <c r="AA142" s="85" t="str">
        <f>IF(A142="","",ROUND(MAX(0,N(F142)*($K$6+$W$7)-K142),2))</f>
        <v/>
      </c>
      <c r="AB142" s="85" t="str">
        <f>IF(A142="","",IF(AND(M142&gt;0,M142&gt;=p_DifMin),AA142,0))</f>
        <v/>
      </c>
      <c r="AC142" s="85" t="str">
        <f>IF(A142="","",IF(AND(AB142&gt;0,N(O142)&lt;=p_MaxAtivos),AB142,0))</f>
        <v/>
      </c>
      <c r="AD142" s="85" t="str">
        <f>IF(A142="","",IF(OR(Q142&lt;=0,Q142&lt;p_CompraMin,N(H142)&lt;=0,N(W142)&lt;=0),0,IF($W$3="Sim",TRUNC(ROUND(MAX(0,(Q142-p_CorrFixa)/(H142*W142*$W$6)),9),$W$4),TRUNC(ROUND(MAX(0,(Q142-p_CorrFixa)/(H142*W142*$W$6)),9)/$W$5)*$W$5)))</f>
        <v/>
      </c>
      <c r="AE142" s="85" t="str">
        <f>IF(A142="","",IF(N(AD142)&gt;0,AD142*H142*W142*$W$6+p_CorrFixa,0))</f>
        <v/>
      </c>
      <c r="AF142" s="85" t="str">
        <f>IF(A142="","",IF(OR($Y$1&lt;=0,N(H142)&lt;=0,N(W142)&lt;=0,N(AB142)&lt;=0),0,IF($W$3="Sim",TRUNC(ROUND(MAX(0,($Y$1-IF(N(AD142)&gt;0,0,p_CorrFixa))/(H142*W142*$W$6)),9),$W$4),TRUNC(ROUND(MAX(0,($Y$1-IF(N(AD142)&gt;0,0,p_CorrFixa))/(H142*W142*$W$6)),9)/$W$5)*$W$5)))</f>
        <v/>
      </c>
      <c r="AG142" s="85" t="str">
        <f>IF(A142="","",IF(AND(N(AD142)=0,N(AF142)*(H142*W142*$W$6)+p_CorrFixa&lt;p_CompraMin),0,AF142))</f>
        <v/>
      </c>
      <c r="AH142" s="85" t="str">
        <f>IF(A142="","",IF(N(AG142)&gt;0,AB142,0))</f>
        <v/>
      </c>
      <c r="AI142" s="85" t="str">
        <f>IF(A142="","",IF(AND(AH142&gt;0,AH142=$AH$6,COUNTIF($AH$9:AH142,AH142)=1),1,0))</f>
        <v/>
      </c>
    </row>
    <row r="143">
      <c r="A143" s="96" t="n"/>
      <c r="B143" s="96" t="n"/>
      <c r="C143" s="96" t="n"/>
      <c r="D143" s="97" t="n"/>
      <c r="E143" s="98" t="n"/>
      <c r="F143" s="99" t="n"/>
      <c r="G143" s="100" t="n"/>
      <c r="H143" s="101" t="str">
        <f>IF(A143="","",IF(AND(p_ModoCot="Automático",ISNUMBER(Z143)),Z143,IF(N(G143)&gt;0,G143,0)))</f>
        <v/>
      </c>
      <c r="I143" s="73" t="str">
        <f>IF(A143="","",IF(W143=0,"Sem câmbio",IF(AND(p_ModoCot="Automático",ISNUMBER(Z143)),"Auto",IF(N(G143)&gt;0,"Manual","Sem cotação"))))</f>
        <v/>
      </c>
      <c r="J143" s="102" t="str">
        <f>IF(A143="","",N(E143)*H143)</f>
        <v/>
      </c>
      <c r="K143" s="70" t="str">
        <f>IF(A143="","",J143*W143)</f>
        <v/>
      </c>
      <c r="L143" s="30" t="str">
        <f>IF(A143="","",IF($K$6&gt;0,K143/$K$6,0))</f>
        <v/>
      </c>
      <c r="M143" s="72" t="str">
        <f>IF(A143="","",N(F143)-L143)</f>
        <v/>
      </c>
      <c r="N143" s="30" t="str">
        <f>IF(A143="","",IF($AB$6&gt;0,AB143/$AB$6,0))</f>
        <v/>
      </c>
      <c r="O143" s="74" t="str">
        <f>IF(A143="","",IF(AB143&lt;=0,"",COUNTIF($AB$9:$AB$208,"&gt;"&amp;AB143)+COUNTIF($AB$9:AB143,AB143)))</f>
        <v/>
      </c>
      <c r="P143" s="73" t="str">
        <f>IF(A143="","",IF(Q143&gt;0,"BUY","HOLD"))</f>
        <v/>
      </c>
      <c r="Q143" s="70" t="str">
        <f>IF(A143="","",IF($W$7&lt;=0,0,IF($AC$6&gt;0,$W$7*AC143/$AC$6,IF($F$6&gt;0,$W$7*N(F143)/$F$6,0))))</f>
        <v/>
      </c>
      <c r="R143" s="103" t="str">
        <f>IF(A143="","",N(AD143)+IF(AI143=1,N(AG143),0))</f>
        <v/>
      </c>
      <c r="S143" s="103" t="str">
        <f>IF(A143="","",N(E143)+N(R143))</f>
        <v/>
      </c>
      <c r="T143" s="70" t="str">
        <f>IF(A143="","",IF(N(R143)&gt;0,R143*H143*W143*$W$6+p_CorrFixa,0))</f>
        <v/>
      </c>
      <c r="V143" s="85" t="str">
        <f>IF(A143="","",IF(D143="",$W$1,D143))</f>
        <v/>
      </c>
      <c r="W143" s="85" t="str">
        <f>IF(A143="","",IFERROR(INDEX(moeda_fx,MATCH(V143,moeda_cod,0)),0))</f>
        <v/>
      </c>
      <c r="X143" s="85" t="str">
        <f>IF(A143="","",IF($W$2="",UPPER(TRIM(A143)),IF(RIGHT(UPPER(TRIM(A143)),LEN($W$2))=$W$2,UPPER(TRIM(A143)),UPPER(TRIM(A143))&amp;$W$2)))</f>
        <v/>
      </c>
      <c r="Y143" s="85" t="str">
        <f>IF(OR(A143="",p_ModoCot&lt;&gt;"Automático"),"",IFERROR(_xlfn.WEBSERVICE("https://query1.finance.yahoo.com/v8/finance/chart/"&amp;X143&amp;"?range=1d&amp;interval=1d"),""))</f>
        <v/>
      </c>
      <c r="Z143" s="85" t="str">
        <f>IF(Y143="","",IFERROR(_xlfn.NUMBERVALUE(MID(Y143,SEARCH("""regularMarketPrice"":",Y143)+21,SEARCH(",",Y143&amp;",",SEARCH("""regularMarketPrice"":",Y143)+21)-SEARCH("""regularMarketPrice"":",Y143)-21),".",","),""))</f>
        <v/>
      </c>
      <c r="AA143" s="85" t="str">
        <f>IF(A143="","",ROUND(MAX(0,N(F143)*($K$6+$W$7)-K143),2))</f>
        <v/>
      </c>
      <c r="AB143" s="85" t="str">
        <f>IF(A143="","",IF(AND(M143&gt;0,M143&gt;=p_DifMin),AA143,0))</f>
        <v/>
      </c>
      <c r="AC143" s="85" t="str">
        <f>IF(A143="","",IF(AND(AB143&gt;0,N(O143)&lt;=p_MaxAtivos),AB143,0))</f>
        <v/>
      </c>
      <c r="AD143" s="85" t="str">
        <f>IF(A143="","",IF(OR(Q143&lt;=0,Q143&lt;p_CompraMin,N(H143)&lt;=0,N(W143)&lt;=0),0,IF($W$3="Sim",TRUNC(ROUND(MAX(0,(Q143-p_CorrFixa)/(H143*W143*$W$6)),9),$W$4),TRUNC(ROUND(MAX(0,(Q143-p_CorrFixa)/(H143*W143*$W$6)),9)/$W$5)*$W$5)))</f>
        <v/>
      </c>
      <c r="AE143" s="85" t="str">
        <f>IF(A143="","",IF(N(AD143)&gt;0,AD143*H143*W143*$W$6+p_CorrFixa,0))</f>
        <v/>
      </c>
      <c r="AF143" s="85" t="str">
        <f>IF(A143="","",IF(OR($Y$1&lt;=0,N(H143)&lt;=0,N(W143)&lt;=0,N(AB143)&lt;=0),0,IF($W$3="Sim",TRUNC(ROUND(MAX(0,($Y$1-IF(N(AD143)&gt;0,0,p_CorrFixa))/(H143*W143*$W$6)),9),$W$4),TRUNC(ROUND(MAX(0,($Y$1-IF(N(AD143)&gt;0,0,p_CorrFixa))/(H143*W143*$W$6)),9)/$W$5)*$W$5)))</f>
        <v/>
      </c>
      <c r="AG143" s="85" t="str">
        <f>IF(A143="","",IF(AND(N(AD143)=0,N(AF143)*(H143*W143*$W$6)+p_CorrFixa&lt;p_CompraMin),0,AF143))</f>
        <v/>
      </c>
      <c r="AH143" s="85" t="str">
        <f>IF(A143="","",IF(N(AG143)&gt;0,AB143,0))</f>
        <v/>
      </c>
      <c r="AI143" s="85" t="str">
        <f>IF(A143="","",IF(AND(AH143&gt;0,AH143=$AH$6,COUNTIF($AH$9:AH143,AH143)=1),1,0))</f>
        <v/>
      </c>
    </row>
    <row r="144">
      <c r="A144" s="96" t="n"/>
      <c r="B144" s="96" t="n"/>
      <c r="C144" s="96" t="n"/>
      <c r="D144" s="97" t="n"/>
      <c r="E144" s="98" t="n"/>
      <c r="F144" s="99" t="n"/>
      <c r="G144" s="100" t="n"/>
      <c r="H144" s="104" t="str">
        <f>IF(A144="","",IF(AND(p_ModoCot="Automático",ISNUMBER(Z144)),Z144,IF(N(G144)&gt;0,G144,0)))</f>
        <v/>
      </c>
      <c r="I144" s="105" t="str">
        <f>IF(A144="","",IF(W144=0,"Sem câmbio",IF(AND(p_ModoCot="Automático",ISNUMBER(Z144)),"Auto",IF(N(G144)&gt;0,"Manual","Sem cotação"))))</f>
        <v/>
      </c>
      <c r="J144" s="106" t="str">
        <f>IF(A144="","",N(E144)*H144)</f>
        <v/>
      </c>
      <c r="K144" s="107" t="str">
        <f>IF(A144="","",J144*W144)</f>
        <v/>
      </c>
      <c r="L144" s="108" t="str">
        <f>IF(A144="","",IF($K$6&gt;0,K144/$K$6,0))</f>
        <v/>
      </c>
      <c r="M144" s="109" t="str">
        <f>IF(A144="","",N(F144)-L144)</f>
        <v/>
      </c>
      <c r="N144" s="108" t="str">
        <f>IF(A144="","",IF($AB$6&gt;0,AB144/$AB$6,0))</f>
        <v/>
      </c>
      <c r="O144" s="110" t="str">
        <f>IF(A144="","",IF(AB144&lt;=0,"",COUNTIF($AB$9:$AB$208,"&gt;"&amp;AB144)+COUNTIF($AB$9:AB144,AB144)))</f>
        <v/>
      </c>
      <c r="P144" s="105" t="str">
        <f>IF(A144="","",IF(Q144&gt;0,"BUY","HOLD"))</f>
        <v/>
      </c>
      <c r="Q144" s="107" t="str">
        <f>IF(A144="","",IF($W$7&lt;=0,0,IF($AC$6&gt;0,$W$7*AC144/$AC$6,IF($F$6&gt;0,$W$7*N(F144)/$F$6,0))))</f>
        <v/>
      </c>
      <c r="R144" s="111" t="str">
        <f>IF(A144="","",N(AD144)+IF(AI144=1,N(AG144),0))</f>
        <v/>
      </c>
      <c r="S144" s="111" t="str">
        <f>IF(A144="","",N(E144)+N(R144))</f>
        <v/>
      </c>
      <c r="T144" s="107" t="str">
        <f>IF(A144="","",IF(N(R144)&gt;0,R144*H144*W144*$W$6+p_CorrFixa,0))</f>
        <v/>
      </c>
      <c r="V144" s="85" t="str">
        <f>IF(A144="","",IF(D144="",$W$1,D144))</f>
        <v/>
      </c>
      <c r="W144" s="85" t="str">
        <f>IF(A144="","",IFERROR(INDEX(moeda_fx,MATCH(V144,moeda_cod,0)),0))</f>
        <v/>
      </c>
      <c r="X144" s="85" t="str">
        <f>IF(A144="","",IF($W$2="",UPPER(TRIM(A144)),IF(RIGHT(UPPER(TRIM(A144)),LEN($W$2))=$W$2,UPPER(TRIM(A144)),UPPER(TRIM(A144))&amp;$W$2)))</f>
        <v/>
      </c>
      <c r="Y144" s="85" t="str">
        <f>IF(OR(A144="",p_ModoCot&lt;&gt;"Automático"),"",IFERROR(_xlfn.WEBSERVICE("https://query1.finance.yahoo.com/v8/finance/chart/"&amp;X144&amp;"?range=1d&amp;interval=1d"),""))</f>
        <v/>
      </c>
      <c r="Z144" s="85" t="str">
        <f>IF(Y144="","",IFERROR(_xlfn.NUMBERVALUE(MID(Y144,SEARCH("""regularMarketPrice"":",Y144)+21,SEARCH(",",Y144&amp;",",SEARCH("""regularMarketPrice"":",Y144)+21)-SEARCH("""regularMarketPrice"":",Y144)-21),".",","),""))</f>
        <v/>
      </c>
      <c r="AA144" s="85" t="str">
        <f>IF(A144="","",ROUND(MAX(0,N(F144)*($K$6+$W$7)-K144),2))</f>
        <v/>
      </c>
      <c r="AB144" s="85" t="str">
        <f>IF(A144="","",IF(AND(M144&gt;0,M144&gt;=p_DifMin),AA144,0))</f>
        <v/>
      </c>
      <c r="AC144" s="85" t="str">
        <f>IF(A144="","",IF(AND(AB144&gt;0,N(O144)&lt;=p_MaxAtivos),AB144,0))</f>
        <v/>
      </c>
      <c r="AD144" s="85" t="str">
        <f>IF(A144="","",IF(OR(Q144&lt;=0,Q144&lt;p_CompraMin,N(H144)&lt;=0,N(W144)&lt;=0),0,IF($W$3="Sim",TRUNC(ROUND(MAX(0,(Q144-p_CorrFixa)/(H144*W144*$W$6)),9),$W$4),TRUNC(ROUND(MAX(0,(Q144-p_CorrFixa)/(H144*W144*$W$6)),9)/$W$5)*$W$5)))</f>
        <v/>
      </c>
      <c r="AE144" s="85" t="str">
        <f>IF(A144="","",IF(N(AD144)&gt;0,AD144*H144*W144*$W$6+p_CorrFixa,0))</f>
        <v/>
      </c>
      <c r="AF144" s="85" t="str">
        <f>IF(A144="","",IF(OR($Y$1&lt;=0,N(H144)&lt;=0,N(W144)&lt;=0,N(AB144)&lt;=0),0,IF($W$3="Sim",TRUNC(ROUND(MAX(0,($Y$1-IF(N(AD144)&gt;0,0,p_CorrFixa))/(H144*W144*$W$6)),9),$W$4),TRUNC(ROUND(MAX(0,($Y$1-IF(N(AD144)&gt;0,0,p_CorrFixa))/(H144*W144*$W$6)),9)/$W$5)*$W$5)))</f>
        <v/>
      </c>
      <c r="AG144" s="85" t="str">
        <f>IF(A144="","",IF(AND(N(AD144)=0,N(AF144)*(H144*W144*$W$6)+p_CorrFixa&lt;p_CompraMin),0,AF144))</f>
        <v/>
      </c>
      <c r="AH144" s="85" t="str">
        <f>IF(A144="","",IF(N(AG144)&gt;0,AB144,0))</f>
        <v/>
      </c>
      <c r="AI144" s="85" t="str">
        <f>IF(A144="","",IF(AND(AH144&gt;0,AH144=$AH$6,COUNTIF($AH$9:AH144,AH144)=1),1,0))</f>
        <v/>
      </c>
    </row>
    <row r="145">
      <c r="A145" s="96" t="n"/>
      <c r="B145" s="96" t="n"/>
      <c r="C145" s="96" t="n"/>
      <c r="D145" s="97" t="n"/>
      <c r="E145" s="98" t="n"/>
      <c r="F145" s="99" t="n"/>
      <c r="G145" s="100" t="n"/>
      <c r="H145" s="101" t="str">
        <f>IF(A145="","",IF(AND(p_ModoCot="Automático",ISNUMBER(Z145)),Z145,IF(N(G145)&gt;0,G145,0)))</f>
        <v/>
      </c>
      <c r="I145" s="73" t="str">
        <f>IF(A145="","",IF(W145=0,"Sem câmbio",IF(AND(p_ModoCot="Automático",ISNUMBER(Z145)),"Auto",IF(N(G145)&gt;0,"Manual","Sem cotação"))))</f>
        <v/>
      </c>
      <c r="J145" s="102" t="str">
        <f>IF(A145="","",N(E145)*H145)</f>
        <v/>
      </c>
      <c r="K145" s="70" t="str">
        <f>IF(A145="","",J145*W145)</f>
        <v/>
      </c>
      <c r="L145" s="30" t="str">
        <f>IF(A145="","",IF($K$6&gt;0,K145/$K$6,0))</f>
        <v/>
      </c>
      <c r="M145" s="72" t="str">
        <f>IF(A145="","",N(F145)-L145)</f>
        <v/>
      </c>
      <c r="N145" s="30" t="str">
        <f>IF(A145="","",IF($AB$6&gt;0,AB145/$AB$6,0))</f>
        <v/>
      </c>
      <c r="O145" s="74" t="str">
        <f>IF(A145="","",IF(AB145&lt;=0,"",COUNTIF($AB$9:$AB$208,"&gt;"&amp;AB145)+COUNTIF($AB$9:AB145,AB145)))</f>
        <v/>
      </c>
      <c r="P145" s="73" t="str">
        <f>IF(A145="","",IF(Q145&gt;0,"BUY","HOLD"))</f>
        <v/>
      </c>
      <c r="Q145" s="70" t="str">
        <f>IF(A145="","",IF($W$7&lt;=0,0,IF($AC$6&gt;0,$W$7*AC145/$AC$6,IF($F$6&gt;0,$W$7*N(F145)/$F$6,0))))</f>
        <v/>
      </c>
      <c r="R145" s="103" t="str">
        <f>IF(A145="","",N(AD145)+IF(AI145=1,N(AG145),0))</f>
        <v/>
      </c>
      <c r="S145" s="103" t="str">
        <f>IF(A145="","",N(E145)+N(R145))</f>
        <v/>
      </c>
      <c r="T145" s="70" t="str">
        <f>IF(A145="","",IF(N(R145)&gt;0,R145*H145*W145*$W$6+p_CorrFixa,0))</f>
        <v/>
      </c>
      <c r="V145" s="85" t="str">
        <f>IF(A145="","",IF(D145="",$W$1,D145))</f>
        <v/>
      </c>
      <c r="W145" s="85" t="str">
        <f>IF(A145="","",IFERROR(INDEX(moeda_fx,MATCH(V145,moeda_cod,0)),0))</f>
        <v/>
      </c>
      <c r="X145" s="85" t="str">
        <f>IF(A145="","",IF($W$2="",UPPER(TRIM(A145)),IF(RIGHT(UPPER(TRIM(A145)),LEN($W$2))=$W$2,UPPER(TRIM(A145)),UPPER(TRIM(A145))&amp;$W$2)))</f>
        <v/>
      </c>
      <c r="Y145" s="85" t="str">
        <f>IF(OR(A145="",p_ModoCot&lt;&gt;"Automático"),"",IFERROR(_xlfn.WEBSERVICE("https://query1.finance.yahoo.com/v8/finance/chart/"&amp;X145&amp;"?range=1d&amp;interval=1d"),""))</f>
        <v/>
      </c>
      <c r="Z145" s="85" t="str">
        <f>IF(Y145="","",IFERROR(_xlfn.NUMBERVALUE(MID(Y145,SEARCH("""regularMarketPrice"":",Y145)+21,SEARCH(",",Y145&amp;",",SEARCH("""regularMarketPrice"":",Y145)+21)-SEARCH("""regularMarketPrice"":",Y145)-21),".",","),""))</f>
        <v/>
      </c>
      <c r="AA145" s="85" t="str">
        <f>IF(A145="","",ROUND(MAX(0,N(F145)*($K$6+$W$7)-K145),2))</f>
        <v/>
      </c>
      <c r="AB145" s="85" t="str">
        <f>IF(A145="","",IF(AND(M145&gt;0,M145&gt;=p_DifMin),AA145,0))</f>
        <v/>
      </c>
      <c r="AC145" s="85" t="str">
        <f>IF(A145="","",IF(AND(AB145&gt;0,N(O145)&lt;=p_MaxAtivos),AB145,0))</f>
        <v/>
      </c>
      <c r="AD145" s="85" t="str">
        <f>IF(A145="","",IF(OR(Q145&lt;=0,Q145&lt;p_CompraMin,N(H145)&lt;=0,N(W145)&lt;=0),0,IF($W$3="Sim",TRUNC(ROUND(MAX(0,(Q145-p_CorrFixa)/(H145*W145*$W$6)),9),$W$4),TRUNC(ROUND(MAX(0,(Q145-p_CorrFixa)/(H145*W145*$W$6)),9)/$W$5)*$W$5)))</f>
        <v/>
      </c>
      <c r="AE145" s="85" t="str">
        <f>IF(A145="","",IF(N(AD145)&gt;0,AD145*H145*W145*$W$6+p_CorrFixa,0))</f>
        <v/>
      </c>
      <c r="AF145" s="85" t="str">
        <f>IF(A145="","",IF(OR($Y$1&lt;=0,N(H145)&lt;=0,N(W145)&lt;=0,N(AB145)&lt;=0),0,IF($W$3="Sim",TRUNC(ROUND(MAX(0,($Y$1-IF(N(AD145)&gt;0,0,p_CorrFixa))/(H145*W145*$W$6)),9),$W$4),TRUNC(ROUND(MAX(0,($Y$1-IF(N(AD145)&gt;0,0,p_CorrFixa))/(H145*W145*$W$6)),9)/$W$5)*$W$5)))</f>
        <v/>
      </c>
      <c r="AG145" s="85" t="str">
        <f>IF(A145="","",IF(AND(N(AD145)=0,N(AF145)*(H145*W145*$W$6)+p_CorrFixa&lt;p_CompraMin),0,AF145))</f>
        <v/>
      </c>
      <c r="AH145" s="85" t="str">
        <f>IF(A145="","",IF(N(AG145)&gt;0,AB145,0))</f>
        <v/>
      </c>
      <c r="AI145" s="85" t="str">
        <f>IF(A145="","",IF(AND(AH145&gt;0,AH145=$AH$6,COUNTIF($AH$9:AH145,AH145)=1),1,0))</f>
        <v/>
      </c>
    </row>
    <row r="146">
      <c r="A146" s="96" t="n"/>
      <c r="B146" s="96" t="n"/>
      <c r="C146" s="96" t="n"/>
      <c r="D146" s="97" t="n"/>
      <c r="E146" s="98" t="n"/>
      <c r="F146" s="99" t="n"/>
      <c r="G146" s="100" t="n"/>
      <c r="H146" s="104" t="str">
        <f>IF(A146="","",IF(AND(p_ModoCot="Automático",ISNUMBER(Z146)),Z146,IF(N(G146)&gt;0,G146,0)))</f>
        <v/>
      </c>
      <c r="I146" s="105" t="str">
        <f>IF(A146="","",IF(W146=0,"Sem câmbio",IF(AND(p_ModoCot="Automático",ISNUMBER(Z146)),"Auto",IF(N(G146)&gt;0,"Manual","Sem cotação"))))</f>
        <v/>
      </c>
      <c r="J146" s="106" t="str">
        <f>IF(A146="","",N(E146)*H146)</f>
        <v/>
      </c>
      <c r="K146" s="107" t="str">
        <f>IF(A146="","",J146*W146)</f>
        <v/>
      </c>
      <c r="L146" s="108" t="str">
        <f>IF(A146="","",IF($K$6&gt;0,K146/$K$6,0))</f>
        <v/>
      </c>
      <c r="M146" s="109" t="str">
        <f>IF(A146="","",N(F146)-L146)</f>
        <v/>
      </c>
      <c r="N146" s="108" t="str">
        <f>IF(A146="","",IF($AB$6&gt;0,AB146/$AB$6,0))</f>
        <v/>
      </c>
      <c r="O146" s="110" t="str">
        <f>IF(A146="","",IF(AB146&lt;=0,"",COUNTIF($AB$9:$AB$208,"&gt;"&amp;AB146)+COUNTIF($AB$9:AB146,AB146)))</f>
        <v/>
      </c>
      <c r="P146" s="105" t="str">
        <f>IF(A146="","",IF(Q146&gt;0,"BUY","HOLD"))</f>
        <v/>
      </c>
      <c r="Q146" s="107" t="str">
        <f>IF(A146="","",IF($W$7&lt;=0,0,IF($AC$6&gt;0,$W$7*AC146/$AC$6,IF($F$6&gt;0,$W$7*N(F146)/$F$6,0))))</f>
        <v/>
      </c>
      <c r="R146" s="111" t="str">
        <f>IF(A146="","",N(AD146)+IF(AI146=1,N(AG146),0))</f>
        <v/>
      </c>
      <c r="S146" s="111" t="str">
        <f>IF(A146="","",N(E146)+N(R146))</f>
        <v/>
      </c>
      <c r="T146" s="107" t="str">
        <f>IF(A146="","",IF(N(R146)&gt;0,R146*H146*W146*$W$6+p_CorrFixa,0))</f>
        <v/>
      </c>
      <c r="V146" s="85" t="str">
        <f>IF(A146="","",IF(D146="",$W$1,D146))</f>
        <v/>
      </c>
      <c r="W146" s="85" t="str">
        <f>IF(A146="","",IFERROR(INDEX(moeda_fx,MATCH(V146,moeda_cod,0)),0))</f>
        <v/>
      </c>
      <c r="X146" s="85" t="str">
        <f>IF(A146="","",IF($W$2="",UPPER(TRIM(A146)),IF(RIGHT(UPPER(TRIM(A146)),LEN($W$2))=$W$2,UPPER(TRIM(A146)),UPPER(TRIM(A146))&amp;$W$2)))</f>
        <v/>
      </c>
      <c r="Y146" s="85" t="str">
        <f>IF(OR(A146="",p_ModoCot&lt;&gt;"Automático"),"",IFERROR(_xlfn.WEBSERVICE("https://query1.finance.yahoo.com/v8/finance/chart/"&amp;X146&amp;"?range=1d&amp;interval=1d"),""))</f>
        <v/>
      </c>
      <c r="Z146" s="85" t="str">
        <f>IF(Y146="","",IFERROR(_xlfn.NUMBERVALUE(MID(Y146,SEARCH("""regularMarketPrice"":",Y146)+21,SEARCH(",",Y146&amp;",",SEARCH("""regularMarketPrice"":",Y146)+21)-SEARCH("""regularMarketPrice"":",Y146)-21),".",","),""))</f>
        <v/>
      </c>
      <c r="AA146" s="85" t="str">
        <f>IF(A146="","",ROUND(MAX(0,N(F146)*($K$6+$W$7)-K146),2))</f>
        <v/>
      </c>
      <c r="AB146" s="85" t="str">
        <f>IF(A146="","",IF(AND(M146&gt;0,M146&gt;=p_DifMin),AA146,0))</f>
        <v/>
      </c>
      <c r="AC146" s="85" t="str">
        <f>IF(A146="","",IF(AND(AB146&gt;0,N(O146)&lt;=p_MaxAtivos),AB146,0))</f>
        <v/>
      </c>
      <c r="AD146" s="85" t="str">
        <f>IF(A146="","",IF(OR(Q146&lt;=0,Q146&lt;p_CompraMin,N(H146)&lt;=0,N(W146)&lt;=0),0,IF($W$3="Sim",TRUNC(ROUND(MAX(0,(Q146-p_CorrFixa)/(H146*W146*$W$6)),9),$W$4),TRUNC(ROUND(MAX(0,(Q146-p_CorrFixa)/(H146*W146*$W$6)),9)/$W$5)*$W$5)))</f>
        <v/>
      </c>
      <c r="AE146" s="85" t="str">
        <f>IF(A146="","",IF(N(AD146)&gt;0,AD146*H146*W146*$W$6+p_CorrFixa,0))</f>
        <v/>
      </c>
      <c r="AF146" s="85" t="str">
        <f>IF(A146="","",IF(OR($Y$1&lt;=0,N(H146)&lt;=0,N(W146)&lt;=0,N(AB146)&lt;=0),0,IF($W$3="Sim",TRUNC(ROUND(MAX(0,($Y$1-IF(N(AD146)&gt;0,0,p_CorrFixa))/(H146*W146*$W$6)),9),$W$4),TRUNC(ROUND(MAX(0,($Y$1-IF(N(AD146)&gt;0,0,p_CorrFixa))/(H146*W146*$W$6)),9)/$W$5)*$W$5)))</f>
        <v/>
      </c>
      <c r="AG146" s="85" t="str">
        <f>IF(A146="","",IF(AND(N(AD146)=0,N(AF146)*(H146*W146*$W$6)+p_CorrFixa&lt;p_CompraMin),0,AF146))</f>
        <v/>
      </c>
      <c r="AH146" s="85" t="str">
        <f>IF(A146="","",IF(N(AG146)&gt;0,AB146,0))</f>
        <v/>
      </c>
      <c r="AI146" s="85" t="str">
        <f>IF(A146="","",IF(AND(AH146&gt;0,AH146=$AH$6,COUNTIF($AH$9:AH146,AH146)=1),1,0))</f>
        <v/>
      </c>
    </row>
    <row r="147">
      <c r="A147" s="96" t="n"/>
      <c r="B147" s="96" t="n"/>
      <c r="C147" s="96" t="n"/>
      <c r="D147" s="97" t="n"/>
      <c r="E147" s="98" t="n"/>
      <c r="F147" s="99" t="n"/>
      <c r="G147" s="100" t="n"/>
      <c r="H147" s="101" t="str">
        <f>IF(A147="","",IF(AND(p_ModoCot="Automático",ISNUMBER(Z147)),Z147,IF(N(G147)&gt;0,G147,0)))</f>
        <v/>
      </c>
      <c r="I147" s="73" t="str">
        <f>IF(A147="","",IF(W147=0,"Sem câmbio",IF(AND(p_ModoCot="Automático",ISNUMBER(Z147)),"Auto",IF(N(G147)&gt;0,"Manual","Sem cotação"))))</f>
        <v/>
      </c>
      <c r="J147" s="102" t="str">
        <f>IF(A147="","",N(E147)*H147)</f>
        <v/>
      </c>
      <c r="K147" s="70" t="str">
        <f>IF(A147="","",J147*W147)</f>
        <v/>
      </c>
      <c r="L147" s="30" t="str">
        <f>IF(A147="","",IF($K$6&gt;0,K147/$K$6,0))</f>
        <v/>
      </c>
      <c r="M147" s="72" t="str">
        <f>IF(A147="","",N(F147)-L147)</f>
        <v/>
      </c>
      <c r="N147" s="30" t="str">
        <f>IF(A147="","",IF($AB$6&gt;0,AB147/$AB$6,0))</f>
        <v/>
      </c>
      <c r="O147" s="74" t="str">
        <f>IF(A147="","",IF(AB147&lt;=0,"",COUNTIF($AB$9:$AB$208,"&gt;"&amp;AB147)+COUNTIF($AB$9:AB147,AB147)))</f>
        <v/>
      </c>
      <c r="P147" s="73" t="str">
        <f>IF(A147="","",IF(Q147&gt;0,"BUY","HOLD"))</f>
        <v/>
      </c>
      <c r="Q147" s="70" t="str">
        <f>IF(A147="","",IF($W$7&lt;=0,0,IF($AC$6&gt;0,$W$7*AC147/$AC$6,IF($F$6&gt;0,$W$7*N(F147)/$F$6,0))))</f>
        <v/>
      </c>
      <c r="R147" s="103" t="str">
        <f>IF(A147="","",N(AD147)+IF(AI147=1,N(AG147),0))</f>
        <v/>
      </c>
      <c r="S147" s="103" t="str">
        <f>IF(A147="","",N(E147)+N(R147))</f>
        <v/>
      </c>
      <c r="T147" s="70" t="str">
        <f>IF(A147="","",IF(N(R147)&gt;0,R147*H147*W147*$W$6+p_CorrFixa,0))</f>
        <v/>
      </c>
      <c r="V147" s="85" t="str">
        <f>IF(A147="","",IF(D147="",$W$1,D147))</f>
        <v/>
      </c>
      <c r="W147" s="85" t="str">
        <f>IF(A147="","",IFERROR(INDEX(moeda_fx,MATCH(V147,moeda_cod,0)),0))</f>
        <v/>
      </c>
      <c r="X147" s="85" t="str">
        <f>IF(A147="","",IF($W$2="",UPPER(TRIM(A147)),IF(RIGHT(UPPER(TRIM(A147)),LEN($W$2))=$W$2,UPPER(TRIM(A147)),UPPER(TRIM(A147))&amp;$W$2)))</f>
        <v/>
      </c>
      <c r="Y147" s="85" t="str">
        <f>IF(OR(A147="",p_ModoCot&lt;&gt;"Automático"),"",IFERROR(_xlfn.WEBSERVICE("https://query1.finance.yahoo.com/v8/finance/chart/"&amp;X147&amp;"?range=1d&amp;interval=1d"),""))</f>
        <v/>
      </c>
      <c r="Z147" s="85" t="str">
        <f>IF(Y147="","",IFERROR(_xlfn.NUMBERVALUE(MID(Y147,SEARCH("""regularMarketPrice"":",Y147)+21,SEARCH(",",Y147&amp;",",SEARCH("""regularMarketPrice"":",Y147)+21)-SEARCH("""regularMarketPrice"":",Y147)-21),".",","),""))</f>
        <v/>
      </c>
      <c r="AA147" s="85" t="str">
        <f>IF(A147="","",ROUND(MAX(0,N(F147)*($K$6+$W$7)-K147),2))</f>
        <v/>
      </c>
      <c r="AB147" s="85" t="str">
        <f>IF(A147="","",IF(AND(M147&gt;0,M147&gt;=p_DifMin),AA147,0))</f>
        <v/>
      </c>
      <c r="AC147" s="85" t="str">
        <f>IF(A147="","",IF(AND(AB147&gt;0,N(O147)&lt;=p_MaxAtivos),AB147,0))</f>
        <v/>
      </c>
      <c r="AD147" s="85" t="str">
        <f>IF(A147="","",IF(OR(Q147&lt;=0,Q147&lt;p_CompraMin,N(H147)&lt;=0,N(W147)&lt;=0),0,IF($W$3="Sim",TRUNC(ROUND(MAX(0,(Q147-p_CorrFixa)/(H147*W147*$W$6)),9),$W$4),TRUNC(ROUND(MAX(0,(Q147-p_CorrFixa)/(H147*W147*$W$6)),9)/$W$5)*$W$5)))</f>
        <v/>
      </c>
      <c r="AE147" s="85" t="str">
        <f>IF(A147="","",IF(N(AD147)&gt;0,AD147*H147*W147*$W$6+p_CorrFixa,0))</f>
        <v/>
      </c>
      <c r="AF147" s="85" t="str">
        <f>IF(A147="","",IF(OR($Y$1&lt;=0,N(H147)&lt;=0,N(W147)&lt;=0,N(AB147)&lt;=0),0,IF($W$3="Sim",TRUNC(ROUND(MAX(0,($Y$1-IF(N(AD147)&gt;0,0,p_CorrFixa))/(H147*W147*$W$6)),9),$W$4),TRUNC(ROUND(MAX(0,($Y$1-IF(N(AD147)&gt;0,0,p_CorrFixa))/(H147*W147*$W$6)),9)/$W$5)*$W$5)))</f>
        <v/>
      </c>
      <c r="AG147" s="85" t="str">
        <f>IF(A147="","",IF(AND(N(AD147)=0,N(AF147)*(H147*W147*$W$6)+p_CorrFixa&lt;p_CompraMin),0,AF147))</f>
        <v/>
      </c>
      <c r="AH147" s="85" t="str">
        <f>IF(A147="","",IF(N(AG147)&gt;0,AB147,0))</f>
        <v/>
      </c>
      <c r="AI147" s="85" t="str">
        <f>IF(A147="","",IF(AND(AH147&gt;0,AH147=$AH$6,COUNTIF($AH$9:AH147,AH147)=1),1,0))</f>
        <v/>
      </c>
    </row>
    <row r="148">
      <c r="A148" s="96" t="n"/>
      <c r="B148" s="96" t="n"/>
      <c r="C148" s="96" t="n"/>
      <c r="D148" s="97" t="n"/>
      <c r="E148" s="98" t="n"/>
      <c r="F148" s="99" t="n"/>
      <c r="G148" s="100" t="n"/>
      <c r="H148" s="104" t="str">
        <f>IF(A148="","",IF(AND(p_ModoCot="Automático",ISNUMBER(Z148)),Z148,IF(N(G148)&gt;0,G148,0)))</f>
        <v/>
      </c>
      <c r="I148" s="105" t="str">
        <f>IF(A148="","",IF(W148=0,"Sem câmbio",IF(AND(p_ModoCot="Automático",ISNUMBER(Z148)),"Auto",IF(N(G148)&gt;0,"Manual","Sem cotação"))))</f>
        <v/>
      </c>
      <c r="J148" s="106" t="str">
        <f>IF(A148="","",N(E148)*H148)</f>
        <v/>
      </c>
      <c r="K148" s="107" t="str">
        <f>IF(A148="","",J148*W148)</f>
        <v/>
      </c>
      <c r="L148" s="108" t="str">
        <f>IF(A148="","",IF($K$6&gt;0,K148/$K$6,0))</f>
        <v/>
      </c>
      <c r="M148" s="109" t="str">
        <f>IF(A148="","",N(F148)-L148)</f>
        <v/>
      </c>
      <c r="N148" s="108" t="str">
        <f>IF(A148="","",IF($AB$6&gt;0,AB148/$AB$6,0))</f>
        <v/>
      </c>
      <c r="O148" s="110" t="str">
        <f>IF(A148="","",IF(AB148&lt;=0,"",COUNTIF($AB$9:$AB$208,"&gt;"&amp;AB148)+COUNTIF($AB$9:AB148,AB148)))</f>
        <v/>
      </c>
      <c r="P148" s="105" t="str">
        <f>IF(A148="","",IF(Q148&gt;0,"BUY","HOLD"))</f>
        <v/>
      </c>
      <c r="Q148" s="107" t="str">
        <f>IF(A148="","",IF($W$7&lt;=0,0,IF($AC$6&gt;0,$W$7*AC148/$AC$6,IF($F$6&gt;0,$W$7*N(F148)/$F$6,0))))</f>
        <v/>
      </c>
      <c r="R148" s="111" t="str">
        <f>IF(A148="","",N(AD148)+IF(AI148=1,N(AG148),0))</f>
        <v/>
      </c>
      <c r="S148" s="111" t="str">
        <f>IF(A148="","",N(E148)+N(R148))</f>
        <v/>
      </c>
      <c r="T148" s="107" t="str">
        <f>IF(A148="","",IF(N(R148)&gt;0,R148*H148*W148*$W$6+p_CorrFixa,0))</f>
        <v/>
      </c>
      <c r="V148" s="85" t="str">
        <f>IF(A148="","",IF(D148="",$W$1,D148))</f>
        <v/>
      </c>
      <c r="W148" s="85" t="str">
        <f>IF(A148="","",IFERROR(INDEX(moeda_fx,MATCH(V148,moeda_cod,0)),0))</f>
        <v/>
      </c>
      <c r="X148" s="85" t="str">
        <f>IF(A148="","",IF($W$2="",UPPER(TRIM(A148)),IF(RIGHT(UPPER(TRIM(A148)),LEN($W$2))=$W$2,UPPER(TRIM(A148)),UPPER(TRIM(A148))&amp;$W$2)))</f>
        <v/>
      </c>
      <c r="Y148" s="85" t="str">
        <f>IF(OR(A148="",p_ModoCot&lt;&gt;"Automático"),"",IFERROR(_xlfn.WEBSERVICE("https://query1.finance.yahoo.com/v8/finance/chart/"&amp;X148&amp;"?range=1d&amp;interval=1d"),""))</f>
        <v/>
      </c>
      <c r="Z148" s="85" t="str">
        <f>IF(Y148="","",IFERROR(_xlfn.NUMBERVALUE(MID(Y148,SEARCH("""regularMarketPrice"":",Y148)+21,SEARCH(",",Y148&amp;",",SEARCH("""regularMarketPrice"":",Y148)+21)-SEARCH("""regularMarketPrice"":",Y148)-21),".",","),""))</f>
        <v/>
      </c>
      <c r="AA148" s="85" t="str">
        <f>IF(A148="","",ROUND(MAX(0,N(F148)*($K$6+$W$7)-K148),2))</f>
        <v/>
      </c>
      <c r="AB148" s="85" t="str">
        <f>IF(A148="","",IF(AND(M148&gt;0,M148&gt;=p_DifMin),AA148,0))</f>
        <v/>
      </c>
      <c r="AC148" s="85" t="str">
        <f>IF(A148="","",IF(AND(AB148&gt;0,N(O148)&lt;=p_MaxAtivos),AB148,0))</f>
        <v/>
      </c>
      <c r="AD148" s="85" t="str">
        <f>IF(A148="","",IF(OR(Q148&lt;=0,Q148&lt;p_CompraMin,N(H148)&lt;=0,N(W148)&lt;=0),0,IF($W$3="Sim",TRUNC(ROUND(MAX(0,(Q148-p_CorrFixa)/(H148*W148*$W$6)),9),$W$4),TRUNC(ROUND(MAX(0,(Q148-p_CorrFixa)/(H148*W148*$W$6)),9)/$W$5)*$W$5)))</f>
        <v/>
      </c>
      <c r="AE148" s="85" t="str">
        <f>IF(A148="","",IF(N(AD148)&gt;0,AD148*H148*W148*$W$6+p_CorrFixa,0))</f>
        <v/>
      </c>
      <c r="AF148" s="85" t="str">
        <f>IF(A148="","",IF(OR($Y$1&lt;=0,N(H148)&lt;=0,N(W148)&lt;=0,N(AB148)&lt;=0),0,IF($W$3="Sim",TRUNC(ROUND(MAX(0,($Y$1-IF(N(AD148)&gt;0,0,p_CorrFixa))/(H148*W148*$W$6)),9),$W$4),TRUNC(ROUND(MAX(0,($Y$1-IF(N(AD148)&gt;0,0,p_CorrFixa))/(H148*W148*$W$6)),9)/$W$5)*$W$5)))</f>
        <v/>
      </c>
      <c r="AG148" s="85" t="str">
        <f>IF(A148="","",IF(AND(N(AD148)=0,N(AF148)*(H148*W148*$W$6)+p_CorrFixa&lt;p_CompraMin),0,AF148))</f>
        <v/>
      </c>
      <c r="AH148" s="85" t="str">
        <f>IF(A148="","",IF(N(AG148)&gt;0,AB148,0))</f>
        <v/>
      </c>
      <c r="AI148" s="85" t="str">
        <f>IF(A148="","",IF(AND(AH148&gt;0,AH148=$AH$6,COUNTIF($AH$9:AH148,AH148)=1),1,0))</f>
        <v/>
      </c>
    </row>
    <row r="149">
      <c r="A149" s="96" t="n"/>
      <c r="B149" s="96" t="n"/>
      <c r="C149" s="96" t="n"/>
      <c r="D149" s="97" t="n"/>
      <c r="E149" s="98" t="n"/>
      <c r="F149" s="99" t="n"/>
      <c r="G149" s="100" t="n"/>
      <c r="H149" s="101" t="str">
        <f>IF(A149="","",IF(AND(p_ModoCot="Automático",ISNUMBER(Z149)),Z149,IF(N(G149)&gt;0,G149,0)))</f>
        <v/>
      </c>
      <c r="I149" s="73" t="str">
        <f>IF(A149="","",IF(W149=0,"Sem câmbio",IF(AND(p_ModoCot="Automático",ISNUMBER(Z149)),"Auto",IF(N(G149)&gt;0,"Manual","Sem cotação"))))</f>
        <v/>
      </c>
      <c r="J149" s="102" t="str">
        <f>IF(A149="","",N(E149)*H149)</f>
        <v/>
      </c>
      <c r="K149" s="70" t="str">
        <f>IF(A149="","",J149*W149)</f>
        <v/>
      </c>
      <c r="L149" s="30" t="str">
        <f>IF(A149="","",IF($K$6&gt;0,K149/$K$6,0))</f>
        <v/>
      </c>
      <c r="M149" s="72" t="str">
        <f>IF(A149="","",N(F149)-L149)</f>
        <v/>
      </c>
      <c r="N149" s="30" t="str">
        <f>IF(A149="","",IF($AB$6&gt;0,AB149/$AB$6,0))</f>
        <v/>
      </c>
      <c r="O149" s="74" t="str">
        <f>IF(A149="","",IF(AB149&lt;=0,"",COUNTIF($AB$9:$AB$208,"&gt;"&amp;AB149)+COUNTIF($AB$9:AB149,AB149)))</f>
        <v/>
      </c>
      <c r="P149" s="73" t="str">
        <f>IF(A149="","",IF(Q149&gt;0,"BUY","HOLD"))</f>
        <v/>
      </c>
      <c r="Q149" s="70" t="str">
        <f>IF(A149="","",IF($W$7&lt;=0,0,IF($AC$6&gt;0,$W$7*AC149/$AC$6,IF($F$6&gt;0,$W$7*N(F149)/$F$6,0))))</f>
        <v/>
      </c>
      <c r="R149" s="103" t="str">
        <f>IF(A149="","",N(AD149)+IF(AI149=1,N(AG149),0))</f>
        <v/>
      </c>
      <c r="S149" s="103" t="str">
        <f>IF(A149="","",N(E149)+N(R149))</f>
        <v/>
      </c>
      <c r="T149" s="70" t="str">
        <f>IF(A149="","",IF(N(R149)&gt;0,R149*H149*W149*$W$6+p_CorrFixa,0))</f>
        <v/>
      </c>
      <c r="V149" s="85" t="str">
        <f>IF(A149="","",IF(D149="",$W$1,D149))</f>
        <v/>
      </c>
      <c r="W149" s="85" t="str">
        <f>IF(A149="","",IFERROR(INDEX(moeda_fx,MATCH(V149,moeda_cod,0)),0))</f>
        <v/>
      </c>
      <c r="X149" s="85" t="str">
        <f>IF(A149="","",IF($W$2="",UPPER(TRIM(A149)),IF(RIGHT(UPPER(TRIM(A149)),LEN($W$2))=$W$2,UPPER(TRIM(A149)),UPPER(TRIM(A149))&amp;$W$2)))</f>
        <v/>
      </c>
      <c r="Y149" s="85" t="str">
        <f>IF(OR(A149="",p_ModoCot&lt;&gt;"Automático"),"",IFERROR(_xlfn.WEBSERVICE("https://query1.finance.yahoo.com/v8/finance/chart/"&amp;X149&amp;"?range=1d&amp;interval=1d"),""))</f>
        <v/>
      </c>
      <c r="Z149" s="85" t="str">
        <f>IF(Y149="","",IFERROR(_xlfn.NUMBERVALUE(MID(Y149,SEARCH("""regularMarketPrice"":",Y149)+21,SEARCH(",",Y149&amp;",",SEARCH("""regularMarketPrice"":",Y149)+21)-SEARCH("""regularMarketPrice"":",Y149)-21),".",","),""))</f>
        <v/>
      </c>
      <c r="AA149" s="85" t="str">
        <f>IF(A149="","",ROUND(MAX(0,N(F149)*($K$6+$W$7)-K149),2))</f>
        <v/>
      </c>
      <c r="AB149" s="85" t="str">
        <f>IF(A149="","",IF(AND(M149&gt;0,M149&gt;=p_DifMin),AA149,0))</f>
        <v/>
      </c>
      <c r="AC149" s="85" t="str">
        <f>IF(A149="","",IF(AND(AB149&gt;0,N(O149)&lt;=p_MaxAtivos),AB149,0))</f>
        <v/>
      </c>
      <c r="AD149" s="85" t="str">
        <f>IF(A149="","",IF(OR(Q149&lt;=0,Q149&lt;p_CompraMin,N(H149)&lt;=0,N(W149)&lt;=0),0,IF($W$3="Sim",TRUNC(ROUND(MAX(0,(Q149-p_CorrFixa)/(H149*W149*$W$6)),9),$W$4),TRUNC(ROUND(MAX(0,(Q149-p_CorrFixa)/(H149*W149*$W$6)),9)/$W$5)*$W$5)))</f>
        <v/>
      </c>
      <c r="AE149" s="85" t="str">
        <f>IF(A149="","",IF(N(AD149)&gt;0,AD149*H149*W149*$W$6+p_CorrFixa,0))</f>
        <v/>
      </c>
      <c r="AF149" s="85" t="str">
        <f>IF(A149="","",IF(OR($Y$1&lt;=0,N(H149)&lt;=0,N(W149)&lt;=0,N(AB149)&lt;=0),0,IF($W$3="Sim",TRUNC(ROUND(MAX(0,($Y$1-IF(N(AD149)&gt;0,0,p_CorrFixa))/(H149*W149*$W$6)),9),$W$4),TRUNC(ROUND(MAX(0,($Y$1-IF(N(AD149)&gt;0,0,p_CorrFixa))/(H149*W149*$W$6)),9)/$W$5)*$W$5)))</f>
        <v/>
      </c>
      <c r="AG149" s="85" t="str">
        <f>IF(A149="","",IF(AND(N(AD149)=0,N(AF149)*(H149*W149*$W$6)+p_CorrFixa&lt;p_CompraMin),0,AF149))</f>
        <v/>
      </c>
      <c r="AH149" s="85" t="str">
        <f>IF(A149="","",IF(N(AG149)&gt;0,AB149,0))</f>
        <v/>
      </c>
      <c r="AI149" s="85" t="str">
        <f>IF(A149="","",IF(AND(AH149&gt;0,AH149=$AH$6,COUNTIF($AH$9:AH149,AH149)=1),1,0))</f>
        <v/>
      </c>
    </row>
    <row r="150">
      <c r="A150" s="96" t="n"/>
      <c r="B150" s="96" t="n"/>
      <c r="C150" s="96" t="n"/>
      <c r="D150" s="97" t="n"/>
      <c r="E150" s="98" t="n"/>
      <c r="F150" s="99" t="n"/>
      <c r="G150" s="100" t="n"/>
      <c r="H150" s="104" t="str">
        <f>IF(A150="","",IF(AND(p_ModoCot="Automático",ISNUMBER(Z150)),Z150,IF(N(G150)&gt;0,G150,0)))</f>
        <v/>
      </c>
      <c r="I150" s="105" t="str">
        <f>IF(A150="","",IF(W150=0,"Sem câmbio",IF(AND(p_ModoCot="Automático",ISNUMBER(Z150)),"Auto",IF(N(G150)&gt;0,"Manual","Sem cotação"))))</f>
        <v/>
      </c>
      <c r="J150" s="106" t="str">
        <f>IF(A150="","",N(E150)*H150)</f>
        <v/>
      </c>
      <c r="K150" s="107" t="str">
        <f>IF(A150="","",J150*W150)</f>
        <v/>
      </c>
      <c r="L150" s="108" t="str">
        <f>IF(A150="","",IF($K$6&gt;0,K150/$K$6,0))</f>
        <v/>
      </c>
      <c r="M150" s="109" t="str">
        <f>IF(A150="","",N(F150)-L150)</f>
        <v/>
      </c>
      <c r="N150" s="108" t="str">
        <f>IF(A150="","",IF($AB$6&gt;0,AB150/$AB$6,0))</f>
        <v/>
      </c>
      <c r="O150" s="110" t="str">
        <f>IF(A150="","",IF(AB150&lt;=0,"",COUNTIF($AB$9:$AB$208,"&gt;"&amp;AB150)+COUNTIF($AB$9:AB150,AB150)))</f>
        <v/>
      </c>
      <c r="P150" s="105" t="str">
        <f>IF(A150="","",IF(Q150&gt;0,"BUY","HOLD"))</f>
        <v/>
      </c>
      <c r="Q150" s="107" t="str">
        <f>IF(A150="","",IF($W$7&lt;=0,0,IF($AC$6&gt;0,$W$7*AC150/$AC$6,IF($F$6&gt;0,$W$7*N(F150)/$F$6,0))))</f>
        <v/>
      </c>
      <c r="R150" s="111" t="str">
        <f>IF(A150="","",N(AD150)+IF(AI150=1,N(AG150),0))</f>
        <v/>
      </c>
      <c r="S150" s="111" t="str">
        <f>IF(A150="","",N(E150)+N(R150))</f>
        <v/>
      </c>
      <c r="T150" s="107" t="str">
        <f>IF(A150="","",IF(N(R150)&gt;0,R150*H150*W150*$W$6+p_CorrFixa,0))</f>
        <v/>
      </c>
      <c r="V150" s="85" t="str">
        <f>IF(A150="","",IF(D150="",$W$1,D150))</f>
        <v/>
      </c>
      <c r="W150" s="85" t="str">
        <f>IF(A150="","",IFERROR(INDEX(moeda_fx,MATCH(V150,moeda_cod,0)),0))</f>
        <v/>
      </c>
      <c r="X150" s="85" t="str">
        <f>IF(A150="","",IF($W$2="",UPPER(TRIM(A150)),IF(RIGHT(UPPER(TRIM(A150)),LEN($W$2))=$W$2,UPPER(TRIM(A150)),UPPER(TRIM(A150))&amp;$W$2)))</f>
        <v/>
      </c>
      <c r="Y150" s="85" t="str">
        <f>IF(OR(A150="",p_ModoCot&lt;&gt;"Automático"),"",IFERROR(_xlfn.WEBSERVICE("https://query1.finance.yahoo.com/v8/finance/chart/"&amp;X150&amp;"?range=1d&amp;interval=1d"),""))</f>
        <v/>
      </c>
      <c r="Z150" s="85" t="str">
        <f>IF(Y150="","",IFERROR(_xlfn.NUMBERVALUE(MID(Y150,SEARCH("""regularMarketPrice"":",Y150)+21,SEARCH(",",Y150&amp;",",SEARCH("""regularMarketPrice"":",Y150)+21)-SEARCH("""regularMarketPrice"":",Y150)-21),".",","),""))</f>
        <v/>
      </c>
      <c r="AA150" s="85" t="str">
        <f>IF(A150="","",ROUND(MAX(0,N(F150)*($K$6+$W$7)-K150),2))</f>
        <v/>
      </c>
      <c r="AB150" s="85" t="str">
        <f>IF(A150="","",IF(AND(M150&gt;0,M150&gt;=p_DifMin),AA150,0))</f>
        <v/>
      </c>
      <c r="AC150" s="85" t="str">
        <f>IF(A150="","",IF(AND(AB150&gt;0,N(O150)&lt;=p_MaxAtivos),AB150,0))</f>
        <v/>
      </c>
      <c r="AD150" s="85" t="str">
        <f>IF(A150="","",IF(OR(Q150&lt;=0,Q150&lt;p_CompraMin,N(H150)&lt;=0,N(W150)&lt;=0),0,IF($W$3="Sim",TRUNC(ROUND(MAX(0,(Q150-p_CorrFixa)/(H150*W150*$W$6)),9),$W$4),TRUNC(ROUND(MAX(0,(Q150-p_CorrFixa)/(H150*W150*$W$6)),9)/$W$5)*$W$5)))</f>
        <v/>
      </c>
      <c r="AE150" s="85" t="str">
        <f>IF(A150="","",IF(N(AD150)&gt;0,AD150*H150*W150*$W$6+p_CorrFixa,0))</f>
        <v/>
      </c>
      <c r="AF150" s="85" t="str">
        <f>IF(A150="","",IF(OR($Y$1&lt;=0,N(H150)&lt;=0,N(W150)&lt;=0,N(AB150)&lt;=0),0,IF($W$3="Sim",TRUNC(ROUND(MAX(0,($Y$1-IF(N(AD150)&gt;0,0,p_CorrFixa))/(H150*W150*$W$6)),9),$W$4),TRUNC(ROUND(MAX(0,($Y$1-IF(N(AD150)&gt;0,0,p_CorrFixa))/(H150*W150*$W$6)),9)/$W$5)*$W$5)))</f>
        <v/>
      </c>
      <c r="AG150" s="85" t="str">
        <f>IF(A150="","",IF(AND(N(AD150)=0,N(AF150)*(H150*W150*$W$6)+p_CorrFixa&lt;p_CompraMin),0,AF150))</f>
        <v/>
      </c>
      <c r="AH150" s="85" t="str">
        <f>IF(A150="","",IF(N(AG150)&gt;0,AB150,0))</f>
        <v/>
      </c>
      <c r="AI150" s="85" t="str">
        <f>IF(A150="","",IF(AND(AH150&gt;0,AH150=$AH$6,COUNTIF($AH$9:AH150,AH150)=1),1,0))</f>
        <v/>
      </c>
    </row>
    <row r="151">
      <c r="A151" s="96" t="n"/>
      <c r="B151" s="96" t="n"/>
      <c r="C151" s="96" t="n"/>
      <c r="D151" s="97" t="n"/>
      <c r="E151" s="98" t="n"/>
      <c r="F151" s="99" t="n"/>
      <c r="G151" s="100" t="n"/>
      <c r="H151" s="101" t="str">
        <f>IF(A151="","",IF(AND(p_ModoCot="Automático",ISNUMBER(Z151)),Z151,IF(N(G151)&gt;0,G151,0)))</f>
        <v/>
      </c>
      <c r="I151" s="73" t="str">
        <f>IF(A151="","",IF(W151=0,"Sem câmbio",IF(AND(p_ModoCot="Automático",ISNUMBER(Z151)),"Auto",IF(N(G151)&gt;0,"Manual","Sem cotação"))))</f>
        <v/>
      </c>
      <c r="J151" s="102" t="str">
        <f>IF(A151="","",N(E151)*H151)</f>
        <v/>
      </c>
      <c r="K151" s="70" t="str">
        <f>IF(A151="","",J151*W151)</f>
        <v/>
      </c>
      <c r="L151" s="30" t="str">
        <f>IF(A151="","",IF($K$6&gt;0,K151/$K$6,0))</f>
        <v/>
      </c>
      <c r="M151" s="72" t="str">
        <f>IF(A151="","",N(F151)-L151)</f>
        <v/>
      </c>
      <c r="N151" s="30" t="str">
        <f>IF(A151="","",IF($AB$6&gt;0,AB151/$AB$6,0))</f>
        <v/>
      </c>
      <c r="O151" s="74" t="str">
        <f>IF(A151="","",IF(AB151&lt;=0,"",COUNTIF($AB$9:$AB$208,"&gt;"&amp;AB151)+COUNTIF($AB$9:AB151,AB151)))</f>
        <v/>
      </c>
      <c r="P151" s="73" t="str">
        <f>IF(A151="","",IF(Q151&gt;0,"BUY","HOLD"))</f>
        <v/>
      </c>
      <c r="Q151" s="70" t="str">
        <f>IF(A151="","",IF($W$7&lt;=0,0,IF($AC$6&gt;0,$W$7*AC151/$AC$6,IF($F$6&gt;0,$W$7*N(F151)/$F$6,0))))</f>
        <v/>
      </c>
      <c r="R151" s="103" t="str">
        <f>IF(A151="","",N(AD151)+IF(AI151=1,N(AG151),0))</f>
        <v/>
      </c>
      <c r="S151" s="103" t="str">
        <f>IF(A151="","",N(E151)+N(R151))</f>
        <v/>
      </c>
      <c r="T151" s="70" t="str">
        <f>IF(A151="","",IF(N(R151)&gt;0,R151*H151*W151*$W$6+p_CorrFixa,0))</f>
        <v/>
      </c>
      <c r="V151" s="85" t="str">
        <f>IF(A151="","",IF(D151="",$W$1,D151))</f>
        <v/>
      </c>
      <c r="W151" s="85" t="str">
        <f>IF(A151="","",IFERROR(INDEX(moeda_fx,MATCH(V151,moeda_cod,0)),0))</f>
        <v/>
      </c>
      <c r="X151" s="85" t="str">
        <f>IF(A151="","",IF($W$2="",UPPER(TRIM(A151)),IF(RIGHT(UPPER(TRIM(A151)),LEN($W$2))=$W$2,UPPER(TRIM(A151)),UPPER(TRIM(A151))&amp;$W$2)))</f>
        <v/>
      </c>
      <c r="Y151" s="85" t="str">
        <f>IF(OR(A151="",p_ModoCot&lt;&gt;"Automático"),"",IFERROR(_xlfn.WEBSERVICE("https://query1.finance.yahoo.com/v8/finance/chart/"&amp;X151&amp;"?range=1d&amp;interval=1d"),""))</f>
        <v/>
      </c>
      <c r="Z151" s="85" t="str">
        <f>IF(Y151="","",IFERROR(_xlfn.NUMBERVALUE(MID(Y151,SEARCH("""regularMarketPrice"":",Y151)+21,SEARCH(",",Y151&amp;",",SEARCH("""regularMarketPrice"":",Y151)+21)-SEARCH("""regularMarketPrice"":",Y151)-21),".",","),""))</f>
        <v/>
      </c>
      <c r="AA151" s="85" t="str">
        <f>IF(A151="","",ROUND(MAX(0,N(F151)*($K$6+$W$7)-K151),2))</f>
        <v/>
      </c>
      <c r="AB151" s="85" t="str">
        <f>IF(A151="","",IF(AND(M151&gt;0,M151&gt;=p_DifMin),AA151,0))</f>
        <v/>
      </c>
      <c r="AC151" s="85" t="str">
        <f>IF(A151="","",IF(AND(AB151&gt;0,N(O151)&lt;=p_MaxAtivos),AB151,0))</f>
        <v/>
      </c>
      <c r="AD151" s="85" t="str">
        <f>IF(A151="","",IF(OR(Q151&lt;=0,Q151&lt;p_CompraMin,N(H151)&lt;=0,N(W151)&lt;=0),0,IF($W$3="Sim",TRUNC(ROUND(MAX(0,(Q151-p_CorrFixa)/(H151*W151*$W$6)),9),$W$4),TRUNC(ROUND(MAX(0,(Q151-p_CorrFixa)/(H151*W151*$W$6)),9)/$W$5)*$W$5)))</f>
        <v/>
      </c>
      <c r="AE151" s="85" t="str">
        <f>IF(A151="","",IF(N(AD151)&gt;0,AD151*H151*W151*$W$6+p_CorrFixa,0))</f>
        <v/>
      </c>
      <c r="AF151" s="85" t="str">
        <f>IF(A151="","",IF(OR($Y$1&lt;=0,N(H151)&lt;=0,N(W151)&lt;=0,N(AB151)&lt;=0),0,IF($W$3="Sim",TRUNC(ROUND(MAX(0,($Y$1-IF(N(AD151)&gt;0,0,p_CorrFixa))/(H151*W151*$W$6)),9),$W$4),TRUNC(ROUND(MAX(0,($Y$1-IF(N(AD151)&gt;0,0,p_CorrFixa))/(H151*W151*$W$6)),9)/$W$5)*$W$5)))</f>
        <v/>
      </c>
      <c r="AG151" s="85" t="str">
        <f>IF(A151="","",IF(AND(N(AD151)=0,N(AF151)*(H151*W151*$W$6)+p_CorrFixa&lt;p_CompraMin),0,AF151))</f>
        <v/>
      </c>
      <c r="AH151" s="85" t="str">
        <f>IF(A151="","",IF(N(AG151)&gt;0,AB151,0))</f>
        <v/>
      </c>
      <c r="AI151" s="85" t="str">
        <f>IF(A151="","",IF(AND(AH151&gt;0,AH151=$AH$6,COUNTIF($AH$9:AH151,AH151)=1),1,0))</f>
        <v/>
      </c>
    </row>
    <row r="152">
      <c r="A152" s="96" t="n"/>
      <c r="B152" s="96" t="n"/>
      <c r="C152" s="96" t="n"/>
      <c r="D152" s="97" t="n"/>
      <c r="E152" s="98" t="n"/>
      <c r="F152" s="99" t="n"/>
      <c r="G152" s="100" t="n"/>
      <c r="H152" s="104" t="str">
        <f>IF(A152="","",IF(AND(p_ModoCot="Automático",ISNUMBER(Z152)),Z152,IF(N(G152)&gt;0,G152,0)))</f>
        <v/>
      </c>
      <c r="I152" s="105" t="str">
        <f>IF(A152="","",IF(W152=0,"Sem câmbio",IF(AND(p_ModoCot="Automático",ISNUMBER(Z152)),"Auto",IF(N(G152)&gt;0,"Manual","Sem cotação"))))</f>
        <v/>
      </c>
      <c r="J152" s="106" t="str">
        <f>IF(A152="","",N(E152)*H152)</f>
        <v/>
      </c>
      <c r="K152" s="107" t="str">
        <f>IF(A152="","",J152*W152)</f>
        <v/>
      </c>
      <c r="L152" s="108" t="str">
        <f>IF(A152="","",IF($K$6&gt;0,K152/$K$6,0))</f>
        <v/>
      </c>
      <c r="M152" s="109" t="str">
        <f>IF(A152="","",N(F152)-L152)</f>
        <v/>
      </c>
      <c r="N152" s="108" t="str">
        <f>IF(A152="","",IF($AB$6&gt;0,AB152/$AB$6,0))</f>
        <v/>
      </c>
      <c r="O152" s="110" t="str">
        <f>IF(A152="","",IF(AB152&lt;=0,"",COUNTIF($AB$9:$AB$208,"&gt;"&amp;AB152)+COUNTIF($AB$9:AB152,AB152)))</f>
        <v/>
      </c>
      <c r="P152" s="105" t="str">
        <f>IF(A152="","",IF(Q152&gt;0,"BUY","HOLD"))</f>
        <v/>
      </c>
      <c r="Q152" s="107" t="str">
        <f>IF(A152="","",IF($W$7&lt;=0,0,IF($AC$6&gt;0,$W$7*AC152/$AC$6,IF($F$6&gt;0,$W$7*N(F152)/$F$6,0))))</f>
        <v/>
      </c>
      <c r="R152" s="111" t="str">
        <f>IF(A152="","",N(AD152)+IF(AI152=1,N(AG152),0))</f>
        <v/>
      </c>
      <c r="S152" s="111" t="str">
        <f>IF(A152="","",N(E152)+N(R152))</f>
        <v/>
      </c>
      <c r="T152" s="107" t="str">
        <f>IF(A152="","",IF(N(R152)&gt;0,R152*H152*W152*$W$6+p_CorrFixa,0))</f>
        <v/>
      </c>
      <c r="V152" s="85" t="str">
        <f>IF(A152="","",IF(D152="",$W$1,D152))</f>
        <v/>
      </c>
      <c r="W152" s="85" t="str">
        <f>IF(A152="","",IFERROR(INDEX(moeda_fx,MATCH(V152,moeda_cod,0)),0))</f>
        <v/>
      </c>
      <c r="X152" s="85" t="str">
        <f>IF(A152="","",IF($W$2="",UPPER(TRIM(A152)),IF(RIGHT(UPPER(TRIM(A152)),LEN($W$2))=$W$2,UPPER(TRIM(A152)),UPPER(TRIM(A152))&amp;$W$2)))</f>
        <v/>
      </c>
      <c r="Y152" s="85" t="str">
        <f>IF(OR(A152="",p_ModoCot&lt;&gt;"Automático"),"",IFERROR(_xlfn.WEBSERVICE("https://query1.finance.yahoo.com/v8/finance/chart/"&amp;X152&amp;"?range=1d&amp;interval=1d"),""))</f>
        <v/>
      </c>
      <c r="Z152" s="85" t="str">
        <f>IF(Y152="","",IFERROR(_xlfn.NUMBERVALUE(MID(Y152,SEARCH("""regularMarketPrice"":",Y152)+21,SEARCH(",",Y152&amp;",",SEARCH("""regularMarketPrice"":",Y152)+21)-SEARCH("""regularMarketPrice"":",Y152)-21),".",","),""))</f>
        <v/>
      </c>
      <c r="AA152" s="85" t="str">
        <f>IF(A152="","",ROUND(MAX(0,N(F152)*($K$6+$W$7)-K152),2))</f>
        <v/>
      </c>
      <c r="AB152" s="85" t="str">
        <f>IF(A152="","",IF(AND(M152&gt;0,M152&gt;=p_DifMin),AA152,0))</f>
        <v/>
      </c>
      <c r="AC152" s="85" t="str">
        <f>IF(A152="","",IF(AND(AB152&gt;0,N(O152)&lt;=p_MaxAtivos),AB152,0))</f>
        <v/>
      </c>
      <c r="AD152" s="85" t="str">
        <f>IF(A152="","",IF(OR(Q152&lt;=0,Q152&lt;p_CompraMin,N(H152)&lt;=0,N(W152)&lt;=0),0,IF($W$3="Sim",TRUNC(ROUND(MAX(0,(Q152-p_CorrFixa)/(H152*W152*$W$6)),9),$W$4),TRUNC(ROUND(MAX(0,(Q152-p_CorrFixa)/(H152*W152*$W$6)),9)/$W$5)*$W$5)))</f>
        <v/>
      </c>
      <c r="AE152" s="85" t="str">
        <f>IF(A152="","",IF(N(AD152)&gt;0,AD152*H152*W152*$W$6+p_CorrFixa,0))</f>
        <v/>
      </c>
      <c r="AF152" s="85" t="str">
        <f>IF(A152="","",IF(OR($Y$1&lt;=0,N(H152)&lt;=0,N(W152)&lt;=0,N(AB152)&lt;=0),0,IF($W$3="Sim",TRUNC(ROUND(MAX(0,($Y$1-IF(N(AD152)&gt;0,0,p_CorrFixa))/(H152*W152*$W$6)),9),$W$4),TRUNC(ROUND(MAX(0,($Y$1-IF(N(AD152)&gt;0,0,p_CorrFixa))/(H152*W152*$W$6)),9)/$W$5)*$W$5)))</f>
        <v/>
      </c>
      <c r="AG152" s="85" t="str">
        <f>IF(A152="","",IF(AND(N(AD152)=0,N(AF152)*(H152*W152*$W$6)+p_CorrFixa&lt;p_CompraMin),0,AF152))</f>
        <v/>
      </c>
      <c r="AH152" s="85" t="str">
        <f>IF(A152="","",IF(N(AG152)&gt;0,AB152,0))</f>
        <v/>
      </c>
      <c r="AI152" s="85" t="str">
        <f>IF(A152="","",IF(AND(AH152&gt;0,AH152=$AH$6,COUNTIF($AH$9:AH152,AH152)=1),1,0))</f>
        <v/>
      </c>
    </row>
    <row r="153">
      <c r="A153" s="96" t="n"/>
      <c r="B153" s="96" t="n"/>
      <c r="C153" s="96" t="n"/>
      <c r="D153" s="97" t="n"/>
      <c r="E153" s="98" t="n"/>
      <c r="F153" s="99" t="n"/>
      <c r="G153" s="100" t="n"/>
      <c r="H153" s="101" t="str">
        <f>IF(A153="","",IF(AND(p_ModoCot="Automático",ISNUMBER(Z153)),Z153,IF(N(G153)&gt;0,G153,0)))</f>
        <v/>
      </c>
      <c r="I153" s="73" t="str">
        <f>IF(A153="","",IF(W153=0,"Sem câmbio",IF(AND(p_ModoCot="Automático",ISNUMBER(Z153)),"Auto",IF(N(G153)&gt;0,"Manual","Sem cotação"))))</f>
        <v/>
      </c>
      <c r="J153" s="102" t="str">
        <f>IF(A153="","",N(E153)*H153)</f>
        <v/>
      </c>
      <c r="K153" s="70" t="str">
        <f>IF(A153="","",J153*W153)</f>
        <v/>
      </c>
      <c r="L153" s="30" t="str">
        <f>IF(A153="","",IF($K$6&gt;0,K153/$K$6,0))</f>
        <v/>
      </c>
      <c r="M153" s="72" t="str">
        <f>IF(A153="","",N(F153)-L153)</f>
        <v/>
      </c>
      <c r="N153" s="30" t="str">
        <f>IF(A153="","",IF($AB$6&gt;0,AB153/$AB$6,0))</f>
        <v/>
      </c>
      <c r="O153" s="74" t="str">
        <f>IF(A153="","",IF(AB153&lt;=0,"",COUNTIF($AB$9:$AB$208,"&gt;"&amp;AB153)+COUNTIF($AB$9:AB153,AB153)))</f>
        <v/>
      </c>
      <c r="P153" s="73" t="str">
        <f>IF(A153="","",IF(Q153&gt;0,"BUY","HOLD"))</f>
        <v/>
      </c>
      <c r="Q153" s="70" t="str">
        <f>IF(A153="","",IF($W$7&lt;=0,0,IF($AC$6&gt;0,$W$7*AC153/$AC$6,IF($F$6&gt;0,$W$7*N(F153)/$F$6,0))))</f>
        <v/>
      </c>
      <c r="R153" s="103" t="str">
        <f>IF(A153="","",N(AD153)+IF(AI153=1,N(AG153),0))</f>
        <v/>
      </c>
      <c r="S153" s="103" t="str">
        <f>IF(A153="","",N(E153)+N(R153))</f>
        <v/>
      </c>
      <c r="T153" s="70" t="str">
        <f>IF(A153="","",IF(N(R153)&gt;0,R153*H153*W153*$W$6+p_CorrFixa,0))</f>
        <v/>
      </c>
      <c r="V153" s="85" t="str">
        <f>IF(A153="","",IF(D153="",$W$1,D153))</f>
        <v/>
      </c>
      <c r="W153" s="85" t="str">
        <f>IF(A153="","",IFERROR(INDEX(moeda_fx,MATCH(V153,moeda_cod,0)),0))</f>
        <v/>
      </c>
      <c r="X153" s="85" t="str">
        <f>IF(A153="","",IF($W$2="",UPPER(TRIM(A153)),IF(RIGHT(UPPER(TRIM(A153)),LEN($W$2))=$W$2,UPPER(TRIM(A153)),UPPER(TRIM(A153))&amp;$W$2)))</f>
        <v/>
      </c>
      <c r="Y153" s="85" t="str">
        <f>IF(OR(A153="",p_ModoCot&lt;&gt;"Automático"),"",IFERROR(_xlfn.WEBSERVICE("https://query1.finance.yahoo.com/v8/finance/chart/"&amp;X153&amp;"?range=1d&amp;interval=1d"),""))</f>
        <v/>
      </c>
      <c r="Z153" s="85" t="str">
        <f>IF(Y153="","",IFERROR(_xlfn.NUMBERVALUE(MID(Y153,SEARCH("""regularMarketPrice"":",Y153)+21,SEARCH(",",Y153&amp;",",SEARCH("""regularMarketPrice"":",Y153)+21)-SEARCH("""regularMarketPrice"":",Y153)-21),".",","),""))</f>
        <v/>
      </c>
      <c r="AA153" s="85" t="str">
        <f>IF(A153="","",ROUND(MAX(0,N(F153)*($K$6+$W$7)-K153),2))</f>
        <v/>
      </c>
      <c r="AB153" s="85" t="str">
        <f>IF(A153="","",IF(AND(M153&gt;0,M153&gt;=p_DifMin),AA153,0))</f>
        <v/>
      </c>
      <c r="AC153" s="85" t="str">
        <f>IF(A153="","",IF(AND(AB153&gt;0,N(O153)&lt;=p_MaxAtivos),AB153,0))</f>
        <v/>
      </c>
      <c r="AD153" s="85" t="str">
        <f>IF(A153="","",IF(OR(Q153&lt;=0,Q153&lt;p_CompraMin,N(H153)&lt;=0,N(W153)&lt;=0),0,IF($W$3="Sim",TRUNC(ROUND(MAX(0,(Q153-p_CorrFixa)/(H153*W153*$W$6)),9),$W$4),TRUNC(ROUND(MAX(0,(Q153-p_CorrFixa)/(H153*W153*$W$6)),9)/$W$5)*$W$5)))</f>
        <v/>
      </c>
      <c r="AE153" s="85" t="str">
        <f>IF(A153="","",IF(N(AD153)&gt;0,AD153*H153*W153*$W$6+p_CorrFixa,0))</f>
        <v/>
      </c>
      <c r="AF153" s="85" t="str">
        <f>IF(A153="","",IF(OR($Y$1&lt;=0,N(H153)&lt;=0,N(W153)&lt;=0,N(AB153)&lt;=0),0,IF($W$3="Sim",TRUNC(ROUND(MAX(0,($Y$1-IF(N(AD153)&gt;0,0,p_CorrFixa))/(H153*W153*$W$6)),9),$W$4),TRUNC(ROUND(MAX(0,($Y$1-IF(N(AD153)&gt;0,0,p_CorrFixa))/(H153*W153*$W$6)),9)/$W$5)*$W$5)))</f>
        <v/>
      </c>
      <c r="AG153" s="85" t="str">
        <f>IF(A153="","",IF(AND(N(AD153)=0,N(AF153)*(H153*W153*$W$6)+p_CorrFixa&lt;p_CompraMin),0,AF153))</f>
        <v/>
      </c>
      <c r="AH153" s="85" t="str">
        <f>IF(A153="","",IF(N(AG153)&gt;0,AB153,0))</f>
        <v/>
      </c>
      <c r="AI153" s="85" t="str">
        <f>IF(A153="","",IF(AND(AH153&gt;0,AH153=$AH$6,COUNTIF($AH$9:AH153,AH153)=1),1,0))</f>
        <v/>
      </c>
    </row>
    <row r="154">
      <c r="A154" s="96" t="n"/>
      <c r="B154" s="96" t="n"/>
      <c r="C154" s="96" t="n"/>
      <c r="D154" s="97" t="n"/>
      <c r="E154" s="98" t="n"/>
      <c r="F154" s="99" t="n"/>
      <c r="G154" s="100" t="n"/>
      <c r="H154" s="104" t="str">
        <f>IF(A154="","",IF(AND(p_ModoCot="Automático",ISNUMBER(Z154)),Z154,IF(N(G154)&gt;0,G154,0)))</f>
        <v/>
      </c>
      <c r="I154" s="105" t="str">
        <f>IF(A154="","",IF(W154=0,"Sem câmbio",IF(AND(p_ModoCot="Automático",ISNUMBER(Z154)),"Auto",IF(N(G154)&gt;0,"Manual","Sem cotação"))))</f>
        <v/>
      </c>
      <c r="J154" s="106" t="str">
        <f>IF(A154="","",N(E154)*H154)</f>
        <v/>
      </c>
      <c r="K154" s="107" t="str">
        <f>IF(A154="","",J154*W154)</f>
        <v/>
      </c>
      <c r="L154" s="108" t="str">
        <f>IF(A154="","",IF($K$6&gt;0,K154/$K$6,0))</f>
        <v/>
      </c>
      <c r="M154" s="109" t="str">
        <f>IF(A154="","",N(F154)-L154)</f>
        <v/>
      </c>
      <c r="N154" s="108" t="str">
        <f>IF(A154="","",IF($AB$6&gt;0,AB154/$AB$6,0))</f>
        <v/>
      </c>
      <c r="O154" s="110" t="str">
        <f>IF(A154="","",IF(AB154&lt;=0,"",COUNTIF($AB$9:$AB$208,"&gt;"&amp;AB154)+COUNTIF($AB$9:AB154,AB154)))</f>
        <v/>
      </c>
      <c r="P154" s="105" t="str">
        <f>IF(A154="","",IF(Q154&gt;0,"BUY","HOLD"))</f>
        <v/>
      </c>
      <c r="Q154" s="107" t="str">
        <f>IF(A154="","",IF($W$7&lt;=0,0,IF($AC$6&gt;0,$W$7*AC154/$AC$6,IF($F$6&gt;0,$W$7*N(F154)/$F$6,0))))</f>
        <v/>
      </c>
      <c r="R154" s="111" t="str">
        <f>IF(A154="","",N(AD154)+IF(AI154=1,N(AG154),0))</f>
        <v/>
      </c>
      <c r="S154" s="111" t="str">
        <f>IF(A154="","",N(E154)+N(R154))</f>
        <v/>
      </c>
      <c r="T154" s="107" t="str">
        <f>IF(A154="","",IF(N(R154)&gt;0,R154*H154*W154*$W$6+p_CorrFixa,0))</f>
        <v/>
      </c>
      <c r="V154" s="85" t="str">
        <f>IF(A154="","",IF(D154="",$W$1,D154))</f>
        <v/>
      </c>
      <c r="W154" s="85" t="str">
        <f>IF(A154="","",IFERROR(INDEX(moeda_fx,MATCH(V154,moeda_cod,0)),0))</f>
        <v/>
      </c>
      <c r="X154" s="85" t="str">
        <f>IF(A154="","",IF($W$2="",UPPER(TRIM(A154)),IF(RIGHT(UPPER(TRIM(A154)),LEN($W$2))=$W$2,UPPER(TRIM(A154)),UPPER(TRIM(A154))&amp;$W$2)))</f>
        <v/>
      </c>
      <c r="Y154" s="85" t="str">
        <f>IF(OR(A154="",p_ModoCot&lt;&gt;"Automático"),"",IFERROR(_xlfn.WEBSERVICE("https://query1.finance.yahoo.com/v8/finance/chart/"&amp;X154&amp;"?range=1d&amp;interval=1d"),""))</f>
        <v/>
      </c>
      <c r="Z154" s="85" t="str">
        <f>IF(Y154="","",IFERROR(_xlfn.NUMBERVALUE(MID(Y154,SEARCH("""regularMarketPrice"":",Y154)+21,SEARCH(",",Y154&amp;",",SEARCH("""regularMarketPrice"":",Y154)+21)-SEARCH("""regularMarketPrice"":",Y154)-21),".",","),""))</f>
        <v/>
      </c>
      <c r="AA154" s="85" t="str">
        <f>IF(A154="","",ROUND(MAX(0,N(F154)*($K$6+$W$7)-K154),2))</f>
        <v/>
      </c>
      <c r="AB154" s="85" t="str">
        <f>IF(A154="","",IF(AND(M154&gt;0,M154&gt;=p_DifMin),AA154,0))</f>
        <v/>
      </c>
      <c r="AC154" s="85" t="str">
        <f>IF(A154="","",IF(AND(AB154&gt;0,N(O154)&lt;=p_MaxAtivos),AB154,0))</f>
        <v/>
      </c>
      <c r="AD154" s="85" t="str">
        <f>IF(A154="","",IF(OR(Q154&lt;=0,Q154&lt;p_CompraMin,N(H154)&lt;=0,N(W154)&lt;=0),0,IF($W$3="Sim",TRUNC(ROUND(MAX(0,(Q154-p_CorrFixa)/(H154*W154*$W$6)),9),$W$4),TRUNC(ROUND(MAX(0,(Q154-p_CorrFixa)/(H154*W154*$W$6)),9)/$W$5)*$W$5)))</f>
        <v/>
      </c>
      <c r="AE154" s="85" t="str">
        <f>IF(A154="","",IF(N(AD154)&gt;0,AD154*H154*W154*$W$6+p_CorrFixa,0))</f>
        <v/>
      </c>
      <c r="AF154" s="85" t="str">
        <f>IF(A154="","",IF(OR($Y$1&lt;=0,N(H154)&lt;=0,N(W154)&lt;=0,N(AB154)&lt;=0),0,IF($W$3="Sim",TRUNC(ROUND(MAX(0,($Y$1-IF(N(AD154)&gt;0,0,p_CorrFixa))/(H154*W154*$W$6)),9),$W$4),TRUNC(ROUND(MAX(0,($Y$1-IF(N(AD154)&gt;0,0,p_CorrFixa))/(H154*W154*$W$6)),9)/$W$5)*$W$5)))</f>
        <v/>
      </c>
      <c r="AG154" s="85" t="str">
        <f>IF(A154="","",IF(AND(N(AD154)=0,N(AF154)*(H154*W154*$W$6)+p_CorrFixa&lt;p_CompraMin),0,AF154))</f>
        <v/>
      </c>
      <c r="AH154" s="85" t="str">
        <f>IF(A154="","",IF(N(AG154)&gt;0,AB154,0))</f>
        <v/>
      </c>
      <c r="AI154" s="85" t="str">
        <f>IF(A154="","",IF(AND(AH154&gt;0,AH154=$AH$6,COUNTIF($AH$9:AH154,AH154)=1),1,0))</f>
        <v/>
      </c>
    </row>
    <row r="155">
      <c r="A155" s="96" t="n"/>
      <c r="B155" s="96" t="n"/>
      <c r="C155" s="96" t="n"/>
      <c r="D155" s="97" t="n"/>
      <c r="E155" s="98" t="n"/>
      <c r="F155" s="99" t="n"/>
      <c r="G155" s="100" t="n"/>
      <c r="H155" s="101" t="str">
        <f>IF(A155="","",IF(AND(p_ModoCot="Automático",ISNUMBER(Z155)),Z155,IF(N(G155)&gt;0,G155,0)))</f>
        <v/>
      </c>
      <c r="I155" s="73" t="str">
        <f>IF(A155="","",IF(W155=0,"Sem câmbio",IF(AND(p_ModoCot="Automático",ISNUMBER(Z155)),"Auto",IF(N(G155)&gt;0,"Manual","Sem cotação"))))</f>
        <v/>
      </c>
      <c r="J155" s="102" t="str">
        <f>IF(A155="","",N(E155)*H155)</f>
        <v/>
      </c>
      <c r="K155" s="70" t="str">
        <f>IF(A155="","",J155*W155)</f>
        <v/>
      </c>
      <c r="L155" s="30" t="str">
        <f>IF(A155="","",IF($K$6&gt;0,K155/$K$6,0))</f>
        <v/>
      </c>
      <c r="M155" s="72" t="str">
        <f>IF(A155="","",N(F155)-L155)</f>
        <v/>
      </c>
      <c r="N155" s="30" t="str">
        <f>IF(A155="","",IF($AB$6&gt;0,AB155/$AB$6,0))</f>
        <v/>
      </c>
      <c r="O155" s="74" t="str">
        <f>IF(A155="","",IF(AB155&lt;=0,"",COUNTIF($AB$9:$AB$208,"&gt;"&amp;AB155)+COUNTIF($AB$9:AB155,AB155)))</f>
        <v/>
      </c>
      <c r="P155" s="73" t="str">
        <f>IF(A155="","",IF(Q155&gt;0,"BUY","HOLD"))</f>
        <v/>
      </c>
      <c r="Q155" s="70" t="str">
        <f>IF(A155="","",IF($W$7&lt;=0,0,IF($AC$6&gt;0,$W$7*AC155/$AC$6,IF($F$6&gt;0,$W$7*N(F155)/$F$6,0))))</f>
        <v/>
      </c>
      <c r="R155" s="103" t="str">
        <f>IF(A155="","",N(AD155)+IF(AI155=1,N(AG155),0))</f>
        <v/>
      </c>
      <c r="S155" s="103" t="str">
        <f>IF(A155="","",N(E155)+N(R155))</f>
        <v/>
      </c>
      <c r="T155" s="70" t="str">
        <f>IF(A155="","",IF(N(R155)&gt;0,R155*H155*W155*$W$6+p_CorrFixa,0))</f>
        <v/>
      </c>
      <c r="V155" s="85" t="str">
        <f>IF(A155="","",IF(D155="",$W$1,D155))</f>
        <v/>
      </c>
      <c r="W155" s="85" t="str">
        <f>IF(A155="","",IFERROR(INDEX(moeda_fx,MATCH(V155,moeda_cod,0)),0))</f>
        <v/>
      </c>
      <c r="X155" s="85" t="str">
        <f>IF(A155="","",IF($W$2="",UPPER(TRIM(A155)),IF(RIGHT(UPPER(TRIM(A155)),LEN($W$2))=$W$2,UPPER(TRIM(A155)),UPPER(TRIM(A155))&amp;$W$2)))</f>
        <v/>
      </c>
      <c r="Y155" s="85" t="str">
        <f>IF(OR(A155="",p_ModoCot&lt;&gt;"Automático"),"",IFERROR(_xlfn.WEBSERVICE("https://query1.finance.yahoo.com/v8/finance/chart/"&amp;X155&amp;"?range=1d&amp;interval=1d"),""))</f>
        <v/>
      </c>
      <c r="Z155" s="85" t="str">
        <f>IF(Y155="","",IFERROR(_xlfn.NUMBERVALUE(MID(Y155,SEARCH("""regularMarketPrice"":",Y155)+21,SEARCH(",",Y155&amp;",",SEARCH("""regularMarketPrice"":",Y155)+21)-SEARCH("""regularMarketPrice"":",Y155)-21),".",","),""))</f>
        <v/>
      </c>
      <c r="AA155" s="85" t="str">
        <f>IF(A155="","",ROUND(MAX(0,N(F155)*($K$6+$W$7)-K155),2))</f>
        <v/>
      </c>
      <c r="AB155" s="85" t="str">
        <f>IF(A155="","",IF(AND(M155&gt;0,M155&gt;=p_DifMin),AA155,0))</f>
        <v/>
      </c>
      <c r="AC155" s="85" t="str">
        <f>IF(A155="","",IF(AND(AB155&gt;0,N(O155)&lt;=p_MaxAtivos),AB155,0))</f>
        <v/>
      </c>
      <c r="AD155" s="85" t="str">
        <f>IF(A155="","",IF(OR(Q155&lt;=0,Q155&lt;p_CompraMin,N(H155)&lt;=0,N(W155)&lt;=0),0,IF($W$3="Sim",TRUNC(ROUND(MAX(0,(Q155-p_CorrFixa)/(H155*W155*$W$6)),9),$W$4),TRUNC(ROUND(MAX(0,(Q155-p_CorrFixa)/(H155*W155*$W$6)),9)/$W$5)*$W$5)))</f>
        <v/>
      </c>
      <c r="AE155" s="85" t="str">
        <f>IF(A155="","",IF(N(AD155)&gt;0,AD155*H155*W155*$W$6+p_CorrFixa,0))</f>
        <v/>
      </c>
      <c r="AF155" s="85" t="str">
        <f>IF(A155="","",IF(OR($Y$1&lt;=0,N(H155)&lt;=0,N(W155)&lt;=0,N(AB155)&lt;=0),0,IF($W$3="Sim",TRUNC(ROUND(MAX(0,($Y$1-IF(N(AD155)&gt;0,0,p_CorrFixa))/(H155*W155*$W$6)),9),$W$4),TRUNC(ROUND(MAX(0,($Y$1-IF(N(AD155)&gt;0,0,p_CorrFixa))/(H155*W155*$W$6)),9)/$W$5)*$W$5)))</f>
        <v/>
      </c>
      <c r="AG155" s="85" t="str">
        <f>IF(A155="","",IF(AND(N(AD155)=0,N(AF155)*(H155*W155*$W$6)+p_CorrFixa&lt;p_CompraMin),0,AF155))</f>
        <v/>
      </c>
      <c r="AH155" s="85" t="str">
        <f>IF(A155="","",IF(N(AG155)&gt;0,AB155,0))</f>
        <v/>
      </c>
      <c r="AI155" s="85" t="str">
        <f>IF(A155="","",IF(AND(AH155&gt;0,AH155=$AH$6,COUNTIF($AH$9:AH155,AH155)=1),1,0))</f>
        <v/>
      </c>
    </row>
    <row r="156">
      <c r="A156" s="96" t="n"/>
      <c r="B156" s="96" t="n"/>
      <c r="C156" s="96" t="n"/>
      <c r="D156" s="97" t="n"/>
      <c r="E156" s="98" t="n"/>
      <c r="F156" s="99" t="n"/>
      <c r="G156" s="100" t="n"/>
      <c r="H156" s="104" t="str">
        <f>IF(A156="","",IF(AND(p_ModoCot="Automático",ISNUMBER(Z156)),Z156,IF(N(G156)&gt;0,G156,0)))</f>
        <v/>
      </c>
      <c r="I156" s="105" t="str">
        <f>IF(A156="","",IF(W156=0,"Sem câmbio",IF(AND(p_ModoCot="Automático",ISNUMBER(Z156)),"Auto",IF(N(G156)&gt;0,"Manual","Sem cotação"))))</f>
        <v/>
      </c>
      <c r="J156" s="106" t="str">
        <f>IF(A156="","",N(E156)*H156)</f>
        <v/>
      </c>
      <c r="K156" s="107" t="str">
        <f>IF(A156="","",J156*W156)</f>
        <v/>
      </c>
      <c r="L156" s="108" t="str">
        <f>IF(A156="","",IF($K$6&gt;0,K156/$K$6,0))</f>
        <v/>
      </c>
      <c r="M156" s="109" t="str">
        <f>IF(A156="","",N(F156)-L156)</f>
        <v/>
      </c>
      <c r="N156" s="108" t="str">
        <f>IF(A156="","",IF($AB$6&gt;0,AB156/$AB$6,0))</f>
        <v/>
      </c>
      <c r="O156" s="110" t="str">
        <f>IF(A156="","",IF(AB156&lt;=0,"",COUNTIF($AB$9:$AB$208,"&gt;"&amp;AB156)+COUNTIF($AB$9:AB156,AB156)))</f>
        <v/>
      </c>
      <c r="P156" s="105" t="str">
        <f>IF(A156="","",IF(Q156&gt;0,"BUY","HOLD"))</f>
        <v/>
      </c>
      <c r="Q156" s="107" t="str">
        <f>IF(A156="","",IF($W$7&lt;=0,0,IF($AC$6&gt;0,$W$7*AC156/$AC$6,IF($F$6&gt;0,$W$7*N(F156)/$F$6,0))))</f>
        <v/>
      </c>
      <c r="R156" s="111" t="str">
        <f>IF(A156="","",N(AD156)+IF(AI156=1,N(AG156),0))</f>
        <v/>
      </c>
      <c r="S156" s="111" t="str">
        <f>IF(A156="","",N(E156)+N(R156))</f>
        <v/>
      </c>
      <c r="T156" s="107" t="str">
        <f>IF(A156="","",IF(N(R156)&gt;0,R156*H156*W156*$W$6+p_CorrFixa,0))</f>
        <v/>
      </c>
      <c r="V156" s="85" t="str">
        <f>IF(A156="","",IF(D156="",$W$1,D156))</f>
        <v/>
      </c>
      <c r="W156" s="85" t="str">
        <f>IF(A156="","",IFERROR(INDEX(moeda_fx,MATCH(V156,moeda_cod,0)),0))</f>
        <v/>
      </c>
      <c r="X156" s="85" t="str">
        <f>IF(A156="","",IF($W$2="",UPPER(TRIM(A156)),IF(RIGHT(UPPER(TRIM(A156)),LEN($W$2))=$W$2,UPPER(TRIM(A156)),UPPER(TRIM(A156))&amp;$W$2)))</f>
        <v/>
      </c>
      <c r="Y156" s="85" t="str">
        <f>IF(OR(A156="",p_ModoCot&lt;&gt;"Automático"),"",IFERROR(_xlfn.WEBSERVICE("https://query1.finance.yahoo.com/v8/finance/chart/"&amp;X156&amp;"?range=1d&amp;interval=1d"),""))</f>
        <v/>
      </c>
      <c r="Z156" s="85" t="str">
        <f>IF(Y156="","",IFERROR(_xlfn.NUMBERVALUE(MID(Y156,SEARCH("""regularMarketPrice"":",Y156)+21,SEARCH(",",Y156&amp;",",SEARCH("""regularMarketPrice"":",Y156)+21)-SEARCH("""regularMarketPrice"":",Y156)-21),".",","),""))</f>
        <v/>
      </c>
      <c r="AA156" s="85" t="str">
        <f>IF(A156="","",ROUND(MAX(0,N(F156)*($K$6+$W$7)-K156),2))</f>
        <v/>
      </c>
      <c r="AB156" s="85" t="str">
        <f>IF(A156="","",IF(AND(M156&gt;0,M156&gt;=p_DifMin),AA156,0))</f>
        <v/>
      </c>
      <c r="AC156" s="85" t="str">
        <f>IF(A156="","",IF(AND(AB156&gt;0,N(O156)&lt;=p_MaxAtivos),AB156,0))</f>
        <v/>
      </c>
      <c r="AD156" s="85" t="str">
        <f>IF(A156="","",IF(OR(Q156&lt;=0,Q156&lt;p_CompraMin,N(H156)&lt;=0,N(W156)&lt;=0),0,IF($W$3="Sim",TRUNC(ROUND(MAX(0,(Q156-p_CorrFixa)/(H156*W156*$W$6)),9),$W$4),TRUNC(ROUND(MAX(0,(Q156-p_CorrFixa)/(H156*W156*$W$6)),9)/$W$5)*$W$5)))</f>
        <v/>
      </c>
      <c r="AE156" s="85" t="str">
        <f>IF(A156="","",IF(N(AD156)&gt;0,AD156*H156*W156*$W$6+p_CorrFixa,0))</f>
        <v/>
      </c>
      <c r="AF156" s="85" t="str">
        <f>IF(A156="","",IF(OR($Y$1&lt;=0,N(H156)&lt;=0,N(W156)&lt;=0,N(AB156)&lt;=0),0,IF($W$3="Sim",TRUNC(ROUND(MAX(0,($Y$1-IF(N(AD156)&gt;0,0,p_CorrFixa))/(H156*W156*$W$6)),9),$W$4),TRUNC(ROUND(MAX(0,($Y$1-IF(N(AD156)&gt;0,0,p_CorrFixa))/(H156*W156*$W$6)),9)/$W$5)*$W$5)))</f>
        <v/>
      </c>
      <c r="AG156" s="85" t="str">
        <f>IF(A156="","",IF(AND(N(AD156)=0,N(AF156)*(H156*W156*$W$6)+p_CorrFixa&lt;p_CompraMin),0,AF156))</f>
        <v/>
      </c>
      <c r="AH156" s="85" t="str">
        <f>IF(A156="","",IF(N(AG156)&gt;0,AB156,0))</f>
        <v/>
      </c>
      <c r="AI156" s="85" t="str">
        <f>IF(A156="","",IF(AND(AH156&gt;0,AH156=$AH$6,COUNTIF($AH$9:AH156,AH156)=1),1,0))</f>
        <v/>
      </c>
    </row>
    <row r="157">
      <c r="A157" s="96" t="n"/>
      <c r="B157" s="96" t="n"/>
      <c r="C157" s="96" t="n"/>
      <c r="D157" s="97" t="n"/>
      <c r="E157" s="98" t="n"/>
      <c r="F157" s="99" t="n"/>
      <c r="G157" s="100" t="n"/>
      <c r="H157" s="101" t="str">
        <f>IF(A157="","",IF(AND(p_ModoCot="Automático",ISNUMBER(Z157)),Z157,IF(N(G157)&gt;0,G157,0)))</f>
        <v/>
      </c>
      <c r="I157" s="73" t="str">
        <f>IF(A157="","",IF(W157=0,"Sem câmbio",IF(AND(p_ModoCot="Automático",ISNUMBER(Z157)),"Auto",IF(N(G157)&gt;0,"Manual","Sem cotação"))))</f>
        <v/>
      </c>
      <c r="J157" s="102" t="str">
        <f>IF(A157="","",N(E157)*H157)</f>
        <v/>
      </c>
      <c r="K157" s="70" t="str">
        <f>IF(A157="","",J157*W157)</f>
        <v/>
      </c>
      <c r="L157" s="30" t="str">
        <f>IF(A157="","",IF($K$6&gt;0,K157/$K$6,0))</f>
        <v/>
      </c>
      <c r="M157" s="72" t="str">
        <f>IF(A157="","",N(F157)-L157)</f>
        <v/>
      </c>
      <c r="N157" s="30" t="str">
        <f>IF(A157="","",IF($AB$6&gt;0,AB157/$AB$6,0))</f>
        <v/>
      </c>
      <c r="O157" s="74" t="str">
        <f>IF(A157="","",IF(AB157&lt;=0,"",COUNTIF($AB$9:$AB$208,"&gt;"&amp;AB157)+COUNTIF($AB$9:AB157,AB157)))</f>
        <v/>
      </c>
      <c r="P157" s="73" t="str">
        <f>IF(A157="","",IF(Q157&gt;0,"BUY","HOLD"))</f>
        <v/>
      </c>
      <c r="Q157" s="70" t="str">
        <f>IF(A157="","",IF($W$7&lt;=0,0,IF($AC$6&gt;0,$W$7*AC157/$AC$6,IF($F$6&gt;0,$W$7*N(F157)/$F$6,0))))</f>
        <v/>
      </c>
      <c r="R157" s="103" t="str">
        <f>IF(A157="","",N(AD157)+IF(AI157=1,N(AG157),0))</f>
        <v/>
      </c>
      <c r="S157" s="103" t="str">
        <f>IF(A157="","",N(E157)+N(R157))</f>
        <v/>
      </c>
      <c r="T157" s="70" t="str">
        <f>IF(A157="","",IF(N(R157)&gt;0,R157*H157*W157*$W$6+p_CorrFixa,0))</f>
        <v/>
      </c>
      <c r="V157" s="85" t="str">
        <f>IF(A157="","",IF(D157="",$W$1,D157))</f>
        <v/>
      </c>
      <c r="W157" s="85" t="str">
        <f>IF(A157="","",IFERROR(INDEX(moeda_fx,MATCH(V157,moeda_cod,0)),0))</f>
        <v/>
      </c>
      <c r="X157" s="85" t="str">
        <f>IF(A157="","",IF($W$2="",UPPER(TRIM(A157)),IF(RIGHT(UPPER(TRIM(A157)),LEN($W$2))=$W$2,UPPER(TRIM(A157)),UPPER(TRIM(A157))&amp;$W$2)))</f>
        <v/>
      </c>
      <c r="Y157" s="85" t="str">
        <f>IF(OR(A157="",p_ModoCot&lt;&gt;"Automático"),"",IFERROR(_xlfn.WEBSERVICE("https://query1.finance.yahoo.com/v8/finance/chart/"&amp;X157&amp;"?range=1d&amp;interval=1d"),""))</f>
        <v/>
      </c>
      <c r="Z157" s="85" t="str">
        <f>IF(Y157="","",IFERROR(_xlfn.NUMBERVALUE(MID(Y157,SEARCH("""regularMarketPrice"":",Y157)+21,SEARCH(",",Y157&amp;",",SEARCH("""regularMarketPrice"":",Y157)+21)-SEARCH("""regularMarketPrice"":",Y157)-21),".",","),""))</f>
        <v/>
      </c>
      <c r="AA157" s="85" t="str">
        <f>IF(A157="","",ROUND(MAX(0,N(F157)*($K$6+$W$7)-K157),2))</f>
        <v/>
      </c>
      <c r="AB157" s="85" t="str">
        <f>IF(A157="","",IF(AND(M157&gt;0,M157&gt;=p_DifMin),AA157,0))</f>
        <v/>
      </c>
      <c r="AC157" s="85" t="str">
        <f>IF(A157="","",IF(AND(AB157&gt;0,N(O157)&lt;=p_MaxAtivos),AB157,0))</f>
        <v/>
      </c>
      <c r="AD157" s="85" t="str">
        <f>IF(A157="","",IF(OR(Q157&lt;=0,Q157&lt;p_CompraMin,N(H157)&lt;=0,N(W157)&lt;=0),0,IF($W$3="Sim",TRUNC(ROUND(MAX(0,(Q157-p_CorrFixa)/(H157*W157*$W$6)),9),$W$4),TRUNC(ROUND(MAX(0,(Q157-p_CorrFixa)/(H157*W157*$W$6)),9)/$W$5)*$W$5)))</f>
        <v/>
      </c>
      <c r="AE157" s="85" t="str">
        <f>IF(A157="","",IF(N(AD157)&gt;0,AD157*H157*W157*$W$6+p_CorrFixa,0))</f>
        <v/>
      </c>
      <c r="AF157" s="85" t="str">
        <f>IF(A157="","",IF(OR($Y$1&lt;=0,N(H157)&lt;=0,N(W157)&lt;=0,N(AB157)&lt;=0),0,IF($W$3="Sim",TRUNC(ROUND(MAX(0,($Y$1-IF(N(AD157)&gt;0,0,p_CorrFixa))/(H157*W157*$W$6)),9),$W$4),TRUNC(ROUND(MAX(0,($Y$1-IF(N(AD157)&gt;0,0,p_CorrFixa))/(H157*W157*$W$6)),9)/$W$5)*$W$5)))</f>
        <v/>
      </c>
      <c r="AG157" s="85" t="str">
        <f>IF(A157="","",IF(AND(N(AD157)=0,N(AF157)*(H157*W157*$W$6)+p_CorrFixa&lt;p_CompraMin),0,AF157))</f>
        <v/>
      </c>
      <c r="AH157" s="85" t="str">
        <f>IF(A157="","",IF(N(AG157)&gt;0,AB157,0))</f>
        <v/>
      </c>
      <c r="AI157" s="85" t="str">
        <f>IF(A157="","",IF(AND(AH157&gt;0,AH157=$AH$6,COUNTIF($AH$9:AH157,AH157)=1),1,0))</f>
        <v/>
      </c>
    </row>
    <row r="158">
      <c r="A158" s="96" t="n"/>
      <c r="B158" s="96" t="n"/>
      <c r="C158" s="96" t="n"/>
      <c r="D158" s="97" t="n"/>
      <c r="E158" s="98" t="n"/>
      <c r="F158" s="99" t="n"/>
      <c r="G158" s="100" t="n"/>
      <c r="H158" s="104" t="str">
        <f>IF(A158="","",IF(AND(p_ModoCot="Automático",ISNUMBER(Z158)),Z158,IF(N(G158)&gt;0,G158,0)))</f>
        <v/>
      </c>
      <c r="I158" s="105" t="str">
        <f>IF(A158="","",IF(W158=0,"Sem câmbio",IF(AND(p_ModoCot="Automático",ISNUMBER(Z158)),"Auto",IF(N(G158)&gt;0,"Manual","Sem cotação"))))</f>
        <v/>
      </c>
      <c r="J158" s="106" t="str">
        <f>IF(A158="","",N(E158)*H158)</f>
        <v/>
      </c>
      <c r="K158" s="107" t="str">
        <f>IF(A158="","",J158*W158)</f>
        <v/>
      </c>
      <c r="L158" s="108" t="str">
        <f>IF(A158="","",IF($K$6&gt;0,K158/$K$6,0))</f>
        <v/>
      </c>
      <c r="M158" s="109" t="str">
        <f>IF(A158="","",N(F158)-L158)</f>
        <v/>
      </c>
      <c r="N158" s="108" t="str">
        <f>IF(A158="","",IF($AB$6&gt;0,AB158/$AB$6,0))</f>
        <v/>
      </c>
      <c r="O158" s="110" t="str">
        <f>IF(A158="","",IF(AB158&lt;=0,"",COUNTIF($AB$9:$AB$208,"&gt;"&amp;AB158)+COUNTIF($AB$9:AB158,AB158)))</f>
        <v/>
      </c>
      <c r="P158" s="105" t="str">
        <f>IF(A158="","",IF(Q158&gt;0,"BUY","HOLD"))</f>
        <v/>
      </c>
      <c r="Q158" s="107" t="str">
        <f>IF(A158="","",IF($W$7&lt;=0,0,IF($AC$6&gt;0,$W$7*AC158/$AC$6,IF($F$6&gt;0,$W$7*N(F158)/$F$6,0))))</f>
        <v/>
      </c>
      <c r="R158" s="111" t="str">
        <f>IF(A158="","",N(AD158)+IF(AI158=1,N(AG158),0))</f>
        <v/>
      </c>
      <c r="S158" s="111" t="str">
        <f>IF(A158="","",N(E158)+N(R158))</f>
        <v/>
      </c>
      <c r="T158" s="107" t="str">
        <f>IF(A158="","",IF(N(R158)&gt;0,R158*H158*W158*$W$6+p_CorrFixa,0))</f>
        <v/>
      </c>
      <c r="V158" s="85" t="str">
        <f>IF(A158="","",IF(D158="",$W$1,D158))</f>
        <v/>
      </c>
      <c r="W158" s="85" t="str">
        <f>IF(A158="","",IFERROR(INDEX(moeda_fx,MATCH(V158,moeda_cod,0)),0))</f>
        <v/>
      </c>
      <c r="X158" s="85" t="str">
        <f>IF(A158="","",IF($W$2="",UPPER(TRIM(A158)),IF(RIGHT(UPPER(TRIM(A158)),LEN($W$2))=$W$2,UPPER(TRIM(A158)),UPPER(TRIM(A158))&amp;$W$2)))</f>
        <v/>
      </c>
      <c r="Y158" s="85" t="str">
        <f>IF(OR(A158="",p_ModoCot&lt;&gt;"Automático"),"",IFERROR(_xlfn.WEBSERVICE("https://query1.finance.yahoo.com/v8/finance/chart/"&amp;X158&amp;"?range=1d&amp;interval=1d"),""))</f>
        <v/>
      </c>
      <c r="Z158" s="85" t="str">
        <f>IF(Y158="","",IFERROR(_xlfn.NUMBERVALUE(MID(Y158,SEARCH("""regularMarketPrice"":",Y158)+21,SEARCH(",",Y158&amp;",",SEARCH("""regularMarketPrice"":",Y158)+21)-SEARCH("""regularMarketPrice"":",Y158)-21),".",","),""))</f>
        <v/>
      </c>
      <c r="AA158" s="85" t="str">
        <f>IF(A158="","",ROUND(MAX(0,N(F158)*($K$6+$W$7)-K158),2))</f>
        <v/>
      </c>
      <c r="AB158" s="85" t="str">
        <f>IF(A158="","",IF(AND(M158&gt;0,M158&gt;=p_DifMin),AA158,0))</f>
        <v/>
      </c>
      <c r="AC158" s="85" t="str">
        <f>IF(A158="","",IF(AND(AB158&gt;0,N(O158)&lt;=p_MaxAtivos),AB158,0))</f>
        <v/>
      </c>
      <c r="AD158" s="85" t="str">
        <f>IF(A158="","",IF(OR(Q158&lt;=0,Q158&lt;p_CompraMin,N(H158)&lt;=0,N(W158)&lt;=0),0,IF($W$3="Sim",TRUNC(ROUND(MAX(0,(Q158-p_CorrFixa)/(H158*W158*$W$6)),9),$W$4),TRUNC(ROUND(MAX(0,(Q158-p_CorrFixa)/(H158*W158*$W$6)),9)/$W$5)*$W$5)))</f>
        <v/>
      </c>
      <c r="AE158" s="85" t="str">
        <f>IF(A158="","",IF(N(AD158)&gt;0,AD158*H158*W158*$W$6+p_CorrFixa,0))</f>
        <v/>
      </c>
      <c r="AF158" s="85" t="str">
        <f>IF(A158="","",IF(OR($Y$1&lt;=0,N(H158)&lt;=0,N(W158)&lt;=0,N(AB158)&lt;=0),0,IF($W$3="Sim",TRUNC(ROUND(MAX(0,($Y$1-IF(N(AD158)&gt;0,0,p_CorrFixa))/(H158*W158*$W$6)),9),$W$4),TRUNC(ROUND(MAX(0,($Y$1-IF(N(AD158)&gt;0,0,p_CorrFixa))/(H158*W158*$W$6)),9)/$W$5)*$W$5)))</f>
        <v/>
      </c>
      <c r="AG158" s="85" t="str">
        <f>IF(A158="","",IF(AND(N(AD158)=0,N(AF158)*(H158*W158*$W$6)+p_CorrFixa&lt;p_CompraMin),0,AF158))</f>
        <v/>
      </c>
      <c r="AH158" s="85" t="str">
        <f>IF(A158="","",IF(N(AG158)&gt;0,AB158,0))</f>
        <v/>
      </c>
      <c r="AI158" s="85" t="str">
        <f>IF(A158="","",IF(AND(AH158&gt;0,AH158=$AH$6,COUNTIF($AH$9:AH158,AH158)=1),1,0))</f>
        <v/>
      </c>
    </row>
    <row r="159">
      <c r="A159" s="96" t="n"/>
      <c r="B159" s="96" t="n"/>
      <c r="C159" s="96" t="n"/>
      <c r="D159" s="97" t="n"/>
      <c r="E159" s="98" t="n"/>
      <c r="F159" s="99" t="n"/>
      <c r="G159" s="100" t="n"/>
      <c r="H159" s="101" t="str">
        <f>IF(A159="","",IF(AND(p_ModoCot="Automático",ISNUMBER(Z159)),Z159,IF(N(G159)&gt;0,G159,0)))</f>
        <v/>
      </c>
      <c r="I159" s="73" t="str">
        <f>IF(A159="","",IF(W159=0,"Sem câmbio",IF(AND(p_ModoCot="Automático",ISNUMBER(Z159)),"Auto",IF(N(G159)&gt;0,"Manual","Sem cotação"))))</f>
        <v/>
      </c>
      <c r="J159" s="102" t="str">
        <f>IF(A159="","",N(E159)*H159)</f>
        <v/>
      </c>
      <c r="K159" s="70" t="str">
        <f>IF(A159="","",J159*W159)</f>
        <v/>
      </c>
      <c r="L159" s="30" t="str">
        <f>IF(A159="","",IF($K$6&gt;0,K159/$K$6,0))</f>
        <v/>
      </c>
      <c r="M159" s="72" t="str">
        <f>IF(A159="","",N(F159)-L159)</f>
        <v/>
      </c>
      <c r="N159" s="30" t="str">
        <f>IF(A159="","",IF($AB$6&gt;0,AB159/$AB$6,0))</f>
        <v/>
      </c>
      <c r="O159" s="74" t="str">
        <f>IF(A159="","",IF(AB159&lt;=0,"",COUNTIF($AB$9:$AB$208,"&gt;"&amp;AB159)+COUNTIF($AB$9:AB159,AB159)))</f>
        <v/>
      </c>
      <c r="P159" s="73" t="str">
        <f>IF(A159="","",IF(Q159&gt;0,"BUY","HOLD"))</f>
        <v/>
      </c>
      <c r="Q159" s="70" t="str">
        <f>IF(A159="","",IF($W$7&lt;=0,0,IF($AC$6&gt;0,$W$7*AC159/$AC$6,IF($F$6&gt;0,$W$7*N(F159)/$F$6,0))))</f>
        <v/>
      </c>
      <c r="R159" s="103" t="str">
        <f>IF(A159="","",N(AD159)+IF(AI159=1,N(AG159),0))</f>
        <v/>
      </c>
      <c r="S159" s="103" t="str">
        <f>IF(A159="","",N(E159)+N(R159))</f>
        <v/>
      </c>
      <c r="T159" s="70" t="str">
        <f>IF(A159="","",IF(N(R159)&gt;0,R159*H159*W159*$W$6+p_CorrFixa,0))</f>
        <v/>
      </c>
      <c r="V159" s="85" t="str">
        <f>IF(A159="","",IF(D159="",$W$1,D159))</f>
        <v/>
      </c>
      <c r="W159" s="85" t="str">
        <f>IF(A159="","",IFERROR(INDEX(moeda_fx,MATCH(V159,moeda_cod,0)),0))</f>
        <v/>
      </c>
      <c r="X159" s="85" t="str">
        <f>IF(A159="","",IF($W$2="",UPPER(TRIM(A159)),IF(RIGHT(UPPER(TRIM(A159)),LEN($W$2))=$W$2,UPPER(TRIM(A159)),UPPER(TRIM(A159))&amp;$W$2)))</f>
        <v/>
      </c>
      <c r="Y159" s="85" t="str">
        <f>IF(OR(A159="",p_ModoCot&lt;&gt;"Automático"),"",IFERROR(_xlfn.WEBSERVICE("https://query1.finance.yahoo.com/v8/finance/chart/"&amp;X159&amp;"?range=1d&amp;interval=1d"),""))</f>
        <v/>
      </c>
      <c r="Z159" s="85" t="str">
        <f>IF(Y159="","",IFERROR(_xlfn.NUMBERVALUE(MID(Y159,SEARCH("""regularMarketPrice"":",Y159)+21,SEARCH(",",Y159&amp;",",SEARCH("""regularMarketPrice"":",Y159)+21)-SEARCH("""regularMarketPrice"":",Y159)-21),".",","),""))</f>
        <v/>
      </c>
      <c r="AA159" s="85" t="str">
        <f>IF(A159="","",ROUND(MAX(0,N(F159)*($K$6+$W$7)-K159),2))</f>
        <v/>
      </c>
      <c r="AB159" s="85" t="str">
        <f>IF(A159="","",IF(AND(M159&gt;0,M159&gt;=p_DifMin),AA159,0))</f>
        <v/>
      </c>
      <c r="AC159" s="85" t="str">
        <f>IF(A159="","",IF(AND(AB159&gt;0,N(O159)&lt;=p_MaxAtivos),AB159,0))</f>
        <v/>
      </c>
      <c r="AD159" s="85" t="str">
        <f>IF(A159="","",IF(OR(Q159&lt;=0,Q159&lt;p_CompraMin,N(H159)&lt;=0,N(W159)&lt;=0),0,IF($W$3="Sim",TRUNC(ROUND(MAX(0,(Q159-p_CorrFixa)/(H159*W159*$W$6)),9),$W$4),TRUNC(ROUND(MAX(0,(Q159-p_CorrFixa)/(H159*W159*$W$6)),9)/$W$5)*$W$5)))</f>
        <v/>
      </c>
      <c r="AE159" s="85" t="str">
        <f>IF(A159="","",IF(N(AD159)&gt;0,AD159*H159*W159*$W$6+p_CorrFixa,0))</f>
        <v/>
      </c>
      <c r="AF159" s="85" t="str">
        <f>IF(A159="","",IF(OR($Y$1&lt;=0,N(H159)&lt;=0,N(W159)&lt;=0,N(AB159)&lt;=0),0,IF($W$3="Sim",TRUNC(ROUND(MAX(0,($Y$1-IF(N(AD159)&gt;0,0,p_CorrFixa))/(H159*W159*$W$6)),9),$W$4),TRUNC(ROUND(MAX(0,($Y$1-IF(N(AD159)&gt;0,0,p_CorrFixa))/(H159*W159*$W$6)),9)/$W$5)*$W$5)))</f>
        <v/>
      </c>
      <c r="AG159" s="85" t="str">
        <f>IF(A159="","",IF(AND(N(AD159)=0,N(AF159)*(H159*W159*$W$6)+p_CorrFixa&lt;p_CompraMin),0,AF159))</f>
        <v/>
      </c>
      <c r="AH159" s="85" t="str">
        <f>IF(A159="","",IF(N(AG159)&gt;0,AB159,0))</f>
        <v/>
      </c>
      <c r="AI159" s="85" t="str">
        <f>IF(A159="","",IF(AND(AH159&gt;0,AH159=$AH$6,COUNTIF($AH$9:AH159,AH159)=1),1,0))</f>
        <v/>
      </c>
    </row>
    <row r="160">
      <c r="A160" s="96" t="n"/>
      <c r="B160" s="96" t="n"/>
      <c r="C160" s="96" t="n"/>
      <c r="D160" s="97" t="n"/>
      <c r="E160" s="98" t="n"/>
      <c r="F160" s="99" t="n"/>
      <c r="G160" s="100" t="n"/>
      <c r="H160" s="104" t="str">
        <f>IF(A160="","",IF(AND(p_ModoCot="Automático",ISNUMBER(Z160)),Z160,IF(N(G160)&gt;0,G160,0)))</f>
        <v/>
      </c>
      <c r="I160" s="105" t="str">
        <f>IF(A160="","",IF(W160=0,"Sem câmbio",IF(AND(p_ModoCot="Automático",ISNUMBER(Z160)),"Auto",IF(N(G160)&gt;0,"Manual","Sem cotação"))))</f>
        <v/>
      </c>
      <c r="J160" s="106" t="str">
        <f>IF(A160="","",N(E160)*H160)</f>
        <v/>
      </c>
      <c r="K160" s="107" t="str">
        <f>IF(A160="","",J160*W160)</f>
        <v/>
      </c>
      <c r="L160" s="108" t="str">
        <f>IF(A160="","",IF($K$6&gt;0,K160/$K$6,0))</f>
        <v/>
      </c>
      <c r="M160" s="109" t="str">
        <f>IF(A160="","",N(F160)-L160)</f>
        <v/>
      </c>
      <c r="N160" s="108" t="str">
        <f>IF(A160="","",IF($AB$6&gt;0,AB160/$AB$6,0))</f>
        <v/>
      </c>
      <c r="O160" s="110" t="str">
        <f>IF(A160="","",IF(AB160&lt;=0,"",COUNTIF($AB$9:$AB$208,"&gt;"&amp;AB160)+COUNTIF($AB$9:AB160,AB160)))</f>
        <v/>
      </c>
      <c r="P160" s="105" t="str">
        <f>IF(A160="","",IF(Q160&gt;0,"BUY","HOLD"))</f>
        <v/>
      </c>
      <c r="Q160" s="107" t="str">
        <f>IF(A160="","",IF($W$7&lt;=0,0,IF($AC$6&gt;0,$W$7*AC160/$AC$6,IF($F$6&gt;0,$W$7*N(F160)/$F$6,0))))</f>
        <v/>
      </c>
      <c r="R160" s="111" t="str">
        <f>IF(A160="","",N(AD160)+IF(AI160=1,N(AG160),0))</f>
        <v/>
      </c>
      <c r="S160" s="111" t="str">
        <f>IF(A160="","",N(E160)+N(R160))</f>
        <v/>
      </c>
      <c r="T160" s="107" t="str">
        <f>IF(A160="","",IF(N(R160)&gt;0,R160*H160*W160*$W$6+p_CorrFixa,0))</f>
        <v/>
      </c>
      <c r="V160" s="85" t="str">
        <f>IF(A160="","",IF(D160="",$W$1,D160))</f>
        <v/>
      </c>
      <c r="W160" s="85" t="str">
        <f>IF(A160="","",IFERROR(INDEX(moeda_fx,MATCH(V160,moeda_cod,0)),0))</f>
        <v/>
      </c>
      <c r="X160" s="85" t="str">
        <f>IF(A160="","",IF($W$2="",UPPER(TRIM(A160)),IF(RIGHT(UPPER(TRIM(A160)),LEN($W$2))=$W$2,UPPER(TRIM(A160)),UPPER(TRIM(A160))&amp;$W$2)))</f>
        <v/>
      </c>
      <c r="Y160" s="85" t="str">
        <f>IF(OR(A160="",p_ModoCot&lt;&gt;"Automático"),"",IFERROR(_xlfn.WEBSERVICE("https://query1.finance.yahoo.com/v8/finance/chart/"&amp;X160&amp;"?range=1d&amp;interval=1d"),""))</f>
        <v/>
      </c>
      <c r="Z160" s="85" t="str">
        <f>IF(Y160="","",IFERROR(_xlfn.NUMBERVALUE(MID(Y160,SEARCH("""regularMarketPrice"":",Y160)+21,SEARCH(",",Y160&amp;",",SEARCH("""regularMarketPrice"":",Y160)+21)-SEARCH("""regularMarketPrice"":",Y160)-21),".",","),""))</f>
        <v/>
      </c>
      <c r="AA160" s="85" t="str">
        <f>IF(A160="","",ROUND(MAX(0,N(F160)*($K$6+$W$7)-K160),2))</f>
        <v/>
      </c>
      <c r="AB160" s="85" t="str">
        <f>IF(A160="","",IF(AND(M160&gt;0,M160&gt;=p_DifMin),AA160,0))</f>
        <v/>
      </c>
      <c r="AC160" s="85" t="str">
        <f>IF(A160="","",IF(AND(AB160&gt;0,N(O160)&lt;=p_MaxAtivos),AB160,0))</f>
        <v/>
      </c>
      <c r="AD160" s="85" t="str">
        <f>IF(A160="","",IF(OR(Q160&lt;=0,Q160&lt;p_CompraMin,N(H160)&lt;=0,N(W160)&lt;=0),0,IF($W$3="Sim",TRUNC(ROUND(MAX(0,(Q160-p_CorrFixa)/(H160*W160*$W$6)),9),$W$4),TRUNC(ROUND(MAX(0,(Q160-p_CorrFixa)/(H160*W160*$W$6)),9)/$W$5)*$W$5)))</f>
        <v/>
      </c>
      <c r="AE160" s="85" t="str">
        <f>IF(A160="","",IF(N(AD160)&gt;0,AD160*H160*W160*$W$6+p_CorrFixa,0))</f>
        <v/>
      </c>
      <c r="AF160" s="85" t="str">
        <f>IF(A160="","",IF(OR($Y$1&lt;=0,N(H160)&lt;=0,N(W160)&lt;=0,N(AB160)&lt;=0),0,IF($W$3="Sim",TRUNC(ROUND(MAX(0,($Y$1-IF(N(AD160)&gt;0,0,p_CorrFixa))/(H160*W160*$W$6)),9),$W$4),TRUNC(ROUND(MAX(0,($Y$1-IF(N(AD160)&gt;0,0,p_CorrFixa))/(H160*W160*$W$6)),9)/$W$5)*$W$5)))</f>
        <v/>
      </c>
      <c r="AG160" s="85" t="str">
        <f>IF(A160="","",IF(AND(N(AD160)=0,N(AF160)*(H160*W160*$W$6)+p_CorrFixa&lt;p_CompraMin),0,AF160))</f>
        <v/>
      </c>
      <c r="AH160" s="85" t="str">
        <f>IF(A160="","",IF(N(AG160)&gt;0,AB160,0))</f>
        <v/>
      </c>
      <c r="AI160" s="85" t="str">
        <f>IF(A160="","",IF(AND(AH160&gt;0,AH160=$AH$6,COUNTIF($AH$9:AH160,AH160)=1),1,0))</f>
        <v/>
      </c>
    </row>
    <row r="161">
      <c r="A161" s="96" t="n"/>
      <c r="B161" s="96" t="n"/>
      <c r="C161" s="96" t="n"/>
      <c r="D161" s="97" t="n"/>
      <c r="E161" s="98" t="n"/>
      <c r="F161" s="99" t="n"/>
      <c r="G161" s="100" t="n"/>
      <c r="H161" s="101" t="str">
        <f>IF(A161="","",IF(AND(p_ModoCot="Automático",ISNUMBER(Z161)),Z161,IF(N(G161)&gt;0,G161,0)))</f>
        <v/>
      </c>
      <c r="I161" s="73" t="str">
        <f>IF(A161="","",IF(W161=0,"Sem câmbio",IF(AND(p_ModoCot="Automático",ISNUMBER(Z161)),"Auto",IF(N(G161)&gt;0,"Manual","Sem cotação"))))</f>
        <v/>
      </c>
      <c r="J161" s="102" t="str">
        <f>IF(A161="","",N(E161)*H161)</f>
        <v/>
      </c>
      <c r="K161" s="70" t="str">
        <f>IF(A161="","",J161*W161)</f>
        <v/>
      </c>
      <c r="L161" s="30" t="str">
        <f>IF(A161="","",IF($K$6&gt;0,K161/$K$6,0))</f>
        <v/>
      </c>
      <c r="M161" s="72" t="str">
        <f>IF(A161="","",N(F161)-L161)</f>
        <v/>
      </c>
      <c r="N161" s="30" t="str">
        <f>IF(A161="","",IF($AB$6&gt;0,AB161/$AB$6,0))</f>
        <v/>
      </c>
      <c r="O161" s="74" t="str">
        <f>IF(A161="","",IF(AB161&lt;=0,"",COUNTIF($AB$9:$AB$208,"&gt;"&amp;AB161)+COUNTIF($AB$9:AB161,AB161)))</f>
        <v/>
      </c>
      <c r="P161" s="73" t="str">
        <f>IF(A161="","",IF(Q161&gt;0,"BUY","HOLD"))</f>
        <v/>
      </c>
      <c r="Q161" s="70" t="str">
        <f>IF(A161="","",IF($W$7&lt;=0,0,IF($AC$6&gt;0,$W$7*AC161/$AC$6,IF($F$6&gt;0,$W$7*N(F161)/$F$6,0))))</f>
        <v/>
      </c>
      <c r="R161" s="103" t="str">
        <f>IF(A161="","",N(AD161)+IF(AI161=1,N(AG161),0))</f>
        <v/>
      </c>
      <c r="S161" s="103" t="str">
        <f>IF(A161="","",N(E161)+N(R161))</f>
        <v/>
      </c>
      <c r="T161" s="70" t="str">
        <f>IF(A161="","",IF(N(R161)&gt;0,R161*H161*W161*$W$6+p_CorrFixa,0))</f>
        <v/>
      </c>
      <c r="V161" s="85" t="str">
        <f>IF(A161="","",IF(D161="",$W$1,D161))</f>
        <v/>
      </c>
      <c r="W161" s="85" t="str">
        <f>IF(A161="","",IFERROR(INDEX(moeda_fx,MATCH(V161,moeda_cod,0)),0))</f>
        <v/>
      </c>
      <c r="X161" s="85" t="str">
        <f>IF(A161="","",IF($W$2="",UPPER(TRIM(A161)),IF(RIGHT(UPPER(TRIM(A161)),LEN($W$2))=$W$2,UPPER(TRIM(A161)),UPPER(TRIM(A161))&amp;$W$2)))</f>
        <v/>
      </c>
      <c r="Y161" s="85" t="str">
        <f>IF(OR(A161="",p_ModoCot&lt;&gt;"Automático"),"",IFERROR(_xlfn.WEBSERVICE("https://query1.finance.yahoo.com/v8/finance/chart/"&amp;X161&amp;"?range=1d&amp;interval=1d"),""))</f>
        <v/>
      </c>
      <c r="Z161" s="85" t="str">
        <f>IF(Y161="","",IFERROR(_xlfn.NUMBERVALUE(MID(Y161,SEARCH("""regularMarketPrice"":",Y161)+21,SEARCH(",",Y161&amp;",",SEARCH("""regularMarketPrice"":",Y161)+21)-SEARCH("""regularMarketPrice"":",Y161)-21),".",","),""))</f>
        <v/>
      </c>
      <c r="AA161" s="85" t="str">
        <f>IF(A161="","",ROUND(MAX(0,N(F161)*($K$6+$W$7)-K161),2))</f>
        <v/>
      </c>
      <c r="AB161" s="85" t="str">
        <f>IF(A161="","",IF(AND(M161&gt;0,M161&gt;=p_DifMin),AA161,0))</f>
        <v/>
      </c>
      <c r="AC161" s="85" t="str">
        <f>IF(A161="","",IF(AND(AB161&gt;0,N(O161)&lt;=p_MaxAtivos),AB161,0))</f>
        <v/>
      </c>
      <c r="AD161" s="85" t="str">
        <f>IF(A161="","",IF(OR(Q161&lt;=0,Q161&lt;p_CompraMin,N(H161)&lt;=0,N(W161)&lt;=0),0,IF($W$3="Sim",TRUNC(ROUND(MAX(0,(Q161-p_CorrFixa)/(H161*W161*$W$6)),9),$W$4),TRUNC(ROUND(MAX(0,(Q161-p_CorrFixa)/(H161*W161*$W$6)),9)/$W$5)*$W$5)))</f>
        <v/>
      </c>
      <c r="AE161" s="85" t="str">
        <f>IF(A161="","",IF(N(AD161)&gt;0,AD161*H161*W161*$W$6+p_CorrFixa,0))</f>
        <v/>
      </c>
      <c r="AF161" s="85" t="str">
        <f>IF(A161="","",IF(OR($Y$1&lt;=0,N(H161)&lt;=0,N(W161)&lt;=0,N(AB161)&lt;=0),0,IF($W$3="Sim",TRUNC(ROUND(MAX(0,($Y$1-IF(N(AD161)&gt;0,0,p_CorrFixa))/(H161*W161*$W$6)),9),$W$4),TRUNC(ROUND(MAX(0,($Y$1-IF(N(AD161)&gt;0,0,p_CorrFixa))/(H161*W161*$W$6)),9)/$W$5)*$W$5)))</f>
        <v/>
      </c>
      <c r="AG161" s="85" t="str">
        <f>IF(A161="","",IF(AND(N(AD161)=0,N(AF161)*(H161*W161*$W$6)+p_CorrFixa&lt;p_CompraMin),0,AF161))</f>
        <v/>
      </c>
      <c r="AH161" s="85" t="str">
        <f>IF(A161="","",IF(N(AG161)&gt;0,AB161,0))</f>
        <v/>
      </c>
      <c r="AI161" s="85" t="str">
        <f>IF(A161="","",IF(AND(AH161&gt;0,AH161=$AH$6,COUNTIF($AH$9:AH161,AH161)=1),1,0))</f>
        <v/>
      </c>
    </row>
    <row r="162">
      <c r="A162" s="96" t="n"/>
      <c r="B162" s="96" t="n"/>
      <c r="C162" s="96" t="n"/>
      <c r="D162" s="97" t="n"/>
      <c r="E162" s="98" t="n"/>
      <c r="F162" s="99" t="n"/>
      <c r="G162" s="100" t="n"/>
      <c r="H162" s="104" t="str">
        <f>IF(A162="","",IF(AND(p_ModoCot="Automático",ISNUMBER(Z162)),Z162,IF(N(G162)&gt;0,G162,0)))</f>
        <v/>
      </c>
      <c r="I162" s="105" t="str">
        <f>IF(A162="","",IF(W162=0,"Sem câmbio",IF(AND(p_ModoCot="Automático",ISNUMBER(Z162)),"Auto",IF(N(G162)&gt;0,"Manual","Sem cotação"))))</f>
        <v/>
      </c>
      <c r="J162" s="106" t="str">
        <f>IF(A162="","",N(E162)*H162)</f>
        <v/>
      </c>
      <c r="K162" s="107" t="str">
        <f>IF(A162="","",J162*W162)</f>
        <v/>
      </c>
      <c r="L162" s="108" t="str">
        <f>IF(A162="","",IF($K$6&gt;0,K162/$K$6,0))</f>
        <v/>
      </c>
      <c r="M162" s="109" t="str">
        <f>IF(A162="","",N(F162)-L162)</f>
        <v/>
      </c>
      <c r="N162" s="108" t="str">
        <f>IF(A162="","",IF($AB$6&gt;0,AB162/$AB$6,0))</f>
        <v/>
      </c>
      <c r="O162" s="110" t="str">
        <f>IF(A162="","",IF(AB162&lt;=0,"",COUNTIF($AB$9:$AB$208,"&gt;"&amp;AB162)+COUNTIF($AB$9:AB162,AB162)))</f>
        <v/>
      </c>
      <c r="P162" s="105" t="str">
        <f>IF(A162="","",IF(Q162&gt;0,"BUY","HOLD"))</f>
        <v/>
      </c>
      <c r="Q162" s="107" t="str">
        <f>IF(A162="","",IF($W$7&lt;=0,0,IF($AC$6&gt;0,$W$7*AC162/$AC$6,IF($F$6&gt;0,$W$7*N(F162)/$F$6,0))))</f>
        <v/>
      </c>
      <c r="R162" s="111" t="str">
        <f>IF(A162="","",N(AD162)+IF(AI162=1,N(AG162),0))</f>
        <v/>
      </c>
      <c r="S162" s="111" t="str">
        <f>IF(A162="","",N(E162)+N(R162))</f>
        <v/>
      </c>
      <c r="T162" s="107" t="str">
        <f>IF(A162="","",IF(N(R162)&gt;0,R162*H162*W162*$W$6+p_CorrFixa,0))</f>
        <v/>
      </c>
      <c r="V162" s="85" t="str">
        <f>IF(A162="","",IF(D162="",$W$1,D162))</f>
        <v/>
      </c>
      <c r="W162" s="85" t="str">
        <f>IF(A162="","",IFERROR(INDEX(moeda_fx,MATCH(V162,moeda_cod,0)),0))</f>
        <v/>
      </c>
      <c r="X162" s="85" t="str">
        <f>IF(A162="","",IF($W$2="",UPPER(TRIM(A162)),IF(RIGHT(UPPER(TRIM(A162)),LEN($W$2))=$W$2,UPPER(TRIM(A162)),UPPER(TRIM(A162))&amp;$W$2)))</f>
        <v/>
      </c>
      <c r="Y162" s="85" t="str">
        <f>IF(OR(A162="",p_ModoCot&lt;&gt;"Automático"),"",IFERROR(_xlfn.WEBSERVICE("https://query1.finance.yahoo.com/v8/finance/chart/"&amp;X162&amp;"?range=1d&amp;interval=1d"),""))</f>
        <v/>
      </c>
      <c r="Z162" s="85" t="str">
        <f>IF(Y162="","",IFERROR(_xlfn.NUMBERVALUE(MID(Y162,SEARCH("""regularMarketPrice"":",Y162)+21,SEARCH(",",Y162&amp;",",SEARCH("""regularMarketPrice"":",Y162)+21)-SEARCH("""regularMarketPrice"":",Y162)-21),".",","),""))</f>
        <v/>
      </c>
      <c r="AA162" s="85" t="str">
        <f>IF(A162="","",ROUND(MAX(0,N(F162)*($K$6+$W$7)-K162),2))</f>
        <v/>
      </c>
      <c r="AB162" s="85" t="str">
        <f>IF(A162="","",IF(AND(M162&gt;0,M162&gt;=p_DifMin),AA162,0))</f>
        <v/>
      </c>
      <c r="AC162" s="85" t="str">
        <f>IF(A162="","",IF(AND(AB162&gt;0,N(O162)&lt;=p_MaxAtivos),AB162,0))</f>
        <v/>
      </c>
      <c r="AD162" s="85" t="str">
        <f>IF(A162="","",IF(OR(Q162&lt;=0,Q162&lt;p_CompraMin,N(H162)&lt;=0,N(W162)&lt;=0),0,IF($W$3="Sim",TRUNC(ROUND(MAX(0,(Q162-p_CorrFixa)/(H162*W162*$W$6)),9),$W$4),TRUNC(ROUND(MAX(0,(Q162-p_CorrFixa)/(H162*W162*$W$6)),9)/$W$5)*$W$5)))</f>
        <v/>
      </c>
      <c r="AE162" s="85" t="str">
        <f>IF(A162="","",IF(N(AD162)&gt;0,AD162*H162*W162*$W$6+p_CorrFixa,0))</f>
        <v/>
      </c>
      <c r="AF162" s="85" t="str">
        <f>IF(A162="","",IF(OR($Y$1&lt;=0,N(H162)&lt;=0,N(W162)&lt;=0,N(AB162)&lt;=0),0,IF($W$3="Sim",TRUNC(ROUND(MAX(0,($Y$1-IF(N(AD162)&gt;0,0,p_CorrFixa))/(H162*W162*$W$6)),9),$W$4),TRUNC(ROUND(MAX(0,($Y$1-IF(N(AD162)&gt;0,0,p_CorrFixa))/(H162*W162*$W$6)),9)/$W$5)*$W$5)))</f>
        <v/>
      </c>
      <c r="AG162" s="85" t="str">
        <f>IF(A162="","",IF(AND(N(AD162)=0,N(AF162)*(H162*W162*$W$6)+p_CorrFixa&lt;p_CompraMin),0,AF162))</f>
        <v/>
      </c>
      <c r="AH162" s="85" t="str">
        <f>IF(A162="","",IF(N(AG162)&gt;0,AB162,0))</f>
        <v/>
      </c>
      <c r="AI162" s="85" t="str">
        <f>IF(A162="","",IF(AND(AH162&gt;0,AH162=$AH$6,COUNTIF($AH$9:AH162,AH162)=1),1,0))</f>
        <v/>
      </c>
    </row>
    <row r="163">
      <c r="A163" s="96" t="n"/>
      <c r="B163" s="96" t="n"/>
      <c r="C163" s="96" t="n"/>
      <c r="D163" s="97" t="n"/>
      <c r="E163" s="98" t="n"/>
      <c r="F163" s="99" t="n"/>
      <c r="G163" s="100" t="n"/>
      <c r="H163" s="101" t="str">
        <f>IF(A163="","",IF(AND(p_ModoCot="Automático",ISNUMBER(Z163)),Z163,IF(N(G163)&gt;0,G163,0)))</f>
        <v/>
      </c>
      <c r="I163" s="73" t="str">
        <f>IF(A163="","",IF(W163=0,"Sem câmbio",IF(AND(p_ModoCot="Automático",ISNUMBER(Z163)),"Auto",IF(N(G163)&gt;0,"Manual","Sem cotação"))))</f>
        <v/>
      </c>
      <c r="J163" s="102" t="str">
        <f>IF(A163="","",N(E163)*H163)</f>
        <v/>
      </c>
      <c r="K163" s="70" t="str">
        <f>IF(A163="","",J163*W163)</f>
        <v/>
      </c>
      <c r="L163" s="30" t="str">
        <f>IF(A163="","",IF($K$6&gt;0,K163/$K$6,0))</f>
        <v/>
      </c>
      <c r="M163" s="72" t="str">
        <f>IF(A163="","",N(F163)-L163)</f>
        <v/>
      </c>
      <c r="N163" s="30" t="str">
        <f>IF(A163="","",IF($AB$6&gt;0,AB163/$AB$6,0))</f>
        <v/>
      </c>
      <c r="O163" s="74" t="str">
        <f>IF(A163="","",IF(AB163&lt;=0,"",COUNTIF($AB$9:$AB$208,"&gt;"&amp;AB163)+COUNTIF($AB$9:AB163,AB163)))</f>
        <v/>
      </c>
      <c r="P163" s="73" t="str">
        <f>IF(A163="","",IF(Q163&gt;0,"BUY","HOLD"))</f>
        <v/>
      </c>
      <c r="Q163" s="70" t="str">
        <f>IF(A163="","",IF($W$7&lt;=0,0,IF($AC$6&gt;0,$W$7*AC163/$AC$6,IF($F$6&gt;0,$W$7*N(F163)/$F$6,0))))</f>
        <v/>
      </c>
      <c r="R163" s="103" t="str">
        <f>IF(A163="","",N(AD163)+IF(AI163=1,N(AG163),0))</f>
        <v/>
      </c>
      <c r="S163" s="103" t="str">
        <f>IF(A163="","",N(E163)+N(R163))</f>
        <v/>
      </c>
      <c r="T163" s="70" t="str">
        <f>IF(A163="","",IF(N(R163)&gt;0,R163*H163*W163*$W$6+p_CorrFixa,0))</f>
        <v/>
      </c>
      <c r="V163" s="85" t="str">
        <f>IF(A163="","",IF(D163="",$W$1,D163))</f>
        <v/>
      </c>
      <c r="W163" s="85" t="str">
        <f>IF(A163="","",IFERROR(INDEX(moeda_fx,MATCH(V163,moeda_cod,0)),0))</f>
        <v/>
      </c>
      <c r="X163" s="85" t="str">
        <f>IF(A163="","",IF($W$2="",UPPER(TRIM(A163)),IF(RIGHT(UPPER(TRIM(A163)),LEN($W$2))=$W$2,UPPER(TRIM(A163)),UPPER(TRIM(A163))&amp;$W$2)))</f>
        <v/>
      </c>
      <c r="Y163" s="85" t="str">
        <f>IF(OR(A163="",p_ModoCot&lt;&gt;"Automático"),"",IFERROR(_xlfn.WEBSERVICE("https://query1.finance.yahoo.com/v8/finance/chart/"&amp;X163&amp;"?range=1d&amp;interval=1d"),""))</f>
        <v/>
      </c>
      <c r="Z163" s="85" t="str">
        <f>IF(Y163="","",IFERROR(_xlfn.NUMBERVALUE(MID(Y163,SEARCH("""regularMarketPrice"":",Y163)+21,SEARCH(",",Y163&amp;",",SEARCH("""regularMarketPrice"":",Y163)+21)-SEARCH("""regularMarketPrice"":",Y163)-21),".",","),""))</f>
        <v/>
      </c>
      <c r="AA163" s="85" t="str">
        <f>IF(A163="","",ROUND(MAX(0,N(F163)*($K$6+$W$7)-K163),2))</f>
        <v/>
      </c>
      <c r="AB163" s="85" t="str">
        <f>IF(A163="","",IF(AND(M163&gt;0,M163&gt;=p_DifMin),AA163,0))</f>
        <v/>
      </c>
      <c r="AC163" s="85" t="str">
        <f>IF(A163="","",IF(AND(AB163&gt;0,N(O163)&lt;=p_MaxAtivos),AB163,0))</f>
        <v/>
      </c>
      <c r="AD163" s="85" t="str">
        <f>IF(A163="","",IF(OR(Q163&lt;=0,Q163&lt;p_CompraMin,N(H163)&lt;=0,N(W163)&lt;=0),0,IF($W$3="Sim",TRUNC(ROUND(MAX(0,(Q163-p_CorrFixa)/(H163*W163*$W$6)),9),$W$4),TRUNC(ROUND(MAX(0,(Q163-p_CorrFixa)/(H163*W163*$W$6)),9)/$W$5)*$W$5)))</f>
        <v/>
      </c>
      <c r="AE163" s="85" t="str">
        <f>IF(A163="","",IF(N(AD163)&gt;0,AD163*H163*W163*$W$6+p_CorrFixa,0))</f>
        <v/>
      </c>
      <c r="AF163" s="85" t="str">
        <f>IF(A163="","",IF(OR($Y$1&lt;=0,N(H163)&lt;=0,N(W163)&lt;=0,N(AB163)&lt;=0),0,IF($W$3="Sim",TRUNC(ROUND(MAX(0,($Y$1-IF(N(AD163)&gt;0,0,p_CorrFixa))/(H163*W163*$W$6)),9),$W$4),TRUNC(ROUND(MAX(0,($Y$1-IF(N(AD163)&gt;0,0,p_CorrFixa))/(H163*W163*$W$6)),9)/$W$5)*$W$5)))</f>
        <v/>
      </c>
      <c r="AG163" s="85" t="str">
        <f>IF(A163="","",IF(AND(N(AD163)=0,N(AF163)*(H163*W163*$W$6)+p_CorrFixa&lt;p_CompraMin),0,AF163))</f>
        <v/>
      </c>
      <c r="AH163" s="85" t="str">
        <f>IF(A163="","",IF(N(AG163)&gt;0,AB163,0))</f>
        <v/>
      </c>
      <c r="AI163" s="85" t="str">
        <f>IF(A163="","",IF(AND(AH163&gt;0,AH163=$AH$6,COUNTIF($AH$9:AH163,AH163)=1),1,0))</f>
        <v/>
      </c>
    </row>
    <row r="164">
      <c r="A164" s="96" t="n"/>
      <c r="B164" s="96" t="n"/>
      <c r="C164" s="96" t="n"/>
      <c r="D164" s="97" t="n"/>
      <c r="E164" s="98" t="n"/>
      <c r="F164" s="99" t="n"/>
      <c r="G164" s="100" t="n"/>
      <c r="H164" s="104" t="str">
        <f>IF(A164="","",IF(AND(p_ModoCot="Automático",ISNUMBER(Z164)),Z164,IF(N(G164)&gt;0,G164,0)))</f>
        <v/>
      </c>
      <c r="I164" s="105" t="str">
        <f>IF(A164="","",IF(W164=0,"Sem câmbio",IF(AND(p_ModoCot="Automático",ISNUMBER(Z164)),"Auto",IF(N(G164)&gt;0,"Manual","Sem cotação"))))</f>
        <v/>
      </c>
      <c r="J164" s="106" t="str">
        <f>IF(A164="","",N(E164)*H164)</f>
        <v/>
      </c>
      <c r="K164" s="107" t="str">
        <f>IF(A164="","",J164*W164)</f>
        <v/>
      </c>
      <c r="L164" s="108" t="str">
        <f>IF(A164="","",IF($K$6&gt;0,K164/$K$6,0))</f>
        <v/>
      </c>
      <c r="M164" s="109" t="str">
        <f>IF(A164="","",N(F164)-L164)</f>
        <v/>
      </c>
      <c r="N164" s="108" t="str">
        <f>IF(A164="","",IF($AB$6&gt;0,AB164/$AB$6,0))</f>
        <v/>
      </c>
      <c r="O164" s="110" t="str">
        <f>IF(A164="","",IF(AB164&lt;=0,"",COUNTIF($AB$9:$AB$208,"&gt;"&amp;AB164)+COUNTIF($AB$9:AB164,AB164)))</f>
        <v/>
      </c>
      <c r="P164" s="105" t="str">
        <f>IF(A164="","",IF(Q164&gt;0,"BUY","HOLD"))</f>
        <v/>
      </c>
      <c r="Q164" s="107" t="str">
        <f>IF(A164="","",IF($W$7&lt;=0,0,IF($AC$6&gt;0,$W$7*AC164/$AC$6,IF($F$6&gt;0,$W$7*N(F164)/$F$6,0))))</f>
        <v/>
      </c>
      <c r="R164" s="111" t="str">
        <f>IF(A164="","",N(AD164)+IF(AI164=1,N(AG164),0))</f>
        <v/>
      </c>
      <c r="S164" s="111" t="str">
        <f>IF(A164="","",N(E164)+N(R164))</f>
        <v/>
      </c>
      <c r="T164" s="107" t="str">
        <f>IF(A164="","",IF(N(R164)&gt;0,R164*H164*W164*$W$6+p_CorrFixa,0))</f>
        <v/>
      </c>
      <c r="V164" s="85" t="str">
        <f>IF(A164="","",IF(D164="",$W$1,D164))</f>
        <v/>
      </c>
      <c r="W164" s="85" t="str">
        <f>IF(A164="","",IFERROR(INDEX(moeda_fx,MATCH(V164,moeda_cod,0)),0))</f>
        <v/>
      </c>
      <c r="X164" s="85" t="str">
        <f>IF(A164="","",IF($W$2="",UPPER(TRIM(A164)),IF(RIGHT(UPPER(TRIM(A164)),LEN($W$2))=$W$2,UPPER(TRIM(A164)),UPPER(TRIM(A164))&amp;$W$2)))</f>
        <v/>
      </c>
      <c r="Y164" s="85" t="str">
        <f>IF(OR(A164="",p_ModoCot&lt;&gt;"Automático"),"",IFERROR(_xlfn.WEBSERVICE("https://query1.finance.yahoo.com/v8/finance/chart/"&amp;X164&amp;"?range=1d&amp;interval=1d"),""))</f>
        <v/>
      </c>
      <c r="Z164" s="85" t="str">
        <f>IF(Y164="","",IFERROR(_xlfn.NUMBERVALUE(MID(Y164,SEARCH("""regularMarketPrice"":",Y164)+21,SEARCH(",",Y164&amp;",",SEARCH("""regularMarketPrice"":",Y164)+21)-SEARCH("""regularMarketPrice"":",Y164)-21),".",","),""))</f>
        <v/>
      </c>
      <c r="AA164" s="85" t="str">
        <f>IF(A164="","",ROUND(MAX(0,N(F164)*($K$6+$W$7)-K164),2))</f>
        <v/>
      </c>
      <c r="AB164" s="85" t="str">
        <f>IF(A164="","",IF(AND(M164&gt;0,M164&gt;=p_DifMin),AA164,0))</f>
        <v/>
      </c>
      <c r="AC164" s="85" t="str">
        <f>IF(A164="","",IF(AND(AB164&gt;0,N(O164)&lt;=p_MaxAtivos),AB164,0))</f>
        <v/>
      </c>
      <c r="AD164" s="85" t="str">
        <f>IF(A164="","",IF(OR(Q164&lt;=0,Q164&lt;p_CompraMin,N(H164)&lt;=0,N(W164)&lt;=0),0,IF($W$3="Sim",TRUNC(ROUND(MAX(0,(Q164-p_CorrFixa)/(H164*W164*$W$6)),9),$W$4),TRUNC(ROUND(MAX(0,(Q164-p_CorrFixa)/(H164*W164*$W$6)),9)/$W$5)*$W$5)))</f>
        <v/>
      </c>
      <c r="AE164" s="85" t="str">
        <f>IF(A164="","",IF(N(AD164)&gt;0,AD164*H164*W164*$W$6+p_CorrFixa,0))</f>
        <v/>
      </c>
      <c r="AF164" s="85" t="str">
        <f>IF(A164="","",IF(OR($Y$1&lt;=0,N(H164)&lt;=0,N(W164)&lt;=0,N(AB164)&lt;=0),0,IF($W$3="Sim",TRUNC(ROUND(MAX(0,($Y$1-IF(N(AD164)&gt;0,0,p_CorrFixa))/(H164*W164*$W$6)),9),$W$4),TRUNC(ROUND(MAX(0,($Y$1-IF(N(AD164)&gt;0,0,p_CorrFixa))/(H164*W164*$W$6)),9)/$W$5)*$W$5)))</f>
        <v/>
      </c>
      <c r="AG164" s="85" t="str">
        <f>IF(A164="","",IF(AND(N(AD164)=0,N(AF164)*(H164*W164*$W$6)+p_CorrFixa&lt;p_CompraMin),0,AF164))</f>
        <v/>
      </c>
      <c r="AH164" s="85" t="str">
        <f>IF(A164="","",IF(N(AG164)&gt;0,AB164,0))</f>
        <v/>
      </c>
      <c r="AI164" s="85" t="str">
        <f>IF(A164="","",IF(AND(AH164&gt;0,AH164=$AH$6,COUNTIF($AH$9:AH164,AH164)=1),1,0))</f>
        <v/>
      </c>
    </row>
    <row r="165">
      <c r="A165" s="96" t="n"/>
      <c r="B165" s="96" t="n"/>
      <c r="C165" s="96" t="n"/>
      <c r="D165" s="97" t="n"/>
      <c r="E165" s="98" t="n"/>
      <c r="F165" s="99" t="n"/>
      <c r="G165" s="100" t="n"/>
      <c r="H165" s="101" t="str">
        <f>IF(A165="","",IF(AND(p_ModoCot="Automático",ISNUMBER(Z165)),Z165,IF(N(G165)&gt;0,G165,0)))</f>
        <v/>
      </c>
      <c r="I165" s="73" t="str">
        <f>IF(A165="","",IF(W165=0,"Sem câmbio",IF(AND(p_ModoCot="Automático",ISNUMBER(Z165)),"Auto",IF(N(G165)&gt;0,"Manual","Sem cotação"))))</f>
        <v/>
      </c>
      <c r="J165" s="102" t="str">
        <f>IF(A165="","",N(E165)*H165)</f>
        <v/>
      </c>
      <c r="K165" s="70" t="str">
        <f>IF(A165="","",J165*W165)</f>
        <v/>
      </c>
      <c r="L165" s="30" t="str">
        <f>IF(A165="","",IF($K$6&gt;0,K165/$K$6,0))</f>
        <v/>
      </c>
      <c r="M165" s="72" t="str">
        <f>IF(A165="","",N(F165)-L165)</f>
        <v/>
      </c>
      <c r="N165" s="30" t="str">
        <f>IF(A165="","",IF($AB$6&gt;0,AB165/$AB$6,0))</f>
        <v/>
      </c>
      <c r="O165" s="74" t="str">
        <f>IF(A165="","",IF(AB165&lt;=0,"",COUNTIF($AB$9:$AB$208,"&gt;"&amp;AB165)+COUNTIF($AB$9:AB165,AB165)))</f>
        <v/>
      </c>
      <c r="P165" s="73" t="str">
        <f>IF(A165="","",IF(Q165&gt;0,"BUY","HOLD"))</f>
        <v/>
      </c>
      <c r="Q165" s="70" t="str">
        <f>IF(A165="","",IF($W$7&lt;=0,0,IF($AC$6&gt;0,$W$7*AC165/$AC$6,IF($F$6&gt;0,$W$7*N(F165)/$F$6,0))))</f>
        <v/>
      </c>
      <c r="R165" s="103" t="str">
        <f>IF(A165="","",N(AD165)+IF(AI165=1,N(AG165),0))</f>
        <v/>
      </c>
      <c r="S165" s="103" t="str">
        <f>IF(A165="","",N(E165)+N(R165))</f>
        <v/>
      </c>
      <c r="T165" s="70" t="str">
        <f>IF(A165="","",IF(N(R165)&gt;0,R165*H165*W165*$W$6+p_CorrFixa,0))</f>
        <v/>
      </c>
      <c r="V165" s="85" t="str">
        <f>IF(A165="","",IF(D165="",$W$1,D165))</f>
        <v/>
      </c>
      <c r="W165" s="85" t="str">
        <f>IF(A165="","",IFERROR(INDEX(moeda_fx,MATCH(V165,moeda_cod,0)),0))</f>
        <v/>
      </c>
      <c r="X165" s="85" t="str">
        <f>IF(A165="","",IF($W$2="",UPPER(TRIM(A165)),IF(RIGHT(UPPER(TRIM(A165)),LEN($W$2))=$W$2,UPPER(TRIM(A165)),UPPER(TRIM(A165))&amp;$W$2)))</f>
        <v/>
      </c>
      <c r="Y165" s="85" t="str">
        <f>IF(OR(A165="",p_ModoCot&lt;&gt;"Automático"),"",IFERROR(_xlfn.WEBSERVICE("https://query1.finance.yahoo.com/v8/finance/chart/"&amp;X165&amp;"?range=1d&amp;interval=1d"),""))</f>
        <v/>
      </c>
      <c r="Z165" s="85" t="str">
        <f>IF(Y165="","",IFERROR(_xlfn.NUMBERVALUE(MID(Y165,SEARCH("""regularMarketPrice"":",Y165)+21,SEARCH(",",Y165&amp;",",SEARCH("""regularMarketPrice"":",Y165)+21)-SEARCH("""regularMarketPrice"":",Y165)-21),".",","),""))</f>
        <v/>
      </c>
      <c r="AA165" s="85" t="str">
        <f>IF(A165="","",ROUND(MAX(0,N(F165)*($K$6+$W$7)-K165),2))</f>
        <v/>
      </c>
      <c r="AB165" s="85" t="str">
        <f>IF(A165="","",IF(AND(M165&gt;0,M165&gt;=p_DifMin),AA165,0))</f>
        <v/>
      </c>
      <c r="AC165" s="85" t="str">
        <f>IF(A165="","",IF(AND(AB165&gt;0,N(O165)&lt;=p_MaxAtivos),AB165,0))</f>
        <v/>
      </c>
      <c r="AD165" s="85" t="str">
        <f>IF(A165="","",IF(OR(Q165&lt;=0,Q165&lt;p_CompraMin,N(H165)&lt;=0,N(W165)&lt;=0),0,IF($W$3="Sim",TRUNC(ROUND(MAX(0,(Q165-p_CorrFixa)/(H165*W165*$W$6)),9),$W$4),TRUNC(ROUND(MAX(0,(Q165-p_CorrFixa)/(H165*W165*$W$6)),9)/$W$5)*$W$5)))</f>
        <v/>
      </c>
      <c r="AE165" s="85" t="str">
        <f>IF(A165="","",IF(N(AD165)&gt;0,AD165*H165*W165*$W$6+p_CorrFixa,0))</f>
        <v/>
      </c>
      <c r="AF165" s="85" t="str">
        <f>IF(A165="","",IF(OR($Y$1&lt;=0,N(H165)&lt;=0,N(W165)&lt;=0,N(AB165)&lt;=0),0,IF($W$3="Sim",TRUNC(ROUND(MAX(0,($Y$1-IF(N(AD165)&gt;0,0,p_CorrFixa))/(H165*W165*$W$6)),9),$W$4),TRUNC(ROUND(MAX(0,($Y$1-IF(N(AD165)&gt;0,0,p_CorrFixa))/(H165*W165*$W$6)),9)/$W$5)*$W$5)))</f>
        <v/>
      </c>
      <c r="AG165" s="85" t="str">
        <f>IF(A165="","",IF(AND(N(AD165)=0,N(AF165)*(H165*W165*$W$6)+p_CorrFixa&lt;p_CompraMin),0,AF165))</f>
        <v/>
      </c>
      <c r="AH165" s="85" t="str">
        <f>IF(A165="","",IF(N(AG165)&gt;0,AB165,0))</f>
        <v/>
      </c>
      <c r="AI165" s="85" t="str">
        <f>IF(A165="","",IF(AND(AH165&gt;0,AH165=$AH$6,COUNTIF($AH$9:AH165,AH165)=1),1,0))</f>
        <v/>
      </c>
    </row>
    <row r="166">
      <c r="A166" s="96" t="n"/>
      <c r="B166" s="96" t="n"/>
      <c r="C166" s="96" t="n"/>
      <c r="D166" s="97" t="n"/>
      <c r="E166" s="98" t="n"/>
      <c r="F166" s="99" t="n"/>
      <c r="G166" s="100" t="n"/>
      <c r="H166" s="104" t="str">
        <f>IF(A166="","",IF(AND(p_ModoCot="Automático",ISNUMBER(Z166)),Z166,IF(N(G166)&gt;0,G166,0)))</f>
        <v/>
      </c>
      <c r="I166" s="105" t="str">
        <f>IF(A166="","",IF(W166=0,"Sem câmbio",IF(AND(p_ModoCot="Automático",ISNUMBER(Z166)),"Auto",IF(N(G166)&gt;0,"Manual","Sem cotação"))))</f>
        <v/>
      </c>
      <c r="J166" s="106" t="str">
        <f>IF(A166="","",N(E166)*H166)</f>
        <v/>
      </c>
      <c r="K166" s="107" t="str">
        <f>IF(A166="","",J166*W166)</f>
        <v/>
      </c>
      <c r="L166" s="108" t="str">
        <f>IF(A166="","",IF($K$6&gt;0,K166/$K$6,0))</f>
        <v/>
      </c>
      <c r="M166" s="109" t="str">
        <f>IF(A166="","",N(F166)-L166)</f>
        <v/>
      </c>
      <c r="N166" s="108" t="str">
        <f>IF(A166="","",IF($AB$6&gt;0,AB166/$AB$6,0))</f>
        <v/>
      </c>
      <c r="O166" s="110" t="str">
        <f>IF(A166="","",IF(AB166&lt;=0,"",COUNTIF($AB$9:$AB$208,"&gt;"&amp;AB166)+COUNTIF($AB$9:AB166,AB166)))</f>
        <v/>
      </c>
      <c r="P166" s="105" t="str">
        <f>IF(A166="","",IF(Q166&gt;0,"BUY","HOLD"))</f>
        <v/>
      </c>
      <c r="Q166" s="107" t="str">
        <f>IF(A166="","",IF($W$7&lt;=0,0,IF($AC$6&gt;0,$W$7*AC166/$AC$6,IF($F$6&gt;0,$W$7*N(F166)/$F$6,0))))</f>
        <v/>
      </c>
      <c r="R166" s="111" t="str">
        <f>IF(A166="","",N(AD166)+IF(AI166=1,N(AG166),0))</f>
        <v/>
      </c>
      <c r="S166" s="111" t="str">
        <f>IF(A166="","",N(E166)+N(R166))</f>
        <v/>
      </c>
      <c r="T166" s="107" t="str">
        <f>IF(A166="","",IF(N(R166)&gt;0,R166*H166*W166*$W$6+p_CorrFixa,0))</f>
        <v/>
      </c>
      <c r="V166" s="85" t="str">
        <f>IF(A166="","",IF(D166="",$W$1,D166))</f>
        <v/>
      </c>
      <c r="W166" s="85" t="str">
        <f>IF(A166="","",IFERROR(INDEX(moeda_fx,MATCH(V166,moeda_cod,0)),0))</f>
        <v/>
      </c>
      <c r="X166" s="85" t="str">
        <f>IF(A166="","",IF($W$2="",UPPER(TRIM(A166)),IF(RIGHT(UPPER(TRIM(A166)),LEN($W$2))=$W$2,UPPER(TRIM(A166)),UPPER(TRIM(A166))&amp;$W$2)))</f>
        <v/>
      </c>
      <c r="Y166" s="85" t="str">
        <f>IF(OR(A166="",p_ModoCot&lt;&gt;"Automático"),"",IFERROR(_xlfn.WEBSERVICE("https://query1.finance.yahoo.com/v8/finance/chart/"&amp;X166&amp;"?range=1d&amp;interval=1d"),""))</f>
        <v/>
      </c>
      <c r="Z166" s="85" t="str">
        <f>IF(Y166="","",IFERROR(_xlfn.NUMBERVALUE(MID(Y166,SEARCH("""regularMarketPrice"":",Y166)+21,SEARCH(",",Y166&amp;",",SEARCH("""regularMarketPrice"":",Y166)+21)-SEARCH("""regularMarketPrice"":",Y166)-21),".",","),""))</f>
        <v/>
      </c>
      <c r="AA166" s="85" t="str">
        <f>IF(A166="","",ROUND(MAX(0,N(F166)*($K$6+$W$7)-K166),2))</f>
        <v/>
      </c>
      <c r="AB166" s="85" t="str">
        <f>IF(A166="","",IF(AND(M166&gt;0,M166&gt;=p_DifMin),AA166,0))</f>
        <v/>
      </c>
      <c r="AC166" s="85" t="str">
        <f>IF(A166="","",IF(AND(AB166&gt;0,N(O166)&lt;=p_MaxAtivos),AB166,0))</f>
        <v/>
      </c>
      <c r="AD166" s="85" t="str">
        <f>IF(A166="","",IF(OR(Q166&lt;=0,Q166&lt;p_CompraMin,N(H166)&lt;=0,N(W166)&lt;=0),0,IF($W$3="Sim",TRUNC(ROUND(MAX(0,(Q166-p_CorrFixa)/(H166*W166*$W$6)),9),$W$4),TRUNC(ROUND(MAX(0,(Q166-p_CorrFixa)/(H166*W166*$W$6)),9)/$W$5)*$W$5)))</f>
        <v/>
      </c>
      <c r="AE166" s="85" t="str">
        <f>IF(A166="","",IF(N(AD166)&gt;0,AD166*H166*W166*$W$6+p_CorrFixa,0))</f>
        <v/>
      </c>
      <c r="AF166" s="85" t="str">
        <f>IF(A166="","",IF(OR($Y$1&lt;=0,N(H166)&lt;=0,N(W166)&lt;=0,N(AB166)&lt;=0),0,IF($W$3="Sim",TRUNC(ROUND(MAX(0,($Y$1-IF(N(AD166)&gt;0,0,p_CorrFixa))/(H166*W166*$W$6)),9),$W$4),TRUNC(ROUND(MAX(0,($Y$1-IF(N(AD166)&gt;0,0,p_CorrFixa))/(H166*W166*$W$6)),9)/$W$5)*$W$5)))</f>
        <v/>
      </c>
      <c r="AG166" s="85" t="str">
        <f>IF(A166="","",IF(AND(N(AD166)=0,N(AF166)*(H166*W166*$W$6)+p_CorrFixa&lt;p_CompraMin),0,AF166))</f>
        <v/>
      </c>
      <c r="AH166" s="85" t="str">
        <f>IF(A166="","",IF(N(AG166)&gt;0,AB166,0))</f>
        <v/>
      </c>
      <c r="AI166" s="85" t="str">
        <f>IF(A166="","",IF(AND(AH166&gt;0,AH166=$AH$6,COUNTIF($AH$9:AH166,AH166)=1),1,0))</f>
        <v/>
      </c>
    </row>
    <row r="167">
      <c r="A167" s="96" t="n"/>
      <c r="B167" s="96" t="n"/>
      <c r="C167" s="96" t="n"/>
      <c r="D167" s="97" t="n"/>
      <c r="E167" s="98" t="n"/>
      <c r="F167" s="99" t="n"/>
      <c r="G167" s="100" t="n"/>
      <c r="H167" s="101" t="str">
        <f>IF(A167="","",IF(AND(p_ModoCot="Automático",ISNUMBER(Z167)),Z167,IF(N(G167)&gt;0,G167,0)))</f>
        <v/>
      </c>
      <c r="I167" s="73" t="str">
        <f>IF(A167="","",IF(W167=0,"Sem câmbio",IF(AND(p_ModoCot="Automático",ISNUMBER(Z167)),"Auto",IF(N(G167)&gt;0,"Manual","Sem cotação"))))</f>
        <v/>
      </c>
      <c r="J167" s="102" t="str">
        <f>IF(A167="","",N(E167)*H167)</f>
        <v/>
      </c>
      <c r="K167" s="70" t="str">
        <f>IF(A167="","",J167*W167)</f>
        <v/>
      </c>
      <c r="L167" s="30" t="str">
        <f>IF(A167="","",IF($K$6&gt;0,K167/$K$6,0))</f>
        <v/>
      </c>
      <c r="M167" s="72" t="str">
        <f>IF(A167="","",N(F167)-L167)</f>
        <v/>
      </c>
      <c r="N167" s="30" t="str">
        <f>IF(A167="","",IF($AB$6&gt;0,AB167/$AB$6,0))</f>
        <v/>
      </c>
      <c r="O167" s="74" t="str">
        <f>IF(A167="","",IF(AB167&lt;=0,"",COUNTIF($AB$9:$AB$208,"&gt;"&amp;AB167)+COUNTIF($AB$9:AB167,AB167)))</f>
        <v/>
      </c>
      <c r="P167" s="73" t="str">
        <f>IF(A167="","",IF(Q167&gt;0,"BUY","HOLD"))</f>
        <v/>
      </c>
      <c r="Q167" s="70" t="str">
        <f>IF(A167="","",IF($W$7&lt;=0,0,IF($AC$6&gt;0,$W$7*AC167/$AC$6,IF($F$6&gt;0,$W$7*N(F167)/$F$6,0))))</f>
        <v/>
      </c>
      <c r="R167" s="103" t="str">
        <f>IF(A167="","",N(AD167)+IF(AI167=1,N(AG167),0))</f>
        <v/>
      </c>
      <c r="S167" s="103" t="str">
        <f>IF(A167="","",N(E167)+N(R167))</f>
        <v/>
      </c>
      <c r="T167" s="70" t="str">
        <f>IF(A167="","",IF(N(R167)&gt;0,R167*H167*W167*$W$6+p_CorrFixa,0))</f>
        <v/>
      </c>
      <c r="V167" s="85" t="str">
        <f>IF(A167="","",IF(D167="",$W$1,D167))</f>
        <v/>
      </c>
      <c r="W167" s="85" t="str">
        <f>IF(A167="","",IFERROR(INDEX(moeda_fx,MATCH(V167,moeda_cod,0)),0))</f>
        <v/>
      </c>
      <c r="X167" s="85" t="str">
        <f>IF(A167="","",IF($W$2="",UPPER(TRIM(A167)),IF(RIGHT(UPPER(TRIM(A167)),LEN($W$2))=$W$2,UPPER(TRIM(A167)),UPPER(TRIM(A167))&amp;$W$2)))</f>
        <v/>
      </c>
      <c r="Y167" s="85" t="str">
        <f>IF(OR(A167="",p_ModoCot&lt;&gt;"Automático"),"",IFERROR(_xlfn.WEBSERVICE("https://query1.finance.yahoo.com/v8/finance/chart/"&amp;X167&amp;"?range=1d&amp;interval=1d"),""))</f>
        <v/>
      </c>
      <c r="Z167" s="85" t="str">
        <f>IF(Y167="","",IFERROR(_xlfn.NUMBERVALUE(MID(Y167,SEARCH("""regularMarketPrice"":",Y167)+21,SEARCH(",",Y167&amp;",",SEARCH("""regularMarketPrice"":",Y167)+21)-SEARCH("""regularMarketPrice"":",Y167)-21),".",","),""))</f>
        <v/>
      </c>
      <c r="AA167" s="85" t="str">
        <f>IF(A167="","",ROUND(MAX(0,N(F167)*($K$6+$W$7)-K167),2))</f>
        <v/>
      </c>
      <c r="AB167" s="85" t="str">
        <f>IF(A167="","",IF(AND(M167&gt;0,M167&gt;=p_DifMin),AA167,0))</f>
        <v/>
      </c>
      <c r="AC167" s="85" t="str">
        <f>IF(A167="","",IF(AND(AB167&gt;0,N(O167)&lt;=p_MaxAtivos),AB167,0))</f>
        <v/>
      </c>
      <c r="AD167" s="85" t="str">
        <f>IF(A167="","",IF(OR(Q167&lt;=0,Q167&lt;p_CompraMin,N(H167)&lt;=0,N(W167)&lt;=0),0,IF($W$3="Sim",TRUNC(ROUND(MAX(0,(Q167-p_CorrFixa)/(H167*W167*$W$6)),9),$W$4),TRUNC(ROUND(MAX(0,(Q167-p_CorrFixa)/(H167*W167*$W$6)),9)/$W$5)*$W$5)))</f>
        <v/>
      </c>
      <c r="AE167" s="85" t="str">
        <f>IF(A167="","",IF(N(AD167)&gt;0,AD167*H167*W167*$W$6+p_CorrFixa,0))</f>
        <v/>
      </c>
      <c r="AF167" s="85" t="str">
        <f>IF(A167="","",IF(OR($Y$1&lt;=0,N(H167)&lt;=0,N(W167)&lt;=0,N(AB167)&lt;=0),0,IF($W$3="Sim",TRUNC(ROUND(MAX(0,($Y$1-IF(N(AD167)&gt;0,0,p_CorrFixa))/(H167*W167*$W$6)),9),$W$4),TRUNC(ROUND(MAX(0,($Y$1-IF(N(AD167)&gt;0,0,p_CorrFixa))/(H167*W167*$W$6)),9)/$W$5)*$W$5)))</f>
        <v/>
      </c>
      <c r="AG167" s="85" t="str">
        <f>IF(A167="","",IF(AND(N(AD167)=0,N(AF167)*(H167*W167*$W$6)+p_CorrFixa&lt;p_CompraMin),0,AF167))</f>
        <v/>
      </c>
      <c r="AH167" s="85" t="str">
        <f>IF(A167="","",IF(N(AG167)&gt;0,AB167,0))</f>
        <v/>
      </c>
      <c r="AI167" s="85" t="str">
        <f>IF(A167="","",IF(AND(AH167&gt;0,AH167=$AH$6,COUNTIF($AH$9:AH167,AH167)=1),1,0))</f>
        <v/>
      </c>
    </row>
    <row r="168">
      <c r="A168" s="96" t="n"/>
      <c r="B168" s="96" t="n"/>
      <c r="C168" s="96" t="n"/>
      <c r="D168" s="97" t="n"/>
      <c r="E168" s="98" t="n"/>
      <c r="F168" s="99" t="n"/>
      <c r="G168" s="100" t="n"/>
      <c r="H168" s="104" t="str">
        <f>IF(A168="","",IF(AND(p_ModoCot="Automático",ISNUMBER(Z168)),Z168,IF(N(G168)&gt;0,G168,0)))</f>
        <v/>
      </c>
      <c r="I168" s="105" t="str">
        <f>IF(A168="","",IF(W168=0,"Sem câmbio",IF(AND(p_ModoCot="Automático",ISNUMBER(Z168)),"Auto",IF(N(G168)&gt;0,"Manual","Sem cotação"))))</f>
        <v/>
      </c>
      <c r="J168" s="106" t="str">
        <f>IF(A168="","",N(E168)*H168)</f>
        <v/>
      </c>
      <c r="K168" s="107" t="str">
        <f>IF(A168="","",J168*W168)</f>
        <v/>
      </c>
      <c r="L168" s="108" t="str">
        <f>IF(A168="","",IF($K$6&gt;0,K168/$K$6,0))</f>
        <v/>
      </c>
      <c r="M168" s="109" t="str">
        <f>IF(A168="","",N(F168)-L168)</f>
        <v/>
      </c>
      <c r="N168" s="108" t="str">
        <f>IF(A168="","",IF($AB$6&gt;0,AB168/$AB$6,0))</f>
        <v/>
      </c>
      <c r="O168" s="110" t="str">
        <f>IF(A168="","",IF(AB168&lt;=0,"",COUNTIF($AB$9:$AB$208,"&gt;"&amp;AB168)+COUNTIF($AB$9:AB168,AB168)))</f>
        <v/>
      </c>
      <c r="P168" s="105" t="str">
        <f>IF(A168="","",IF(Q168&gt;0,"BUY","HOLD"))</f>
        <v/>
      </c>
      <c r="Q168" s="107" t="str">
        <f>IF(A168="","",IF($W$7&lt;=0,0,IF($AC$6&gt;0,$W$7*AC168/$AC$6,IF($F$6&gt;0,$W$7*N(F168)/$F$6,0))))</f>
        <v/>
      </c>
      <c r="R168" s="111" t="str">
        <f>IF(A168="","",N(AD168)+IF(AI168=1,N(AG168),0))</f>
        <v/>
      </c>
      <c r="S168" s="111" t="str">
        <f>IF(A168="","",N(E168)+N(R168))</f>
        <v/>
      </c>
      <c r="T168" s="107" t="str">
        <f>IF(A168="","",IF(N(R168)&gt;0,R168*H168*W168*$W$6+p_CorrFixa,0))</f>
        <v/>
      </c>
      <c r="V168" s="85" t="str">
        <f>IF(A168="","",IF(D168="",$W$1,D168))</f>
        <v/>
      </c>
      <c r="W168" s="85" t="str">
        <f>IF(A168="","",IFERROR(INDEX(moeda_fx,MATCH(V168,moeda_cod,0)),0))</f>
        <v/>
      </c>
      <c r="X168" s="85" t="str">
        <f>IF(A168="","",IF($W$2="",UPPER(TRIM(A168)),IF(RIGHT(UPPER(TRIM(A168)),LEN($W$2))=$W$2,UPPER(TRIM(A168)),UPPER(TRIM(A168))&amp;$W$2)))</f>
        <v/>
      </c>
      <c r="Y168" s="85" t="str">
        <f>IF(OR(A168="",p_ModoCot&lt;&gt;"Automático"),"",IFERROR(_xlfn.WEBSERVICE("https://query1.finance.yahoo.com/v8/finance/chart/"&amp;X168&amp;"?range=1d&amp;interval=1d"),""))</f>
        <v/>
      </c>
      <c r="Z168" s="85" t="str">
        <f>IF(Y168="","",IFERROR(_xlfn.NUMBERVALUE(MID(Y168,SEARCH("""regularMarketPrice"":",Y168)+21,SEARCH(",",Y168&amp;",",SEARCH("""regularMarketPrice"":",Y168)+21)-SEARCH("""regularMarketPrice"":",Y168)-21),".",","),""))</f>
        <v/>
      </c>
      <c r="AA168" s="85" t="str">
        <f>IF(A168="","",ROUND(MAX(0,N(F168)*($K$6+$W$7)-K168),2))</f>
        <v/>
      </c>
      <c r="AB168" s="85" t="str">
        <f>IF(A168="","",IF(AND(M168&gt;0,M168&gt;=p_DifMin),AA168,0))</f>
        <v/>
      </c>
      <c r="AC168" s="85" t="str">
        <f>IF(A168="","",IF(AND(AB168&gt;0,N(O168)&lt;=p_MaxAtivos),AB168,0))</f>
        <v/>
      </c>
      <c r="AD168" s="85" t="str">
        <f>IF(A168="","",IF(OR(Q168&lt;=0,Q168&lt;p_CompraMin,N(H168)&lt;=0,N(W168)&lt;=0),0,IF($W$3="Sim",TRUNC(ROUND(MAX(0,(Q168-p_CorrFixa)/(H168*W168*$W$6)),9),$W$4),TRUNC(ROUND(MAX(0,(Q168-p_CorrFixa)/(H168*W168*$W$6)),9)/$W$5)*$W$5)))</f>
        <v/>
      </c>
      <c r="AE168" s="85" t="str">
        <f>IF(A168="","",IF(N(AD168)&gt;0,AD168*H168*W168*$W$6+p_CorrFixa,0))</f>
        <v/>
      </c>
      <c r="AF168" s="85" t="str">
        <f>IF(A168="","",IF(OR($Y$1&lt;=0,N(H168)&lt;=0,N(W168)&lt;=0,N(AB168)&lt;=0),0,IF($W$3="Sim",TRUNC(ROUND(MAX(0,($Y$1-IF(N(AD168)&gt;0,0,p_CorrFixa))/(H168*W168*$W$6)),9),$W$4),TRUNC(ROUND(MAX(0,($Y$1-IF(N(AD168)&gt;0,0,p_CorrFixa))/(H168*W168*$W$6)),9)/$W$5)*$W$5)))</f>
        <v/>
      </c>
      <c r="AG168" s="85" t="str">
        <f>IF(A168="","",IF(AND(N(AD168)=0,N(AF168)*(H168*W168*$W$6)+p_CorrFixa&lt;p_CompraMin),0,AF168))</f>
        <v/>
      </c>
      <c r="AH168" s="85" t="str">
        <f>IF(A168="","",IF(N(AG168)&gt;0,AB168,0))</f>
        <v/>
      </c>
      <c r="AI168" s="85" t="str">
        <f>IF(A168="","",IF(AND(AH168&gt;0,AH168=$AH$6,COUNTIF($AH$9:AH168,AH168)=1),1,0))</f>
        <v/>
      </c>
    </row>
    <row r="169">
      <c r="A169" s="96" t="n"/>
      <c r="B169" s="96" t="n"/>
      <c r="C169" s="96" t="n"/>
      <c r="D169" s="97" t="n"/>
      <c r="E169" s="98" t="n"/>
      <c r="F169" s="99" t="n"/>
      <c r="G169" s="100" t="n"/>
      <c r="H169" s="101" t="str">
        <f>IF(A169="","",IF(AND(p_ModoCot="Automático",ISNUMBER(Z169)),Z169,IF(N(G169)&gt;0,G169,0)))</f>
        <v/>
      </c>
      <c r="I169" s="73" t="str">
        <f>IF(A169="","",IF(W169=0,"Sem câmbio",IF(AND(p_ModoCot="Automático",ISNUMBER(Z169)),"Auto",IF(N(G169)&gt;0,"Manual","Sem cotação"))))</f>
        <v/>
      </c>
      <c r="J169" s="102" t="str">
        <f>IF(A169="","",N(E169)*H169)</f>
        <v/>
      </c>
      <c r="K169" s="70" t="str">
        <f>IF(A169="","",J169*W169)</f>
        <v/>
      </c>
      <c r="L169" s="30" t="str">
        <f>IF(A169="","",IF($K$6&gt;0,K169/$K$6,0))</f>
        <v/>
      </c>
      <c r="M169" s="72" t="str">
        <f>IF(A169="","",N(F169)-L169)</f>
        <v/>
      </c>
      <c r="N169" s="30" t="str">
        <f>IF(A169="","",IF($AB$6&gt;0,AB169/$AB$6,0))</f>
        <v/>
      </c>
      <c r="O169" s="74" t="str">
        <f>IF(A169="","",IF(AB169&lt;=0,"",COUNTIF($AB$9:$AB$208,"&gt;"&amp;AB169)+COUNTIF($AB$9:AB169,AB169)))</f>
        <v/>
      </c>
      <c r="P169" s="73" t="str">
        <f>IF(A169="","",IF(Q169&gt;0,"BUY","HOLD"))</f>
        <v/>
      </c>
      <c r="Q169" s="70" t="str">
        <f>IF(A169="","",IF($W$7&lt;=0,0,IF($AC$6&gt;0,$W$7*AC169/$AC$6,IF($F$6&gt;0,$W$7*N(F169)/$F$6,0))))</f>
        <v/>
      </c>
      <c r="R169" s="103" t="str">
        <f>IF(A169="","",N(AD169)+IF(AI169=1,N(AG169),0))</f>
        <v/>
      </c>
      <c r="S169" s="103" t="str">
        <f>IF(A169="","",N(E169)+N(R169))</f>
        <v/>
      </c>
      <c r="T169" s="70" t="str">
        <f>IF(A169="","",IF(N(R169)&gt;0,R169*H169*W169*$W$6+p_CorrFixa,0))</f>
        <v/>
      </c>
      <c r="V169" s="85" t="str">
        <f>IF(A169="","",IF(D169="",$W$1,D169))</f>
        <v/>
      </c>
      <c r="W169" s="85" t="str">
        <f>IF(A169="","",IFERROR(INDEX(moeda_fx,MATCH(V169,moeda_cod,0)),0))</f>
        <v/>
      </c>
      <c r="X169" s="85" t="str">
        <f>IF(A169="","",IF($W$2="",UPPER(TRIM(A169)),IF(RIGHT(UPPER(TRIM(A169)),LEN($W$2))=$W$2,UPPER(TRIM(A169)),UPPER(TRIM(A169))&amp;$W$2)))</f>
        <v/>
      </c>
      <c r="Y169" s="85" t="str">
        <f>IF(OR(A169="",p_ModoCot&lt;&gt;"Automático"),"",IFERROR(_xlfn.WEBSERVICE("https://query1.finance.yahoo.com/v8/finance/chart/"&amp;X169&amp;"?range=1d&amp;interval=1d"),""))</f>
        <v/>
      </c>
      <c r="Z169" s="85" t="str">
        <f>IF(Y169="","",IFERROR(_xlfn.NUMBERVALUE(MID(Y169,SEARCH("""regularMarketPrice"":",Y169)+21,SEARCH(",",Y169&amp;",",SEARCH("""regularMarketPrice"":",Y169)+21)-SEARCH("""regularMarketPrice"":",Y169)-21),".",","),""))</f>
        <v/>
      </c>
      <c r="AA169" s="85" t="str">
        <f>IF(A169="","",ROUND(MAX(0,N(F169)*($K$6+$W$7)-K169),2))</f>
        <v/>
      </c>
      <c r="AB169" s="85" t="str">
        <f>IF(A169="","",IF(AND(M169&gt;0,M169&gt;=p_DifMin),AA169,0))</f>
        <v/>
      </c>
      <c r="AC169" s="85" t="str">
        <f>IF(A169="","",IF(AND(AB169&gt;0,N(O169)&lt;=p_MaxAtivos),AB169,0))</f>
        <v/>
      </c>
      <c r="AD169" s="85" t="str">
        <f>IF(A169="","",IF(OR(Q169&lt;=0,Q169&lt;p_CompraMin,N(H169)&lt;=0,N(W169)&lt;=0),0,IF($W$3="Sim",TRUNC(ROUND(MAX(0,(Q169-p_CorrFixa)/(H169*W169*$W$6)),9),$W$4),TRUNC(ROUND(MAX(0,(Q169-p_CorrFixa)/(H169*W169*$W$6)),9)/$W$5)*$W$5)))</f>
        <v/>
      </c>
      <c r="AE169" s="85" t="str">
        <f>IF(A169="","",IF(N(AD169)&gt;0,AD169*H169*W169*$W$6+p_CorrFixa,0))</f>
        <v/>
      </c>
      <c r="AF169" s="85" t="str">
        <f>IF(A169="","",IF(OR($Y$1&lt;=0,N(H169)&lt;=0,N(W169)&lt;=0,N(AB169)&lt;=0),0,IF($W$3="Sim",TRUNC(ROUND(MAX(0,($Y$1-IF(N(AD169)&gt;0,0,p_CorrFixa))/(H169*W169*$W$6)),9),$W$4),TRUNC(ROUND(MAX(0,($Y$1-IF(N(AD169)&gt;0,0,p_CorrFixa))/(H169*W169*$W$6)),9)/$W$5)*$W$5)))</f>
        <v/>
      </c>
      <c r="AG169" s="85" t="str">
        <f>IF(A169="","",IF(AND(N(AD169)=0,N(AF169)*(H169*W169*$W$6)+p_CorrFixa&lt;p_CompraMin),0,AF169))</f>
        <v/>
      </c>
      <c r="AH169" s="85" t="str">
        <f>IF(A169="","",IF(N(AG169)&gt;0,AB169,0))</f>
        <v/>
      </c>
      <c r="AI169" s="85" t="str">
        <f>IF(A169="","",IF(AND(AH169&gt;0,AH169=$AH$6,COUNTIF($AH$9:AH169,AH169)=1),1,0))</f>
        <v/>
      </c>
    </row>
    <row r="170">
      <c r="A170" s="96" t="n"/>
      <c r="B170" s="96" t="n"/>
      <c r="C170" s="96" t="n"/>
      <c r="D170" s="97" t="n"/>
      <c r="E170" s="98" t="n"/>
      <c r="F170" s="99" t="n"/>
      <c r="G170" s="100" t="n"/>
      <c r="H170" s="104" t="str">
        <f>IF(A170="","",IF(AND(p_ModoCot="Automático",ISNUMBER(Z170)),Z170,IF(N(G170)&gt;0,G170,0)))</f>
        <v/>
      </c>
      <c r="I170" s="105" t="str">
        <f>IF(A170="","",IF(W170=0,"Sem câmbio",IF(AND(p_ModoCot="Automático",ISNUMBER(Z170)),"Auto",IF(N(G170)&gt;0,"Manual","Sem cotação"))))</f>
        <v/>
      </c>
      <c r="J170" s="106" t="str">
        <f>IF(A170="","",N(E170)*H170)</f>
        <v/>
      </c>
      <c r="K170" s="107" t="str">
        <f>IF(A170="","",J170*W170)</f>
        <v/>
      </c>
      <c r="L170" s="108" t="str">
        <f>IF(A170="","",IF($K$6&gt;0,K170/$K$6,0))</f>
        <v/>
      </c>
      <c r="M170" s="109" t="str">
        <f>IF(A170="","",N(F170)-L170)</f>
        <v/>
      </c>
      <c r="N170" s="108" t="str">
        <f>IF(A170="","",IF($AB$6&gt;0,AB170/$AB$6,0))</f>
        <v/>
      </c>
      <c r="O170" s="110" t="str">
        <f>IF(A170="","",IF(AB170&lt;=0,"",COUNTIF($AB$9:$AB$208,"&gt;"&amp;AB170)+COUNTIF($AB$9:AB170,AB170)))</f>
        <v/>
      </c>
      <c r="P170" s="105" t="str">
        <f>IF(A170="","",IF(Q170&gt;0,"BUY","HOLD"))</f>
        <v/>
      </c>
      <c r="Q170" s="107" t="str">
        <f>IF(A170="","",IF($W$7&lt;=0,0,IF($AC$6&gt;0,$W$7*AC170/$AC$6,IF($F$6&gt;0,$W$7*N(F170)/$F$6,0))))</f>
        <v/>
      </c>
      <c r="R170" s="111" t="str">
        <f>IF(A170="","",N(AD170)+IF(AI170=1,N(AG170),0))</f>
        <v/>
      </c>
      <c r="S170" s="111" t="str">
        <f>IF(A170="","",N(E170)+N(R170))</f>
        <v/>
      </c>
      <c r="T170" s="107" t="str">
        <f>IF(A170="","",IF(N(R170)&gt;0,R170*H170*W170*$W$6+p_CorrFixa,0))</f>
        <v/>
      </c>
      <c r="V170" s="85" t="str">
        <f>IF(A170="","",IF(D170="",$W$1,D170))</f>
        <v/>
      </c>
      <c r="W170" s="85" t="str">
        <f>IF(A170="","",IFERROR(INDEX(moeda_fx,MATCH(V170,moeda_cod,0)),0))</f>
        <v/>
      </c>
      <c r="X170" s="85" t="str">
        <f>IF(A170="","",IF($W$2="",UPPER(TRIM(A170)),IF(RIGHT(UPPER(TRIM(A170)),LEN($W$2))=$W$2,UPPER(TRIM(A170)),UPPER(TRIM(A170))&amp;$W$2)))</f>
        <v/>
      </c>
      <c r="Y170" s="85" t="str">
        <f>IF(OR(A170="",p_ModoCot&lt;&gt;"Automático"),"",IFERROR(_xlfn.WEBSERVICE("https://query1.finance.yahoo.com/v8/finance/chart/"&amp;X170&amp;"?range=1d&amp;interval=1d"),""))</f>
        <v/>
      </c>
      <c r="Z170" s="85" t="str">
        <f>IF(Y170="","",IFERROR(_xlfn.NUMBERVALUE(MID(Y170,SEARCH("""regularMarketPrice"":",Y170)+21,SEARCH(",",Y170&amp;",",SEARCH("""regularMarketPrice"":",Y170)+21)-SEARCH("""regularMarketPrice"":",Y170)-21),".",","),""))</f>
        <v/>
      </c>
      <c r="AA170" s="85" t="str">
        <f>IF(A170="","",ROUND(MAX(0,N(F170)*($K$6+$W$7)-K170),2))</f>
        <v/>
      </c>
      <c r="AB170" s="85" t="str">
        <f>IF(A170="","",IF(AND(M170&gt;0,M170&gt;=p_DifMin),AA170,0))</f>
        <v/>
      </c>
      <c r="AC170" s="85" t="str">
        <f>IF(A170="","",IF(AND(AB170&gt;0,N(O170)&lt;=p_MaxAtivos),AB170,0))</f>
        <v/>
      </c>
      <c r="AD170" s="85" t="str">
        <f>IF(A170="","",IF(OR(Q170&lt;=0,Q170&lt;p_CompraMin,N(H170)&lt;=0,N(W170)&lt;=0),0,IF($W$3="Sim",TRUNC(ROUND(MAX(0,(Q170-p_CorrFixa)/(H170*W170*$W$6)),9),$W$4),TRUNC(ROUND(MAX(0,(Q170-p_CorrFixa)/(H170*W170*$W$6)),9)/$W$5)*$W$5)))</f>
        <v/>
      </c>
      <c r="AE170" s="85" t="str">
        <f>IF(A170="","",IF(N(AD170)&gt;0,AD170*H170*W170*$W$6+p_CorrFixa,0))</f>
        <v/>
      </c>
      <c r="AF170" s="85" t="str">
        <f>IF(A170="","",IF(OR($Y$1&lt;=0,N(H170)&lt;=0,N(W170)&lt;=0,N(AB170)&lt;=0),0,IF($W$3="Sim",TRUNC(ROUND(MAX(0,($Y$1-IF(N(AD170)&gt;0,0,p_CorrFixa))/(H170*W170*$W$6)),9),$W$4),TRUNC(ROUND(MAX(0,($Y$1-IF(N(AD170)&gt;0,0,p_CorrFixa))/(H170*W170*$W$6)),9)/$W$5)*$W$5)))</f>
        <v/>
      </c>
      <c r="AG170" s="85" t="str">
        <f>IF(A170="","",IF(AND(N(AD170)=0,N(AF170)*(H170*W170*$W$6)+p_CorrFixa&lt;p_CompraMin),0,AF170))</f>
        <v/>
      </c>
      <c r="AH170" s="85" t="str">
        <f>IF(A170="","",IF(N(AG170)&gt;0,AB170,0))</f>
        <v/>
      </c>
      <c r="AI170" s="85" t="str">
        <f>IF(A170="","",IF(AND(AH170&gt;0,AH170=$AH$6,COUNTIF($AH$9:AH170,AH170)=1),1,0))</f>
        <v/>
      </c>
    </row>
    <row r="171">
      <c r="A171" s="96" t="n"/>
      <c r="B171" s="96" t="n"/>
      <c r="C171" s="96" t="n"/>
      <c r="D171" s="97" t="n"/>
      <c r="E171" s="98" t="n"/>
      <c r="F171" s="99" t="n"/>
      <c r="G171" s="100" t="n"/>
      <c r="H171" s="101" t="str">
        <f>IF(A171="","",IF(AND(p_ModoCot="Automático",ISNUMBER(Z171)),Z171,IF(N(G171)&gt;0,G171,0)))</f>
        <v/>
      </c>
      <c r="I171" s="73" t="str">
        <f>IF(A171="","",IF(W171=0,"Sem câmbio",IF(AND(p_ModoCot="Automático",ISNUMBER(Z171)),"Auto",IF(N(G171)&gt;0,"Manual","Sem cotação"))))</f>
        <v/>
      </c>
      <c r="J171" s="102" t="str">
        <f>IF(A171="","",N(E171)*H171)</f>
        <v/>
      </c>
      <c r="K171" s="70" t="str">
        <f>IF(A171="","",J171*W171)</f>
        <v/>
      </c>
      <c r="L171" s="30" t="str">
        <f>IF(A171="","",IF($K$6&gt;0,K171/$K$6,0))</f>
        <v/>
      </c>
      <c r="M171" s="72" t="str">
        <f>IF(A171="","",N(F171)-L171)</f>
        <v/>
      </c>
      <c r="N171" s="30" t="str">
        <f>IF(A171="","",IF($AB$6&gt;0,AB171/$AB$6,0))</f>
        <v/>
      </c>
      <c r="O171" s="74" t="str">
        <f>IF(A171="","",IF(AB171&lt;=0,"",COUNTIF($AB$9:$AB$208,"&gt;"&amp;AB171)+COUNTIF($AB$9:AB171,AB171)))</f>
        <v/>
      </c>
      <c r="P171" s="73" t="str">
        <f>IF(A171="","",IF(Q171&gt;0,"BUY","HOLD"))</f>
        <v/>
      </c>
      <c r="Q171" s="70" t="str">
        <f>IF(A171="","",IF($W$7&lt;=0,0,IF($AC$6&gt;0,$W$7*AC171/$AC$6,IF($F$6&gt;0,$W$7*N(F171)/$F$6,0))))</f>
        <v/>
      </c>
      <c r="R171" s="103" t="str">
        <f>IF(A171="","",N(AD171)+IF(AI171=1,N(AG171),0))</f>
        <v/>
      </c>
      <c r="S171" s="103" t="str">
        <f>IF(A171="","",N(E171)+N(R171))</f>
        <v/>
      </c>
      <c r="T171" s="70" t="str">
        <f>IF(A171="","",IF(N(R171)&gt;0,R171*H171*W171*$W$6+p_CorrFixa,0))</f>
        <v/>
      </c>
      <c r="V171" s="85" t="str">
        <f>IF(A171="","",IF(D171="",$W$1,D171))</f>
        <v/>
      </c>
      <c r="W171" s="85" t="str">
        <f>IF(A171="","",IFERROR(INDEX(moeda_fx,MATCH(V171,moeda_cod,0)),0))</f>
        <v/>
      </c>
      <c r="X171" s="85" t="str">
        <f>IF(A171="","",IF($W$2="",UPPER(TRIM(A171)),IF(RIGHT(UPPER(TRIM(A171)),LEN($W$2))=$W$2,UPPER(TRIM(A171)),UPPER(TRIM(A171))&amp;$W$2)))</f>
        <v/>
      </c>
      <c r="Y171" s="85" t="str">
        <f>IF(OR(A171="",p_ModoCot&lt;&gt;"Automático"),"",IFERROR(_xlfn.WEBSERVICE("https://query1.finance.yahoo.com/v8/finance/chart/"&amp;X171&amp;"?range=1d&amp;interval=1d"),""))</f>
        <v/>
      </c>
      <c r="Z171" s="85" t="str">
        <f>IF(Y171="","",IFERROR(_xlfn.NUMBERVALUE(MID(Y171,SEARCH("""regularMarketPrice"":",Y171)+21,SEARCH(",",Y171&amp;",",SEARCH("""regularMarketPrice"":",Y171)+21)-SEARCH("""regularMarketPrice"":",Y171)-21),".",","),""))</f>
        <v/>
      </c>
      <c r="AA171" s="85" t="str">
        <f>IF(A171="","",ROUND(MAX(0,N(F171)*($K$6+$W$7)-K171),2))</f>
        <v/>
      </c>
      <c r="AB171" s="85" t="str">
        <f>IF(A171="","",IF(AND(M171&gt;0,M171&gt;=p_DifMin),AA171,0))</f>
        <v/>
      </c>
      <c r="AC171" s="85" t="str">
        <f>IF(A171="","",IF(AND(AB171&gt;0,N(O171)&lt;=p_MaxAtivos),AB171,0))</f>
        <v/>
      </c>
      <c r="AD171" s="85" t="str">
        <f>IF(A171="","",IF(OR(Q171&lt;=0,Q171&lt;p_CompraMin,N(H171)&lt;=0,N(W171)&lt;=0),0,IF($W$3="Sim",TRUNC(ROUND(MAX(0,(Q171-p_CorrFixa)/(H171*W171*$W$6)),9),$W$4),TRUNC(ROUND(MAX(0,(Q171-p_CorrFixa)/(H171*W171*$W$6)),9)/$W$5)*$W$5)))</f>
        <v/>
      </c>
      <c r="AE171" s="85" t="str">
        <f>IF(A171="","",IF(N(AD171)&gt;0,AD171*H171*W171*$W$6+p_CorrFixa,0))</f>
        <v/>
      </c>
      <c r="AF171" s="85" t="str">
        <f>IF(A171="","",IF(OR($Y$1&lt;=0,N(H171)&lt;=0,N(W171)&lt;=0,N(AB171)&lt;=0),0,IF($W$3="Sim",TRUNC(ROUND(MAX(0,($Y$1-IF(N(AD171)&gt;0,0,p_CorrFixa))/(H171*W171*$W$6)),9),$W$4),TRUNC(ROUND(MAX(0,($Y$1-IF(N(AD171)&gt;0,0,p_CorrFixa))/(H171*W171*$W$6)),9)/$W$5)*$W$5)))</f>
        <v/>
      </c>
      <c r="AG171" s="85" t="str">
        <f>IF(A171="","",IF(AND(N(AD171)=0,N(AF171)*(H171*W171*$W$6)+p_CorrFixa&lt;p_CompraMin),0,AF171))</f>
        <v/>
      </c>
      <c r="AH171" s="85" t="str">
        <f>IF(A171="","",IF(N(AG171)&gt;0,AB171,0))</f>
        <v/>
      </c>
      <c r="AI171" s="85" t="str">
        <f>IF(A171="","",IF(AND(AH171&gt;0,AH171=$AH$6,COUNTIF($AH$9:AH171,AH171)=1),1,0))</f>
        <v/>
      </c>
    </row>
    <row r="172">
      <c r="A172" s="96" t="n"/>
      <c r="B172" s="96" t="n"/>
      <c r="C172" s="96" t="n"/>
      <c r="D172" s="97" t="n"/>
      <c r="E172" s="98" t="n"/>
      <c r="F172" s="99" t="n"/>
      <c r="G172" s="100" t="n"/>
      <c r="H172" s="104" t="str">
        <f>IF(A172="","",IF(AND(p_ModoCot="Automático",ISNUMBER(Z172)),Z172,IF(N(G172)&gt;0,G172,0)))</f>
        <v/>
      </c>
      <c r="I172" s="105" t="str">
        <f>IF(A172="","",IF(W172=0,"Sem câmbio",IF(AND(p_ModoCot="Automático",ISNUMBER(Z172)),"Auto",IF(N(G172)&gt;0,"Manual","Sem cotação"))))</f>
        <v/>
      </c>
      <c r="J172" s="106" t="str">
        <f>IF(A172="","",N(E172)*H172)</f>
        <v/>
      </c>
      <c r="K172" s="107" t="str">
        <f>IF(A172="","",J172*W172)</f>
        <v/>
      </c>
      <c r="L172" s="108" t="str">
        <f>IF(A172="","",IF($K$6&gt;0,K172/$K$6,0))</f>
        <v/>
      </c>
      <c r="M172" s="109" t="str">
        <f>IF(A172="","",N(F172)-L172)</f>
        <v/>
      </c>
      <c r="N172" s="108" t="str">
        <f>IF(A172="","",IF($AB$6&gt;0,AB172/$AB$6,0))</f>
        <v/>
      </c>
      <c r="O172" s="110" t="str">
        <f>IF(A172="","",IF(AB172&lt;=0,"",COUNTIF($AB$9:$AB$208,"&gt;"&amp;AB172)+COUNTIF($AB$9:AB172,AB172)))</f>
        <v/>
      </c>
      <c r="P172" s="105" t="str">
        <f>IF(A172="","",IF(Q172&gt;0,"BUY","HOLD"))</f>
        <v/>
      </c>
      <c r="Q172" s="107" t="str">
        <f>IF(A172="","",IF($W$7&lt;=0,0,IF($AC$6&gt;0,$W$7*AC172/$AC$6,IF($F$6&gt;0,$W$7*N(F172)/$F$6,0))))</f>
        <v/>
      </c>
      <c r="R172" s="111" t="str">
        <f>IF(A172="","",N(AD172)+IF(AI172=1,N(AG172),0))</f>
        <v/>
      </c>
      <c r="S172" s="111" t="str">
        <f>IF(A172="","",N(E172)+N(R172))</f>
        <v/>
      </c>
      <c r="T172" s="107" t="str">
        <f>IF(A172="","",IF(N(R172)&gt;0,R172*H172*W172*$W$6+p_CorrFixa,0))</f>
        <v/>
      </c>
      <c r="V172" s="85" t="str">
        <f>IF(A172="","",IF(D172="",$W$1,D172))</f>
        <v/>
      </c>
      <c r="W172" s="85" t="str">
        <f>IF(A172="","",IFERROR(INDEX(moeda_fx,MATCH(V172,moeda_cod,0)),0))</f>
        <v/>
      </c>
      <c r="X172" s="85" t="str">
        <f>IF(A172="","",IF($W$2="",UPPER(TRIM(A172)),IF(RIGHT(UPPER(TRIM(A172)),LEN($W$2))=$W$2,UPPER(TRIM(A172)),UPPER(TRIM(A172))&amp;$W$2)))</f>
        <v/>
      </c>
      <c r="Y172" s="85" t="str">
        <f>IF(OR(A172="",p_ModoCot&lt;&gt;"Automático"),"",IFERROR(_xlfn.WEBSERVICE("https://query1.finance.yahoo.com/v8/finance/chart/"&amp;X172&amp;"?range=1d&amp;interval=1d"),""))</f>
        <v/>
      </c>
      <c r="Z172" s="85" t="str">
        <f>IF(Y172="","",IFERROR(_xlfn.NUMBERVALUE(MID(Y172,SEARCH("""regularMarketPrice"":",Y172)+21,SEARCH(",",Y172&amp;",",SEARCH("""regularMarketPrice"":",Y172)+21)-SEARCH("""regularMarketPrice"":",Y172)-21),".",","),""))</f>
        <v/>
      </c>
      <c r="AA172" s="85" t="str">
        <f>IF(A172="","",ROUND(MAX(0,N(F172)*($K$6+$W$7)-K172),2))</f>
        <v/>
      </c>
      <c r="AB172" s="85" t="str">
        <f>IF(A172="","",IF(AND(M172&gt;0,M172&gt;=p_DifMin),AA172,0))</f>
        <v/>
      </c>
      <c r="AC172" s="85" t="str">
        <f>IF(A172="","",IF(AND(AB172&gt;0,N(O172)&lt;=p_MaxAtivos),AB172,0))</f>
        <v/>
      </c>
      <c r="AD172" s="85" t="str">
        <f>IF(A172="","",IF(OR(Q172&lt;=0,Q172&lt;p_CompraMin,N(H172)&lt;=0,N(W172)&lt;=0),0,IF($W$3="Sim",TRUNC(ROUND(MAX(0,(Q172-p_CorrFixa)/(H172*W172*$W$6)),9),$W$4),TRUNC(ROUND(MAX(0,(Q172-p_CorrFixa)/(H172*W172*$W$6)),9)/$W$5)*$W$5)))</f>
        <v/>
      </c>
      <c r="AE172" s="85" t="str">
        <f>IF(A172="","",IF(N(AD172)&gt;0,AD172*H172*W172*$W$6+p_CorrFixa,0))</f>
        <v/>
      </c>
      <c r="AF172" s="85" t="str">
        <f>IF(A172="","",IF(OR($Y$1&lt;=0,N(H172)&lt;=0,N(W172)&lt;=0,N(AB172)&lt;=0),0,IF($W$3="Sim",TRUNC(ROUND(MAX(0,($Y$1-IF(N(AD172)&gt;0,0,p_CorrFixa))/(H172*W172*$W$6)),9),$W$4),TRUNC(ROUND(MAX(0,($Y$1-IF(N(AD172)&gt;0,0,p_CorrFixa))/(H172*W172*$W$6)),9)/$W$5)*$W$5)))</f>
        <v/>
      </c>
      <c r="AG172" s="85" t="str">
        <f>IF(A172="","",IF(AND(N(AD172)=0,N(AF172)*(H172*W172*$W$6)+p_CorrFixa&lt;p_CompraMin),0,AF172))</f>
        <v/>
      </c>
      <c r="AH172" s="85" t="str">
        <f>IF(A172="","",IF(N(AG172)&gt;0,AB172,0))</f>
        <v/>
      </c>
      <c r="AI172" s="85" t="str">
        <f>IF(A172="","",IF(AND(AH172&gt;0,AH172=$AH$6,COUNTIF($AH$9:AH172,AH172)=1),1,0))</f>
        <v/>
      </c>
    </row>
    <row r="173">
      <c r="A173" s="96" t="n"/>
      <c r="B173" s="96" t="n"/>
      <c r="C173" s="96" t="n"/>
      <c r="D173" s="97" t="n"/>
      <c r="E173" s="98" t="n"/>
      <c r="F173" s="99" t="n"/>
      <c r="G173" s="100" t="n"/>
      <c r="H173" s="101" t="str">
        <f>IF(A173="","",IF(AND(p_ModoCot="Automático",ISNUMBER(Z173)),Z173,IF(N(G173)&gt;0,G173,0)))</f>
        <v/>
      </c>
      <c r="I173" s="73" t="str">
        <f>IF(A173="","",IF(W173=0,"Sem câmbio",IF(AND(p_ModoCot="Automático",ISNUMBER(Z173)),"Auto",IF(N(G173)&gt;0,"Manual","Sem cotação"))))</f>
        <v/>
      </c>
      <c r="J173" s="102" t="str">
        <f>IF(A173="","",N(E173)*H173)</f>
        <v/>
      </c>
      <c r="K173" s="70" t="str">
        <f>IF(A173="","",J173*W173)</f>
        <v/>
      </c>
      <c r="L173" s="30" t="str">
        <f>IF(A173="","",IF($K$6&gt;0,K173/$K$6,0))</f>
        <v/>
      </c>
      <c r="M173" s="72" t="str">
        <f>IF(A173="","",N(F173)-L173)</f>
        <v/>
      </c>
      <c r="N173" s="30" t="str">
        <f>IF(A173="","",IF($AB$6&gt;0,AB173/$AB$6,0))</f>
        <v/>
      </c>
      <c r="O173" s="74" t="str">
        <f>IF(A173="","",IF(AB173&lt;=0,"",COUNTIF($AB$9:$AB$208,"&gt;"&amp;AB173)+COUNTIF($AB$9:AB173,AB173)))</f>
        <v/>
      </c>
      <c r="P173" s="73" t="str">
        <f>IF(A173="","",IF(Q173&gt;0,"BUY","HOLD"))</f>
        <v/>
      </c>
      <c r="Q173" s="70" t="str">
        <f>IF(A173="","",IF($W$7&lt;=0,0,IF($AC$6&gt;0,$W$7*AC173/$AC$6,IF($F$6&gt;0,$W$7*N(F173)/$F$6,0))))</f>
        <v/>
      </c>
      <c r="R173" s="103" t="str">
        <f>IF(A173="","",N(AD173)+IF(AI173=1,N(AG173),0))</f>
        <v/>
      </c>
      <c r="S173" s="103" t="str">
        <f>IF(A173="","",N(E173)+N(R173))</f>
        <v/>
      </c>
      <c r="T173" s="70" t="str">
        <f>IF(A173="","",IF(N(R173)&gt;0,R173*H173*W173*$W$6+p_CorrFixa,0))</f>
        <v/>
      </c>
      <c r="V173" s="85" t="str">
        <f>IF(A173="","",IF(D173="",$W$1,D173))</f>
        <v/>
      </c>
      <c r="W173" s="85" t="str">
        <f>IF(A173="","",IFERROR(INDEX(moeda_fx,MATCH(V173,moeda_cod,0)),0))</f>
        <v/>
      </c>
      <c r="X173" s="85" t="str">
        <f>IF(A173="","",IF($W$2="",UPPER(TRIM(A173)),IF(RIGHT(UPPER(TRIM(A173)),LEN($W$2))=$W$2,UPPER(TRIM(A173)),UPPER(TRIM(A173))&amp;$W$2)))</f>
        <v/>
      </c>
      <c r="Y173" s="85" t="str">
        <f>IF(OR(A173="",p_ModoCot&lt;&gt;"Automático"),"",IFERROR(_xlfn.WEBSERVICE("https://query1.finance.yahoo.com/v8/finance/chart/"&amp;X173&amp;"?range=1d&amp;interval=1d"),""))</f>
        <v/>
      </c>
      <c r="Z173" s="85" t="str">
        <f>IF(Y173="","",IFERROR(_xlfn.NUMBERVALUE(MID(Y173,SEARCH("""regularMarketPrice"":",Y173)+21,SEARCH(",",Y173&amp;",",SEARCH("""regularMarketPrice"":",Y173)+21)-SEARCH("""regularMarketPrice"":",Y173)-21),".",","),""))</f>
        <v/>
      </c>
      <c r="AA173" s="85" t="str">
        <f>IF(A173="","",ROUND(MAX(0,N(F173)*($K$6+$W$7)-K173),2))</f>
        <v/>
      </c>
      <c r="AB173" s="85" t="str">
        <f>IF(A173="","",IF(AND(M173&gt;0,M173&gt;=p_DifMin),AA173,0))</f>
        <v/>
      </c>
      <c r="AC173" s="85" t="str">
        <f>IF(A173="","",IF(AND(AB173&gt;0,N(O173)&lt;=p_MaxAtivos),AB173,0))</f>
        <v/>
      </c>
      <c r="AD173" s="85" t="str">
        <f>IF(A173="","",IF(OR(Q173&lt;=0,Q173&lt;p_CompraMin,N(H173)&lt;=0,N(W173)&lt;=0),0,IF($W$3="Sim",TRUNC(ROUND(MAX(0,(Q173-p_CorrFixa)/(H173*W173*$W$6)),9),$W$4),TRUNC(ROUND(MAX(0,(Q173-p_CorrFixa)/(H173*W173*$W$6)),9)/$W$5)*$W$5)))</f>
        <v/>
      </c>
      <c r="AE173" s="85" t="str">
        <f>IF(A173="","",IF(N(AD173)&gt;0,AD173*H173*W173*$W$6+p_CorrFixa,0))</f>
        <v/>
      </c>
      <c r="AF173" s="85" t="str">
        <f>IF(A173="","",IF(OR($Y$1&lt;=0,N(H173)&lt;=0,N(W173)&lt;=0,N(AB173)&lt;=0),0,IF($W$3="Sim",TRUNC(ROUND(MAX(0,($Y$1-IF(N(AD173)&gt;0,0,p_CorrFixa))/(H173*W173*$W$6)),9),$W$4),TRUNC(ROUND(MAX(0,($Y$1-IF(N(AD173)&gt;0,0,p_CorrFixa))/(H173*W173*$W$6)),9)/$W$5)*$W$5)))</f>
        <v/>
      </c>
      <c r="AG173" s="85" t="str">
        <f>IF(A173="","",IF(AND(N(AD173)=0,N(AF173)*(H173*W173*$W$6)+p_CorrFixa&lt;p_CompraMin),0,AF173))</f>
        <v/>
      </c>
      <c r="AH173" s="85" t="str">
        <f>IF(A173="","",IF(N(AG173)&gt;0,AB173,0))</f>
        <v/>
      </c>
      <c r="AI173" s="85" t="str">
        <f>IF(A173="","",IF(AND(AH173&gt;0,AH173=$AH$6,COUNTIF($AH$9:AH173,AH173)=1),1,0))</f>
        <v/>
      </c>
    </row>
    <row r="174">
      <c r="A174" s="96" t="n"/>
      <c r="B174" s="96" t="n"/>
      <c r="C174" s="96" t="n"/>
      <c r="D174" s="97" t="n"/>
      <c r="E174" s="98" t="n"/>
      <c r="F174" s="99" t="n"/>
      <c r="G174" s="100" t="n"/>
      <c r="H174" s="104" t="str">
        <f>IF(A174="","",IF(AND(p_ModoCot="Automático",ISNUMBER(Z174)),Z174,IF(N(G174)&gt;0,G174,0)))</f>
        <v/>
      </c>
      <c r="I174" s="105" t="str">
        <f>IF(A174="","",IF(W174=0,"Sem câmbio",IF(AND(p_ModoCot="Automático",ISNUMBER(Z174)),"Auto",IF(N(G174)&gt;0,"Manual","Sem cotação"))))</f>
        <v/>
      </c>
      <c r="J174" s="106" t="str">
        <f>IF(A174="","",N(E174)*H174)</f>
        <v/>
      </c>
      <c r="K174" s="107" t="str">
        <f>IF(A174="","",J174*W174)</f>
        <v/>
      </c>
      <c r="L174" s="108" t="str">
        <f>IF(A174="","",IF($K$6&gt;0,K174/$K$6,0))</f>
        <v/>
      </c>
      <c r="M174" s="109" t="str">
        <f>IF(A174="","",N(F174)-L174)</f>
        <v/>
      </c>
      <c r="N174" s="108" t="str">
        <f>IF(A174="","",IF($AB$6&gt;0,AB174/$AB$6,0))</f>
        <v/>
      </c>
      <c r="O174" s="110" t="str">
        <f>IF(A174="","",IF(AB174&lt;=0,"",COUNTIF($AB$9:$AB$208,"&gt;"&amp;AB174)+COUNTIF($AB$9:AB174,AB174)))</f>
        <v/>
      </c>
      <c r="P174" s="105" t="str">
        <f>IF(A174="","",IF(Q174&gt;0,"BUY","HOLD"))</f>
        <v/>
      </c>
      <c r="Q174" s="107" t="str">
        <f>IF(A174="","",IF($W$7&lt;=0,0,IF($AC$6&gt;0,$W$7*AC174/$AC$6,IF($F$6&gt;0,$W$7*N(F174)/$F$6,0))))</f>
        <v/>
      </c>
      <c r="R174" s="111" t="str">
        <f>IF(A174="","",N(AD174)+IF(AI174=1,N(AG174),0))</f>
        <v/>
      </c>
      <c r="S174" s="111" t="str">
        <f>IF(A174="","",N(E174)+N(R174))</f>
        <v/>
      </c>
      <c r="T174" s="107" t="str">
        <f>IF(A174="","",IF(N(R174)&gt;0,R174*H174*W174*$W$6+p_CorrFixa,0))</f>
        <v/>
      </c>
      <c r="V174" s="85" t="str">
        <f>IF(A174="","",IF(D174="",$W$1,D174))</f>
        <v/>
      </c>
      <c r="W174" s="85" t="str">
        <f>IF(A174="","",IFERROR(INDEX(moeda_fx,MATCH(V174,moeda_cod,0)),0))</f>
        <v/>
      </c>
      <c r="X174" s="85" t="str">
        <f>IF(A174="","",IF($W$2="",UPPER(TRIM(A174)),IF(RIGHT(UPPER(TRIM(A174)),LEN($W$2))=$W$2,UPPER(TRIM(A174)),UPPER(TRIM(A174))&amp;$W$2)))</f>
        <v/>
      </c>
      <c r="Y174" s="85" t="str">
        <f>IF(OR(A174="",p_ModoCot&lt;&gt;"Automático"),"",IFERROR(_xlfn.WEBSERVICE("https://query1.finance.yahoo.com/v8/finance/chart/"&amp;X174&amp;"?range=1d&amp;interval=1d"),""))</f>
        <v/>
      </c>
      <c r="Z174" s="85" t="str">
        <f>IF(Y174="","",IFERROR(_xlfn.NUMBERVALUE(MID(Y174,SEARCH("""regularMarketPrice"":",Y174)+21,SEARCH(",",Y174&amp;",",SEARCH("""regularMarketPrice"":",Y174)+21)-SEARCH("""regularMarketPrice"":",Y174)-21),".",","),""))</f>
        <v/>
      </c>
      <c r="AA174" s="85" t="str">
        <f>IF(A174="","",ROUND(MAX(0,N(F174)*($K$6+$W$7)-K174),2))</f>
        <v/>
      </c>
      <c r="AB174" s="85" t="str">
        <f>IF(A174="","",IF(AND(M174&gt;0,M174&gt;=p_DifMin),AA174,0))</f>
        <v/>
      </c>
      <c r="AC174" s="85" t="str">
        <f>IF(A174="","",IF(AND(AB174&gt;0,N(O174)&lt;=p_MaxAtivos),AB174,0))</f>
        <v/>
      </c>
      <c r="AD174" s="85" t="str">
        <f>IF(A174="","",IF(OR(Q174&lt;=0,Q174&lt;p_CompraMin,N(H174)&lt;=0,N(W174)&lt;=0),0,IF($W$3="Sim",TRUNC(ROUND(MAX(0,(Q174-p_CorrFixa)/(H174*W174*$W$6)),9),$W$4),TRUNC(ROUND(MAX(0,(Q174-p_CorrFixa)/(H174*W174*$W$6)),9)/$W$5)*$W$5)))</f>
        <v/>
      </c>
      <c r="AE174" s="85" t="str">
        <f>IF(A174="","",IF(N(AD174)&gt;0,AD174*H174*W174*$W$6+p_CorrFixa,0))</f>
        <v/>
      </c>
      <c r="AF174" s="85" t="str">
        <f>IF(A174="","",IF(OR($Y$1&lt;=0,N(H174)&lt;=0,N(W174)&lt;=0,N(AB174)&lt;=0),0,IF($W$3="Sim",TRUNC(ROUND(MAX(0,($Y$1-IF(N(AD174)&gt;0,0,p_CorrFixa))/(H174*W174*$W$6)),9),$W$4),TRUNC(ROUND(MAX(0,($Y$1-IF(N(AD174)&gt;0,0,p_CorrFixa))/(H174*W174*$W$6)),9)/$W$5)*$W$5)))</f>
        <v/>
      </c>
      <c r="AG174" s="85" t="str">
        <f>IF(A174="","",IF(AND(N(AD174)=0,N(AF174)*(H174*W174*$W$6)+p_CorrFixa&lt;p_CompraMin),0,AF174))</f>
        <v/>
      </c>
      <c r="AH174" s="85" t="str">
        <f>IF(A174="","",IF(N(AG174)&gt;0,AB174,0))</f>
        <v/>
      </c>
      <c r="AI174" s="85" t="str">
        <f>IF(A174="","",IF(AND(AH174&gt;0,AH174=$AH$6,COUNTIF($AH$9:AH174,AH174)=1),1,0))</f>
        <v/>
      </c>
    </row>
    <row r="175">
      <c r="A175" s="96" t="n"/>
      <c r="B175" s="96" t="n"/>
      <c r="C175" s="96" t="n"/>
      <c r="D175" s="97" t="n"/>
      <c r="E175" s="98" t="n"/>
      <c r="F175" s="99" t="n"/>
      <c r="G175" s="100" t="n"/>
      <c r="H175" s="101" t="str">
        <f>IF(A175="","",IF(AND(p_ModoCot="Automático",ISNUMBER(Z175)),Z175,IF(N(G175)&gt;0,G175,0)))</f>
        <v/>
      </c>
      <c r="I175" s="73" t="str">
        <f>IF(A175="","",IF(W175=0,"Sem câmbio",IF(AND(p_ModoCot="Automático",ISNUMBER(Z175)),"Auto",IF(N(G175)&gt;0,"Manual","Sem cotação"))))</f>
        <v/>
      </c>
      <c r="J175" s="102" t="str">
        <f>IF(A175="","",N(E175)*H175)</f>
        <v/>
      </c>
      <c r="K175" s="70" t="str">
        <f>IF(A175="","",J175*W175)</f>
        <v/>
      </c>
      <c r="L175" s="30" t="str">
        <f>IF(A175="","",IF($K$6&gt;0,K175/$K$6,0))</f>
        <v/>
      </c>
      <c r="M175" s="72" t="str">
        <f>IF(A175="","",N(F175)-L175)</f>
        <v/>
      </c>
      <c r="N175" s="30" t="str">
        <f>IF(A175="","",IF($AB$6&gt;0,AB175/$AB$6,0))</f>
        <v/>
      </c>
      <c r="O175" s="74" t="str">
        <f>IF(A175="","",IF(AB175&lt;=0,"",COUNTIF($AB$9:$AB$208,"&gt;"&amp;AB175)+COUNTIF($AB$9:AB175,AB175)))</f>
        <v/>
      </c>
      <c r="P175" s="73" t="str">
        <f>IF(A175="","",IF(Q175&gt;0,"BUY","HOLD"))</f>
        <v/>
      </c>
      <c r="Q175" s="70" t="str">
        <f>IF(A175="","",IF($W$7&lt;=0,0,IF($AC$6&gt;0,$W$7*AC175/$AC$6,IF($F$6&gt;0,$W$7*N(F175)/$F$6,0))))</f>
        <v/>
      </c>
      <c r="R175" s="103" t="str">
        <f>IF(A175="","",N(AD175)+IF(AI175=1,N(AG175),0))</f>
        <v/>
      </c>
      <c r="S175" s="103" t="str">
        <f>IF(A175="","",N(E175)+N(R175))</f>
        <v/>
      </c>
      <c r="T175" s="70" t="str">
        <f>IF(A175="","",IF(N(R175)&gt;0,R175*H175*W175*$W$6+p_CorrFixa,0))</f>
        <v/>
      </c>
      <c r="V175" s="85" t="str">
        <f>IF(A175="","",IF(D175="",$W$1,D175))</f>
        <v/>
      </c>
      <c r="W175" s="85" t="str">
        <f>IF(A175="","",IFERROR(INDEX(moeda_fx,MATCH(V175,moeda_cod,0)),0))</f>
        <v/>
      </c>
      <c r="X175" s="85" t="str">
        <f>IF(A175="","",IF($W$2="",UPPER(TRIM(A175)),IF(RIGHT(UPPER(TRIM(A175)),LEN($W$2))=$W$2,UPPER(TRIM(A175)),UPPER(TRIM(A175))&amp;$W$2)))</f>
        <v/>
      </c>
      <c r="Y175" s="85" t="str">
        <f>IF(OR(A175="",p_ModoCot&lt;&gt;"Automático"),"",IFERROR(_xlfn.WEBSERVICE("https://query1.finance.yahoo.com/v8/finance/chart/"&amp;X175&amp;"?range=1d&amp;interval=1d"),""))</f>
        <v/>
      </c>
      <c r="Z175" s="85" t="str">
        <f>IF(Y175="","",IFERROR(_xlfn.NUMBERVALUE(MID(Y175,SEARCH("""regularMarketPrice"":",Y175)+21,SEARCH(",",Y175&amp;",",SEARCH("""regularMarketPrice"":",Y175)+21)-SEARCH("""regularMarketPrice"":",Y175)-21),".",","),""))</f>
        <v/>
      </c>
      <c r="AA175" s="85" t="str">
        <f>IF(A175="","",ROUND(MAX(0,N(F175)*($K$6+$W$7)-K175),2))</f>
        <v/>
      </c>
      <c r="AB175" s="85" t="str">
        <f>IF(A175="","",IF(AND(M175&gt;0,M175&gt;=p_DifMin),AA175,0))</f>
        <v/>
      </c>
      <c r="AC175" s="85" t="str">
        <f>IF(A175="","",IF(AND(AB175&gt;0,N(O175)&lt;=p_MaxAtivos),AB175,0))</f>
        <v/>
      </c>
      <c r="AD175" s="85" t="str">
        <f>IF(A175="","",IF(OR(Q175&lt;=0,Q175&lt;p_CompraMin,N(H175)&lt;=0,N(W175)&lt;=0),0,IF($W$3="Sim",TRUNC(ROUND(MAX(0,(Q175-p_CorrFixa)/(H175*W175*$W$6)),9),$W$4),TRUNC(ROUND(MAX(0,(Q175-p_CorrFixa)/(H175*W175*$W$6)),9)/$W$5)*$W$5)))</f>
        <v/>
      </c>
      <c r="AE175" s="85" t="str">
        <f>IF(A175="","",IF(N(AD175)&gt;0,AD175*H175*W175*$W$6+p_CorrFixa,0))</f>
        <v/>
      </c>
      <c r="AF175" s="85" t="str">
        <f>IF(A175="","",IF(OR($Y$1&lt;=0,N(H175)&lt;=0,N(W175)&lt;=0,N(AB175)&lt;=0),0,IF($W$3="Sim",TRUNC(ROUND(MAX(0,($Y$1-IF(N(AD175)&gt;0,0,p_CorrFixa))/(H175*W175*$W$6)),9),$W$4),TRUNC(ROUND(MAX(0,($Y$1-IF(N(AD175)&gt;0,0,p_CorrFixa))/(H175*W175*$W$6)),9)/$W$5)*$W$5)))</f>
        <v/>
      </c>
      <c r="AG175" s="85" t="str">
        <f>IF(A175="","",IF(AND(N(AD175)=0,N(AF175)*(H175*W175*$W$6)+p_CorrFixa&lt;p_CompraMin),0,AF175))</f>
        <v/>
      </c>
      <c r="AH175" s="85" t="str">
        <f>IF(A175="","",IF(N(AG175)&gt;0,AB175,0))</f>
        <v/>
      </c>
      <c r="AI175" s="85" t="str">
        <f>IF(A175="","",IF(AND(AH175&gt;0,AH175=$AH$6,COUNTIF($AH$9:AH175,AH175)=1),1,0))</f>
        <v/>
      </c>
    </row>
    <row r="176">
      <c r="A176" s="96" t="n"/>
      <c r="B176" s="96" t="n"/>
      <c r="C176" s="96" t="n"/>
      <c r="D176" s="97" t="n"/>
      <c r="E176" s="98" t="n"/>
      <c r="F176" s="99" t="n"/>
      <c r="G176" s="100" t="n"/>
      <c r="H176" s="104" t="str">
        <f>IF(A176="","",IF(AND(p_ModoCot="Automático",ISNUMBER(Z176)),Z176,IF(N(G176)&gt;0,G176,0)))</f>
        <v/>
      </c>
      <c r="I176" s="105" t="str">
        <f>IF(A176="","",IF(W176=0,"Sem câmbio",IF(AND(p_ModoCot="Automático",ISNUMBER(Z176)),"Auto",IF(N(G176)&gt;0,"Manual","Sem cotação"))))</f>
        <v/>
      </c>
      <c r="J176" s="106" t="str">
        <f>IF(A176="","",N(E176)*H176)</f>
        <v/>
      </c>
      <c r="K176" s="107" t="str">
        <f>IF(A176="","",J176*W176)</f>
        <v/>
      </c>
      <c r="L176" s="108" t="str">
        <f>IF(A176="","",IF($K$6&gt;0,K176/$K$6,0))</f>
        <v/>
      </c>
      <c r="M176" s="109" t="str">
        <f>IF(A176="","",N(F176)-L176)</f>
        <v/>
      </c>
      <c r="N176" s="108" t="str">
        <f>IF(A176="","",IF($AB$6&gt;0,AB176/$AB$6,0))</f>
        <v/>
      </c>
      <c r="O176" s="110" t="str">
        <f>IF(A176="","",IF(AB176&lt;=0,"",COUNTIF($AB$9:$AB$208,"&gt;"&amp;AB176)+COUNTIF($AB$9:AB176,AB176)))</f>
        <v/>
      </c>
      <c r="P176" s="105" t="str">
        <f>IF(A176="","",IF(Q176&gt;0,"BUY","HOLD"))</f>
        <v/>
      </c>
      <c r="Q176" s="107" t="str">
        <f>IF(A176="","",IF($W$7&lt;=0,0,IF($AC$6&gt;0,$W$7*AC176/$AC$6,IF($F$6&gt;0,$W$7*N(F176)/$F$6,0))))</f>
        <v/>
      </c>
      <c r="R176" s="111" t="str">
        <f>IF(A176="","",N(AD176)+IF(AI176=1,N(AG176),0))</f>
        <v/>
      </c>
      <c r="S176" s="111" t="str">
        <f>IF(A176="","",N(E176)+N(R176))</f>
        <v/>
      </c>
      <c r="T176" s="107" t="str">
        <f>IF(A176="","",IF(N(R176)&gt;0,R176*H176*W176*$W$6+p_CorrFixa,0))</f>
        <v/>
      </c>
      <c r="V176" s="85" t="str">
        <f>IF(A176="","",IF(D176="",$W$1,D176))</f>
        <v/>
      </c>
      <c r="W176" s="85" t="str">
        <f>IF(A176="","",IFERROR(INDEX(moeda_fx,MATCH(V176,moeda_cod,0)),0))</f>
        <v/>
      </c>
      <c r="X176" s="85" t="str">
        <f>IF(A176="","",IF($W$2="",UPPER(TRIM(A176)),IF(RIGHT(UPPER(TRIM(A176)),LEN($W$2))=$W$2,UPPER(TRIM(A176)),UPPER(TRIM(A176))&amp;$W$2)))</f>
        <v/>
      </c>
      <c r="Y176" s="85" t="str">
        <f>IF(OR(A176="",p_ModoCot&lt;&gt;"Automático"),"",IFERROR(_xlfn.WEBSERVICE("https://query1.finance.yahoo.com/v8/finance/chart/"&amp;X176&amp;"?range=1d&amp;interval=1d"),""))</f>
        <v/>
      </c>
      <c r="Z176" s="85" t="str">
        <f>IF(Y176="","",IFERROR(_xlfn.NUMBERVALUE(MID(Y176,SEARCH("""regularMarketPrice"":",Y176)+21,SEARCH(",",Y176&amp;",",SEARCH("""regularMarketPrice"":",Y176)+21)-SEARCH("""regularMarketPrice"":",Y176)-21),".",","),""))</f>
        <v/>
      </c>
      <c r="AA176" s="85" t="str">
        <f>IF(A176="","",ROUND(MAX(0,N(F176)*($K$6+$W$7)-K176),2))</f>
        <v/>
      </c>
      <c r="AB176" s="85" t="str">
        <f>IF(A176="","",IF(AND(M176&gt;0,M176&gt;=p_DifMin),AA176,0))</f>
        <v/>
      </c>
      <c r="AC176" s="85" t="str">
        <f>IF(A176="","",IF(AND(AB176&gt;0,N(O176)&lt;=p_MaxAtivos),AB176,0))</f>
        <v/>
      </c>
      <c r="AD176" s="85" t="str">
        <f>IF(A176="","",IF(OR(Q176&lt;=0,Q176&lt;p_CompraMin,N(H176)&lt;=0,N(W176)&lt;=0),0,IF($W$3="Sim",TRUNC(ROUND(MAX(0,(Q176-p_CorrFixa)/(H176*W176*$W$6)),9),$W$4),TRUNC(ROUND(MAX(0,(Q176-p_CorrFixa)/(H176*W176*$W$6)),9)/$W$5)*$W$5)))</f>
        <v/>
      </c>
      <c r="AE176" s="85" t="str">
        <f>IF(A176="","",IF(N(AD176)&gt;0,AD176*H176*W176*$W$6+p_CorrFixa,0))</f>
        <v/>
      </c>
      <c r="AF176" s="85" t="str">
        <f>IF(A176="","",IF(OR($Y$1&lt;=0,N(H176)&lt;=0,N(W176)&lt;=0,N(AB176)&lt;=0),0,IF($W$3="Sim",TRUNC(ROUND(MAX(0,($Y$1-IF(N(AD176)&gt;0,0,p_CorrFixa))/(H176*W176*$W$6)),9),$W$4),TRUNC(ROUND(MAX(0,($Y$1-IF(N(AD176)&gt;0,0,p_CorrFixa))/(H176*W176*$W$6)),9)/$W$5)*$W$5)))</f>
        <v/>
      </c>
      <c r="AG176" s="85" t="str">
        <f>IF(A176="","",IF(AND(N(AD176)=0,N(AF176)*(H176*W176*$W$6)+p_CorrFixa&lt;p_CompraMin),0,AF176))</f>
        <v/>
      </c>
      <c r="AH176" s="85" t="str">
        <f>IF(A176="","",IF(N(AG176)&gt;0,AB176,0))</f>
        <v/>
      </c>
      <c r="AI176" s="85" t="str">
        <f>IF(A176="","",IF(AND(AH176&gt;0,AH176=$AH$6,COUNTIF($AH$9:AH176,AH176)=1),1,0))</f>
        <v/>
      </c>
    </row>
    <row r="177">
      <c r="A177" s="96" t="n"/>
      <c r="B177" s="96" t="n"/>
      <c r="C177" s="96" t="n"/>
      <c r="D177" s="97" t="n"/>
      <c r="E177" s="98" t="n"/>
      <c r="F177" s="99" t="n"/>
      <c r="G177" s="100" t="n"/>
      <c r="H177" s="101" t="str">
        <f>IF(A177="","",IF(AND(p_ModoCot="Automático",ISNUMBER(Z177)),Z177,IF(N(G177)&gt;0,G177,0)))</f>
        <v/>
      </c>
      <c r="I177" s="73" t="str">
        <f>IF(A177="","",IF(W177=0,"Sem câmbio",IF(AND(p_ModoCot="Automático",ISNUMBER(Z177)),"Auto",IF(N(G177)&gt;0,"Manual","Sem cotação"))))</f>
        <v/>
      </c>
      <c r="J177" s="102" t="str">
        <f>IF(A177="","",N(E177)*H177)</f>
        <v/>
      </c>
      <c r="K177" s="70" t="str">
        <f>IF(A177="","",J177*W177)</f>
        <v/>
      </c>
      <c r="L177" s="30" t="str">
        <f>IF(A177="","",IF($K$6&gt;0,K177/$K$6,0))</f>
        <v/>
      </c>
      <c r="M177" s="72" t="str">
        <f>IF(A177="","",N(F177)-L177)</f>
        <v/>
      </c>
      <c r="N177" s="30" t="str">
        <f>IF(A177="","",IF($AB$6&gt;0,AB177/$AB$6,0))</f>
        <v/>
      </c>
      <c r="O177" s="74" t="str">
        <f>IF(A177="","",IF(AB177&lt;=0,"",COUNTIF($AB$9:$AB$208,"&gt;"&amp;AB177)+COUNTIF($AB$9:AB177,AB177)))</f>
        <v/>
      </c>
      <c r="P177" s="73" t="str">
        <f>IF(A177="","",IF(Q177&gt;0,"BUY","HOLD"))</f>
        <v/>
      </c>
      <c r="Q177" s="70" t="str">
        <f>IF(A177="","",IF($W$7&lt;=0,0,IF($AC$6&gt;0,$W$7*AC177/$AC$6,IF($F$6&gt;0,$W$7*N(F177)/$F$6,0))))</f>
        <v/>
      </c>
      <c r="R177" s="103" t="str">
        <f>IF(A177="","",N(AD177)+IF(AI177=1,N(AG177),0))</f>
        <v/>
      </c>
      <c r="S177" s="103" t="str">
        <f>IF(A177="","",N(E177)+N(R177))</f>
        <v/>
      </c>
      <c r="T177" s="70" t="str">
        <f>IF(A177="","",IF(N(R177)&gt;0,R177*H177*W177*$W$6+p_CorrFixa,0))</f>
        <v/>
      </c>
      <c r="V177" s="85" t="str">
        <f>IF(A177="","",IF(D177="",$W$1,D177))</f>
        <v/>
      </c>
      <c r="W177" s="85" t="str">
        <f>IF(A177="","",IFERROR(INDEX(moeda_fx,MATCH(V177,moeda_cod,0)),0))</f>
        <v/>
      </c>
      <c r="X177" s="85" t="str">
        <f>IF(A177="","",IF($W$2="",UPPER(TRIM(A177)),IF(RIGHT(UPPER(TRIM(A177)),LEN($W$2))=$W$2,UPPER(TRIM(A177)),UPPER(TRIM(A177))&amp;$W$2)))</f>
        <v/>
      </c>
      <c r="Y177" s="85" t="str">
        <f>IF(OR(A177="",p_ModoCot&lt;&gt;"Automático"),"",IFERROR(_xlfn.WEBSERVICE("https://query1.finance.yahoo.com/v8/finance/chart/"&amp;X177&amp;"?range=1d&amp;interval=1d"),""))</f>
        <v/>
      </c>
      <c r="Z177" s="85" t="str">
        <f>IF(Y177="","",IFERROR(_xlfn.NUMBERVALUE(MID(Y177,SEARCH("""regularMarketPrice"":",Y177)+21,SEARCH(",",Y177&amp;",",SEARCH("""regularMarketPrice"":",Y177)+21)-SEARCH("""regularMarketPrice"":",Y177)-21),".",","),""))</f>
        <v/>
      </c>
      <c r="AA177" s="85" t="str">
        <f>IF(A177="","",ROUND(MAX(0,N(F177)*($K$6+$W$7)-K177),2))</f>
        <v/>
      </c>
      <c r="AB177" s="85" t="str">
        <f>IF(A177="","",IF(AND(M177&gt;0,M177&gt;=p_DifMin),AA177,0))</f>
        <v/>
      </c>
      <c r="AC177" s="85" t="str">
        <f>IF(A177="","",IF(AND(AB177&gt;0,N(O177)&lt;=p_MaxAtivos),AB177,0))</f>
        <v/>
      </c>
      <c r="AD177" s="85" t="str">
        <f>IF(A177="","",IF(OR(Q177&lt;=0,Q177&lt;p_CompraMin,N(H177)&lt;=0,N(W177)&lt;=0),0,IF($W$3="Sim",TRUNC(ROUND(MAX(0,(Q177-p_CorrFixa)/(H177*W177*$W$6)),9),$W$4),TRUNC(ROUND(MAX(0,(Q177-p_CorrFixa)/(H177*W177*$W$6)),9)/$W$5)*$W$5)))</f>
        <v/>
      </c>
      <c r="AE177" s="85" t="str">
        <f>IF(A177="","",IF(N(AD177)&gt;0,AD177*H177*W177*$W$6+p_CorrFixa,0))</f>
        <v/>
      </c>
      <c r="AF177" s="85" t="str">
        <f>IF(A177="","",IF(OR($Y$1&lt;=0,N(H177)&lt;=0,N(W177)&lt;=0,N(AB177)&lt;=0),0,IF($W$3="Sim",TRUNC(ROUND(MAX(0,($Y$1-IF(N(AD177)&gt;0,0,p_CorrFixa))/(H177*W177*$W$6)),9),$W$4),TRUNC(ROUND(MAX(0,($Y$1-IF(N(AD177)&gt;0,0,p_CorrFixa))/(H177*W177*$W$6)),9)/$W$5)*$W$5)))</f>
        <v/>
      </c>
      <c r="AG177" s="85" t="str">
        <f>IF(A177="","",IF(AND(N(AD177)=0,N(AF177)*(H177*W177*$W$6)+p_CorrFixa&lt;p_CompraMin),0,AF177))</f>
        <v/>
      </c>
      <c r="AH177" s="85" t="str">
        <f>IF(A177="","",IF(N(AG177)&gt;0,AB177,0))</f>
        <v/>
      </c>
      <c r="AI177" s="85" t="str">
        <f>IF(A177="","",IF(AND(AH177&gt;0,AH177=$AH$6,COUNTIF($AH$9:AH177,AH177)=1),1,0))</f>
        <v/>
      </c>
    </row>
    <row r="178">
      <c r="A178" s="96" t="n"/>
      <c r="B178" s="96" t="n"/>
      <c r="C178" s="96" t="n"/>
      <c r="D178" s="97" t="n"/>
      <c r="E178" s="98" t="n"/>
      <c r="F178" s="99" t="n"/>
      <c r="G178" s="100" t="n"/>
      <c r="H178" s="104" t="str">
        <f>IF(A178="","",IF(AND(p_ModoCot="Automático",ISNUMBER(Z178)),Z178,IF(N(G178)&gt;0,G178,0)))</f>
        <v/>
      </c>
      <c r="I178" s="105" t="str">
        <f>IF(A178="","",IF(W178=0,"Sem câmbio",IF(AND(p_ModoCot="Automático",ISNUMBER(Z178)),"Auto",IF(N(G178)&gt;0,"Manual","Sem cotação"))))</f>
        <v/>
      </c>
      <c r="J178" s="106" t="str">
        <f>IF(A178="","",N(E178)*H178)</f>
        <v/>
      </c>
      <c r="K178" s="107" t="str">
        <f>IF(A178="","",J178*W178)</f>
        <v/>
      </c>
      <c r="L178" s="108" t="str">
        <f>IF(A178="","",IF($K$6&gt;0,K178/$K$6,0))</f>
        <v/>
      </c>
      <c r="M178" s="109" t="str">
        <f>IF(A178="","",N(F178)-L178)</f>
        <v/>
      </c>
      <c r="N178" s="108" t="str">
        <f>IF(A178="","",IF($AB$6&gt;0,AB178/$AB$6,0))</f>
        <v/>
      </c>
      <c r="O178" s="110" t="str">
        <f>IF(A178="","",IF(AB178&lt;=0,"",COUNTIF($AB$9:$AB$208,"&gt;"&amp;AB178)+COUNTIF($AB$9:AB178,AB178)))</f>
        <v/>
      </c>
      <c r="P178" s="105" t="str">
        <f>IF(A178="","",IF(Q178&gt;0,"BUY","HOLD"))</f>
        <v/>
      </c>
      <c r="Q178" s="107" t="str">
        <f>IF(A178="","",IF($W$7&lt;=0,0,IF($AC$6&gt;0,$W$7*AC178/$AC$6,IF($F$6&gt;0,$W$7*N(F178)/$F$6,0))))</f>
        <v/>
      </c>
      <c r="R178" s="111" t="str">
        <f>IF(A178="","",N(AD178)+IF(AI178=1,N(AG178),0))</f>
        <v/>
      </c>
      <c r="S178" s="111" t="str">
        <f>IF(A178="","",N(E178)+N(R178))</f>
        <v/>
      </c>
      <c r="T178" s="107" t="str">
        <f>IF(A178="","",IF(N(R178)&gt;0,R178*H178*W178*$W$6+p_CorrFixa,0))</f>
        <v/>
      </c>
      <c r="V178" s="85" t="str">
        <f>IF(A178="","",IF(D178="",$W$1,D178))</f>
        <v/>
      </c>
      <c r="W178" s="85" t="str">
        <f>IF(A178="","",IFERROR(INDEX(moeda_fx,MATCH(V178,moeda_cod,0)),0))</f>
        <v/>
      </c>
      <c r="X178" s="85" t="str">
        <f>IF(A178="","",IF($W$2="",UPPER(TRIM(A178)),IF(RIGHT(UPPER(TRIM(A178)),LEN($W$2))=$W$2,UPPER(TRIM(A178)),UPPER(TRIM(A178))&amp;$W$2)))</f>
        <v/>
      </c>
      <c r="Y178" s="85" t="str">
        <f>IF(OR(A178="",p_ModoCot&lt;&gt;"Automático"),"",IFERROR(_xlfn.WEBSERVICE("https://query1.finance.yahoo.com/v8/finance/chart/"&amp;X178&amp;"?range=1d&amp;interval=1d"),""))</f>
        <v/>
      </c>
      <c r="Z178" s="85" t="str">
        <f>IF(Y178="","",IFERROR(_xlfn.NUMBERVALUE(MID(Y178,SEARCH("""regularMarketPrice"":",Y178)+21,SEARCH(",",Y178&amp;",",SEARCH("""regularMarketPrice"":",Y178)+21)-SEARCH("""regularMarketPrice"":",Y178)-21),".",","),""))</f>
        <v/>
      </c>
      <c r="AA178" s="85" t="str">
        <f>IF(A178="","",ROUND(MAX(0,N(F178)*($K$6+$W$7)-K178),2))</f>
        <v/>
      </c>
      <c r="AB178" s="85" t="str">
        <f>IF(A178="","",IF(AND(M178&gt;0,M178&gt;=p_DifMin),AA178,0))</f>
        <v/>
      </c>
      <c r="AC178" s="85" t="str">
        <f>IF(A178="","",IF(AND(AB178&gt;0,N(O178)&lt;=p_MaxAtivos),AB178,0))</f>
        <v/>
      </c>
      <c r="AD178" s="85" t="str">
        <f>IF(A178="","",IF(OR(Q178&lt;=0,Q178&lt;p_CompraMin,N(H178)&lt;=0,N(W178)&lt;=0),0,IF($W$3="Sim",TRUNC(ROUND(MAX(0,(Q178-p_CorrFixa)/(H178*W178*$W$6)),9),$W$4),TRUNC(ROUND(MAX(0,(Q178-p_CorrFixa)/(H178*W178*$W$6)),9)/$W$5)*$W$5)))</f>
        <v/>
      </c>
      <c r="AE178" s="85" t="str">
        <f>IF(A178="","",IF(N(AD178)&gt;0,AD178*H178*W178*$W$6+p_CorrFixa,0))</f>
        <v/>
      </c>
      <c r="AF178" s="85" t="str">
        <f>IF(A178="","",IF(OR($Y$1&lt;=0,N(H178)&lt;=0,N(W178)&lt;=0,N(AB178)&lt;=0),0,IF($W$3="Sim",TRUNC(ROUND(MAX(0,($Y$1-IF(N(AD178)&gt;0,0,p_CorrFixa))/(H178*W178*$W$6)),9),$W$4),TRUNC(ROUND(MAX(0,($Y$1-IF(N(AD178)&gt;0,0,p_CorrFixa))/(H178*W178*$W$6)),9)/$W$5)*$W$5)))</f>
        <v/>
      </c>
      <c r="AG178" s="85" t="str">
        <f>IF(A178="","",IF(AND(N(AD178)=0,N(AF178)*(H178*W178*$W$6)+p_CorrFixa&lt;p_CompraMin),0,AF178))</f>
        <v/>
      </c>
      <c r="AH178" s="85" t="str">
        <f>IF(A178="","",IF(N(AG178)&gt;0,AB178,0))</f>
        <v/>
      </c>
      <c r="AI178" s="85" t="str">
        <f>IF(A178="","",IF(AND(AH178&gt;0,AH178=$AH$6,COUNTIF($AH$9:AH178,AH178)=1),1,0))</f>
        <v/>
      </c>
    </row>
    <row r="179">
      <c r="A179" s="96" t="n"/>
      <c r="B179" s="96" t="n"/>
      <c r="C179" s="96" t="n"/>
      <c r="D179" s="97" t="n"/>
      <c r="E179" s="98" t="n"/>
      <c r="F179" s="99" t="n"/>
      <c r="G179" s="100" t="n"/>
      <c r="H179" s="101" t="str">
        <f>IF(A179="","",IF(AND(p_ModoCot="Automático",ISNUMBER(Z179)),Z179,IF(N(G179)&gt;0,G179,0)))</f>
        <v/>
      </c>
      <c r="I179" s="73" t="str">
        <f>IF(A179="","",IF(W179=0,"Sem câmbio",IF(AND(p_ModoCot="Automático",ISNUMBER(Z179)),"Auto",IF(N(G179)&gt;0,"Manual","Sem cotação"))))</f>
        <v/>
      </c>
      <c r="J179" s="102" t="str">
        <f>IF(A179="","",N(E179)*H179)</f>
        <v/>
      </c>
      <c r="K179" s="70" t="str">
        <f>IF(A179="","",J179*W179)</f>
        <v/>
      </c>
      <c r="L179" s="30" t="str">
        <f>IF(A179="","",IF($K$6&gt;0,K179/$K$6,0))</f>
        <v/>
      </c>
      <c r="M179" s="72" t="str">
        <f>IF(A179="","",N(F179)-L179)</f>
        <v/>
      </c>
      <c r="N179" s="30" t="str">
        <f>IF(A179="","",IF($AB$6&gt;0,AB179/$AB$6,0))</f>
        <v/>
      </c>
      <c r="O179" s="74" t="str">
        <f>IF(A179="","",IF(AB179&lt;=0,"",COUNTIF($AB$9:$AB$208,"&gt;"&amp;AB179)+COUNTIF($AB$9:AB179,AB179)))</f>
        <v/>
      </c>
      <c r="P179" s="73" t="str">
        <f>IF(A179="","",IF(Q179&gt;0,"BUY","HOLD"))</f>
        <v/>
      </c>
      <c r="Q179" s="70" t="str">
        <f>IF(A179="","",IF($W$7&lt;=0,0,IF($AC$6&gt;0,$W$7*AC179/$AC$6,IF($F$6&gt;0,$W$7*N(F179)/$F$6,0))))</f>
        <v/>
      </c>
      <c r="R179" s="103" t="str">
        <f>IF(A179="","",N(AD179)+IF(AI179=1,N(AG179),0))</f>
        <v/>
      </c>
      <c r="S179" s="103" t="str">
        <f>IF(A179="","",N(E179)+N(R179))</f>
        <v/>
      </c>
      <c r="T179" s="70" t="str">
        <f>IF(A179="","",IF(N(R179)&gt;0,R179*H179*W179*$W$6+p_CorrFixa,0))</f>
        <v/>
      </c>
      <c r="V179" s="85" t="str">
        <f>IF(A179="","",IF(D179="",$W$1,D179))</f>
        <v/>
      </c>
      <c r="W179" s="85" t="str">
        <f>IF(A179="","",IFERROR(INDEX(moeda_fx,MATCH(V179,moeda_cod,0)),0))</f>
        <v/>
      </c>
      <c r="X179" s="85" t="str">
        <f>IF(A179="","",IF($W$2="",UPPER(TRIM(A179)),IF(RIGHT(UPPER(TRIM(A179)),LEN($W$2))=$W$2,UPPER(TRIM(A179)),UPPER(TRIM(A179))&amp;$W$2)))</f>
        <v/>
      </c>
      <c r="Y179" s="85" t="str">
        <f>IF(OR(A179="",p_ModoCot&lt;&gt;"Automático"),"",IFERROR(_xlfn.WEBSERVICE("https://query1.finance.yahoo.com/v8/finance/chart/"&amp;X179&amp;"?range=1d&amp;interval=1d"),""))</f>
        <v/>
      </c>
      <c r="Z179" s="85" t="str">
        <f>IF(Y179="","",IFERROR(_xlfn.NUMBERVALUE(MID(Y179,SEARCH("""regularMarketPrice"":",Y179)+21,SEARCH(",",Y179&amp;",",SEARCH("""regularMarketPrice"":",Y179)+21)-SEARCH("""regularMarketPrice"":",Y179)-21),".",","),""))</f>
        <v/>
      </c>
      <c r="AA179" s="85" t="str">
        <f>IF(A179="","",ROUND(MAX(0,N(F179)*($K$6+$W$7)-K179),2))</f>
        <v/>
      </c>
      <c r="AB179" s="85" t="str">
        <f>IF(A179="","",IF(AND(M179&gt;0,M179&gt;=p_DifMin),AA179,0))</f>
        <v/>
      </c>
      <c r="AC179" s="85" t="str">
        <f>IF(A179="","",IF(AND(AB179&gt;0,N(O179)&lt;=p_MaxAtivos),AB179,0))</f>
        <v/>
      </c>
      <c r="AD179" s="85" t="str">
        <f>IF(A179="","",IF(OR(Q179&lt;=0,Q179&lt;p_CompraMin,N(H179)&lt;=0,N(W179)&lt;=0),0,IF($W$3="Sim",TRUNC(ROUND(MAX(0,(Q179-p_CorrFixa)/(H179*W179*$W$6)),9),$W$4),TRUNC(ROUND(MAX(0,(Q179-p_CorrFixa)/(H179*W179*$W$6)),9)/$W$5)*$W$5)))</f>
        <v/>
      </c>
      <c r="AE179" s="85" t="str">
        <f>IF(A179="","",IF(N(AD179)&gt;0,AD179*H179*W179*$W$6+p_CorrFixa,0))</f>
        <v/>
      </c>
      <c r="AF179" s="85" t="str">
        <f>IF(A179="","",IF(OR($Y$1&lt;=0,N(H179)&lt;=0,N(W179)&lt;=0,N(AB179)&lt;=0),0,IF($W$3="Sim",TRUNC(ROUND(MAX(0,($Y$1-IF(N(AD179)&gt;0,0,p_CorrFixa))/(H179*W179*$W$6)),9),$W$4),TRUNC(ROUND(MAX(0,($Y$1-IF(N(AD179)&gt;0,0,p_CorrFixa))/(H179*W179*$W$6)),9)/$W$5)*$W$5)))</f>
        <v/>
      </c>
      <c r="AG179" s="85" t="str">
        <f>IF(A179="","",IF(AND(N(AD179)=0,N(AF179)*(H179*W179*$W$6)+p_CorrFixa&lt;p_CompraMin),0,AF179))</f>
        <v/>
      </c>
      <c r="AH179" s="85" t="str">
        <f>IF(A179="","",IF(N(AG179)&gt;0,AB179,0))</f>
        <v/>
      </c>
      <c r="AI179" s="85" t="str">
        <f>IF(A179="","",IF(AND(AH179&gt;0,AH179=$AH$6,COUNTIF($AH$9:AH179,AH179)=1),1,0))</f>
        <v/>
      </c>
    </row>
    <row r="180">
      <c r="A180" s="96" t="n"/>
      <c r="B180" s="96" t="n"/>
      <c r="C180" s="96" t="n"/>
      <c r="D180" s="97" t="n"/>
      <c r="E180" s="98" t="n"/>
      <c r="F180" s="99" t="n"/>
      <c r="G180" s="100" t="n"/>
      <c r="H180" s="104" t="str">
        <f>IF(A180="","",IF(AND(p_ModoCot="Automático",ISNUMBER(Z180)),Z180,IF(N(G180)&gt;0,G180,0)))</f>
        <v/>
      </c>
      <c r="I180" s="105" t="str">
        <f>IF(A180="","",IF(W180=0,"Sem câmbio",IF(AND(p_ModoCot="Automático",ISNUMBER(Z180)),"Auto",IF(N(G180)&gt;0,"Manual","Sem cotação"))))</f>
        <v/>
      </c>
      <c r="J180" s="106" t="str">
        <f>IF(A180="","",N(E180)*H180)</f>
        <v/>
      </c>
      <c r="K180" s="107" t="str">
        <f>IF(A180="","",J180*W180)</f>
        <v/>
      </c>
      <c r="L180" s="108" t="str">
        <f>IF(A180="","",IF($K$6&gt;0,K180/$K$6,0))</f>
        <v/>
      </c>
      <c r="M180" s="109" t="str">
        <f>IF(A180="","",N(F180)-L180)</f>
        <v/>
      </c>
      <c r="N180" s="108" t="str">
        <f>IF(A180="","",IF($AB$6&gt;0,AB180/$AB$6,0))</f>
        <v/>
      </c>
      <c r="O180" s="110" t="str">
        <f>IF(A180="","",IF(AB180&lt;=0,"",COUNTIF($AB$9:$AB$208,"&gt;"&amp;AB180)+COUNTIF($AB$9:AB180,AB180)))</f>
        <v/>
      </c>
      <c r="P180" s="105" t="str">
        <f>IF(A180="","",IF(Q180&gt;0,"BUY","HOLD"))</f>
        <v/>
      </c>
      <c r="Q180" s="107" t="str">
        <f>IF(A180="","",IF($W$7&lt;=0,0,IF($AC$6&gt;0,$W$7*AC180/$AC$6,IF($F$6&gt;0,$W$7*N(F180)/$F$6,0))))</f>
        <v/>
      </c>
      <c r="R180" s="111" t="str">
        <f>IF(A180="","",N(AD180)+IF(AI180=1,N(AG180),0))</f>
        <v/>
      </c>
      <c r="S180" s="111" t="str">
        <f>IF(A180="","",N(E180)+N(R180))</f>
        <v/>
      </c>
      <c r="T180" s="107" t="str">
        <f>IF(A180="","",IF(N(R180)&gt;0,R180*H180*W180*$W$6+p_CorrFixa,0))</f>
        <v/>
      </c>
      <c r="V180" s="85" t="str">
        <f>IF(A180="","",IF(D180="",$W$1,D180))</f>
        <v/>
      </c>
      <c r="W180" s="85" t="str">
        <f>IF(A180="","",IFERROR(INDEX(moeda_fx,MATCH(V180,moeda_cod,0)),0))</f>
        <v/>
      </c>
      <c r="X180" s="85" t="str">
        <f>IF(A180="","",IF($W$2="",UPPER(TRIM(A180)),IF(RIGHT(UPPER(TRIM(A180)),LEN($W$2))=$W$2,UPPER(TRIM(A180)),UPPER(TRIM(A180))&amp;$W$2)))</f>
        <v/>
      </c>
      <c r="Y180" s="85" t="str">
        <f>IF(OR(A180="",p_ModoCot&lt;&gt;"Automático"),"",IFERROR(_xlfn.WEBSERVICE("https://query1.finance.yahoo.com/v8/finance/chart/"&amp;X180&amp;"?range=1d&amp;interval=1d"),""))</f>
        <v/>
      </c>
      <c r="Z180" s="85" t="str">
        <f>IF(Y180="","",IFERROR(_xlfn.NUMBERVALUE(MID(Y180,SEARCH("""regularMarketPrice"":",Y180)+21,SEARCH(",",Y180&amp;",",SEARCH("""regularMarketPrice"":",Y180)+21)-SEARCH("""regularMarketPrice"":",Y180)-21),".",","),""))</f>
        <v/>
      </c>
      <c r="AA180" s="85" t="str">
        <f>IF(A180="","",ROUND(MAX(0,N(F180)*($K$6+$W$7)-K180),2))</f>
        <v/>
      </c>
      <c r="AB180" s="85" t="str">
        <f>IF(A180="","",IF(AND(M180&gt;0,M180&gt;=p_DifMin),AA180,0))</f>
        <v/>
      </c>
      <c r="AC180" s="85" t="str">
        <f>IF(A180="","",IF(AND(AB180&gt;0,N(O180)&lt;=p_MaxAtivos),AB180,0))</f>
        <v/>
      </c>
      <c r="AD180" s="85" t="str">
        <f>IF(A180="","",IF(OR(Q180&lt;=0,Q180&lt;p_CompraMin,N(H180)&lt;=0,N(W180)&lt;=0),0,IF($W$3="Sim",TRUNC(ROUND(MAX(0,(Q180-p_CorrFixa)/(H180*W180*$W$6)),9),$W$4),TRUNC(ROUND(MAX(0,(Q180-p_CorrFixa)/(H180*W180*$W$6)),9)/$W$5)*$W$5)))</f>
        <v/>
      </c>
      <c r="AE180" s="85" t="str">
        <f>IF(A180="","",IF(N(AD180)&gt;0,AD180*H180*W180*$W$6+p_CorrFixa,0))</f>
        <v/>
      </c>
      <c r="AF180" s="85" t="str">
        <f>IF(A180="","",IF(OR($Y$1&lt;=0,N(H180)&lt;=0,N(W180)&lt;=0,N(AB180)&lt;=0),0,IF($W$3="Sim",TRUNC(ROUND(MAX(0,($Y$1-IF(N(AD180)&gt;0,0,p_CorrFixa))/(H180*W180*$W$6)),9),$W$4),TRUNC(ROUND(MAX(0,($Y$1-IF(N(AD180)&gt;0,0,p_CorrFixa))/(H180*W180*$W$6)),9)/$W$5)*$W$5)))</f>
        <v/>
      </c>
      <c r="AG180" s="85" t="str">
        <f>IF(A180="","",IF(AND(N(AD180)=0,N(AF180)*(H180*W180*$W$6)+p_CorrFixa&lt;p_CompraMin),0,AF180))</f>
        <v/>
      </c>
      <c r="AH180" s="85" t="str">
        <f>IF(A180="","",IF(N(AG180)&gt;0,AB180,0))</f>
        <v/>
      </c>
      <c r="AI180" s="85" t="str">
        <f>IF(A180="","",IF(AND(AH180&gt;0,AH180=$AH$6,COUNTIF($AH$9:AH180,AH180)=1),1,0))</f>
        <v/>
      </c>
    </row>
    <row r="181">
      <c r="A181" s="96" t="n"/>
      <c r="B181" s="96" t="n"/>
      <c r="C181" s="96" t="n"/>
      <c r="D181" s="97" t="n"/>
      <c r="E181" s="98" t="n"/>
      <c r="F181" s="99" t="n"/>
      <c r="G181" s="100" t="n"/>
      <c r="H181" s="101" t="str">
        <f>IF(A181="","",IF(AND(p_ModoCot="Automático",ISNUMBER(Z181)),Z181,IF(N(G181)&gt;0,G181,0)))</f>
        <v/>
      </c>
      <c r="I181" s="73" t="str">
        <f>IF(A181="","",IF(W181=0,"Sem câmbio",IF(AND(p_ModoCot="Automático",ISNUMBER(Z181)),"Auto",IF(N(G181)&gt;0,"Manual","Sem cotação"))))</f>
        <v/>
      </c>
      <c r="J181" s="102" t="str">
        <f>IF(A181="","",N(E181)*H181)</f>
        <v/>
      </c>
      <c r="K181" s="70" t="str">
        <f>IF(A181="","",J181*W181)</f>
        <v/>
      </c>
      <c r="L181" s="30" t="str">
        <f>IF(A181="","",IF($K$6&gt;0,K181/$K$6,0))</f>
        <v/>
      </c>
      <c r="M181" s="72" t="str">
        <f>IF(A181="","",N(F181)-L181)</f>
        <v/>
      </c>
      <c r="N181" s="30" t="str">
        <f>IF(A181="","",IF($AB$6&gt;0,AB181/$AB$6,0))</f>
        <v/>
      </c>
      <c r="O181" s="74" t="str">
        <f>IF(A181="","",IF(AB181&lt;=0,"",COUNTIF($AB$9:$AB$208,"&gt;"&amp;AB181)+COUNTIF($AB$9:AB181,AB181)))</f>
        <v/>
      </c>
      <c r="P181" s="73" t="str">
        <f>IF(A181="","",IF(Q181&gt;0,"BUY","HOLD"))</f>
        <v/>
      </c>
      <c r="Q181" s="70" t="str">
        <f>IF(A181="","",IF($W$7&lt;=0,0,IF($AC$6&gt;0,$W$7*AC181/$AC$6,IF($F$6&gt;0,$W$7*N(F181)/$F$6,0))))</f>
        <v/>
      </c>
      <c r="R181" s="103" t="str">
        <f>IF(A181="","",N(AD181)+IF(AI181=1,N(AG181),0))</f>
        <v/>
      </c>
      <c r="S181" s="103" t="str">
        <f>IF(A181="","",N(E181)+N(R181))</f>
        <v/>
      </c>
      <c r="T181" s="70" t="str">
        <f>IF(A181="","",IF(N(R181)&gt;0,R181*H181*W181*$W$6+p_CorrFixa,0))</f>
        <v/>
      </c>
      <c r="V181" s="85" t="str">
        <f>IF(A181="","",IF(D181="",$W$1,D181))</f>
        <v/>
      </c>
      <c r="W181" s="85" t="str">
        <f>IF(A181="","",IFERROR(INDEX(moeda_fx,MATCH(V181,moeda_cod,0)),0))</f>
        <v/>
      </c>
      <c r="X181" s="85" t="str">
        <f>IF(A181="","",IF($W$2="",UPPER(TRIM(A181)),IF(RIGHT(UPPER(TRIM(A181)),LEN($W$2))=$W$2,UPPER(TRIM(A181)),UPPER(TRIM(A181))&amp;$W$2)))</f>
        <v/>
      </c>
      <c r="Y181" s="85" t="str">
        <f>IF(OR(A181="",p_ModoCot&lt;&gt;"Automático"),"",IFERROR(_xlfn.WEBSERVICE("https://query1.finance.yahoo.com/v8/finance/chart/"&amp;X181&amp;"?range=1d&amp;interval=1d"),""))</f>
        <v/>
      </c>
      <c r="Z181" s="85" t="str">
        <f>IF(Y181="","",IFERROR(_xlfn.NUMBERVALUE(MID(Y181,SEARCH("""regularMarketPrice"":",Y181)+21,SEARCH(",",Y181&amp;",",SEARCH("""regularMarketPrice"":",Y181)+21)-SEARCH("""regularMarketPrice"":",Y181)-21),".",","),""))</f>
        <v/>
      </c>
      <c r="AA181" s="85" t="str">
        <f>IF(A181="","",ROUND(MAX(0,N(F181)*($K$6+$W$7)-K181),2))</f>
        <v/>
      </c>
      <c r="AB181" s="85" t="str">
        <f>IF(A181="","",IF(AND(M181&gt;0,M181&gt;=p_DifMin),AA181,0))</f>
        <v/>
      </c>
      <c r="AC181" s="85" t="str">
        <f>IF(A181="","",IF(AND(AB181&gt;0,N(O181)&lt;=p_MaxAtivos),AB181,0))</f>
        <v/>
      </c>
      <c r="AD181" s="85" t="str">
        <f>IF(A181="","",IF(OR(Q181&lt;=0,Q181&lt;p_CompraMin,N(H181)&lt;=0,N(W181)&lt;=0),0,IF($W$3="Sim",TRUNC(ROUND(MAX(0,(Q181-p_CorrFixa)/(H181*W181*$W$6)),9),$W$4),TRUNC(ROUND(MAX(0,(Q181-p_CorrFixa)/(H181*W181*$W$6)),9)/$W$5)*$W$5)))</f>
        <v/>
      </c>
      <c r="AE181" s="85" t="str">
        <f>IF(A181="","",IF(N(AD181)&gt;0,AD181*H181*W181*$W$6+p_CorrFixa,0))</f>
        <v/>
      </c>
      <c r="AF181" s="85" t="str">
        <f>IF(A181="","",IF(OR($Y$1&lt;=0,N(H181)&lt;=0,N(W181)&lt;=0,N(AB181)&lt;=0),0,IF($W$3="Sim",TRUNC(ROUND(MAX(0,($Y$1-IF(N(AD181)&gt;0,0,p_CorrFixa))/(H181*W181*$W$6)),9),$W$4),TRUNC(ROUND(MAX(0,($Y$1-IF(N(AD181)&gt;0,0,p_CorrFixa))/(H181*W181*$W$6)),9)/$W$5)*$W$5)))</f>
        <v/>
      </c>
      <c r="AG181" s="85" t="str">
        <f>IF(A181="","",IF(AND(N(AD181)=0,N(AF181)*(H181*W181*$W$6)+p_CorrFixa&lt;p_CompraMin),0,AF181))</f>
        <v/>
      </c>
      <c r="AH181" s="85" t="str">
        <f>IF(A181="","",IF(N(AG181)&gt;0,AB181,0))</f>
        <v/>
      </c>
      <c r="AI181" s="85" t="str">
        <f>IF(A181="","",IF(AND(AH181&gt;0,AH181=$AH$6,COUNTIF($AH$9:AH181,AH181)=1),1,0))</f>
        <v/>
      </c>
    </row>
    <row r="182">
      <c r="A182" s="96" t="n"/>
      <c r="B182" s="96" t="n"/>
      <c r="C182" s="96" t="n"/>
      <c r="D182" s="97" t="n"/>
      <c r="E182" s="98" t="n"/>
      <c r="F182" s="99" t="n"/>
      <c r="G182" s="100" t="n"/>
      <c r="H182" s="104" t="str">
        <f>IF(A182="","",IF(AND(p_ModoCot="Automático",ISNUMBER(Z182)),Z182,IF(N(G182)&gt;0,G182,0)))</f>
        <v/>
      </c>
      <c r="I182" s="105" t="str">
        <f>IF(A182="","",IF(W182=0,"Sem câmbio",IF(AND(p_ModoCot="Automático",ISNUMBER(Z182)),"Auto",IF(N(G182)&gt;0,"Manual","Sem cotação"))))</f>
        <v/>
      </c>
      <c r="J182" s="106" t="str">
        <f>IF(A182="","",N(E182)*H182)</f>
        <v/>
      </c>
      <c r="K182" s="107" t="str">
        <f>IF(A182="","",J182*W182)</f>
        <v/>
      </c>
      <c r="L182" s="108" t="str">
        <f>IF(A182="","",IF($K$6&gt;0,K182/$K$6,0))</f>
        <v/>
      </c>
      <c r="M182" s="109" t="str">
        <f>IF(A182="","",N(F182)-L182)</f>
        <v/>
      </c>
      <c r="N182" s="108" t="str">
        <f>IF(A182="","",IF($AB$6&gt;0,AB182/$AB$6,0))</f>
        <v/>
      </c>
      <c r="O182" s="110" t="str">
        <f>IF(A182="","",IF(AB182&lt;=0,"",COUNTIF($AB$9:$AB$208,"&gt;"&amp;AB182)+COUNTIF($AB$9:AB182,AB182)))</f>
        <v/>
      </c>
      <c r="P182" s="105" t="str">
        <f>IF(A182="","",IF(Q182&gt;0,"BUY","HOLD"))</f>
        <v/>
      </c>
      <c r="Q182" s="107" t="str">
        <f>IF(A182="","",IF($W$7&lt;=0,0,IF($AC$6&gt;0,$W$7*AC182/$AC$6,IF($F$6&gt;0,$W$7*N(F182)/$F$6,0))))</f>
        <v/>
      </c>
      <c r="R182" s="111" t="str">
        <f>IF(A182="","",N(AD182)+IF(AI182=1,N(AG182),0))</f>
        <v/>
      </c>
      <c r="S182" s="111" t="str">
        <f>IF(A182="","",N(E182)+N(R182))</f>
        <v/>
      </c>
      <c r="T182" s="107" t="str">
        <f>IF(A182="","",IF(N(R182)&gt;0,R182*H182*W182*$W$6+p_CorrFixa,0))</f>
        <v/>
      </c>
      <c r="V182" s="85" t="str">
        <f>IF(A182="","",IF(D182="",$W$1,D182))</f>
        <v/>
      </c>
      <c r="W182" s="85" t="str">
        <f>IF(A182="","",IFERROR(INDEX(moeda_fx,MATCH(V182,moeda_cod,0)),0))</f>
        <v/>
      </c>
      <c r="X182" s="85" t="str">
        <f>IF(A182="","",IF($W$2="",UPPER(TRIM(A182)),IF(RIGHT(UPPER(TRIM(A182)),LEN($W$2))=$W$2,UPPER(TRIM(A182)),UPPER(TRIM(A182))&amp;$W$2)))</f>
        <v/>
      </c>
      <c r="Y182" s="85" t="str">
        <f>IF(OR(A182="",p_ModoCot&lt;&gt;"Automático"),"",IFERROR(_xlfn.WEBSERVICE("https://query1.finance.yahoo.com/v8/finance/chart/"&amp;X182&amp;"?range=1d&amp;interval=1d"),""))</f>
        <v/>
      </c>
      <c r="Z182" s="85" t="str">
        <f>IF(Y182="","",IFERROR(_xlfn.NUMBERVALUE(MID(Y182,SEARCH("""regularMarketPrice"":",Y182)+21,SEARCH(",",Y182&amp;",",SEARCH("""regularMarketPrice"":",Y182)+21)-SEARCH("""regularMarketPrice"":",Y182)-21),".",","),""))</f>
        <v/>
      </c>
      <c r="AA182" s="85" t="str">
        <f>IF(A182="","",ROUND(MAX(0,N(F182)*($K$6+$W$7)-K182),2))</f>
        <v/>
      </c>
      <c r="AB182" s="85" t="str">
        <f>IF(A182="","",IF(AND(M182&gt;0,M182&gt;=p_DifMin),AA182,0))</f>
        <v/>
      </c>
      <c r="AC182" s="85" t="str">
        <f>IF(A182="","",IF(AND(AB182&gt;0,N(O182)&lt;=p_MaxAtivos),AB182,0))</f>
        <v/>
      </c>
      <c r="AD182" s="85" t="str">
        <f>IF(A182="","",IF(OR(Q182&lt;=0,Q182&lt;p_CompraMin,N(H182)&lt;=0,N(W182)&lt;=0),0,IF($W$3="Sim",TRUNC(ROUND(MAX(0,(Q182-p_CorrFixa)/(H182*W182*$W$6)),9),$W$4),TRUNC(ROUND(MAX(0,(Q182-p_CorrFixa)/(H182*W182*$W$6)),9)/$W$5)*$W$5)))</f>
        <v/>
      </c>
      <c r="AE182" s="85" t="str">
        <f>IF(A182="","",IF(N(AD182)&gt;0,AD182*H182*W182*$W$6+p_CorrFixa,0))</f>
        <v/>
      </c>
      <c r="AF182" s="85" t="str">
        <f>IF(A182="","",IF(OR($Y$1&lt;=0,N(H182)&lt;=0,N(W182)&lt;=0,N(AB182)&lt;=0),0,IF($W$3="Sim",TRUNC(ROUND(MAX(0,($Y$1-IF(N(AD182)&gt;0,0,p_CorrFixa))/(H182*W182*$W$6)),9),$W$4),TRUNC(ROUND(MAX(0,($Y$1-IF(N(AD182)&gt;0,0,p_CorrFixa))/(H182*W182*$W$6)),9)/$W$5)*$W$5)))</f>
        <v/>
      </c>
      <c r="AG182" s="85" t="str">
        <f>IF(A182="","",IF(AND(N(AD182)=0,N(AF182)*(H182*W182*$W$6)+p_CorrFixa&lt;p_CompraMin),0,AF182))</f>
        <v/>
      </c>
      <c r="AH182" s="85" t="str">
        <f>IF(A182="","",IF(N(AG182)&gt;0,AB182,0))</f>
        <v/>
      </c>
      <c r="AI182" s="85" t="str">
        <f>IF(A182="","",IF(AND(AH182&gt;0,AH182=$AH$6,COUNTIF($AH$9:AH182,AH182)=1),1,0))</f>
        <v/>
      </c>
    </row>
    <row r="183">
      <c r="A183" s="96" t="n"/>
      <c r="B183" s="96" t="n"/>
      <c r="C183" s="96" t="n"/>
      <c r="D183" s="97" t="n"/>
      <c r="E183" s="98" t="n"/>
      <c r="F183" s="99" t="n"/>
      <c r="G183" s="100" t="n"/>
      <c r="H183" s="101" t="str">
        <f>IF(A183="","",IF(AND(p_ModoCot="Automático",ISNUMBER(Z183)),Z183,IF(N(G183)&gt;0,G183,0)))</f>
        <v/>
      </c>
      <c r="I183" s="73" t="str">
        <f>IF(A183="","",IF(W183=0,"Sem câmbio",IF(AND(p_ModoCot="Automático",ISNUMBER(Z183)),"Auto",IF(N(G183)&gt;0,"Manual","Sem cotação"))))</f>
        <v/>
      </c>
      <c r="J183" s="102" t="str">
        <f>IF(A183="","",N(E183)*H183)</f>
        <v/>
      </c>
      <c r="K183" s="70" t="str">
        <f>IF(A183="","",J183*W183)</f>
        <v/>
      </c>
      <c r="L183" s="30" t="str">
        <f>IF(A183="","",IF($K$6&gt;0,K183/$K$6,0))</f>
        <v/>
      </c>
      <c r="M183" s="72" t="str">
        <f>IF(A183="","",N(F183)-L183)</f>
        <v/>
      </c>
      <c r="N183" s="30" t="str">
        <f>IF(A183="","",IF($AB$6&gt;0,AB183/$AB$6,0))</f>
        <v/>
      </c>
      <c r="O183" s="74" t="str">
        <f>IF(A183="","",IF(AB183&lt;=0,"",COUNTIF($AB$9:$AB$208,"&gt;"&amp;AB183)+COUNTIF($AB$9:AB183,AB183)))</f>
        <v/>
      </c>
      <c r="P183" s="73" t="str">
        <f>IF(A183="","",IF(Q183&gt;0,"BUY","HOLD"))</f>
        <v/>
      </c>
      <c r="Q183" s="70" t="str">
        <f>IF(A183="","",IF($W$7&lt;=0,0,IF($AC$6&gt;0,$W$7*AC183/$AC$6,IF($F$6&gt;0,$W$7*N(F183)/$F$6,0))))</f>
        <v/>
      </c>
      <c r="R183" s="103" t="str">
        <f>IF(A183="","",N(AD183)+IF(AI183=1,N(AG183),0))</f>
        <v/>
      </c>
      <c r="S183" s="103" t="str">
        <f>IF(A183="","",N(E183)+N(R183))</f>
        <v/>
      </c>
      <c r="T183" s="70" t="str">
        <f>IF(A183="","",IF(N(R183)&gt;0,R183*H183*W183*$W$6+p_CorrFixa,0))</f>
        <v/>
      </c>
      <c r="V183" s="85" t="str">
        <f>IF(A183="","",IF(D183="",$W$1,D183))</f>
        <v/>
      </c>
      <c r="W183" s="85" t="str">
        <f>IF(A183="","",IFERROR(INDEX(moeda_fx,MATCH(V183,moeda_cod,0)),0))</f>
        <v/>
      </c>
      <c r="X183" s="85" t="str">
        <f>IF(A183="","",IF($W$2="",UPPER(TRIM(A183)),IF(RIGHT(UPPER(TRIM(A183)),LEN($W$2))=$W$2,UPPER(TRIM(A183)),UPPER(TRIM(A183))&amp;$W$2)))</f>
        <v/>
      </c>
      <c r="Y183" s="85" t="str">
        <f>IF(OR(A183="",p_ModoCot&lt;&gt;"Automático"),"",IFERROR(_xlfn.WEBSERVICE("https://query1.finance.yahoo.com/v8/finance/chart/"&amp;X183&amp;"?range=1d&amp;interval=1d"),""))</f>
        <v/>
      </c>
      <c r="Z183" s="85" t="str">
        <f>IF(Y183="","",IFERROR(_xlfn.NUMBERVALUE(MID(Y183,SEARCH("""regularMarketPrice"":",Y183)+21,SEARCH(",",Y183&amp;",",SEARCH("""regularMarketPrice"":",Y183)+21)-SEARCH("""regularMarketPrice"":",Y183)-21),".",","),""))</f>
        <v/>
      </c>
      <c r="AA183" s="85" t="str">
        <f>IF(A183="","",ROUND(MAX(0,N(F183)*($K$6+$W$7)-K183),2))</f>
        <v/>
      </c>
      <c r="AB183" s="85" t="str">
        <f>IF(A183="","",IF(AND(M183&gt;0,M183&gt;=p_DifMin),AA183,0))</f>
        <v/>
      </c>
      <c r="AC183" s="85" t="str">
        <f>IF(A183="","",IF(AND(AB183&gt;0,N(O183)&lt;=p_MaxAtivos),AB183,0))</f>
        <v/>
      </c>
      <c r="AD183" s="85" t="str">
        <f>IF(A183="","",IF(OR(Q183&lt;=0,Q183&lt;p_CompraMin,N(H183)&lt;=0,N(W183)&lt;=0),0,IF($W$3="Sim",TRUNC(ROUND(MAX(0,(Q183-p_CorrFixa)/(H183*W183*$W$6)),9),$W$4),TRUNC(ROUND(MAX(0,(Q183-p_CorrFixa)/(H183*W183*$W$6)),9)/$W$5)*$W$5)))</f>
        <v/>
      </c>
      <c r="AE183" s="85" t="str">
        <f>IF(A183="","",IF(N(AD183)&gt;0,AD183*H183*W183*$W$6+p_CorrFixa,0))</f>
        <v/>
      </c>
      <c r="AF183" s="85" t="str">
        <f>IF(A183="","",IF(OR($Y$1&lt;=0,N(H183)&lt;=0,N(W183)&lt;=0,N(AB183)&lt;=0),0,IF($W$3="Sim",TRUNC(ROUND(MAX(0,($Y$1-IF(N(AD183)&gt;0,0,p_CorrFixa))/(H183*W183*$W$6)),9),$W$4),TRUNC(ROUND(MAX(0,($Y$1-IF(N(AD183)&gt;0,0,p_CorrFixa))/(H183*W183*$W$6)),9)/$W$5)*$W$5)))</f>
        <v/>
      </c>
      <c r="AG183" s="85" t="str">
        <f>IF(A183="","",IF(AND(N(AD183)=0,N(AF183)*(H183*W183*$W$6)+p_CorrFixa&lt;p_CompraMin),0,AF183))</f>
        <v/>
      </c>
      <c r="AH183" s="85" t="str">
        <f>IF(A183="","",IF(N(AG183)&gt;0,AB183,0))</f>
        <v/>
      </c>
      <c r="AI183" s="85" t="str">
        <f>IF(A183="","",IF(AND(AH183&gt;0,AH183=$AH$6,COUNTIF($AH$9:AH183,AH183)=1),1,0))</f>
        <v/>
      </c>
    </row>
    <row r="184">
      <c r="A184" s="96" t="n"/>
      <c r="B184" s="96" t="n"/>
      <c r="C184" s="96" t="n"/>
      <c r="D184" s="97" t="n"/>
      <c r="E184" s="98" t="n"/>
      <c r="F184" s="99" t="n"/>
      <c r="G184" s="100" t="n"/>
      <c r="H184" s="104" t="str">
        <f>IF(A184="","",IF(AND(p_ModoCot="Automático",ISNUMBER(Z184)),Z184,IF(N(G184)&gt;0,G184,0)))</f>
        <v/>
      </c>
      <c r="I184" s="105" t="str">
        <f>IF(A184="","",IF(W184=0,"Sem câmbio",IF(AND(p_ModoCot="Automático",ISNUMBER(Z184)),"Auto",IF(N(G184)&gt;0,"Manual","Sem cotação"))))</f>
        <v/>
      </c>
      <c r="J184" s="106" t="str">
        <f>IF(A184="","",N(E184)*H184)</f>
        <v/>
      </c>
      <c r="K184" s="107" t="str">
        <f>IF(A184="","",J184*W184)</f>
        <v/>
      </c>
      <c r="L184" s="108" t="str">
        <f>IF(A184="","",IF($K$6&gt;0,K184/$K$6,0))</f>
        <v/>
      </c>
      <c r="M184" s="109" t="str">
        <f>IF(A184="","",N(F184)-L184)</f>
        <v/>
      </c>
      <c r="N184" s="108" t="str">
        <f>IF(A184="","",IF($AB$6&gt;0,AB184/$AB$6,0))</f>
        <v/>
      </c>
      <c r="O184" s="110" t="str">
        <f>IF(A184="","",IF(AB184&lt;=0,"",COUNTIF($AB$9:$AB$208,"&gt;"&amp;AB184)+COUNTIF($AB$9:AB184,AB184)))</f>
        <v/>
      </c>
      <c r="P184" s="105" t="str">
        <f>IF(A184="","",IF(Q184&gt;0,"BUY","HOLD"))</f>
        <v/>
      </c>
      <c r="Q184" s="107" t="str">
        <f>IF(A184="","",IF($W$7&lt;=0,0,IF($AC$6&gt;0,$W$7*AC184/$AC$6,IF($F$6&gt;0,$W$7*N(F184)/$F$6,0))))</f>
        <v/>
      </c>
      <c r="R184" s="111" t="str">
        <f>IF(A184="","",N(AD184)+IF(AI184=1,N(AG184),0))</f>
        <v/>
      </c>
      <c r="S184" s="111" t="str">
        <f>IF(A184="","",N(E184)+N(R184))</f>
        <v/>
      </c>
      <c r="T184" s="107" t="str">
        <f>IF(A184="","",IF(N(R184)&gt;0,R184*H184*W184*$W$6+p_CorrFixa,0))</f>
        <v/>
      </c>
      <c r="V184" s="85" t="str">
        <f>IF(A184="","",IF(D184="",$W$1,D184))</f>
        <v/>
      </c>
      <c r="W184" s="85" t="str">
        <f>IF(A184="","",IFERROR(INDEX(moeda_fx,MATCH(V184,moeda_cod,0)),0))</f>
        <v/>
      </c>
      <c r="X184" s="85" t="str">
        <f>IF(A184="","",IF($W$2="",UPPER(TRIM(A184)),IF(RIGHT(UPPER(TRIM(A184)),LEN($W$2))=$W$2,UPPER(TRIM(A184)),UPPER(TRIM(A184))&amp;$W$2)))</f>
        <v/>
      </c>
      <c r="Y184" s="85" t="str">
        <f>IF(OR(A184="",p_ModoCot&lt;&gt;"Automático"),"",IFERROR(_xlfn.WEBSERVICE("https://query1.finance.yahoo.com/v8/finance/chart/"&amp;X184&amp;"?range=1d&amp;interval=1d"),""))</f>
        <v/>
      </c>
      <c r="Z184" s="85" t="str">
        <f>IF(Y184="","",IFERROR(_xlfn.NUMBERVALUE(MID(Y184,SEARCH("""regularMarketPrice"":",Y184)+21,SEARCH(",",Y184&amp;",",SEARCH("""regularMarketPrice"":",Y184)+21)-SEARCH("""regularMarketPrice"":",Y184)-21),".",","),""))</f>
        <v/>
      </c>
      <c r="AA184" s="85" t="str">
        <f>IF(A184="","",ROUND(MAX(0,N(F184)*($K$6+$W$7)-K184),2))</f>
        <v/>
      </c>
      <c r="AB184" s="85" t="str">
        <f>IF(A184="","",IF(AND(M184&gt;0,M184&gt;=p_DifMin),AA184,0))</f>
        <v/>
      </c>
      <c r="AC184" s="85" t="str">
        <f>IF(A184="","",IF(AND(AB184&gt;0,N(O184)&lt;=p_MaxAtivos),AB184,0))</f>
        <v/>
      </c>
      <c r="AD184" s="85" t="str">
        <f>IF(A184="","",IF(OR(Q184&lt;=0,Q184&lt;p_CompraMin,N(H184)&lt;=0,N(W184)&lt;=0),0,IF($W$3="Sim",TRUNC(ROUND(MAX(0,(Q184-p_CorrFixa)/(H184*W184*$W$6)),9),$W$4),TRUNC(ROUND(MAX(0,(Q184-p_CorrFixa)/(H184*W184*$W$6)),9)/$W$5)*$W$5)))</f>
        <v/>
      </c>
      <c r="AE184" s="85" t="str">
        <f>IF(A184="","",IF(N(AD184)&gt;0,AD184*H184*W184*$W$6+p_CorrFixa,0))</f>
        <v/>
      </c>
      <c r="AF184" s="85" t="str">
        <f>IF(A184="","",IF(OR($Y$1&lt;=0,N(H184)&lt;=0,N(W184)&lt;=0,N(AB184)&lt;=0),0,IF($W$3="Sim",TRUNC(ROUND(MAX(0,($Y$1-IF(N(AD184)&gt;0,0,p_CorrFixa))/(H184*W184*$W$6)),9),$W$4),TRUNC(ROUND(MAX(0,($Y$1-IF(N(AD184)&gt;0,0,p_CorrFixa))/(H184*W184*$W$6)),9)/$W$5)*$W$5)))</f>
        <v/>
      </c>
      <c r="AG184" s="85" t="str">
        <f>IF(A184="","",IF(AND(N(AD184)=0,N(AF184)*(H184*W184*$W$6)+p_CorrFixa&lt;p_CompraMin),0,AF184))</f>
        <v/>
      </c>
      <c r="AH184" s="85" t="str">
        <f>IF(A184="","",IF(N(AG184)&gt;0,AB184,0))</f>
        <v/>
      </c>
      <c r="AI184" s="85" t="str">
        <f>IF(A184="","",IF(AND(AH184&gt;0,AH184=$AH$6,COUNTIF($AH$9:AH184,AH184)=1),1,0))</f>
        <v/>
      </c>
    </row>
    <row r="185">
      <c r="A185" s="96" t="n"/>
      <c r="B185" s="96" t="n"/>
      <c r="C185" s="96" t="n"/>
      <c r="D185" s="97" t="n"/>
      <c r="E185" s="98" t="n"/>
      <c r="F185" s="99" t="n"/>
      <c r="G185" s="100" t="n"/>
      <c r="H185" s="101" t="str">
        <f>IF(A185="","",IF(AND(p_ModoCot="Automático",ISNUMBER(Z185)),Z185,IF(N(G185)&gt;0,G185,0)))</f>
        <v/>
      </c>
      <c r="I185" s="73" t="str">
        <f>IF(A185="","",IF(W185=0,"Sem câmbio",IF(AND(p_ModoCot="Automático",ISNUMBER(Z185)),"Auto",IF(N(G185)&gt;0,"Manual","Sem cotação"))))</f>
        <v/>
      </c>
      <c r="J185" s="102" t="str">
        <f>IF(A185="","",N(E185)*H185)</f>
        <v/>
      </c>
      <c r="K185" s="70" t="str">
        <f>IF(A185="","",J185*W185)</f>
        <v/>
      </c>
      <c r="L185" s="30" t="str">
        <f>IF(A185="","",IF($K$6&gt;0,K185/$K$6,0))</f>
        <v/>
      </c>
      <c r="M185" s="72" t="str">
        <f>IF(A185="","",N(F185)-L185)</f>
        <v/>
      </c>
      <c r="N185" s="30" t="str">
        <f>IF(A185="","",IF($AB$6&gt;0,AB185/$AB$6,0))</f>
        <v/>
      </c>
      <c r="O185" s="74" t="str">
        <f>IF(A185="","",IF(AB185&lt;=0,"",COUNTIF($AB$9:$AB$208,"&gt;"&amp;AB185)+COUNTIF($AB$9:AB185,AB185)))</f>
        <v/>
      </c>
      <c r="P185" s="73" t="str">
        <f>IF(A185="","",IF(Q185&gt;0,"BUY","HOLD"))</f>
        <v/>
      </c>
      <c r="Q185" s="70" t="str">
        <f>IF(A185="","",IF($W$7&lt;=0,0,IF($AC$6&gt;0,$W$7*AC185/$AC$6,IF($F$6&gt;0,$W$7*N(F185)/$F$6,0))))</f>
        <v/>
      </c>
      <c r="R185" s="103" t="str">
        <f>IF(A185="","",N(AD185)+IF(AI185=1,N(AG185),0))</f>
        <v/>
      </c>
      <c r="S185" s="103" t="str">
        <f>IF(A185="","",N(E185)+N(R185))</f>
        <v/>
      </c>
      <c r="T185" s="70" t="str">
        <f>IF(A185="","",IF(N(R185)&gt;0,R185*H185*W185*$W$6+p_CorrFixa,0))</f>
        <v/>
      </c>
      <c r="V185" s="85" t="str">
        <f>IF(A185="","",IF(D185="",$W$1,D185))</f>
        <v/>
      </c>
      <c r="W185" s="85" t="str">
        <f>IF(A185="","",IFERROR(INDEX(moeda_fx,MATCH(V185,moeda_cod,0)),0))</f>
        <v/>
      </c>
      <c r="X185" s="85" t="str">
        <f>IF(A185="","",IF($W$2="",UPPER(TRIM(A185)),IF(RIGHT(UPPER(TRIM(A185)),LEN($W$2))=$W$2,UPPER(TRIM(A185)),UPPER(TRIM(A185))&amp;$W$2)))</f>
        <v/>
      </c>
      <c r="Y185" s="85" t="str">
        <f>IF(OR(A185="",p_ModoCot&lt;&gt;"Automático"),"",IFERROR(_xlfn.WEBSERVICE("https://query1.finance.yahoo.com/v8/finance/chart/"&amp;X185&amp;"?range=1d&amp;interval=1d"),""))</f>
        <v/>
      </c>
      <c r="Z185" s="85" t="str">
        <f>IF(Y185="","",IFERROR(_xlfn.NUMBERVALUE(MID(Y185,SEARCH("""regularMarketPrice"":",Y185)+21,SEARCH(",",Y185&amp;",",SEARCH("""regularMarketPrice"":",Y185)+21)-SEARCH("""regularMarketPrice"":",Y185)-21),".",","),""))</f>
        <v/>
      </c>
      <c r="AA185" s="85" t="str">
        <f>IF(A185="","",ROUND(MAX(0,N(F185)*($K$6+$W$7)-K185),2))</f>
        <v/>
      </c>
      <c r="AB185" s="85" t="str">
        <f>IF(A185="","",IF(AND(M185&gt;0,M185&gt;=p_DifMin),AA185,0))</f>
        <v/>
      </c>
      <c r="AC185" s="85" t="str">
        <f>IF(A185="","",IF(AND(AB185&gt;0,N(O185)&lt;=p_MaxAtivos),AB185,0))</f>
        <v/>
      </c>
      <c r="AD185" s="85" t="str">
        <f>IF(A185="","",IF(OR(Q185&lt;=0,Q185&lt;p_CompraMin,N(H185)&lt;=0,N(W185)&lt;=0),0,IF($W$3="Sim",TRUNC(ROUND(MAX(0,(Q185-p_CorrFixa)/(H185*W185*$W$6)),9),$W$4),TRUNC(ROUND(MAX(0,(Q185-p_CorrFixa)/(H185*W185*$W$6)),9)/$W$5)*$W$5)))</f>
        <v/>
      </c>
      <c r="AE185" s="85" t="str">
        <f>IF(A185="","",IF(N(AD185)&gt;0,AD185*H185*W185*$W$6+p_CorrFixa,0))</f>
        <v/>
      </c>
      <c r="AF185" s="85" t="str">
        <f>IF(A185="","",IF(OR($Y$1&lt;=0,N(H185)&lt;=0,N(W185)&lt;=0,N(AB185)&lt;=0),0,IF($W$3="Sim",TRUNC(ROUND(MAX(0,($Y$1-IF(N(AD185)&gt;0,0,p_CorrFixa))/(H185*W185*$W$6)),9),$W$4),TRUNC(ROUND(MAX(0,($Y$1-IF(N(AD185)&gt;0,0,p_CorrFixa))/(H185*W185*$W$6)),9)/$W$5)*$W$5)))</f>
        <v/>
      </c>
      <c r="AG185" s="85" t="str">
        <f>IF(A185="","",IF(AND(N(AD185)=0,N(AF185)*(H185*W185*$W$6)+p_CorrFixa&lt;p_CompraMin),0,AF185))</f>
        <v/>
      </c>
      <c r="AH185" s="85" t="str">
        <f>IF(A185="","",IF(N(AG185)&gt;0,AB185,0))</f>
        <v/>
      </c>
      <c r="AI185" s="85" t="str">
        <f>IF(A185="","",IF(AND(AH185&gt;0,AH185=$AH$6,COUNTIF($AH$9:AH185,AH185)=1),1,0))</f>
        <v/>
      </c>
    </row>
    <row r="186">
      <c r="A186" s="96" t="n"/>
      <c r="B186" s="96" t="n"/>
      <c r="C186" s="96" t="n"/>
      <c r="D186" s="97" t="n"/>
      <c r="E186" s="98" t="n"/>
      <c r="F186" s="99" t="n"/>
      <c r="G186" s="100" t="n"/>
      <c r="H186" s="104" t="str">
        <f>IF(A186="","",IF(AND(p_ModoCot="Automático",ISNUMBER(Z186)),Z186,IF(N(G186)&gt;0,G186,0)))</f>
        <v/>
      </c>
      <c r="I186" s="105" t="str">
        <f>IF(A186="","",IF(W186=0,"Sem câmbio",IF(AND(p_ModoCot="Automático",ISNUMBER(Z186)),"Auto",IF(N(G186)&gt;0,"Manual","Sem cotação"))))</f>
        <v/>
      </c>
      <c r="J186" s="106" t="str">
        <f>IF(A186="","",N(E186)*H186)</f>
        <v/>
      </c>
      <c r="K186" s="107" t="str">
        <f>IF(A186="","",J186*W186)</f>
        <v/>
      </c>
      <c r="L186" s="108" t="str">
        <f>IF(A186="","",IF($K$6&gt;0,K186/$K$6,0))</f>
        <v/>
      </c>
      <c r="M186" s="109" t="str">
        <f>IF(A186="","",N(F186)-L186)</f>
        <v/>
      </c>
      <c r="N186" s="108" t="str">
        <f>IF(A186="","",IF($AB$6&gt;0,AB186/$AB$6,0))</f>
        <v/>
      </c>
      <c r="O186" s="110" t="str">
        <f>IF(A186="","",IF(AB186&lt;=0,"",COUNTIF($AB$9:$AB$208,"&gt;"&amp;AB186)+COUNTIF($AB$9:AB186,AB186)))</f>
        <v/>
      </c>
      <c r="P186" s="105" t="str">
        <f>IF(A186="","",IF(Q186&gt;0,"BUY","HOLD"))</f>
        <v/>
      </c>
      <c r="Q186" s="107" t="str">
        <f>IF(A186="","",IF($W$7&lt;=0,0,IF($AC$6&gt;0,$W$7*AC186/$AC$6,IF($F$6&gt;0,$W$7*N(F186)/$F$6,0))))</f>
        <v/>
      </c>
      <c r="R186" s="111" t="str">
        <f>IF(A186="","",N(AD186)+IF(AI186=1,N(AG186),0))</f>
        <v/>
      </c>
      <c r="S186" s="111" t="str">
        <f>IF(A186="","",N(E186)+N(R186))</f>
        <v/>
      </c>
      <c r="T186" s="107" t="str">
        <f>IF(A186="","",IF(N(R186)&gt;0,R186*H186*W186*$W$6+p_CorrFixa,0))</f>
        <v/>
      </c>
      <c r="V186" s="85" t="str">
        <f>IF(A186="","",IF(D186="",$W$1,D186))</f>
        <v/>
      </c>
      <c r="W186" s="85" t="str">
        <f>IF(A186="","",IFERROR(INDEX(moeda_fx,MATCH(V186,moeda_cod,0)),0))</f>
        <v/>
      </c>
      <c r="X186" s="85" t="str">
        <f>IF(A186="","",IF($W$2="",UPPER(TRIM(A186)),IF(RIGHT(UPPER(TRIM(A186)),LEN($W$2))=$W$2,UPPER(TRIM(A186)),UPPER(TRIM(A186))&amp;$W$2)))</f>
        <v/>
      </c>
      <c r="Y186" s="85" t="str">
        <f>IF(OR(A186="",p_ModoCot&lt;&gt;"Automático"),"",IFERROR(_xlfn.WEBSERVICE("https://query1.finance.yahoo.com/v8/finance/chart/"&amp;X186&amp;"?range=1d&amp;interval=1d"),""))</f>
        <v/>
      </c>
      <c r="Z186" s="85" t="str">
        <f>IF(Y186="","",IFERROR(_xlfn.NUMBERVALUE(MID(Y186,SEARCH("""regularMarketPrice"":",Y186)+21,SEARCH(",",Y186&amp;",",SEARCH("""regularMarketPrice"":",Y186)+21)-SEARCH("""regularMarketPrice"":",Y186)-21),".",","),""))</f>
        <v/>
      </c>
      <c r="AA186" s="85" t="str">
        <f>IF(A186="","",ROUND(MAX(0,N(F186)*($K$6+$W$7)-K186),2))</f>
        <v/>
      </c>
      <c r="AB186" s="85" t="str">
        <f>IF(A186="","",IF(AND(M186&gt;0,M186&gt;=p_DifMin),AA186,0))</f>
        <v/>
      </c>
      <c r="AC186" s="85" t="str">
        <f>IF(A186="","",IF(AND(AB186&gt;0,N(O186)&lt;=p_MaxAtivos),AB186,0))</f>
        <v/>
      </c>
      <c r="AD186" s="85" t="str">
        <f>IF(A186="","",IF(OR(Q186&lt;=0,Q186&lt;p_CompraMin,N(H186)&lt;=0,N(W186)&lt;=0),0,IF($W$3="Sim",TRUNC(ROUND(MAX(0,(Q186-p_CorrFixa)/(H186*W186*$W$6)),9),$W$4),TRUNC(ROUND(MAX(0,(Q186-p_CorrFixa)/(H186*W186*$W$6)),9)/$W$5)*$W$5)))</f>
        <v/>
      </c>
      <c r="AE186" s="85" t="str">
        <f>IF(A186="","",IF(N(AD186)&gt;0,AD186*H186*W186*$W$6+p_CorrFixa,0))</f>
        <v/>
      </c>
      <c r="AF186" s="85" t="str">
        <f>IF(A186="","",IF(OR($Y$1&lt;=0,N(H186)&lt;=0,N(W186)&lt;=0,N(AB186)&lt;=0),0,IF($W$3="Sim",TRUNC(ROUND(MAX(0,($Y$1-IF(N(AD186)&gt;0,0,p_CorrFixa))/(H186*W186*$W$6)),9),$W$4),TRUNC(ROUND(MAX(0,($Y$1-IF(N(AD186)&gt;0,0,p_CorrFixa))/(H186*W186*$W$6)),9)/$W$5)*$W$5)))</f>
        <v/>
      </c>
      <c r="AG186" s="85" t="str">
        <f>IF(A186="","",IF(AND(N(AD186)=0,N(AF186)*(H186*W186*$W$6)+p_CorrFixa&lt;p_CompraMin),0,AF186))</f>
        <v/>
      </c>
      <c r="AH186" s="85" t="str">
        <f>IF(A186="","",IF(N(AG186)&gt;0,AB186,0))</f>
        <v/>
      </c>
      <c r="AI186" s="85" t="str">
        <f>IF(A186="","",IF(AND(AH186&gt;0,AH186=$AH$6,COUNTIF($AH$9:AH186,AH186)=1),1,0))</f>
        <v/>
      </c>
    </row>
    <row r="187">
      <c r="A187" s="96" t="n"/>
      <c r="B187" s="96" t="n"/>
      <c r="C187" s="96" t="n"/>
      <c r="D187" s="97" t="n"/>
      <c r="E187" s="98" t="n"/>
      <c r="F187" s="99" t="n"/>
      <c r="G187" s="100" t="n"/>
      <c r="H187" s="101" t="str">
        <f>IF(A187="","",IF(AND(p_ModoCot="Automático",ISNUMBER(Z187)),Z187,IF(N(G187)&gt;0,G187,0)))</f>
        <v/>
      </c>
      <c r="I187" s="73" t="str">
        <f>IF(A187="","",IF(W187=0,"Sem câmbio",IF(AND(p_ModoCot="Automático",ISNUMBER(Z187)),"Auto",IF(N(G187)&gt;0,"Manual","Sem cotação"))))</f>
        <v/>
      </c>
      <c r="J187" s="102" t="str">
        <f>IF(A187="","",N(E187)*H187)</f>
        <v/>
      </c>
      <c r="K187" s="70" t="str">
        <f>IF(A187="","",J187*W187)</f>
        <v/>
      </c>
      <c r="L187" s="30" t="str">
        <f>IF(A187="","",IF($K$6&gt;0,K187/$K$6,0))</f>
        <v/>
      </c>
      <c r="M187" s="72" t="str">
        <f>IF(A187="","",N(F187)-L187)</f>
        <v/>
      </c>
      <c r="N187" s="30" t="str">
        <f>IF(A187="","",IF($AB$6&gt;0,AB187/$AB$6,0))</f>
        <v/>
      </c>
      <c r="O187" s="74" t="str">
        <f>IF(A187="","",IF(AB187&lt;=0,"",COUNTIF($AB$9:$AB$208,"&gt;"&amp;AB187)+COUNTIF($AB$9:AB187,AB187)))</f>
        <v/>
      </c>
      <c r="P187" s="73" t="str">
        <f>IF(A187="","",IF(Q187&gt;0,"BUY","HOLD"))</f>
        <v/>
      </c>
      <c r="Q187" s="70" t="str">
        <f>IF(A187="","",IF($W$7&lt;=0,0,IF($AC$6&gt;0,$W$7*AC187/$AC$6,IF($F$6&gt;0,$W$7*N(F187)/$F$6,0))))</f>
        <v/>
      </c>
      <c r="R187" s="103" t="str">
        <f>IF(A187="","",N(AD187)+IF(AI187=1,N(AG187),0))</f>
        <v/>
      </c>
      <c r="S187" s="103" t="str">
        <f>IF(A187="","",N(E187)+N(R187))</f>
        <v/>
      </c>
      <c r="T187" s="70" t="str">
        <f>IF(A187="","",IF(N(R187)&gt;0,R187*H187*W187*$W$6+p_CorrFixa,0))</f>
        <v/>
      </c>
      <c r="V187" s="85" t="str">
        <f>IF(A187="","",IF(D187="",$W$1,D187))</f>
        <v/>
      </c>
      <c r="W187" s="85" t="str">
        <f>IF(A187="","",IFERROR(INDEX(moeda_fx,MATCH(V187,moeda_cod,0)),0))</f>
        <v/>
      </c>
      <c r="X187" s="85" t="str">
        <f>IF(A187="","",IF($W$2="",UPPER(TRIM(A187)),IF(RIGHT(UPPER(TRIM(A187)),LEN($W$2))=$W$2,UPPER(TRIM(A187)),UPPER(TRIM(A187))&amp;$W$2)))</f>
        <v/>
      </c>
      <c r="Y187" s="85" t="str">
        <f>IF(OR(A187="",p_ModoCot&lt;&gt;"Automático"),"",IFERROR(_xlfn.WEBSERVICE("https://query1.finance.yahoo.com/v8/finance/chart/"&amp;X187&amp;"?range=1d&amp;interval=1d"),""))</f>
        <v/>
      </c>
      <c r="Z187" s="85" t="str">
        <f>IF(Y187="","",IFERROR(_xlfn.NUMBERVALUE(MID(Y187,SEARCH("""regularMarketPrice"":",Y187)+21,SEARCH(",",Y187&amp;",",SEARCH("""regularMarketPrice"":",Y187)+21)-SEARCH("""regularMarketPrice"":",Y187)-21),".",","),""))</f>
        <v/>
      </c>
      <c r="AA187" s="85" t="str">
        <f>IF(A187="","",ROUND(MAX(0,N(F187)*($K$6+$W$7)-K187),2))</f>
        <v/>
      </c>
      <c r="AB187" s="85" t="str">
        <f>IF(A187="","",IF(AND(M187&gt;0,M187&gt;=p_DifMin),AA187,0))</f>
        <v/>
      </c>
      <c r="AC187" s="85" t="str">
        <f>IF(A187="","",IF(AND(AB187&gt;0,N(O187)&lt;=p_MaxAtivos),AB187,0))</f>
        <v/>
      </c>
      <c r="AD187" s="85" t="str">
        <f>IF(A187="","",IF(OR(Q187&lt;=0,Q187&lt;p_CompraMin,N(H187)&lt;=0,N(W187)&lt;=0),0,IF($W$3="Sim",TRUNC(ROUND(MAX(0,(Q187-p_CorrFixa)/(H187*W187*$W$6)),9),$W$4),TRUNC(ROUND(MAX(0,(Q187-p_CorrFixa)/(H187*W187*$W$6)),9)/$W$5)*$W$5)))</f>
        <v/>
      </c>
      <c r="AE187" s="85" t="str">
        <f>IF(A187="","",IF(N(AD187)&gt;0,AD187*H187*W187*$W$6+p_CorrFixa,0))</f>
        <v/>
      </c>
      <c r="AF187" s="85" t="str">
        <f>IF(A187="","",IF(OR($Y$1&lt;=0,N(H187)&lt;=0,N(W187)&lt;=0,N(AB187)&lt;=0),0,IF($W$3="Sim",TRUNC(ROUND(MAX(0,($Y$1-IF(N(AD187)&gt;0,0,p_CorrFixa))/(H187*W187*$W$6)),9),$W$4),TRUNC(ROUND(MAX(0,($Y$1-IF(N(AD187)&gt;0,0,p_CorrFixa))/(H187*W187*$W$6)),9)/$W$5)*$W$5)))</f>
        <v/>
      </c>
      <c r="AG187" s="85" t="str">
        <f>IF(A187="","",IF(AND(N(AD187)=0,N(AF187)*(H187*W187*$W$6)+p_CorrFixa&lt;p_CompraMin),0,AF187))</f>
        <v/>
      </c>
      <c r="AH187" s="85" t="str">
        <f>IF(A187="","",IF(N(AG187)&gt;0,AB187,0))</f>
        <v/>
      </c>
      <c r="AI187" s="85" t="str">
        <f>IF(A187="","",IF(AND(AH187&gt;0,AH187=$AH$6,COUNTIF($AH$9:AH187,AH187)=1),1,0))</f>
        <v/>
      </c>
    </row>
    <row r="188">
      <c r="A188" s="96" t="n"/>
      <c r="B188" s="96" t="n"/>
      <c r="C188" s="96" t="n"/>
      <c r="D188" s="97" t="n"/>
      <c r="E188" s="98" t="n"/>
      <c r="F188" s="99" t="n"/>
      <c r="G188" s="100" t="n"/>
      <c r="H188" s="104" t="str">
        <f>IF(A188="","",IF(AND(p_ModoCot="Automático",ISNUMBER(Z188)),Z188,IF(N(G188)&gt;0,G188,0)))</f>
        <v/>
      </c>
      <c r="I188" s="105" t="str">
        <f>IF(A188="","",IF(W188=0,"Sem câmbio",IF(AND(p_ModoCot="Automático",ISNUMBER(Z188)),"Auto",IF(N(G188)&gt;0,"Manual","Sem cotação"))))</f>
        <v/>
      </c>
      <c r="J188" s="106" t="str">
        <f>IF(A188="","",N(E188)*H188)</f>
        <v/>
      </c>
      <c r="K188" s="107" t="str">
        <f>IF(A188="","",J188*W188)</f>
        <v/>
      </c>
      <c r="L188" s="108" t="str">
        <f>IF(A188="","",IF($K$6&gt;0,K188/$K$6,0))</f>
        <v/>
      </c>
      <c r="M188" s="109" t="str">
        <f>IF(A188="","",N(F188)-L188)</f>
        <v/>
      </c>
      <c r="N188" s="108" t="str">
        <f>IF(A188="","",IF($AB$6&gt;0,AB188/$AB$6,0))</f>
        <v/>
      </c>
      <c r="O188" s="110" t="str">
        <f>IF(A188="","",IF(AB188&lt;=0,"",COUNTIF($AB$9:$AB$208,"&gt;"&amp;AB188)+COUNTIF($AB$9:AB188,AB188)))</f>
        <v/>
      </c>
      <c r="P188" s="105" t="str">
        <f>IF(A188="","",IF(Q188&gt;0,"BUY","HOLD"))</f>
        <v/>
      </c>
      <c r="Q188" s="107" t="str">
        <f>IF(A188="","",IF($W$7&lt;=0,0,IF($AC$6&gt;0,$W$7*AC188/$AC$6,IF($F$6&gt;0,$W$7*N(F188)/$F$6,0))))</f>
        <v/>
      </c>
      <c r="R188" s="111" t="str">
        <f>IF(A188="","",N(AD188)+IF(AI188=1,N(AG188),0))</f>
        <v/>
      </c>
      <c r="S188" s="111" t="str">
        <f>IF(A188="","",N(E188)+N(R188))</f>
        <v/>
      </c>
      <c r="T188" s="107" t="str">
        <f>IF(A188="","",IF(N(R188)&gt;0,R188*H188*W188*$W$6+p_CorrFixa,0))</f>
        <v/>
      </c>
      <c r="V188" s="85" t="str">
        <f>IF(A188="","",IF(D188="",$W$1,D188))</f>
        <v/>
      </c>
      <c r="W188" s="85" t="str">
        <f>IF(A188="","",IFERROR(INDEX(moeda_fx,MATCH(V188,moeda_cod,0)),0))</f>
        <v/>
      </c>
      <c r="X188" s="85" t="str">
        <f>IF(A188="","",IF($W$2="",UPPER(TRIM(A188)),IF(RIGHT(UPPER(TRIM(A188)),LEN($W$2))=$W$2,UPPER(TRIM(A188)),UPPER(TRIM(A188))&amp;$W$2)))</f>
        <v/>
      </c>
      <c r="Y188" s="85" t="str">
        <f>IF(OR(A188="",p_ModoCot&lt;&gt;"Automático"),"",IFERROR(_xlfn.WEBSERVICE("https://query1.finance.yahoo.com/v8/finance/chart/"&amp;X188&amp;"?range=1d&amp;interval=1d"),""))</f>
        <v/>
      </c>
      <c r="Z188" s="85" t="str">
        <f>IF(Y188="","",IFERROR(_xlfn.NUMBERVALUE(MID(Y188,SEARCH("""regularMarketPrice"":",Y188)+21,SEARCH(",",Y188&amp;",",SEARCH("""regularMarketPrice"":",Y188)+21)-SEARCH("""regularMarketPrice"":",Y188)-21),".",","),""))</f>
        <v/>
      </c>
      <c r="AA188" s="85" t="str">
        <f>IF(A188="","",ROUND(MAX(0,N(F188)*($K$6+$W$7)-K188),2))</f>
        <v/>
      </c>
      <c r="AB188" s="85" t="str">
        <f>IF(A188="","",IF(AND(M188&gt;0,M188&gt;=p_DifMin),AA188,0))</f>
        <v/>
      </c>
      <c r="AC188" s="85" t="str">
        <f>IF(A188="","",IF(AND(AB188&gt;0,N(O188)&lt;=p_MaxAtivos),AB188,0))</f>
        <v/>
      </c>
      <c r="AD188" s="85" t="str">
        <f>IF(A188="","",IF(OR(Q188&lt;=0,Q188&lt;p_CompraMin,N(H188)&lt;=0,N(W188)&lt;=0),0,IF($W$3="Sim",TRUNC(ROUND(MAX(0,(Q188-p_CorrFixa)/(H188*W188*$W$6)),9),$W$4),TRUNC(ROUND(MAX(0,(Q188-p_CorrFixa)/(H188*W188*$W$6)),9)/$W$5)*$W$5)))</f>
        <v/>
      </c>
      <c r="AE188" s="85" t="str">
        <f>IF(A188="","",IF(N(AD188)&gt;0,AD188*H188*W188*$W$6+p_CorrFixa,0))</f>
        <v/>
      </c>
      <c r="AF188" s="85" t="str">
        <f>IF(A188="","",IF(OR($Y$1&lt;=0,N(H188)&lt;=0,N(W188)&lt;=0,N(AB188)&lt;=0),0,IF($W$3="Sim",TRUNC(ROUND(MAX(0,($Y$1-IF(N(AD188)&gt;0,0,p_CorrFixa))/(H188*W188*$W$6)),9),$W$4),TRUNC(ROUND(MAX(0,($Y$1-IF(N(AD188)&gt;0,0,p_CorrFixa))/(H188*W188*$W$6)),9)/$W$5)*$W$5)))</f>
        <v/>
      </c>
      <c r="AG188" s="85" t="str">
        <f>IF(A188="","",IF(AND(N(AD188)=0,N(AF188)*(H188*W188*$W$6)+p_CorrFixa&lt;p_CompraMin),0,AF188))</f>
        <v/>
      </c>
      <c r="AH188" s="85" t="str">
        <f>IF(A188="","",IF(N(AG188)&gt;0,AB188,0))</f>
        <v/>
      </c>
      <c r="AI188" s="85" t="str">
        <f>IF(A188="","",IF(AND(AH188&gt;0,AH188=$AH$6,COUNTIF($AH$9:AH188,AH188)=1),1,0))</f>
        <v/>
      </c>
    </row>
    <row r="189">
      <c r="A189" s="96" t="n"/>
      <c r="B189" s="96" t="n"/>
      <c r="C189" s="96" t="n"/>
      <c r="D189" s="97" t="n"/>
      <c r="E189" s="98" t="n"/>
      <c r="F189" s="99" t="n"/>
      <c r="G189" s="100" t="n"/>
      <c r="H189" s="101" t="str">
        <f>IF(A189="","",IF(AND(p_ModoCot="Automático",ISNUMBER(Z189)),Z189,IF(N(G189)&gt;0,G189,0)))</f>
        <v/>
      </c>
      <c r="I189" s="73" t="str">
        <f>IF(A189="","",IF(W189=0,"Sem câmbio",IF(AND(p_ModoCot="Automático",ISNUMBER(Z189)),"Auto",IF(N(G189)&gt;0,"Manual","Sem cotação"))))</f>
        <v/>
      </c>
      <c r="J189" s="102" t="str">
        <f>IF(A189="","",N(E189)*H189)</f>
        <v/>
      </c>
      <c r="K189" s="70" t="str">
        <f>IF(A189="","",J189*W189)</f>
        <v/>
      </c>
      <c r="L189" s="30" t="str">
        <f>IF(A189="","",IF($K$6&gt;0,K189/$K$6,0))</f>
        <v/>
      </c>
      <c r="M189" s="72" t="str">
        <f>IF(A189="","",N(F189)-L189)</f>
        <v/>
      </c>
      <c r="N189" s="30" t="str">
        <f>IF(A189="","",IF($AB$6&gt;0,AB189/$AB$6,0))</f>
        <v/>
      </c>
      <c r="O189" s="74" t="str">
        <f>IF(A189="","",IF(AB189&lt;=0,"",COUNTIF($AB$9:$AB$208,"&gt;"&amp;AB189)+COUNTIF($AB$9:AB189,AB189)))</f>
        <v/>
      </c>
      <c r="P189" s="73" t="str">
        <f>IF(A189="","",IF(Q189&gt;0,"BUY","HOLD"))</f>
        <v/>
      </c>
      <c r="Q189" s="70" t="str">
        <f>IF(A189="","",IF($W$7&lt;=0,0,IF($AC$6&gt;0,$W$7*AC189/$AC$6,IF($F$6&gt;0,$W$7*N(F189)/$F$6,0))))</f>
        <v/>
      </c>
      <c r="R189" s="103" t="str">
        <f>IF(A189="","",N(AD189)+IF(AI189=1,N(AG189),0))</f>
        <v/>
      </c>
      <c r="S189" s="103" t="str">
        <f>IF(A189="","",N(E189)+N(R189))</f>
        <v/>
      </c>
      <c r="T189" s="70" t="str">
        <f>IF(A189="","",IF(N(R189)&gt;0,R189*H189*W189*$W$6+p_CorrFixa,0))</f>
        <v/>
      </c>
      <c r="V189" s="85" t="str">
        <f>IF(A189="","",IF(D189="",$W$1,D189))</f>
        <v/>
      </c>
      <c r="W189" s="85" t="str">
        <f>IF(A189="","",IFERROR(INDEX(moeda_fx,MATCH(V189,moeda_cod,0)),0))</f>
        <v/>
      </c>
      <c r="X189" s="85" t="str">
        <f>IF(A189="","",IF($W$2="",UPPER(TRIM(A189)),IF(RIGHT(UPPER(TRIM(A189)),LEN($W$2))=$W$2,UPPER(TRIM(A189)),UPPER(TRIM(A189))&amp;$W$2)))</f>
        <v/>
      </c>
      <c r="Y189" s="85" t="str">
        <f>IF(OR(A189="",p_ModoCot&lt;&gt;"Automático"),"",IFERROR(_xlfn.WEBSERVICE("https://query1.finance.yahoo.com/v8/finance/chart/"&amp;X189&amp;"?range=1d&amp;interval=1d"),""))</f>
        <v/>
      </c>
      <c r="Z189" s="85" t="str">
        <f>IF(Y189="","",IFERROR(_xlfn.NUMBERVALUE(MID(Y189,SEARCH("""regularMarketPrice"":",Y189)+21,SEARCH(",",Y189&amp;",",SEARCH("""regularMarketPrice"":",Y189)+21)-SEARCH("""regularMarketPrice"":",Y189)-21),".",","),""))</f>
        <v/>
      </c>
      <c r="AA189" s="85" t="str">
        <f>IF(A189="","",ROUND(MAX(0,N(F189)*($K$6+$W$7)-K189),2))</f>
        <v/>
      </c>
      <c r="AB189" s="85" t="str">
        <f>IF(A189="","",IF(AND(M189&gt;0,M189&gt;=p_DifMin),AA189,0))</f>
        <v/>
      </c>
      <c r="AC189" s="85" t="str">
        <f>IF(A189="","",IF(AND(AB189&gt;0,N(O189)&lt;=p_MaxAtivos),AB189,0))</f>
        <v/>
      </c>
      <c r="AD189" s="85" t="str">
        <f>IF(A189="","",IF(OR(Q189&lt;=0,Q189&lt;p_CompraMin,N(H189)&lt;=0,N(W189)&lt;=0),0,IF($W$3="Sim",TRUNC(ROUND(MAX(0,(Q189-p_CorrFixa)/(H189*W189*$W$6)),9),$W$4),TRUNC(ROUND(MAX(0,(Q189-p_CorrFixa)/(H189*W189*$W$6)),9)/$W$5)*$W$5)))</f>
        <v/>
      </c>
      <c r="AE189" s="85" t="str">
        <f>IF(A189="","",IF(N(AD189)&gt;0,AD189*H189*W189*$W$6+p_CorrFixa,0))</f>
        <v/>
      </c>
      <c r="AF189" s="85" t="str">
        <f>IF(A189="","",IF(OR($Y$1&lt;=0,N(H189)&lt;=0,N(W189)&lt;=0,N(AB189)&lt;=0),0,IF($W$3="Sim",TRUNC(ROUND(MAX(0,($Y$1-IF(N(AD189)&gt;0,0,p_CorrFixa))/(H189*W189*$W$6)),9),$W$4),TRUNC(ROUND(MAX(0,($Y$1-IF(N(AD189)&gt;0,0,p_CorrFixa))/(H189*W189*$W$6)),9)/$W$5)*$W$5)))</f>
        <v/>
      </c>
      <c r="AG189" s="85" t="str">
        <f>IF(A189="","",IF(AND(N(AD189)=0,N(AF189)*(H189*W189*$W$6)+p_CorrFixa&lt;p_CompraMin),0,AF189))</f>
        <v/>
      </c>
      <c r="AH189" s="85" t="str">
        <f>IF(A189="","",IF(N(AG189)&gt;0,AB189,0))</f>
        <v/>
      </c>
      <c r="AI189" s="85" t="str">
        <f>IF(A189="","",IF(AND(AH189&gt;0,AH189=$AH$6,COUNTIF($AH$9:AH189,AH189)=1),1,0))</f>
        <v/>
      </c>
    </row>
    <row r="190">
      <c r="A190" s="96" t="n"/>
      <c r="B190" s="96" t="n"/>
      <c r="C190" s="96" t="n"/>
      <c r="D190" s="97" t="n"/>
      <c r="E190" s="98" t="n"/>
      <c r="F190" s="99" t="n"/>
      <c r="G190" s="100" t="n"/>
      <c r="H190" s="104" t="str">
        <f>IF(A190="","",IF(AND(p_ModoCot="Automático",ISNUMBER(Z190)),Z190,IF(N(G190)&gt;0,G190,0)))</f>
        <v/>
      </c>
      <c r="I190" s="105" t="str">
        <f>IF(A190="","",IF(W190=0,"Sem câmbio",IF(AND(p_ModoCot="Automático",ISNUMBER(Z190)),"Auto",IF(N(G190)&gt;0,"Manual","Sem cotação"))))</f>
        <v/>
      </c>
      <c r="J190" s="106" t="str">
        <f>IF(A190="","",N(E190)*H190)</f>
        <v/>
      </c>
      <c r="K190" s="107" t="str">
        <f>IF(A190="","",J190*W190)</f>
        <v/>
      </c>
      <c r="L190" s="108" t="str">
        <f>IF(A190="","",IF($K$6&gt;0,K190/$K$6,0))</f>
        <v/>
      </c>
      <c r="M190" s="109" t="str">
        <f>IF(A190="","",N(F190)-L190)</f>
        <v/>
      </c>
      <c r="N190" s="108" t="str">
        <f>IF(A190="","",IF($AB$6&gt;0,AB190/$AB$6,0))</f>
        <v/>
      </c>
      <c r="O190" s="110" t="str">
        <f>IF(A190="","",IF(AB190&lt;=0,"",COUNTIF($AB$9:$AB$208,"&gt;"&amp;AB190)+COUNTIF($AB$9:AB190,AB190)))</f>
        <v/>
      </c>
      <c r="P190" s="105" t="str">
        <f>IF(A190="","",IF(Q190&gt;0,"BUY","HOLD"))</f>
        <v/>
      </c>
      <c r="Q190" s="107" t="str">
        <f>IF(A190="","",IF($W$7&lt;=0,0,IF($AC$6&gt;0,$W$7*AC190/$AC$6,IF($F$6&gt;0,$W$7*N(F190)/$F$6,0))))</f>
        <v/>
      </c>
      <c r="R190" s="111" t="str">
        <f>IF(A190="","",N(AD190)+IF(AI190=1,N(AG190),0))</f>
        <v/>
      </c>
      <c r="S190" s="111" t="str">
        <f>IF(A190="","",N(E190)+N(R190))</f>
        <v/>
      </c>
      <c r="T190" s="107" t="str">
        <f>IF(A190="","",IF(N(R190)&gt;0,R190*H190*W190*$W$6+p_CorrFixa,0))</f>
        <v/>
      </c>
      <c r="V190" s="85" t="str">
        <f>IF(A190="","",IF(D190="",$W$1,D190))</f>
        <v/>
      </c>
      <c r="W190" s="85" t="str">
        <f>IF(A190="","",IFERROR(INDEX(moeda_fx,MATCH(V190,moeda_cod,0)),0))</f>
        <v/>
      </c>
      <c r="X190" s="85" t="str">
        <f>IF(A190="","",IF($W$2="",UPPER(TRIM(A190)),IF(RIGHT(UPPER(TRIM(A190)),LEN($W$2))=$W$2,UPPER(TRIM(A190)),UPPER(TRIM(A190))&amp;$W$2)))</f>
        <v/>
      </c>
      <c r="Y190" s="85" t="str">
        <f>IF(OR(A190="",p_ModoCot&lt;&gt;"Automático"),"",IFERROR(_xlfn.WEBSERVICE("https://query1.finance.yahoo.com/v8/finance/chart/"&amp;X190&amp;"?range=1d&amp;interval=1d"),""))</f>
        <v/>
      </c>
      <c r="Z190" s="85" t="str">
        <f>IF(Y190="","",IFERROR(_xlfn.NUMBERVALUE(MID(Y190,SEARCH("""regularMarketPrice"":",Y190)+21,SEARCH(",",Y190&amp;",",SEARCH("""regularMarketPrice"":",Y190)+21)-SEARCH("""regularMarketPrice"":",Y190)-21),".",","),""))</f>
        <v/>
      </c>
      <c r="AA190" s="85" t="str">
        <f>IF(A190="","",ROUND(MAX(0,N(F190)*($K$6+$W$7)-K190),2))</f>
        <v/>
      </c>
      <c r="AB190" s="85" t="str">
        <f>IF(A190="","",IF(AND(M190&gt;0,M190&gt;=p_DifMin),AA190,0))</f>
        <v/>
      </c>
      <c r="AC190" s="85" t="str">
        <f>IF(A190="","",IF(AND(AB190&gt;0,N(O190)&lt;=p_MaxAtivos),AB190,0))</f>
        <v/>
      </c>
      <c r="AD190" s="85" t="str">
        <f>IF(A190="","",IF(OR(Q190&lt;=0,Q190&lt;p_CompraMin,N(H190)&lt;=0,N(W190)&lt;=0),0,IF($W$3="Sim",TRUNC(ROUND(MAX(0,(Q190-p_CorrFixa)/(H190*W190*$W$6)),9),$W$4),TRUNC(ROUND(MAX(0,(Q190-p_CorrFixa)/(H190*W190*$W$6)),9)/$W$5)*$W$5)))</f>
        <v/>
      </c>
      <c r="AE190" s="85" t="str">
        <f>IF(A190="","",IF(N(AD190)&gt;0,AD190*H190*W190*$W$6+p_CorrFixa,0))</f>
        <v/>
      </c>
      <c r="AF190" s="85" t="str">
        <f>IF(A190="","",IF(OR($Y$1&lt;=0,N(H190)&lt;=0,N(W190)&lt;=0,N(AB190)&lt;=0),0,IF($W$3="Sim",TRUNC(ROUND(MAX(0,($Y$1-IF(N(AD190)&gt;0,0,p_CorrFixa))/(H190*W190*$W$6)),9),$W$4),TRUNC(ROUND(MAX(0,($Y$1-IF(N(AD190)&gt;0,0,p_CorrFixa))/(H190*W190*$W$6)),9)/$W$5)*$W$5)))</f>
        <v/>
      </c>
      <c r="AG190" s="85" t="str">
        <f>IF(A190="","",IF(AND(N(AD190)=0,N(AF190)*(H190*W190*$W$6)+p_CorrFixa&lt;p_CompraMin),0,AF190))</f>
        <v/>
      </c>
      <c r="AH190" s="85" t="str">
        <f>IF(A190="","",IF(N(AG190)&gt;0,AB190,0))</f>
        <v/>
      </c>
      <c r="AI190" s="85" t="str">
        <f>IF(A190="","",IF(AND(AH190&gt;0,AH190=$AH$6,COUNTIF($AH$9:AH190,AH190)=1),1,0))</f>
        <v/>
      </c>
    </row>
    <row r="191">
      <c r="A191" s="96" t="n"/>
      <c r="B191" s="96" t="n"/>
      <c r="C191" s="96" t="n"/>
      <c r="D191" s="97" t="n"/>
      <c r="E191" s="98" t="n"/>
      <c r="F191" s="99" t="n"/>
      <c r="G191" s="100" t="n"/>
      <c r="H191" s="101" t="str">
        <f>IF(A191="","",IF(AND(p_ModoCot="Automático",ISNUMBER(Z191)),Z191,IF(N(G191)&gt;0,G191,0)))</f>
        <v/>
      </c>
      <c r="I191" s="73" t="str">
        <f>IF(A191="","",IF(W191=0,"Sem câmbio",IF(AND(p_ModoCot="Automático",ISNUMBER(Z191)),"Auto",IF(N(G191)&gt;0,"Manual","Sem cotação"))))</f>
        <v/>
      </c>
      <c r="J191" s="102" t="str">
        <f>IF(A191="","",N(E191)*H191)</f>
        <v/>
      </c>
      <c r="K191" s="70" t="str">
        <f>IF(A191="","",J191*W191)</f>
        <v/>
      </c>
      <c r="L191" s="30" t="str">
        <f>IF(A191="","",IF($K$6&gt;0,K191/$K$6,0))</f>
        <v/>
      </c>
      <c r="M191" s="72" t="str">
        <f>IF(A191="","",N(F191)-L191)</f>
        <v/>
      </c>
      <c r="N191" s="30" t="str">
        <f>IF(A191="","",IF($AB$6&gt;0,AB191/$AB$6,0))</f>
        <v/>
      </c>
      <c r="O191" s="74" t="str">
        <f>IF(A191="","",IF(AB191&lt;=0,"",COUNTIF($AB$9:$AB$208,"&gt;"&amp;AB191)+COUNTIF($AB$9:AB191,AB191)))</f>
        <v/>
      </c>
      <c r="P191" s="73" t="str">
        <f>IF(A191="","",IF(Q191&gt;0,"BUY","HOLD"))</f>
        <v/>
      </c>
      <c r="Q191" s="70" t="str">
        <f>IF(A191="","",IF($W$7&lt;=0,0,IF($AC$6&gt;0,$W$7*AC191/$AC$6,IF($F$6&gt;0,$W$7*N(F191)/$F$6,0))))</f>
        <v/>
      </c>
      <c r="R191" s="103" t="str">
        <f>IF(A191="","",N(AD191)+IF(AI191=1,N(AG191),0))</f>
        <v/>
      </c>
      <c r="S191" s="103" t="str">
        <f>IF(A191="","",N(E191)+N(R191))</f>
        <v/>
      </c>
      <c r="T191" s="70" t="str">
        <f>IF(A191="","",IF(N(R191)&gt;0,R191*H191*W191*$W$6+p_CorrFixa,0))</f>
        <v/>
      </c>
      <c r="V191" s="85" t="str">
        <f>IF(A191="","",IF(D191="",$W$1,D191))</f>
        <v/>
      </c>
      <c r="W191" s="85" t="str">
        <f>IF(A191="","",IFERROR(INDEX(moeda_fx,MATCH(V191,moeda_cod,0)),0))</f>
        <v/>
      </c>
      <c r="X191" s="85" t="str">
        <f>IF(A191="","",IF($W$2="",UPPER(TRIM(A191)),IF(RIGHT(UPPER(TRIM(A191)),LEN($W$2))=$W$2,UPPER(TRIM(A191)),UPPER(TRIM(A191))&amp;$W$2)))</f>
        <v/>
      </c>
      <c r="Y191" s="85" t="str">
        <f>IF(OR(A191="",p_ModoCot&lt;&gt;"Automático"),"",IFERROR(_xlfn.WEBSERVICE("https://query1.finance.yahoo.com/v8/finance/chart/"&amp;X191&amp;"?range=1d&amp;interval=1d"),""))</f>
        <v/>
      </c>
      <c r="Z191" s="85" t="str">
        <f>IF(Y191="","",IFERROR(_xlfn.NUMBERVALUE(MID(Y191,SEARCH("""regularMarketPrice"":",Y191)+21,SEARCH(",",Y191&amp;",",SEARCH("""regularMarketPrice"":",Y191)+21)-SEARCH("""regularMarketPrice"":",Y191)-21),".",","),""))</f>
        <v/>
      </c>
      <c r="AA191" s="85" t="str">
        <f>IF(A191="","",ROUND(MAX(0,N(F191)*($K$6+$W$7)-K191),2))</f>
        <v/>
      </c>
      <c r="AB191" s="85" t="str">
        <f>IF(A191="","",IF(AND(M191&gt;0,M191&gt;=p_DifMin),AA191,0))</f>
        <v/>
      </c>
      <c r="AC191" s="85" t="str">
        <f>IF(A191="","",IF(AND(AB191&gt;0,N(O191)&lt;=p_MaxAtivos),AB191,0))</f>
        <v/>
      </c>
      <c r="AD191" s="85" t="str">
        <f>IF(A191="","",IF(OR(Q191&lt;=0,Q191&lt;p_CompraMin,N(H191)&lt;=0,N(W191)&lt;=0),0,IF($W$3="Sim",TRUNC(ROUND(MAX(0,(Q191-p_CorrFixa)/(H191*W191*$W$6)),9),$W$4),TRUNC(ROUND(MAX(0,(Q191-p_CorrFixa)/(H191*W191*$W$6)),9)/$W$5)*$W$5)))</f>
        <v/>
      </c>
      <c r="AE191" s="85" t="str">
        <f>IF(A191="","",IF(N(AD191)&gt;0,AD191*H191*W191*$W$6+p_CorrFixa,0))</f>
        <v/>
      </c>
      <c r="AF191" s="85" t="str">
        <f>IF(A191="","",IF(OR($Y$1&lt;=0,N(H191)&lt;=0,N(W191)&lt;=0,N(AB191)&lt;=0),0,IF($W$3="Sim",TRUNC(ROUND(MAX(0,($Y$1-IF(N(AD191)&gt;0,0,p_CorrFixa))/(H191*W191*$W$6)),9),$W$4),TRUNC(ROUND(MAX(0,($Y$1-IF(N(AD191)&gt;0,0,p_CorrFixa))/(H191*W191*$W$6)),9)/$W$5)*$W$5)))</f>
        <v/>
      </c>
      <c r="AG191" s="85" t="str">
        <f>IF(A191="","",IF(AND(N(AD191)=0,N(AF191)*(H191*W191*$W$6)+p_CorrFixa&lt;p_CompraMin),0,AF191))</f>
        <v/>
      </c>
      <c r="AH191" s="85" t="str">
        <f>IF(A191="","",IF(N(AG191)&gt;0,AB191,0))</f>
        <v/>
      </c>
      <c r="AI191" s="85" t="str">
        <f>IF(A191="","",IF(AND(AH191&gt;0,AH191=$AH$6,COUNTIF($AH$9:AH191,AH191)=1),1,0))</f>
        <v/>
      </c>
    </row>
    <row r="192">
      <c r="A192" s="96" t="n"/>
      <c r="B192" s="96" t="n"/>
      <c r="C192" s="96" t="n"/>
      <c r="D192" s="97" t="n"/>
      <c r="E192" s="98" t="n"/>
      <c r="F192" s="99" t="n"/>
      <c r="G192" s="100" t="n"/>
      <c r="H192" s="104" t="str">
        <f>IF(A192="","",IF(AND(p_ModoCot="Automático",ISNUMBER(Z192)),Z192,IF(N(G192)&gt;0,G192,0)))</f>
        <v/>
      </c>
      <c r="I192" s="105" t="str">
        <f>IF(A192="","",IF(W192=0,"Sem câmbio",IF(AND(p_ModoCot="Automático",ISNUMBER(Z192)),"Auto",IF(N(G192)&gt;0,"Manual","Sem cotação"))))</f>
        <v/>
      </c>
      <c r="J192" s="106" t="str">
        <f>IF(A192="","",N(E192)*H192)</f>
        <v/>
      </c>
      <c r="K192" s="107" t="str">
        <f>IF(A192="","",J192*W192)</f>
        <v/>
      </c>
      <c r="L192" s="108" t="str">
        <f>IF(A192="","",IF($K$6&gt;0,K192/$K$6,0))</f>
        <v/>
      </c>
      <c r="M192" s="109" t="str">
        <f>IF(A192="","",N(F192)-L192)</f>
        <v/>
      </c>
      <c r="N192" s="108" t="str">
        <f>IF(A192="","",IF($AB$6&gt;0,AB192/$AB$6,0))</f>
        <v/>
      </c>
      <c r="O192" s="110" t="str">
        <f>IF(A192="","",IF(AB192&lt;=0,"",COUNTIF($AB$9:$AB$208,"&gt;"&amp;AB192)+COUNTIF($AB$9:AB192,AB192)))</f>
        <v/>
      </c>
      <c r="P192" s="105" t="str">
        <f>IF(A192="","",IF(Q192&gt;0,"BUY","HOLD"))</f>
        <v/>
      </c>
      <c r="Q192" s="107" t="str">
        <f>IF(A192="","",IF($W$7&lt;=0,0,IF($AC$6&gt;0,$W$7*AC192/$AC$6,IF($F$6&gt;0,$W$7*N(F192)/$F$6,0))))</f>
        <v/>
      </c>
      <c r="R192" s="111" t="str">
        <f>IF(A192="","",N(AD192)+IF(AI192=1,N(AG192),0))</f>
        <v/>
      </c>
      <c r="S192" s="111" t="str">
        <f>IF(A192="","",N(E192)+N(R192))</f>
        <v/>
      </c>
      <c r="T192" s="107" t="str">
        <f>IF(A192="","",IF(N(R192)&gt;0,R192*H192*W192*$W$6+p_CorrFixa,0))</f>
        <v/>
      </c>
      <c r="V192" s="85" t="str">
        <f>IF(A192="","",IF(D192="",$W$1,D192))</f>
        <v/>
      </c>
      <c r="W192" s="85" t="str">
        <f>IF(A192="","",IFERROR(INDEX(moeda_fx,MATCH(V192,moeda_cod,0)),0))</f>
        <v/>
      </c>
      <c r="X192" s="85" t="str">
        <f>IF(A192="","",IF($W$2="",UPPER(TRIM(A192)),IF(RIGHT(UPPER(TRIM(A192)),LEN($W$2))=$W$2,UPPER(TRIM(A192)),UPPER(TRIM(A192))&amp;$W$2)))</f>
        <v/>
      </c>
      <c r="Y192" s="85" t="str">
        <f>IF(OR(A192="",p_ModoCot&lt;&gt;"Automático"),"",IFERROR(_xlfn.WEBSERVICE("https://query1.finance.yahoo.com/v8/finance/chart/"&amp;X192&amp;"?range=1d&amp;interval=1d"),""))</f>
        <v/>
      </c>
      <c r="Z192" s="85" t="str">
        <f>IF(Y192="","",IFERROR(_xlfn.NUMBERVALUE(MID(Y192,SEARCH("""regularMarketPrice"":",Y192)+21,SEARCH(",",Y192&amp;",",SEARCH("""regularMarketPrice"":",Y192)+21)-SEARCH("""regularMarketPrice"":",Y192)-21),".",","),""))</f>
        <v/>
      </c>
      <c r="AA192" s="85" t="str">
        <f>IF(A192="","",ROUND(MAX(0,N(F192)*($K$6+$W$7)-K192),2))</f>
        <v/>
      </c>
      <c r="AB192" s="85" t="str">
        <f>IF(A192="","",IF(AND(M192&gt;0,M192&gt;=p_DifMin),AA192,0))</f>
        <v/>
      </c>
      <c r="AC192" s="85" t="str">
        <f>IF(A192="","",IF(AND(AB192&gt;0,N(O192)&lt;=p_MaxAtivos),AB192,0))</f>
        <v/>
      </c>
      <c r="AD192" s="85" t="str">
        <f>IF(A192="","",IF(OR(Q192&lt;=0,Q192&lt;p_CompraMin,N(H192)&lt;=0,N(W192)&lt;=0),0,IF($W$3="Sim",TRUNC(ROUND(MAX(0,(Q192-p_CorrFixa)/(H192*W192*$W$6)),9),$W$4),TRUNC(ROUND(MAX(0,(Q192-p_CorrFixa)/(H192*W192*$W$6)),9)/$W$5)*$W$5)))</f>
        <v/>
      </c>
      <c r="AE192" s="85" t="str">
        <f>IF(A192="","",IF(N(AD192)&gt;0,AD192*H192*W192*$W$6+p_CorrFixa,0))</f>
        <v/>
      </c>
      <c r="AF192" s="85" t="str">
        <f>IF(A192="","",IF(OR($Y$1&lt;=0,N(H192)&lt;=0,N(W192)&lt;=0,N(AB192)&lt;=0),0,IF($W$3="Sim",TRUNC(ROUND(MAX(0,($Y$1-IF(N(AD192)&gt;0,0,p_CorrFixa))/(H192*W192*$W$6)),9),$W$4),TRUNC(ROUND(MAX(0,($Y$1-IF(N(AD192)&gt;0,0,p_CorrFixa))/(H192*W192*$W$6)),9)/$W$5)*$W$5)))</f>
        <v/>
      </c>
      <c r="AG192" s="85" t="str">
        <f>IF(A192="","",IF(AND(N(AD192)=0,N(AF192)*(H192*W192*$W$6)+p_CorrFixa&lt;p_CompraMin),0,AF192))</f>
        <v/>
      </c>
      <c r="AH192" s="85" t="str">
        <f>IF(A192="","",IF(N(AG192)&gt;0,AB192,0))</f>
        <v/>
      </c>
      <c r="AI192" s="85" t="str">
        <f>IF(A192="","",IF(AND(AH192&gt;0,AH192=$AH$6,COUNTIF($AH$9:AH192,AH192)=1),1,0))</f>
        <v/>
      </c>
    </row>
    <row r="193">
      <c r="A193" s="96" t="n"/>
      <c r="B193" s="96" t="n"/>
      <c r="C193" s="96" t="n"/>
      <c r="D193" s="97" t="n"/>
      <c r="E193" s="98" t="n"/>
      <c r="F193" s="99" t="n"/>
      <c r="G193" s="100" t="n"/>
      <c r="H193" s="101" t="str">
        <f>IF(A193="","",IF(AND(p_ModoCot="Automático",ISNUMBER(Z193)),Z193,IF(N(G193)&gt;0,G193,0)))</f>
        <v/>
      </c>
      <c r="I193" s="73" t="str">
        <f>IF(A193="","",IF(W193=0,"Sem câmbio",IF(AND(p_ModoCot="Automático",ISNUMBER(Z193)),"Auto",IF(N(G193)&gt;0,"Manual","Sem cotação"))))</f>
        <v/>
      </c>
      <c r="J193" s="102" t="str">
        <f>IF(A193="","",N(E193)*H193)</f>
        <v/>
      </c>
      <c r="K193" s="70" t="str">
        <f>IF(A193="","",J193*W193)</f>
        <v/>
      </c>
      <c r="L193" s="30" t="str">
        <f>IF(A193="","",IF($K$6&gt;0,K193/$K$6,0))</f>
        <v/>
      </c>
      <c r="M193" s="72" t="str">
        <f>IF(A193="","",N(F193)-L193)</f>
        <v/>
      </c>
      <c r="N193" s="30" t="str">
        <f>IF(A193="","",IF($AB$6&gt;0,AB193/$AB$6,0))</f>
        <v/>
      </c>
      <c r="O193" s="74" t="str">
        <f>IF(A193="","",IF(AB193&lt;=0,"",COUNTIF($AB$9:$AB$208,"&gt;"&amp;AB193)+COUNTIF($AB$9:AB193,AB193)))</f>
        <v/>
      </c>
      <c r="P193" s="73" t="str">
        <f>IF(A193="","",IF(Q193&gt;0,"BUY","HOLD"))</f>
        <v/>
      </c>
      <c r="Q193" s="70" t="str">
        <f>IF(A193="","",IF($W$7&lt;=0,0,IF($AC$6&gt;0,$W$7*AC193/$AC$6,IF($F$6&gt;0,$W$7*N(F193)/$F$6,0))))</f>
        <v/>
      </c>
      <c r="R193" s="103" t="str">
        <f>IF(A193="","",N(AD193)+IF(AI193=1,N(AG193),0))</f>
        <v/>
      </c>
      <c r="S193" s="103" t="str">
        <f>IF(A193="","",N(E193)+N(R193))</f>
        <v/>
      </c>
      <c r="T193" s="70" t="str">
        <f>IF(A193="","",IF(N(R193)&gt;0,R193*H193*W193*$W$6+p_CorrFixa,0))</f>
        <v/>
      </c>
      <c r="V193" s="85" t="str">
        <f>IF(A193="","",IF(D193="",$W$1,D193))</f>
        <v/>
      </c>
      <c r="W193" s="85" t="str">
        <f>IF(A193="","",IFERROR(INDEX(moeda_fx,MATCH(V193,moeda_cod,0)),0))</f>
        <v/>
      </c>
      <c r="X193" s="85" t="str">
        <f>IF(A193="","",IF($W$2="",UPPER(TRIM(A193)),IF(RIGHT(UPPER(TRIM(A193)),LEN($W$2))=$W$2,UPPER(TRIM(A193)),UPPER(TRIM(A193))&amp;$W$2)))</f>
        <v/>
      </c>
      <c r="Y193" s="85" t="str">
        <f>IF(OR(A193="",p_ModoCot&lt;&gt;"Automático"),"",IFERROR(_xlfn.WEBSERVICE("https://query1.finance.yahoo.com/v8/finance/chart/"&amp;X193&amp;"?range=1d&amp;interval=1d"),""))</f>
        <v/>
      </c>
      <c r="Z193" s="85" t="str">
        <f>IF(Y193="","",IFERROR(_xlfn.NUMBERVALUE(MID(Y193,SEARCH("""regularMarketPrice"":",Y193)+21,SEARCH(",",Y193&amp;",",SEARCH("""regularMarketPrice"":",Y193)+21)-SEARCH("""regularMarketPrice"":",Y193)-21),".",","),""))</f>
        <v/>
      </c>
      <c r="AA193" s="85" t="str">
        <f>IF(A193="","",ROUND(MAX(0,N(F193)*($K$6+$W$7)-K193),2))</f>
        <v/>
      </c>
      <c r="AB193" s="85" t="str">
        <f>IF(A193="","",IF(AND(M193&gt;0,M193&gt;=p_DifMin),AA193,0))</f>
        <v/>
      </c>
      <c r="AC193" s="85" t="str">
        <f>IF(A193="","",IF(AND(AB193&gt;0,N(O193)&lt;=p_MaxAtivos),AB193,0))</f>
        <v/>
      </c>
      <c r="AD193" s="85" t="str">
        <f>IF(A193="","",IF(OR(Q193&lt;=0,Q193&lt;p_CompraMin,N(H193)&lt;=0,N(W193)&lt;=0),0,IF($W$3="Sim",TRUNC(ROUND(MAX(0,(Q193-p_CorrFixa)/(H193*W193*$W$6)),9),$W$4),TRUNC(ROUND(MAX(0,(Q193-p_CorrFixa)/(H193*W193*$W$6)),9)/$W$5)*$W$5)))</f>
        <v/>
      </c>
      <c r="AE193" s="85" t="str">
        <f>IF(A193="","",IF(N(AD193)&gt;0,AD193*H193*W193*$W$6+p_CorrFixa,0))</f>
        <v/>
      </c>
      <c r="AF193" s="85" t="str">
        <f>IF(A193="","",IF(OR($Y$1&lt;=0,N(H193)&lt;=0,N(W193)&lt;=0,N(AB193)&lt;=0),0,IF($W$3="Sim",TRUNC(ROUND(MAX(0,($Y$1-IF(N(AD193)&gt;0,0,p_CorrFixa))/(H193*W193*$W$6)),9),$W$4),TRUNC(ROUND(MAX(0,($Y$1-IF(N(AD193)&gt;0,0,p_CorrFixa))/(H193*W193*$W$6)),9)/$W$5)*$W$5)))</f>
        <v/>
      </c>
      <c r="AG193" s="85" t="str">
        <f>IF(A193="","",IF(AND(N(AD193)=0,N(AF193)*(H193*W193*$W$6)+p_CorrFixa&lt;p_CompraMin),0,AF193))</f>
        <v/>
      </c>
      <c r="AH193" s="85" t="str">
        <f>IF(A193="","",IF(N(AG193)&gt;0,AB193,0))</f>
        <v/>
      </c>
      <c r="AI193" s="85" t="str">
        <f>IF(A193="","",IF(AND(AH193&gt;0,AH193=$AH$6,COUNTIF($AH$9:AH193,AH193)=1),1,0))</f>
        <v/>
      </c>
    </row>
    <row r="194">
      <c r="A194" s="96" t="n"/>
      <c r="B194" s="96" t="n"/>
      <c r="C194" s="96" t="n"/>
      <c r="D194" s="97" t="n"/>
      <c r="E194" s="98" t="n"/>
      <c r="F194" s="99" t="n"/>
      <c r="G194" s="100" t="n"/>
      <c r="H194" s="104" t="str">
        <f>IF(A194="","",IF(AND(p_ModoCot="Automático",ISNUMBER(Z194)),Z194,IF(N(G194)&gt;0,G194,0)))</f>
        <v/>
      </c>
      <c r="I194" s="105" t="str">
        <f>IF(A194="","",IF(W194=0,"Sem câmbio",IF(AND(p_ModoCot="Automático",ISNUMBER(Z194)),"Auto",IF(N(G194)&gt;0,"Manual","Sem cotação"))))</f>
        <v/>
      </c>
      <c r="J194" s="106" t="str">
        <f>IF(A194="","",N(E194)*H194)</f>
        <v/>
      </c>
      <c r="K194" s="107" t="str">
        <f>IF(A194="","",J194*W194)</f>
        <v/>
      </c>
      <c r="L194" s="108" t="str">
        <f>IF(A194="","",IF($K$6&gt;0,K194/$K$6,0))</f>
        <v/>
      </c>
      <c r="M194" s="109" t="str">
        <f>IF(A194="","",N(F194)-L194)</f>
        <v/>
      </c>
      <c r="N194" s="108" t="str">
        <f>IF(A194="","",IF($AB$6&gt;0,AB194/$AB$6,0))</f>
        <v/>
      </c>
      <c r="O194" s="110" t="str">
        <f>IF(A194="","",IF(AB194&lt;=0,"",COUNTIF($AB$9:$AB$208,"&gt;"&amp;AB194)+COUNTIF($AB$9:AB194,AB194)))</f>
        <v/>
      </c>
      <c r="P194" s="105" t="str">
        <f>IF(A194="","",IF(Q194&gt;0,"BUY","HOLD"))</f>
        <v/>
      </c>
      <c r="Q194" s="107" t="str">
        <f>IF(A194="","",IF($W$7&lt;=0,0,IF($AC$6&gt;0,$W$7*AC194/$AC$6,IF($F$6&gt;0,$W$7*N(F194)/$F$6,0))))</f>
        <v/>
      </c>
      <c r="R194" s="111" t="str">
        <f>IF(A194="","",N(AD194)+IF(AI194=1,N(AG194),0))</f>
        <v/>
      </c>
      <c r="S194" s="111" t="str">
        <f>IF(A194="","",N(E194)+N(R194))</f>
        <v/>
      </c>
      <c r="T194" s="107" t="str">
        <f>IF(A194="","",IF(N(R194)&gt;0,R194*H194*W194*$W$6+p_CorrFixa,0))</f>
        <v/>
      </c>
      <c r="V194" s="85" t="str">
        <f>IF(A194="","",IF(D194="",$W$1,D194))</f>
        <v/>
      </c>
      <c r="W194" s="85" t="str">
        <f>IF(A194="","",IFERROR(INDEX(moeda_fx,MATCH(V194,moeda_cod,0)),0))</f>
        <v/>
      </c>
      <c r="X194" s="85" t="str">
        <f>IF(A194="","",IF($W$2="",UPPER(TRIM(A194)),IF(RIGHT(UPPER(TRIM(A194)),LEN($W$2))=$W$2,UPPER(TRIM(A194)),UPPER(TRIM(A194))&amp;$W$2)))</f>
        <v/>
      </c>
      <c r="Y194" s="85" t="str">
        <f>IF(OR(A194="",p_ModoCot&lt;&gt;"Automático"),"",IFERROR(_xlfn.WEBSERVICE("https://query1.finance.yahoo.com/v8/finance/chart/"&amp;X194&amp;"?range=1d&amp;interval=1d"),""))</f>
        <v/>
      </c>
      <c r="Z194" s="85" t="str">
        <f>IF(Y194="","",IFERROR(_xlfn.NUMBERVALUE(MID(Y194,SEARCH("""regularMarketPrice"":",Y194)+21,SEARCH(",",Y194&amp;",",SEARCH("""regularMarketPrice"":",Y194)+21)-SEARCH("""regularMarketPrice"":",Y194)-21),".",","),""))</f>
        <v/>
      </c>
      <c r="AA194" s="85" t="str">
        <f>IF(A194="","",ROUND(MAX(0,N(F194)*($K$6+$W$7)-K194),2))</f>
        <v/>
      </c>
      <c r="AB194" s="85" t="str">
        <f>IF(A194="","",IF(AND(M194&gt;0,M194&gt;=p_DifMin),AA194,0))</f>
        <v/>
      </c>
      <c r="AC194" s="85" t="str">
        <f>IF(A194="","",IF(AND(AB194&gt;0,N(O194)&lt;=p_MaxAtivos),AB194,0))</f>
        <v/>
      </c>
      <c r="AD194" s="85" t="str">
        <f>IF(A194="","",IF(OR(Q194&lt;=0,Q194&lt;p_CompraMin,N(H194)&lt;=0,N(W194)&lt;=0),0,IF($W$3="Sim",TRUNC(ROUND(MAX(0,(Q194-p_CorrFixa)/(H194*W194*$W$6)),9),$W$4),TRUNC(ROUND(MAX(0,(Q194-p_CorrFixa)/(H194*W194*$W$6)),9)/$W$5)*$W$5)))</f>
        <v/>
      </c>
      <c r="AE194" s="85" t="str">
        <f>IF(A194="","",IF(N(AD194)&gt;0,AD194*H194*W194*$W$6+p_CorrFixa,0))</f>
        <v/>
      </c>
      <c r="AF194" s="85" t="str">
        <f>IF(A194="","",IF(OR($Y$1&lt;=0,N(H194)&lt;=0,N(W194)&lt;=0,N(AB194)&lt;=0),0,IF($W$3="Sim",TRUNC(ROUND(MAX(0,($Y$1-IF(N(AD194)&gt;0,0,p_CorrFixa))/(H194*W194*$W$6)),9),$W$4),TRUNC(ROUND(MAX(0,($Y$1-IF(N(AD194)&gt;0,0,p_CorrFixa))/(H194*W194*$W$6)),9)/$W$5)*$W$5)))</f>
        <v/>
      </c>
      <c r="AG194" s="85" t="str">
        <f>IF(A194="","",IF(AND(N(AD194)=0,N(AF194)*(H194*W194*$W$6)+p_CorrFixa&lt;p_CompraMin),0,AF194))</f>
        <v/>
      </c>
      <c r="AH194" s="85" t="str">
        <f>IF(A194="","",IF(N(AG194)&gt;0,AB194,0))</f>
        <v/>
      </c>
      <c r="AI194" s="85" t="str">
        <f>IF(A194="","",IF(AND(AH194&gt;0,AH194=$AH$6,COUNTIF($AH$9:AH194,AH194)=1),1,0))</f>
        <v/>
      </c>
    </row>
    <row r="195">
      <c r="A195" s="96" t="n"/>
      <c r="B195" s="96" t="n"/>
      <c r="C195" s="96" t="n"/>
      <c r="D195" s="97" t="n"/>
      <c r="E195" s="98" t="n"/>
      <c r="F195" s="99" t="n"/>
      <c r="G195" s="100" t="n"/>
      <c r="H195" s="101" t="str">
        <f>IF(A195="","",IF(AND(p_ModoCot="Automático",ISNUMBER(Z195)),Z195,IF(N(G195)&gt;0,G195,0)))</f>
        <v/>
      </c>
      <c r="I195" s="73" t="str">
        <f>IF(A195="","",IF(W195=0,"Sem câmbio",IF(AND(p_ModoCot="Automático",ISNUMBER(Z195)),"Auto",IF(N(G195)&gt;0,"Manual","Sem cotação"))))</f>
        <v/>
      </c>
      <c r="J195" s="102" t="str">
        <f>IF(A195="","",N(E195)*H195)</f>
        <v/>
      </c>
      <c r="K195" s="70" t="str">
        <f>IF(A195="","",J195*W195)</f>
        <v/>
      </c>
      <c r="L195" s="30" t="str">
        <f>IF(A195="","",IF($K$6&gt;0,K195/$K$6,0))</f>
        <v/>
      </c>
      <c r="M195" s="72" t="str">
        <f>IF(A195="","",N(F195)-L195)</f>
        <v/>
      </c>
      <c r="N195" s="30" t="str">
        <f>IF(A195="","",IF($AB$6&gt;0,AB195/$AB$6,0))</f>
        <v/>
      </c>
      <c r="O195" s="74" t="str">
        <f>IF(A195="","",IF(AB195&lt;=0,"",COUNTIF($AB$9:$AB$208,"&gt;"&amp;AB195)+COUNTIF($AB$9:AB195,AB195)))</f>
        <v/>
      </c>
      <c r="P195" s="73" t="str">
        <f>IF(A195="","",IF(Q195&gt;0,"BUY","HOLD"))</f>
        <v/>
      </c>
      <c r="Q195" s="70" t="str">
        <f>IF(A195="","",IF($W$7&lt;=0,0,IF($AC$6&gt;0,$W$7*AC195/$AC$6,IF($F$6&gt;0,$W$7*N(F195)/$F$6,0))))</f>
        <v/>
      </c>
      <c r="R195" s="103" t="str">
        <f>IF(A195="","",N(AD195)+IF(AI195=1,N(AG195),0))</f>
        <v/>
      </c>
      <c r="S195" s="103" t="str">
        <f>IF(A195="","",N(E195)+N(R195))</f>
        <v/>
      </c>
      <c r="T195" s="70" t="str">
        <f>IF(A195="","",IF(N(R195)&gt;0,R195*H195*W195*$W$6+p_CorrFixa,0))</f>
        <v/>
      </c>
      <c r="V195" s="85" t="str">
        <f>IF(A195="","",IF(D195="",$W$1,D195))</f>
        <v/>
      </c>
      <c r="W195" s="85" t="str">
        <f>IF(A195="","",IFERROR(INDEX(moeda_fx,MATCH(V195,moeda_cod,0)),0))</f>
        <v/>
      </c>
      <c r="X195" s="85" t="str">
        <f>IF(A195="","",IF($W$2="",UPPER(TRIM(A195)),IF(RIGHT(UPPER(TRIM(A195)),LEN($W$2))=$W$2,UPPER(TRIM(A195)),UPPER(TRIM(A195))&amp;$W$2)))</f>
        <v/>
      </c>
      <c r="Y195" s="85" t="str">
        <f>IF(OR(A195="",p_ModoCot&lt;&gt;"Automático"),"",IFERROR(_xlfn.WEBSERVICE("https://query1.finance.yahoo.com/v8/finance/chart/"&amp;X195&amp;"?range=1d&amp;interval=1d"),""))</f>
        <v/>
      </c>
      <c r="Z195" s="85" t="str">
        <f>IF(Y195="","",IFERROR(_xlfn.NUMBERVALUE(MID(Y195,SEARCH("""regularMarketPrice"":",Y195)+21,SEARCH(",",Y195&amp;",",SEARCH("""regularMarketPrice"":",Y195)+21)-SEARCH("""regularMarketPrice"":",Y195)-21),".",","),""))</f>
        <v/>
      </c>
      <c r="AA195" s="85" t="str">
        <f>IF(A195="","",ROUND(MAX(0,N(F195)*($K$6+$W$7)-K195),2))</f>
        <v/>
      </c>
      <c r="AB195" s="85" t="str">
        <f>IF(A195="","",IF(AND(M195&gt;0,M195&gt;=p_DifMin),AA195,0))</f>
        <v/>
      </c>
      <c r="AC195" s="85" t="str">
        <f>IF(A195="","",IF(AND(AB195&gt;0,N(O195)&lt;=p_MaxAtivos),AB195,0))</f>
        <v/>
      </c>
      <c r="AD195" s="85" t="str">
        <f>IF(A195="","",IF(OR(Q195&lt;=0,Q195&lt;p_CompraMin,N(H195)&lt;=0,N(W195)&lt;=0),0,IF($W$3="Sim",TRUNC(ROUND(MAX(0,(Q195-p_CorrFixa)/(H195*W195*$W$6)),9),$W$4),TRUNC(ROUND(MAX(0,(Q195-p_CorrFixa)/(H195*W195*$W$6)),9)/$W$5)*$W$5)))</f>
        <v/>
      </c>
      <c r="AE195" s="85" t="str">
        <f>IF(A195="","",IF(N(AD195)&gt;0,AD195*H195*W195*$W$6+p_CorrFixa,0))</f>
        <v/>
      </c>
      <c r="AF195" s="85" t="str">
        <f>IF(A195="","",IF(OR($Y$1&lt;=0,N(H195)&lt;=0,N(W195)&lt;=0,N(AB195)&lt;=0),0,IF($W$3="Sim",TRUNC(ROUND(MAX(0,($Y$1-IF(N(AD195)&gt;0,0,p_CorrFixa))/(H195*W195*$W$6)),9),$W$4),TRUNC(ROUND(MAX(0,($Y$1-IF(N(AD195)&gt;0,0,p_CorrFixa))/(H195*W195*$W$6)),9)/$W$5)*$W$5)))</f>
        <v/>
      </c>
      <c r="AG195" s="85" t="str">
        <f>IF(A195="","",IF(AND(N(AD195)=0,N(AF195)*(H195*W195*$W$6)+p_CorrFixa&lt;p_CompraMin),0,AF195))</f>
        <v/>
      </c>
      <c r="AH195" s="85" t="str">
        <f>IF(A195="","",IF(N(AG195)&gt;0,AB195,0))</f>
        <v/>
      </c>
      <c r="AI195" s="85" t="str">
        <f>IF(A195="","",IF(AND(AH195&gt;0,AH195=$AH$6,COUNTIF($AH$9:AH195,AH195)=1),1,0))</f>
        <v/>
      </c>
    </row>
    <row r="196">
      <c r="A196" s="96" t="n"/>
      <c r="B196" s="96" t="n"/>
      <c r="C196" s="96" t="n"/>
      <c r="D196" s="97" t="n"/>
      <c r="E196" s="98" t="n"/>
      <c r="F196" s="99" t="n"/>
      <c r="G196" s="100" t="n"/>
      <c r="H196" s="104" t="str">
        <f>IF(A196="","",IF(AND(p_ModoCot="Automático",ISNUMBER(Z196)),Z196,IF(N(G196)&gt;0,G196,0)))</f>
        <v/>
      </c>
      <c r="I196" s="105" t="str">
        <f>IF(A196="","",IF(W196=0,"Sem câmbio",IF(AND(p_ModoCot="Automático",ISNUMBER(Z196)),"Auto",IF(N(G196)&gt;0,"Manual","Sem cotação"))))</f>
        <v/>
      </c>
      <c r="J196" s="106" t="str">
        <f>IF(A196="","",N(E196)*H196)</f>
        <v/>
      </c>
      <c r="K196" s="107" t="str">
        <f>IF(A196="","",J196*W196)</f>
        <v/>
      </c>
      <c r="L196" s="108" t="str">
        <f>IF(A196="","",IF($K$6&gt;0,K196/$K$6,0))</f>
        <v/>
      </c>
      <c r="M196" s="109" t="str">
        <f>IF(A196="","",N(F196)-L196)</f>
        <v/>
      </c>
      <c r="N196" s="108" t="str">
        <f>IF(A196="","",IF($AB$6&gt;0,AB196/$AB$6,0))</f>
        <v/>
      </c>
      <c r="O196" s="110" t="str">
        <f>IF(A196="","",IF(AB196&lt;=0,"",COUNTIF($AB$9:$AB$208,"&gt;"&amp;AB196)+COUNTIF($AB$9:AB196,AB196)))</f>
        <v/>
      </c>
      <c r="P196" s="105" t="str">
        <f>IF(A196="","",IF(Q196&gt;0,"BUY","HOLD"))</f>
        <v/>
      </c>
      <c r="Q196" s="107" t="str">
        <f>IF(A196="","",IF($W$7&lt;=0,0,IF($AC$6&gt;0,$W$7*AC196/$AC$6,IF($F$6&gt;0,$W$7*N(F196)/$F$6,0))))</f>
        <v/>
      </c>
      <c r="R196" s="111" t="str">
        <f>IF(A196="","",N(AD196)+IF(AI196=1,N(AG196),0))</f>
        <v/>
      </c>
      <c r="S196" s="111" t="str">
        <f>IF(A196="","",N(E196)+N(R196))</f>
        <v/>
      </c>
      <c r="T196" s="107" t="str">
        <f>IF(A196="","",IF(N(R196)&gt;0,R196*H196*W196*$W$6+p_CorrFixa,0))</f>
        <v/>
      </c>
      <c r="V196" s="85" t="str">
        <f>IF(A196="","",IF(D196="",$W$1,D196))</f>
        <v/>
      </c>
      <c r="W196" s="85" t="str">
        <f>IF(A196="","",IFERROR(INDEX(moeda_fx,MATCH(V196,moeda_cod,0)),0))</f>
        <v/>
      </c>
      <c r="X196" s="85" t="str">
        <f>IF(A196="","",IF($W$2="",UPPER(TRIM(A196)),IF(RIGHT(UPPER(TRIM(A196)),LEN($W$2))=$W$2,UPPER(TRIM(A196)),UPPER(TRIM(A196))&amp;$W$2)))</f>
        <v/>
      </c>
      <c r="Y196" s="85" t="str">
        <f>IF(OR(A196="",p_ModoCot&lt;&gt;"Automático"),"",IFERROR(_xlfn.WEBSERVICE("https://query1.finance.yahoo.com/v8/finance/chart/"&amp;X196&amp;"?range=1d&amp;interval=1d"),""))</f>
        <v/>
      </c>
      <c r="Z196" s="85" t="str">
        <f>IF(Y196="","",IFERROR(_xlfn.NUMBERVALUE(MID(Y196,SEARCH("""regularMarketPrice"":",Y196)+21,SEARCH(",",Y196&amp;",",SEARCH("""regularMarketPrice"":",Y196)+21)-SEARCH("""regularMarketPrice"":",Y196)-21),".",","),""))</f>
        <v/>
      </c>
      <c r="AA196" s="85" t="str">
        <f>IF(A196="","",ROUND(MAX(0,N(F196)*($K$6+$W$7)-K196),2))</f>
        <v/>
      </c>
      <c r="AB196" s="85" t="str">
        <f>IF(A196="","",IF(AND(M196&gt;0,M196&gt;=p_DifMin),AA196,0))</f>
        <v/>
      </c>
      <c r="AC196" s="85" t="str">
        <f>IF(A196="","",IF(AND(AB196&gt;0,N(O196)&lt;=p_MaxAtivos),AB196,0))</f>
        <v/>
      </c>
      <c r="AD196" s="85" t="str">
        <f>IF(A196="","",IF(OR(Q196&lt;=0,Q196&lt;p_CompraMin,N(H196)&lt;=0,N(W196)&lt;=0),0,IF($W$3="Sim",TRUNC(ROUND(MAX(0,(Q196-p_CorrFixa)/(H196*W196*$W$6)),9),$W$4),TRUNC(ROUND(MAX(0,(Q196-p_CorrFixa)/(H196*W196*$W$6)),9)/$W$5)*$W$5)))</f>
        <v/>
      </c>
      <c r="AE196" s="85" t="str">
        <f>IF(A196="","",IF(N(AD196)&gt;0,AD196*H196*W196*$W$6+p_CorrFixa,0))</f>
        <v/>
      </c>
      <c r="AF196" s="85" t="str">
        <f>IF(A196="","",IF(OR($Y$1&lt;=0,N(H196)&lt;=0,N(W196)&lt;=0,N(AB196)&lt;=0),0,IF($W$3="Sim",TRUNC(ROUND(MAX(0,($Y$1-IF(N(AD196)&gt;0,0,p_CorrFixa))/(H196*W196*$W$6)),9),$W$4),TRUNC(ROUND(MAX(0,($Y$1-IF(N(AD196)&gt;0,0,p_CorrFixa))/(H196*W196*$W$6)),9)/$W$5)*$W$5)))</f>
        <v/>
      </c>
      <c r="AG196" s="85" t="str">
        <f>IF(A196="","",IF(AND(N(AD196)=0,N(AF196)*(H196*W196*$W$6)+p_CorrFixa&lt;p_CompraMin),0,AF196))</f>
        <v/>
      </c>
      <c r="AH196" s="85" t="str">
        <f>IF(A196="","",IF(N(AG196)&gt;0,AB196,0))</f>
        <v/>
      </c>
      <c r="AI196" s="85" t="str">
        <f>IF(A196="","",IF(AND(AH196&gt;0,AH196=$AH$6,COUNTIF($AH$9:AH196,AH196)=1),1,0))</f>
        <v/>
      </c>
    </row>
    <row r="197">
      <c r="A197" s="96" t="n"/>
      <c r="B197" s="96" t="n"/>
      <c r="C197" s="96" t="n"/>
      <c r="D197" s="97" t="n"/>
      <c r="E197" s="98" t="n"/>
      <c r="F197" s="99" t="n"/>
      <c r="G197" s="100" t="n"/>
      <c r="H197" s="101" t="str">
        <f>IF(A197="","",IF(AND(p_ModoCot="Automático",ISNUMBER(Z197)),Z197,IF(N(G197)&gt;0,G197,0)))</f>
        <v/>
      </c>
      <c r="I197" s="73" t="str">
        <f>IF(A197="","",IF(W197=0,"Sem câmbio",IF(AND(p_ModoCot="Automático",ISNUMBER(Z197)),"Auto",IF(N(G197)&gt;0,"Manual","Sem cotação"))))</f>
        <v/>
      </c>
      <c r="J197" s="102" t="str">
        <f>IF(A197="","",N(E197)*H197)</f>
        <v/>
      </c>
      <c r="K197" s="70" t="str">
        <f>IF(A197="","",J197*W197)</f>
        <v/>
      </c>
      <c r="L197" s="30" t="str">
        <f>IF(A197="","",IF($K$6&gt;0,K197/$K$6,0))</f>
        <v/>
      </c>
      <c r="M197" s="72" t="str">
        <f>IF(A197="","",N(F197)-L197)</f>
        <v/>
      </c>
      <c r="N197" s="30" t="str">
        <f>IF(A197="","",IF($AB$6&gt;0,AB197/$AB$6,0))</f>
        <v/>
      </c>
      <c r="O197" s="74" t="str">
        <f>IF(A197="","",IF(AB197&lt;=0,"",COUNTIF($AB$9:$AB$208,"&gt;"&amp;AB197)+COUNTIF($AB$9:AB197,AB197)))</f>
        <v/>
      </c>
      <c r="P197" s="73" t="str">
        <f>IF(A197="","",IF(Q197&gt;0,"BUY","HOLD"))</f>
        <v/>
      </c>
      <c r="Q197" s="70" t="str">
        <f>IF(A197="","",IF($W$7&lt;=0,0,IF($AC$6&gt;0,$W$7*AC197/$AC$6,IF($F$6&gt;0,$W$7*N(F197)/$F$6,0))))</f>
        <v/>
      </c>
      <c r="R197" s="103" t="str">
        <f>IF(A197="","",N(AD197)+IF(AI197=1,N(AG197),0))</f>
        <v/>
      </c>
      <c r="S197" s="103" t="str">
        <f>IF(A197="","",N(E197)+N(R197))</f>
        <v/>
      </c>
      <c r="T197" s="70" t="str">
        <f>IF(A197="","",IF(N(R197)&gt;0,R197*H197*W197*$W$6+p_CorrFixa,0))</f>
        <v/>
      </c>
      <c r="V197" s="85" t="str">
        <f>IF(A197="","",IF(D197="",$W$1,D197))</f>
        <v/>
      </c>
      <c r="W197" s="85" t="str">
        <f>IF(A197="","",IFERROR(INDEX(moeda_fx,MATCH(V197,moeda_cod,0)),0))</f>
        <v/>
      </c>
      <c r="X197" s="85" t="str">
        <f>IF(A197="","",IF($W$2="",UPPER(TRIM(A197)),IF(RIGHT(UPPER(TRIM(A197)),LEN($W$2))=$W$2,UPPER(TRIM(A197)),UPPER(TRIM(A197))&amp;$W$2)))</f>
        <v/>
      </c>
      <c r="Y197" s="85" t="str">
        <f>IF(OR(A197="",p_ModoCot&lt;&gt;"Automático"),"",IFERROR(_xlfn.WEBSERVICE("https://query1.finance.yahoo.com/v8/finance/chart/"&amp;X197&amp;"?range=1d&amp;interval=1d"),""))</f>
        <v/>
      </c>
      <c r="Z197" s="85" t="str">
        <f>IF(Y197="","",IFERROR(_xlfn.NUMBERVALUE(MID(Y197,SEARCH("""regularMarketPrice"":",Y197)+21,SEARCH(",",Y197&amp;",",SEARCH("""regularMarketPrice"":",Y197)+21)-SEARCH("""regularMarketPrice"":",Y197)-21),".",","),""))</f>
        <v/>
      </c>
      <c r="AA197" s="85" t="str">
        <f>IF(A197="","",ROUND(MAX(0,N(F197)*($K$6+$W$7)-K197),2))</f>
        <v/>
      </c>
      <c r="AB197" s="85" t="str">
        <f>IF(A197="","",IF(AND(M197&gt;0,M197&gt;=p_DifMin),AA197,0))</f>
        <v/>
      </c>
      <c r="AC197" s="85" t="str">
        <f>IF(A197="","",IF(AND(AB197&gt;0,N(O197)&lt;=p_MaxAtivos),AB197,0))</f>
        <v/>
      </c>
      <c r="AD197" s="85" t="str">
        <f>IF(A197="","",IF(OR(Q197&lt;=0,Q197&lt;p_CompraMin,N(H197)&lt;=0,N(W197)&lt;=0),0,IF($W$3="Sim",TRUNC(ROUND(MAX(0,(Q197-p_CorrFixa)/(H197*W197*$W$6)),9),$W$4),TRUNC(ROUND(MAX(0,(Q197-p_CorrFixa)/(H197*W197*$W$6)),9)/$W$5)*$W$5)))</f>
        <v/>
      </c>
      <c r="AE197" s="85" t="str">
        <f>IF(A197="","",IF(N(AD197)&gt;0,AD197*H197*W197*$W$6+p_CorrFixa,0))</f>
        <v/>
      </c>
      <c r="AF197" s="85" t="str">
        <f>IF(A197="","",IF(OR($Y$1&lt;=0,N(H197)&lt;=0,N(W197)&lt;=0,N(AB197)&lt;=0),0,IF($W$3="Sim",TRUNC(ROUND(MAX(0,($Y$1-IF(N(AD197)&gt;0,0,p_CorrFixa))/(H197*W197*$W$6)),9),$W$4),TRUNC(ROUND(MAX(0,($Y$1-IF(N(AD197)&gt;0,0,p_CorrFixa))/(H197*W197*$W$6)),9)/$W$5)*$W$5)))</f>
        <v/>
      </c>
      <c r="AG197" s="85" t="str">
        <f>IF(A197="","",IF(AND(N(AD197)=0,N(AF197)*(H197*W197*$W$6)+p_CorrFixa&lt;p_CompraMin),0,AF197))</f>
        <v/>
      </c>
      <c r="AH197" s="85" t="str">
        <f>IF(A197="","",IF(N(AG197)&gt;0,AB197,0))</f>
        <v/>
      </c>
      <c r="AI197" s="85" t="str">
        <f>IF(A197="","",IF(AND(AH197&gt;0,AH197=$AH$6,COUNTIF($AH$9:AH197,AH197)=1),1,0))</f>
        <v/>
      </c>
    </row>
    <row r="198">
      <c r="A198" s="96" t="n"/>
      <c r="B198" s="96" t="n"/>
      <c r="C198" s="96" t="n"/>
      <c r="D198" s="97" t="n"/>
      <c r="E198" s="98" t="n"/>
      <c r="F198" s="99" t="n"/>
      <c r="G198" s="100" t="n"/>
      <c r="H198" s="104" t="str">
        <f>IF(A198="","",IF(AND(p_ModoCot="Automático",ISNUMBER(Z198)),Z198,IF(N(G198)&gt;0,G198,0)))</f>
        <v/>
      </c>
      <c r="I198" s="105" t="str">
        <f>IF(A198="","",IF(W198=0,"Sem câmbio",IF(AND(p_ModoCot="Automático",ISNUMBER(Z198)),"Auto",IF(N(G198)&gt;0,"Manual","Sem cotação"))))</f>
        <v/>
      </c>
      <c r="J198" s="106" t="str">
        <f>IF(A198="","",N(E198)*H198)</f>
        <v/>
      </c>
      <c r="K198" s="107" t="str">
        <f>IF(A198="","",J198*W198)</f>
        <v/>
      </c>
      <c r="L198" s="108" t="str">
        <f>IF(A198="","",IF($K$6&gt;0,K198/$K$6,0))</f>
        <v/>
      </c>
      <c r="M198" s="109" t="str">
        <f>IF(A198="","",N(F198)-L198)</f>
        <v/>
      </c>
      <c r="N198" s="108" t="str">
        <f>IF(A198="","",IF($AB$6&gt;0,AB198/$AB$6,0))</f>
        <v/>
      </c>
      <c r="O198" s="110" t="str">
        <f>IF(A198="","",IF(AB198&lt;=0,"",COUNTIF($AB$9:$AB$208,"&gt;"&amp;AB198)+COUNTIF($AB$9:AB198,AB198)))</f>
        <v/>
      </c>
      <c r="P198" s="105" t="str">
        <f>IF(A198="","",IF(Q198&gt;0,"BUY","HOLD"))</f>
        <v/>
      </c>
      <c r="Q198" s="107" t="str">
        <f>IF(A198="","",IF($W$7&lt;=0,0,IF($AC$6&gt;0,$W$7*AC198/$AC$6,IF($F$6&gt;0,$W$7*N(F198)/$F$6,0))))</f>
        <v/>
      </c>
      <c r="R198" s="111" t="str">
        <f>IF(A198="","",N(AD198)+IF(AI198=1,N(AG198),0))</f>
        <v/>
      </c>
      <c r="S198" s="111" t="str">
        <f>IF(A198="","",N(E198)+N(R198))</f>
        <v/>
      </c>
      <c r="T198" s="107" t="str">
        <f>IF(A198="","",IF(N(R198)&gt;0,R198*H198*W198*$W$6+p_CorrFixa,0))</f>
        <v/>
      </c>
      <c r="V198" s="85" t="str">
        <f>IF(A198="","",IF(D198="",$W$1,D198))</f>
        <v/>
      </c>
      <c r="W198" s="85" t="str">
        <f>IF(A198="","",IFERROR(INDEX(moeda_fx,MATCH(V198,moeda_cod,0)),0))</f>
        <v/>
      </c>
      <c r="X198" s="85" t="str">
        <f>IF(A198="","",IF($W$2="",UPPER(TRIM(A198)),IF(RIGHT(UPPER(TRIM(A198)),LEN($W$2))=$W$2,UPPER(TRIM(A198)),UPPER(TRIM(A198))&amp;$W$2)))</f>
        <v/>
      </c>
      <c r="Y198" s="85" t="str">
        <f>IF(OR(A198="",p_ModoCot&lt;&gt;"Automático"),"",IFERROR(_xlfn.WEBSERVICE("https://query1.finance.yahoo.com/v8/finance/chart/"&amp;X198&amp;"?range=1d&amp;interval=1d"),""))</f>
        <v/>
      </c>
      <c r="Z198" s="85" t="str">
        <f>IF(Y198="","",IFERROR(_xlfn.NUMBERVALUE(MID(Y198,SEARCH("""regularMarketPrice"":",Y198)+21,SEARCH(",",Y198&amp;",",SEARCH("""regularMarketPrice"":",Y198)+21)-SEARCH("""regularMarketPrice"":",Y198)-21),".",","),""))</f>
        <v/>
      </c>
      <c r="AA198" s="85" t="str">
        <f>IF(A198="","",ROUND(MAX(0,N(F198)*($K$6+$W$7)-K198),2))</f>
        <v/>
      </c>
      <c r="AB198" s="85" t="str">
        <f>IF(A198="","",IF(AND(M198&gt;0,M198&gt;=p_DifMin),AA198,0))</f>
        <v/>
      </c>
      <c r="AC198" s="85" t="str">
        <f>IF(A198="","",IF(AND(AB198&gt;0,N(O198)&lt;=p_MaxAtivos),AB198,0))</f>
        <v/>
      </c>
      <c r="AD198" s="85" t="str">
        <f>IF(A198="","",IF(OR(Q198&lt;=0,Q198&lt;p_CompraMin,N(H198)&lt;=0,N(W198)&lt;=0),0,IF($W$3="Sim",TRUNC(ROUND(MAX(0,(Q198-p_CorrFixa)/(H198*W198*$W$6)),9),$W$4),TRUNC(ROUND(MAX(0,(Q198-p_CorrFixa)/(H198*W198*$W$6)),9)/$W$5)*$W$5)))</f>
        <v/>
      </c>
      <c r="AE198" s="85" t="str">
        <f>IF(A198="","",IF(N(AD198)&gt;0,AD198*H198*W198*$W$6+p_CorrFixa,0))</f>
        <v/>
      </c>
      <c r="AF198" s="85" t="str">
        <f>IF(A198="","",IF(OR($Y$1&lt;=0,N(H198)&lt;=0,N(W198)&lt;=0,N(AB198)&lt;=0),0,IF($W$3="Sim",TRUNC(ROUND(MAX(0,($Y$1-IF(N(AD198)&gt;0,0,p_CorrFixa))/(H198*W198*$W$6)),9),$W$4),TRUNC(ROUND(MAX(0,($Y$1-IF(N(AD198)&gt;0,0,p_CorrFixa))/(H198*W198*$W$6)),9)/$W$5)*$W$5)))</f>
        <v/>
      </c>
      <c r="AG198" s="85" t="str">
        <f>IF(A198="","",IF(AND(N(AD198)=0,N(AF198)*(H198*W198*$W$6)+p_CorrFixa&lt;p_CompraMin),0,AF198))</f>
        <v/>
      </c>
      <c r="AH198" s="85" t="str">
        <f>IF(A198="","",IF(N(AG198)&gt;0,AB198,0))</f>
        <v/>
      </c>
      <c r="AI198" s="85" t="str">
        <f>IF(A198="","",IF(AND(AH198&gt;0,AH198=$AH$6,COUNTIF($AH$9:AH198,AH198)=1),1,0))</f>
        <v/>
      </c>
    </row>
    <row r="199">
      <c r="A199" s="96" t="n"/>
      <c r="B199" s="96" t="n"/>
      <c r="C199" s="96" t="n"/>
      <c r="D199" s="97" t="n"/>
      <c r="E199" s="98" t="n"/>
      <c r="F199" s="99" t="n"/>
      <c r="G199" s="100" t="n"/>
      <c r="H199" s="101" t="str">
        <f>IF(A199="","",IF(AND(p_ModoCot="Automático",ISNUMBER(Z199)),Z199,IF(N(G199)&gt;0,G199,0)))</f>
        <v/>
      </c>
      <c r="I199" s="73" t="str">
        <f>IF(A199="","",IF(W199=0,"Sem câmbio",IF(AND(p_ModoCot="Automático",ISNUMBER(Z199)),"Auto",IF(N(G199)&gt;0,"Manual","Sem cotação"))))</f>
        <v/>
      </c>
      <c r="J199" s="102" t="str">
        <f>IF(A199="","",N(E199)*H199)</f>
        <v/>
      </c>
      <c r="K199" s="70" t="str">
        <f>IF(A199="","",J199*W199)</f>
        <v/>
      </c>
      <c r="L199" s="30" t="str">
        <f>IF(A199="","",IF($K$6&gt;0,K199/$K$6,0))</f>
        <v/>
      </c>
      <c r="M199" s="72" t="str">
        <f>IF(A199="","",N(F199)-L199)</f>
        <v/>
      </c>
      <c r="N199" s="30" t="str">
        <f>IF(A199="","",IF($AB$6&gt;0,AB199/$AB$6,0))</f>
        <v/>
      </c>
      <c r="O199" s="74" t="str">
        <f>IF(A199="","",IF(AB199&lt;=0,"",COUNTIF($AB$9:$AB$208,"&gt;"&amp;AB199)+COUNTIF($AB$9:AB199,AB199)))</f>
        <v/>
      </c>
      <c r="P199" s="73" t="str">
        <f>IF(A199="","",IF(Q199&gt;0,"BUY","HOLD"))</f>
        <v/>
      </c>
      <c r="Q199" s="70" t="str">
        <f>IF(A199="","",IF($W$7&lt;=0,0,IF($AC$6&gt;0,$W$7*AC199/$AC$6,IF($F$6&gt;0,$W$7*N(F199)/$F$6,0))))</f>
        <v/>
      </c>
      <c r="R199" s="103" t="str">
        <f>IF(A199="","",N(AD199)+IF(AI199=1,N(AG199),0))</f>
        <v/>
      </c>
      <c r="S199" s="103" t="str">
        <f>IF(A199="","",N(E199)+N(R199))</f>
        <v/>
      </c>
      <c r="T199" s="70" t="str">
        <f>IF(A199="","",IF(N(R199)&gt;0,R199*H199*W199*$W$6+p_CorrFixa,0))</f>
        <v/>
      </c>
      <c r="V199" s="85" t="str">
        <f>IF(A199="","",IF(D199="",$W$1,D199))</f>
        <v/>
      </c>
      <c r="W199" s="85" t="str">
        <f>IF(A199="","",IFERROR(INDEX(moeda_fx,MATCH(V199,moeda_cod,0)),0))</f>
        <v/>
      </c>
      <c r="X199" s="85" t="str">
        <f>IF(A199="","",IF($W$2="",UPPER(TRIM(A199)),IF(RIGHT(UPPER(TRIM(A199)),LEN($W$2))=$W$2,UPPER(TRIM(A199)),UPPER(TRIM(A199))&amp;$W$2)))</f>
        <v/>
      </c>
      <c r="Y199" s="85" t="str">
        <f>IF(OR(A199="",p_ModoCot&lt;&gt;"Automático"),"",IFERROR(_xlfn.WEBSERVICE("https://query1.finance.yahoo.com/v8/finance/chart/"&amp;X199&amp;"?range=1d&amp;interval=1d"),""))</f>
        <v/>
      </c>
      <c r="Z199" s="85" t="str">
        <f>IF(Y199="","",IFERROR(_xlfn.NUMBERVALUE(MID(Y199,SEARCH("""regularMarketPrice"":",Y199)+21,SEARCH(",",Y199&amp;",",SEARCH("""regularMarketPrice"":",Y199)+21)-SEARCH("""regularMarketPrice"":",Y199)-21),".",","),""))</f>
        <v/>
      </c>
      <c r="AA199" s="85" t="str">
        <f>IF(A199="","",ROUND(MAX(0,N(F199)*($K$6+$W$7)-K199),2))</f>
        <v/>
      </c>
      <c r="AB199" s="85" t="str">
        <f>IF(A199="","",IF(AND(M199&gt;0,M199&gt;=p_DifMin),AA199,0))</f>
        <v/>
      </c>
      <c r="AC199" s="85" t="str">
        <f>IF(A199="","",IF(AND(AB199&gt;0,N(O199)&lt;=p_MaxAtivos),AB199,0))</f>
        <v/>
      </c>
      <c r="AD199" s="85" t="str">
        <f>IF(A199="","",IF(OR(Q199&lt;=0,Q199&lt;p_CompraMin,N(H199)&lt;=0,N(W199)&lt;=0),0,IF($W$3="Sim",TRUNC(ROUND(MAX(0,(Q199-p_CorrFixa)/(H199*W199*$W$6)),9),$W$4),TRUNC(ROUND(MAX(0,(Q199-p_CorrFixa)/(H199*W199*$W$6)),9)/$W$5)*$W$5)))</f>
        <v/>
      </c>
      <c r="AE199" s="85" t="str">
        <f>IF(A199="","",IF(N(AD199)&gt;0,AD199*H199*W199*$W$6+p_CorrFixa,0))</f>
        <v/>
      </c>
      <c r="AF199" s="85" t="str">
        <f>IF(A199="","",IF(OR($Y$1&lt;=0,N(H199)&lt;=0,N(W199)&lt;=0,N(AB199)&lt;=0),0,IF($W$3="Sim",TRUNC(ROUND(MAX(0,($Y$1-IF(N(AD199)&gt;0,0,p_CorrFixa))/(H199*W199*$W$6)),9),$W$4),TRUNC(ROUND(MAX(0,($Y$1-IF(N(AD199)&gt;0,0,p_CorrFixa))/(H199*W199*$W$6)),9)/$W$5)*$W$5)))</f>
        <v/>
      </c>
      <c r="AG199" s="85" t="str">
        <f>IF(A199="","",IF(AND(N(AD199)=0,N(AF199)*(H199*W199*$W$6)+p_CorrFixa&lt;p_CompraMin),0,AF199))</f>
        <v/>
      </c>
      <c r="AH199" s="85" t="str">
        <f>IF(A199="","",IF(N(AG199)&gt;0,AB199,0))</f>
        <v/>
      </c>
      <c r="AI199" s="85" t="str">
        <f>IF(A199="","",IF(AND(AH199&gt;0,AH199=$AH$6,COUNTIF($AH$9:AH199,AH199)=1),1,0))</f>
        <v/>
      </c>
    </row>
    <row r="200">
      <c r="A200" s="96" t="n"/>
      <c r="B200" s="96" t="n"/>
      <c r="C200" s="96" t="n"/>
      <c r="D200" s="97" t="n"/>
      <c r="E200" s="98" t="n"/>
      <c r="F200" s="99" t="n"/>
      <c r="G200" s="100" t="n"/>
      <c r="H200" s="104" t="str">
        <f>IF(A200="","",IF(AND(p_ModoCot="Automático",ISNUMBER(Z200)),Z200,IF(N(G200)&gt;0,G200,0)))</f>
        <v/>
      </c>
      <c r="I200" s="105" t="str">
        <f>IF(A200="","",IF(W200=0,"Sem câmbio",IF(AND(p_ModoCot="Automático",ISNUMBER(Z200)),"Auto",IF(N(G200)&gt;0,"Manual","Sem cotação"))))</f>
        <v/>
      </c>
      <c r="J200" s="106" t="str">
        <f>IF(A200="","",N(E200)*H200)</f>
        <v/>
      </c>
      <c r="K200" s="107" t="str">
        <f>IF(A200="","",J200*W200)</f>
        <v/>
      </c>
      <c r="L200" s="108" t="str">
        <f>IF(A200="","",IF($K$6&gt;0,K200/$K$6,0))</f>
        <v/>
      </c>
      <c r="M200" s="109" t="str">
        <f>IF(A200="","",N(F200)-L200)</f>
        <v/>
      </c>
      <c r="N200" s="108" t="str">
        <f>IF(A200="","",IF($AB$6&gt;0,AB200/$AB$6,0))</f>
        <v/>
      </c>
      <c r="O200" s="110" t="str">
        <f>IF(A200="","",IF(AB200&lt;=0,"",COUNTIF($AB$9:$AB$208,"&gt;"&amp;AB200)+COUNTIF($AB$9:AB200,AB200)))</f>
        <v/>
      </c>
      <c r="P200" s="105" t="str">
        <f>IF(A200="","",IF(Q200&gt;0,"BUY","HOLD"))</f>
        <v/>
      </c>
      <c r="Q200" s="107" t="str">
        <f>IF(A200="","",IF($W$7&lt;=0,0,IF($AC$6&gt;0,$W$7*AC200/$AC$6,IF($F$6&gt;0,$W$7*N(F200)/$F$6,0))))</f>
        <v/>
      </c>
      <c r="R200" s="111" t="str">
        <f>IF(A200="","",N(AD200)+IF(AI200=1,N(AG200),0))</f>
        <v/>
      </c>
      <c r="S200" s="111" t="str">
        <f>IF(A200="","",N(E200)+N(R200))</f>
        <v/>
      </c>
      <c r="T200" s="107" t="str">
        <f>IF(A200="","",IF(N(R200)&gt;0,R200*H200*W200*$W$6+p_CorrFixa,0))</f>
        <v/>
      </c>
      <c r="V200" s="85" t="str">
        <f>IF(A200="","",IF(D200="",$W$1,D200))</f>
        <v/>
      </c>
      <c r="W200" s="85" t="str">
        <f>IF(A200="","",IFERROR(INDEX(moeda_fx,MATCH(V200,moeda_cod,0)),0))</f>
        <v/>
      </c>
      <c r="X200" s="85" t="str">
        <f>IF(A200="","",IF($W$2="",UPPER(TRIM(A200)),IF(RIGHT(UPPER(TRIM(A200)),LEN($W$2))=$W$2,UPPER(TRIM(A200)),UPPER(TRIM(A200))&amp;$W$2)))</f>
        <v/>
      </c>
      <c r="Y200" s="85" t="str">
        <f>IF(OR(A200="",p_ModoCot&lt;&gt;"Automático"),"",IFERROR(_xlfn.WEBSERVICE("https://query1.finance.yahoo.com/v8/finance/chart/"&amp;X200&amp;"?range=1d&amp;interval=1d"),""))</f>
        <v/>
      </c>
      <c r="Z200" s="85" t="str">
        <f>IF(Y200="","",IFERROR(_xlfn.NUMBERVALUE(MID(Y200,SEARCH("""regularMarketPrice"":",Y200)+21,SEARCH(",",Y200&amp;",",SEARCH("""regularMarketPrice"":",Y200)+21)-SEARCH("""regularMarketPrice"":",Y200)-21),".",","),""))</f>
        <v/>
      </c>
      <c r="AA200" s="85" t="str">
        <f>IF(A200="","",ROUND(MAX(0,N(F200)*($K$6+$W$7)-K200),2))</f>
        <v/>
      </c>
      <c r="AB200" s="85" t="str">
        <f>IF(A200="","",IF(AND(M200&gt;0,M200&gt;=p_DifMin),AA200,0))</f>
        <v/>
      </c>
      <c r="AC200" s="85" t="str">
        <f>IF(A200="","",IF(AND(AB200&gt;0,N(O200)&lt;=p_MaxAtivos),AB200,0))</f>
        <v/>
      </c>
      <c r="AD200" s="85" t="str">
        <f>IF(A200="","",IF(OR(Q200&lt;=0,Q200&lt;p_CompraMin,N(H200)&lt;=0,N(W200)&lt;=0),0,IF($W$3="Sim",TRUNC(ROUND(MAX(0,(Q200-p_CorrFixa)/(H200*W200*$W$6)),9),$W$4),TRUNC(ROUND(MAX(0,(Q200-p_CorrFixa)/(H200*W200*$W$6)),9)/$W$5)*$W$5)))</f>
        <v/>
      </c>
      <c r="AE200" s="85" t="str">
        <f>IF(A200="","",IF(N(AD200)&gt;0,AD200*H200*W200*$W$6+p_CorrFixa,0))</f>
        <v/>
      </c>
      <c r="AF200" s="85" t="str">
        <f>IF(A200="","",IF(OR($Y$1&lt;=0,N(H200)&lt;=0,N(W200)&lt;=0,N(AB200)&lt;=0),0,IF($W$3="Sim",TRUNC(ROUND(MAX(0,($Y$1-IF(N(AD200)&gt;0,0,p_CorrFixa))/(H200*W200*$W$6)),9),$W$4),TRUNC(ROUND(MAX(0,($Y$1-IF(N(AD200)&gt;0,0,p_CorrFixa))/(H200*W200*$W$6)),9)/$W$5)*$W$5)))</f>
        <v/>
      </c>
      <c r="AG200" s="85" t="str">
        <f>IF(A200="","",IF(AND(N(AD200)=0,N(AF200)*(H200*W200*$W$6)+p_CorrFixa&lt;p_CompraMin),0,AF200))</f>
        <v/>
      </c>
      <c r="AH200" s="85" t="str">
        <f>IF(A200="","",IF(N(AG200)&gt;0,AB200,0))</f>
        <v/>
      </c>
      <c r="AI200" s="85" t="str">
        <f>IF(A200="","",IF(AND(AH200&gt;0,AH200=$AH$6,COUNTIF($AH$9:AH200,AH200)=1),1,0))</f>
        <v/>
      </c>
    </row>
    <row r="201">
      <c r="A201" s="96" t="n"/>
      <c r="B201" s="96" t="n"/>
      <c r="C201" s="96" t="n"/>
      <c r="D201" s="97" t="n"/>
      <c r="E201" s="98" t="n"/>
      <c r="F201" s="99" t="n"/>
      <c r="G201" s="100" t="n"/>
      <c r="H201" s="101" t="str">
        <f>IF(A201="","",IF(AND(p_ModoCot="Automático",ISNUMBER(Z201)),Z201,IF(N(G201)&gt;0,G201,0)))</f>
        <v/>
      </c>
      <c r="I201" s="73" t="str">
        <f>IF(A201="","",IF(W201=0,"Sem câmbio",IF(AND(p_ModoCot="Automático",ISNUMBER(Z201)),"Auto",IF(N(G201)&gt;0,"Manual","Sem cotação"))))</f>
        <v/>
      </c>
      <c r="J201" s="102" t="str">
        <f>IF(A201="","",N(E201)*H201)</f>
        <v/>
      </c>
      <c r="K201" s="70" t="str">
        <f>IF(A201="","",J201*W201)</f>
        <v/>
      </c>
      <c r="L201" s="30" t="str">
        <f>IF(A201="","",IF($K$6&gt;0,K201/$K$6,0))</f>
        <v/>
      </c>
      <c r="M201" s="72" t="str">
        <f>IF(A201="","",N(F201)-L201)</f>
        <v/>
      </c>
      <c r="N201" s="30" t="str">
        <f>IF(A201="","",IF($AB$6&gt;0,AB201/$AB$6,0))</f>
        <v/>
      </c>
      <c r="O201" s="74" t="str">
        <f>IF(A201="","",IF(AB201&lt;=0,"",COUNTIF($AB$9:$AB$208,"&gt;"&amp;AB201)+COUNTIF($AB$9:AB201,AB201)))</f>
        <v/>
      </c>
      <c r="P201" s="73" t="str">
        <f>IF(A201="","",IF(Q201&gt;0,"BUY","HOLD"))</f>
        <v/>
      </c>
      <c r="Q201" s="70" t="str">
        <f>IF(A201="","",IF($W$7&lt;=0,0,IF($AC$6&gt;0,$W$7*AC201/$AC$6,IF($F$6&gt;0,$W$7*N(F201)/$F$6,0))))</f>
        <v/>
      </c>
      <c r="R201" s="103" t="str">
        <f>IF(A201="","",N(AD201)+IF(AI201=1,N(AG201),0))</f>
        <v/>
      </c>
      <c r="S201" s="103" t="str">
        <f>IF(A201="","",N(E201)+N(R201))</f>
        <v/>
      </c>
      <c r="T201" s="70" t="str">
        <f>IF(A201="","",IF(N(R201)&gt;0,R201*H201*W201*$W$6+p_CorrFixa,0))</f>
        <v/>
      </c>
      <c r="V201" s="85" t="str">
        <f>IF(A201="","",IF(D201="",$W$1,D201))</f>
        <v/>
      </c>
      <c r="W201" s="85" t="str">
        <f>IF(A201="","",IFERROR(INDEX(moeda_fx,MATCH(V201,moeda_cod,0)),0))</f>
        <v/>
      </c>
      <c r="X201" s="85" t="str">
        <f>IF(A201="","",IF($W$2="",UPPER(TRIM(A201)),IF(RIGHT(UPPER(TRIM(A201)),LEN($W$2))=$W$2,UPPER(TRIM(A201)),UPPER(TRIM(A201))&amp;$W$2)))</f>
        <v/>
      </c>
      <c r="Y201" s="85" t="str">
        <f>IF(OR(A201="",p_ModoCot&lt;&gt;"Automático"),"",IFERROR(_xlfn.WEBSERVICE("https://query1.finance.yahoo.com/v8/finance/chart/"&amp;X201&amp;"?range=1d&amp;interval=1d"),""))</f>
        <v/>
      </c>
      <c r="Z201" s="85" t="str">
        <f>IF(Y201="","",IFERROR(_xlfn.NUMBERVALUE(MID(Y201,SEARCH("""regularMarketPrice"":",Y201)+21,SEARCH(",",Y201&amp;",",SEARCH("""regularMarketPrice"":",Y201)+21)-SEARCH("""regularMarketPrice"":",Y201)-21),".",","),""))</f>
        <v/>
      </c>
      <c r="AA201" s="85" t="str">
        <f>IF(A201="","",ROUND(MAX(0,N(F201)*($K$6+$W$7)-K201),2))</f>
        <v/>
      </c>
      <c r="AB201" s="85" t="str">
        <f>IF(A201="","",IF(AND(M201&gt;0,M201&gt;=p_DifMin),AA201,0))</f>
        <v/>
      </c>
      <c r="AC201" s="85" t="str">
        <f>IF(A201="","",IF(AND(AB201&gt;0,N(O201)&lt;=p_MaxAtivos),AB201,0))</f>
        <v/>
      </c>
      <c r="AD201" s="85" t="str">
        <f>IF(A201="","",IF(OR(Q201&lt;=0,Q201&lt;p_CompraMin,N(H201)&lt;=0,N(W201)&lt;=0),0,IF($W$3="Sim",TRUNC(ROUND(MAX(0,(Q201-p_CorrFixa)/(H201*W201*$W$6)),9),$W$4),TRUNC(ROUND(MAX(0,(Q201-p_CorrFixa)/(H201*W201*$W$6)),9)/$W$5)*$W$5)))</f>
        <v/>
      </c>
      <c r="AE201" s="85" t="str">
        <f>IF(A201="","",IF(N(AD201)&gt;0,AD201*H201*W201*$W$6+p_CorrFixa,0))</f>
        <v/>
      </c>
      <c r="AF201" s="85" t="str">
        <f>IF(A201="","",IF(OR($Y$1&lt;=0,N(H201)&lt;=0,N(W201)&lt;=0,N(AB201)&lt;=0),0,IF($W$3="Sim",TRUNC(ROUND(MAX(0,($Y$1-IF(N(AD201)&gt;0,0,p_CorrFixa))/(H201*W201*$W$6)),9),$W$4),TRUNC(ROUND(MAX(0,($Y$1-IF(N(AD201)&gt;0,0,p_CorrFixa))/(H201*W201*$W$6)),9)/$W$5)*$W$5)))</f>
        <v/>
      </c>
      <c r="AG201" s="85" t="str">
        <f>IF(A201="","",IF(AND(N(AD201)=0,N(AF201)*(H201*W201*$W$6)+p_CorrFixa&lt;p_CompraMin),0,AF201))</f>
        <v/>
      </c>
      <c r="AH201" s="85" t="str">
        <f>IF(A201="","",IF(N(AG201)&gt;0,AB201,0))</f>
        <v/>
      </c>
      <c r="AI201" s="85" t="str">
        <f>IF(A201="","",IF(AND(AH201&gt;0,AH201=$AH$6,COUNTIF($AH$9:AH201,AH201)=1),1,0))</f>
        <v/>
      </c>
    </row>
    <row r="202">
      <c r="A202" s="96" t="n"/>
      <c r="B202" s="96" t="n"/>
      <c r="C202" s="96" t="n"/>
      <c r="D202" s="97" t="n"/>
      <c r="E202" s="98" t="n"/>
      <c r="F202" s="99" t="n"/>
      <c r="G202" s="100" t="n"/>
      <c r="H202" s="104" t="str">
        <f>IF(A202="","",IF(AND(p_ModoCot="Automático",ISNUMBER(Z202)),Z202,IF(N(G202)&gt;0,G202,0)))</f>
        <v/>
      </c>
      <c r="I202" s="105" t="str">
        <f>IF(A202="","",IF(W202=0,"Sem câmbio",IF(AND(p_ModoCot="Automático",ISNUMBER(Z202)),"Auto",IF(N(G202)&gt;0,"Manual","Sem cotação"))))</f>
        <v/>
      </c>
      <c r="J202" s="106" t="str">
        <f>IF(A202="","",N(E202)*H202)</f>
        <v/>
      </c>
      <c r="K202" s="107" t="str">
        <f>IF(A202="","",J202*W202)</f>
        <v/>
      </c>
      <c r="L202" s="108" t="str">
        <f>IF(A202="","",IF($K$6&gt;0,K202/$K$6,0))</f>
        <v/>
      </c>
      <c r="M202" s="109" t="str">
        <f>IF(A202="","",N(F202)-L202)</f>
        <v/>
      </c>
      <c r="N202" s="108" t="str">
        <f>IF(A202="","",IF($AB$6&gt;0,AB202/$AB$6,0))</f>
        <v/>
      </c>
      <c r="O202" s="110" t="str">
        <f>IF(A202="","",IF(AB202&lt;=0,"",COUNTIF($AB$9:$AB$208,"&gt;"&amp;AB202)+COUNTIF($AB$9:AB202,AB202)))</f>
        <v/>
      </c>
      <c r="P202" s="105" t="str">
        <f>IF(A202="","",IF(Q202&gt;0,"BUY","HOLD"))</f>
        <v/>
      </c>
      <c r="Q202" s="107" t="str">
        <f>IF(A202="","",IF($W$7&lt;=0,0,IF($AC$6&gt;0,$W$7*AC202/$AC$6,IF($F$6&gt;0,$W$7*N(F202)/$F$6,0))))</f>
        <v/>
      </c>
      <c r="R202" s="111" t="str">
        <f>IF(A202="","",N(AD202)+IF(AI202=1,N(AG202),0))</f>
        <v/>
      </c>
      <c r="S202" s="111" t="str">
        <f>IF(A202="","",N(E202)+N(R202))</f>
        <v/>
      </c>
      <c r="T202" s="107" t="str">
        <f>IF(A202="","",IF(N(R202)&gt;0,R202*H202*W202*$W$6+p_CorrFixa,0))</f>
        <v/>
      </c>
      <c r="V202" s="85" t="str">
        <f>IF(A202="","",IF(D202="",$W$1,D202))</f>
        <v/>
      </c>
      <c r="W202" s="85" t="str">
        <f>IF(A202="","",IFERROR(INDEX(moeda_fx,MATCH(V202,moeda_cod,0)),0))</f>
        <v/>
      </c>
      <c r="X202" s="85" t="str">
        <f>IF(A202="","",IF($W$2="",UPPER(TRIM(A202)),IF(RIGHT(UPPER(TRIM(A202)),LEN($W$2))=$W$2,UPPER(TRIM(A202)),UPPER(TRIM(A202))&amp;$W$2)))</f>
        <v/>
      </c>
      <c r="Y202" s="85" t="str">
        <f>IF(OR(A202="",p_ModoCot&lt;&gt;"Automático"),"",IFERROR(_xlfn.WEBSERVICE("https://query1.finance.yahoo.com/v8/finance/chart/"&amp;X202&amp;"?range=1d&amp;interval=1d"),""))</f>
        <v/>
      </c>
      <c r="Z202" s="85" t="str">
        <f>IF(Y202="","",IFERROR(_xlfn.NUMBERVALUE(MID(Y202,SEARCH("""regularMarketPrice"":",Y202)+21,SEARCH(",",Y202&amp;",",SEARCH("""regularMarketPrice"":",Y202)+21)-SEARCH("""regularMarketPrice"":",Y202)-21),".",","),""))</f>
        <v/>
      </c>
      <c r="AA202" s="85" t="str">
        <f>IF(A202="","",ROUND(MAX(0,N(F202)*($K$6+$W$7)-K202),2))</f>
        <v/>
      </c>
      <c r="AB202" s="85" t="str">
        <f>IF(A202="","",IF(AND(M202&gt;0,M202&gt;=p_DifMin),AA202,0))</f>
        <v/>
      </c>
      <c r="AC202" s="85" t="str">
        <f>IF(A202="","",IF(AND(AB202&gt;0,N(O202)&lt;=p_MaxAtivos),AB202,0))</f>
        <v/>
      </c>
      <c r="AD202" s="85" t="str">
        <f>IF(A202="","",IF(OR(Q202&lt;=0,Q202&lt;p_CompraMin,N(H202)&lt;=0,N(W202)&lt;=0),0,IF($W$3="Sim",TRUNC(ROUND(MAX(0,(Q202-p_CorrFixa)/(H202*W202*$W$6)),9),$W$4),TRUNC(ROUND(MAX(0,(Q202-p_CorrFixa)/(H202*W202*$W$6)),9)/$W$5)*$W$5)))</f>
        <v/>
      </c>
      <c r="AE202" s="85" t="str">
        <f>IF(A202="","",IF(N(AD202)&gt;0,AD202*H202*W202*$W$6+p_CorrFixa,0))</f>
        <v/>
      </c>
      <c r="AF202" s="85" t="str">
        <f>IF(A202="","",IF(OR($Y$1&lt;=0,N(H202)&lt;=0,N(W202)&lt;=0,N(AB202)&lt;=0),0,IF($W$3="Sim",TRUNC(ROUND(MAX(0,($Y$1-IF(N(AD202)&gt;0,0,p_CorrFixa))/(H202*W202*$W$6)),9),$W$4),TRUNC(ROUND(MAX(0,($Y$1-IF(N(AD202)&gt;0,0,p_CorrFixa))/(H202*W202*$W$6)),9)/$W$5)*$W$5)))</f>
        <v/>
      </c>
      <c r="AG202" s="85" t="str">
        <f>IF(A202="","",IF(AND(N(AD202)=0,N(AF202)*(H202*W202*$W$6)+p_CorrFixa&lt;p_CompraMin),0,AF202))</f>
        <v/>
      </c>
      <c r="AH202" s="85" t="str">
        <f>IF(A202="","",IF(N(AG202)&gt;0,AB202,0))</f>
        <v/>
      </c>
      <c r="AI202" s="85" t="str">
        <f>IF(A202="","",IF(AND(AH202&gt;0,AH202=$AH$6,COUNTIF($AH$9:AH202,AH202)=1),1,0))</f>
        <v/>
      </c>
    </row>
    <row r="203">
      <c r="A203" s="96" t="n"/>
      <c r="B203" s="96" t="n"/>
      <c r="C203" s="96" t="n"/>
      <c r="D203" s="97" t="n"/>
      <c r="E203" s="98" t="n"/>
      <c r="F203" s="99" t="n"/>
      <c r="G203" s="100" t="n"/>
      <c r="H203" s="101" t="str">
        <f>IF(A203="","",IF(AND(p_ModoCot="Automático",ISNUMBER(Z203)),Z203,IF(N(G203)&gt;0,G203,0)))</f>
        <v/>
      </c>
      <c r="I203" s="73" t="str">
        <f>IF(A203="","",IF(W203=0,"Sem câmbio",IF(AND(p_ModoCot="Automático",ISNUMBER(Z203)),"Auto",IF(N(G203)&gt;0,"Manual","Sem cotação"))))</f>
        <v/>
      </c>
      <c r="J203" s="102" t="str">
        <f>IF(A203="","",N(E203)*H203)</f>
        <v/>
      </c>
      <c r="K203" s="70" t="str">
        <f>IF(A203="","",J203*W203)</f>
        <v/>
      </c>
      <c r="L203" s="30" t="str">
        <f>IF(A203="","",IF($K$6&gt;0,K203/$K$6,0))</f>
        <v/>
      </c>
      <c r="M203" s="72" t="str">
        <f>IF(A203="","",N(F203)-L203)</f>
        <v/>
      </c>
      <c r="N203" s="30" t="str">
        <f>IF(A203="","",IF($AB$6&gt;0,AB203/$AB$6,0))</f>
        <v/>
      </c>
      <c r="O203" s="74" t="str">
        <f>IF(A203="","",IF(AB203&lt;=0,"",COUNTIF($AB$9:$AB$208,"&gt;"&amp;AB203)+COUNTIF($AB$9:AB203,AB203)))</f>
        <v/>
      </c>
      <c r="P203" s="73" t="str">
        <f>IF(A203="","",IF(Q203&gt;0,"BUY","HOLD"))</f>
        <v/>
      </c>
      <c r="Q203" s="70" t="str">
        <f>IF(A203="","",IF($W$7&lt;=0,0,IF($AC$6&gt;0,$W$7*AC203/$AC$6,IF($F$6&gt;0,$W$7*N(F203)/$F$6,0))))</f>
        <v/>
      </c>
      <c r="R203" s="103" t="str">
        <f>IF(A203="","",N(AD203)+IF(AI203=1,N(AG203),0))</f>
        <v/>
      </c>
      <c r="S203" s="103" t="str">
        <f>IF(A203="","",N(E203)+N(R203))</f>
        <v/>
      </c>
      <c r="T203" s="70" t="str">
        <f>IF(A203="","",IF(N(R203)&gt;0,R203*H203*W203*$W$6+p_CorrFixa,0))</f>
        <v/>
      </c>
      <c r="V203" s="85" t="str">
        <f>IF(A203="","",IF(D203="",$W$1,D203))</f>
        <v/>
      </c>
      <c r="W203" s="85" t="str">
        <f>IF(A203="","",IFERROR(INDEX(moeda_fx,MATCH(V203,moeda_cod,0)),0))</f>
        <v/>
      </c>
      <c r="X203" s="85" t="str">
        <f>IF(A203="","",IF($W$2="",UPPER(TRIM(A203)),IF(RIGHT(UPPER(TRIM(A203)),LEN($W$2))=$W$2,UPPER(TRIM(A203)),UPPER(TRIM(A203))&amp;$W$2)))</f>
        <v/>
      </c>
      <c r="Y203" s="85" t="str">
        <f>IF(OR(A203="",p_ModoCot&lt;&gt;"Automático"),"",IFERROR(_xlfn.WEBSERVICE("https://query1.finance.yahoo.com/v8/finance/chart/"&amp;X203&amp;"?range=1d&amp;interval=1d"),""))</f>
        <v/>
      </c>
      <c r="Z203" s="85" t="str">
        <f>IF(Y203="","",IFERROR(_xlfn.NUMBERVALUE(MID(Y203,SEARCH("""regularMarketPrice"":",Y203)+21,SEARCH(",",Y203&amp;",",SEARCH("""regularMarketPrice"":",Y203)+21)-SEARCH("""regularMarketPrice"":",Y203)-21),".",","),""))</f>
        <v/>
      </c>
      <c r="AA203" s="85" t="str">
        <f>IF(A203="","",ROUND(MAX(0,N(F203)*($K$6+$W$7)-K203),2))</f>
        <v/>
      </c>
      <c r="AB203" s="85" t="str">
        <f>IF(A203="","",IF(AND(M203&gt;0,M203&gt;=p_DifMin),AA203,0))</f>
        <v/>
      </c>
      <c r="AC203" s="85" t="str">
        <f>IF(A203="","",IF(AND(AB203&gt;0,N(O203)&lt;=p_MaxAtivos),AB203,0))</f>
        <v/>
      </c>
      <c r="AD203" s="85" t="str">
        <f>IF(A203="","",IF(OR(Q203&lt;=0,Q203&lt;p_CompraMin,N(H203)&lt;=0,N(W203)&lt;=0),0,IF($W$3="Sim",TRUNC(ROUND(MAX(0,(Q203-p_CorrFixa)/(H203*W203*$W$6)),9),$W$4),TRUNC(ROUND(MAX(0,(Q203-p_CorrFixa)/(H203*W203*$W$6)),9)/$W$5)*$W$5)))</f>
        <v/>
      </c>
      <c r="AE203" s="85" t="str">
        <f>IF(A203="","",IF(N(AD203)&gt;0,AD203*H203*W203*$W$6+p_CorrFixa,0))</f>
        <v/>
      </c>
      <c r="AF203" s="85" t="str">
        <f>IF(A203="","",IF(OR($Y$1&lt;=0,N(H203)&lt;=0,N(W203)&lt;=0,N(AB203)&lt;=0),0,IF($W$3="Sim",TRUNC(ROUND(MAX(0,($Y$1-IF(N(AD203)&gt;0,0,p_CorrFixa))/(H203*W203*$W$6)),9),$W$4),TRUNC(ROUND(MAX(0,($Y$1-IF(N(AD203)&gt;0,0,p_CorrFixa))/(H203*W203*$W$6)),9)/$W$5)*$W$5)))</f>
        <v/>
      </c>
      <c r="AG203" s="85" t="str">
        <f>IF(A203="","",IF(AND(N(AD203)=0,N(AF203)*(H203*W203*$W$6)+p_CorrFixa&lt;p_CompraMin),0,AF203))</f>
        <v/>
      </c>
      <c r="AH203" s="85" t="str">
        <f>IF(A203="","",IF(N(AG203)&gt;0,AB203,0))</f>
        <v/>
      </c>
      <c r="AI203" s="85" t="str">
        <f>IF(A203="","",IF(AND(AH203&gt;0,AH203=$AH$6,COUNTIF($AH$9:AH203,AH203)=1),1,0))</f>
        <v/>
      </c>
    </row>
    <row r="204">
      <c r="A204" s="96" t="n"/>
      <c r="B204" s="96" t="n"/>
      <c r="C204" s="96" t="n"/>
      <c r="D204" s="97" t="n"/>
      <c r="E204" s="98" t="n"/>
      <c r="F204" s="99" t="n"/>
      <c r="G204" s="100" t="n"/>
      <c r="H204" s="104" t="str">
        <f>IF(A204="","",IF(AND(p_ModoCot="Automático",ISNUMBER(Z204)),Z204,IF(N(G204)&gt;0,G204,0)))</f>
        <v/>
      </c>
      <c r="I204" s="105" t="str">
        <f>IF(A204="","",IF(W204=0,"Sem câmbio",IF(AND(p_ModoCot="Automático",ISNUMBER(Z204)),"Auto",IF(N(G204)&gt;0,"Manual","Sem cotação"))))</f>
        <v/>
      </c>
      <c r="J204" s="106" t="str">
        <f>IF(A204="","",N(E204)*H204)</f>
        <v/>
      </c>
      <c r="K204" s="107" t="str">
        <f>IF(A204="","",J204*W204)</f>
        <v/>
      </c>
      <c r="L204" s="108" t="str">
        <f>IF(A204="","",IF($K$6&gt;0,K204/$K$6,0))</f>
        <v/>
      </c>
      <c r="M204" s="109" t="str">
        <f>IF(A204="","",N(F204)-L204)</f>
        <v/>
      </c>
      <c r="N204" s="108" t="str">
        <f>IF(A204="","",IF($AB$6&gt;0,AB204/$AB$6,0))</f>
        <v/>
      </c>
      <c r="O204" s="110" t="str">
        <f>IF(A204="","",IF(AB204&lt;=0,"",COUNTIF($AB$9:$AB$208,"&gt;"&amp;AB204)+COUNTIF($AB$9:AB204,AB204)))</f>
        <v/>
      </c>
      <c r="P204" s="105" t="str">
        <f>IF(A204="","",IF(Q204&gt;0,"BUY","HOLD"))</f>
        <v/>
      </c>
      <c r="Q204" s="107" t="str">
        <f>IF(A204="","",IF($W$7&lt;=0,0,IF($AC$6&gt;0,$W$7*AC204/$AC$6,IF($F$6&gt;0,$W$7*N(F204)/$F$6,0))))</f>
        <v/>
      </c>
      <c r="R204" s="111" t="str">
        <f>IF(A204="","",N(AD204)+IF(AI204=1,N(AG204),0))</f>
        <v/>
      </c>
      <c r="S204" s="111" t="str">
        <f>IF(A204="","",N(E204)+N(R204))</f>
        <v/>
      </c>
      <c r="T204" s="107" t="str">
        <f>IF(A204="","",IF(N(R204)&gt;0,R204*H204*W204*$W$6+p_CorrFixa,0))</f>
        <v/>
      </c>
      <c r="V204" s="85" t="str">
        <f>IF(A204="","",IF(D204="",$W$1,D204))</f>
        <v/>
      </c>
      <c r="W204" s="85" t="str">
        <f>IF(A204="","",IFERROR(INDEX(moeda_fx,MATCH(V204,moeda_cod,0)),0))</f>
        <v/>
      </c>
      <c r="X204" s="85" t="str">
        <f>IF(A204="","",IF($W$2="",UPPER(TRIM(A204)),IF(RIGHT(UPPER(TRIM(A204)),LEN($W$2))=$W$2,UPPER(TRIM(A204)),UPPER(TRIM(A204))&amp;$W$2)))</f>
        <v/>
      </c>
      <c r="Y204" s="85" t="str">
        <f>IF(OR(A204="",p_ModoCot&lt;&gt;"Automático"),"",IFERROR(_xlfn.WEBSERVICE("https://query1.finance.yahoo.com/v8/finance/chart/"&amp;X204&amp;"?range=1d&amp;interval=1d"),""))</f>
        <v/>
      </c>
      <c r="Z204" s="85" t="str">
        <f>IF(Y204="","",IFERROR(_xlfn.NUMBERVALUE(MID(Y204,SEARCH("""regularMarketPrice"":",Y204)+21,SEARCH(",",Y204&amp;",",SEARCH("""regularMarketPrice"":",Y204)+21)-SEARCH("""regularMarketPrice"":",Y204)-21),".",","),""))</f>
        <v/>
      </c>
      <c r="AA204" s="85" t="str">
        <f>IF(A204="","",ROUND(MAX(0,N(F204)*($K$6+$W$7)-K204),2))</f>
        <v/>
      </c>
      <c r="AB204" s="85" t="str">
        <f>IF(A204="","",IF(AND(M204&gt;0,M204&gt;=p_DifMin),AA204,0))</f>
        <v/>
      </c>
      <c r="AC204" s="85" t="str">
        <f>IF(A204="","",IF(AND(AB204&gt;0,N(O204)&lt;=p_MaxAtivos),AB204,0))</f>
        <v/>
      </c>
      <c r="AD204" s="85" t="str">
        <f>IF(A204="","",IF(OR(Q204&lt;=0,Q204&lt;p_CompraMin,N(H204)&lt;=0,N(W204)&lt;=0),0,IF($W$3="Sim",TRUNC(ROUND(MAX(0,(Q204-p_CorrFixa)/(H204*W204*$W$6)),9),$W$4),TRUNC(ROUND(MAX(0,(Q204-p_CorrFixa)/(H204*W204*$W$6)),9)/$W$5)*$W$5)))</f>
        <v/>
      </c>
      <c r="AE204" s="85" t="str">
        <f>IF(A204="","",IF(N(AD204)&gt;0,AD204*H204*W204*$W$6+p_CorrFixa,0))</f>
        <v/>
      </c>
      <c r="AF204" s="85" t="str">
        <f>IF(A204="","",IF(OR($Y$1&lt;=0,N(H204)&lt;=0,N(W204)&lt;=0,N(AB204)&lt;=0),0,IF($W$3="Sim",TRUNC(ROUND(MAX(0,($Y$1-IF(N(AD204)&gt;0,0,p_CorrFixa))/(H204*W204*$W$6)),9),$W$4),TRUNC(ROUND(MAX(0,($Y$1-IF(N(AD204)&gt;0,0,p_CorrFixa))/(H204*W204*$W$6)),9)/$W$5)*$W$5)))</f>
        <v/>
      </c>
      <c r="AG204" s="85" t="str">
        <f>IF(A204="","",IF(AND(N(AD204)=0,N(AF204)*(H204*W204*$W$6)+p_CorrFixa&lt;p_CompraMin),0,AF204))</f>
        <v/>
      </c>
      <c r="AH204" s="85" t="str">
        <f>IF(A204="","",IF(N(AG204)&gt;0,AB204,0))</f>
        <v/>
      </c>
      <c r="AI204" s="85" t="str">
        <f>IF(A204="","",IF(AND(AH204&gt;0,AH204=$AH$6,COUNTIF($AH$9:AH204,AH204)=1),1,0))</f>
        <v/>
      </c>
    </row>
    <row r="205">
      <c r="A205" s="96" t="n"/>
      <c r="B205" s="96" t="n"/>
      <c r="C205" s="96" t="n"/>
      <c r="D205" s="97" t="n"/>
      <c r="E205" s="98" t="n"/>
      <c r="F205" s="99" t="n"/>
      <c r="G205" s="100" t="n"/>
      <c r="H205" s="101" t="str">
        <f>IF(A205="","",IF(AND(p_ModoCot="Automático",ISNUMBER(Z205)),Z205,IF(N(G205)&gt;0,G205,0)))</f>
        <v/>
      </c>
      <c r="I205" s="73" t="str">
        <f>IF(A205="","",IF(W205=0,"Sem câmbio",IF(AND(p_ModoCot="Automático",ISNUMBER(Z205)),"Auto",IF(N(G205)&gt;0,"Manual","Sem cotação"))))</f>
        <v/>
      </c>
      <c r="J205" s="102" t="str">
        <f>IF(A205="","",N(E205)*H205)</f>
        <v/>
      </c>
      <c r="K205" s="70" t="str">
        <f>IF(A205="","",J205*W205)</f>
        <v/>
      </c>
      <c r="L205" s="30" t="str">
        <f>IF(A205="","",IF($K$6&gt;0,K205/$K$6,0))</f>
        <v/>
      </c>
      <c r="M205" s="72" t="str">
        <f>IF(A205="","",N(F205)-L205)</f>
        <v/>
      </c>
      <c r="N205" s="30" t="str">
        <f>IF(A205="","",IF($AB$6&gt;0,AB205/$AB$6,0))</f>
        <v/>
      </c>
      <c r="O205" s="74" t="str">
        <f>IF(A205="","",IF(AB205&lt;=0,"",COUNTIF($AB$9:$AB$208,"&gt;"&amp;AB205)+COUNTIF($AB$9:AB205,AB205)))</f>
        <v/>
      </c>
      <c r="P205" s="73" t="str">
        <f>IF(A205="","",IF(Q205&gt;0,"BUY","HOLD"))</f>
        <v/>
      </c>
      <c r="Q205" s="70" t="str">
        <f>IF(A205="","",IF($W$7&lt;=0,0,IF($AC$6&gt;0,$W$7*AC205/$AC$6,IF($F$6&gt;0,$W$7*N(F205)/$F$6,0))))</f>
        <v/>
      </c>
      <c r="R205" s="103" t="str">
        <f>IF(A205="","",N(AD205)+IF(AI205=1,N(AG205),0))</f>
        <v/>
      </c>
      <c r="S205" s="103" t="str">
        <f>IF(A205="","",N(E205)+N(R205))</f>
        <v/>
      </c>
      <c r="T205" s="70" t="str">
        <f>IF(A205="","",IF(N(R205)&gt;0,R205*H205*W205*$W$6+p_CorrFixa,0))</f>
        <v/>
      </c>
      <c r="V205" s="85" t="str">
        <f>IF(A205="","",IF(D205="",$W$1,D205))</f>
        <v/>
      </c>
      <c r="W205" s="85" t="str">
        <f>IF(A205="","",IFERROR(INDEX(moeda_fx,MATCH(V205,moeda_cod,0)),0))</f>
        <v/>
      </c>
      <c r="X205" s="85" t="str">
        <f>IF(A205="","",IF($W$2="",UPPER(TRIM(A205)),IF(RIGHT(UPPER(TRIM(A205)),LEN($W$2))=$W$2,UPPER(TRIM(A205)),UPPER(TRIM(A205))&amp;$W$2)))</f>
        <v/>
      </c>
      <c r="Y205" s="85" t="str">
        <f>IF(OR(A205="",p_ModoCot&lt;&gt;"Automático"),"",IFERROR(_xlfn.WEBSERVICE("https://query1.finance.yahoo.com/v8/finance/chart/"&amp;X205&amp;"?range=1d&amp;interval=1d"),""))</f>
        <v/>
      </c>
      <c r="Z205" s="85" t="str">
        <f>IF(Y205="","",IFERROR(_xlfn.NUMBERVALUE(MID(Y205,SEARCH("""regularMarketPrice"":",Y205)+21,SEARCH(",",Y205&amp;",",SEARCH("""regularMarketPrice"":",Y205)+21)-SEARCH("""regularMarketPrice"":",Y205)-21),".",","),""))</f>
        <v/>
      </c>
      <c r="AA205" s="85" t="str">
        <f>IF(A205="","",ROUND(MAX(0,N(F205)*($K$6+$W$7)-K205),2))</f>
        <v/>
      </c>
      <c r="AB205" s="85" t="str">
        <f>IF(A205="","",IF(AND(M205&gt;0,M205&gt;=p_DifMin),AA205,0))</f>
        <v/>
      </c>
      <c r="AC205" s="85" t="str">
        <f>IF(A205="","",IF(AND(AB205&gt;0,N(O205)&lt;=p_MaxAtivos),AB205,0))</f>
        <v/>
      </c>
      <c r="AD205" s="85" t="str">
        <f>IF(A205="","",IF(OR(Q205&lt;=0,Q205&lt;p_CompraMin,N(H205)&lt;=0,N(W205)&lt;=0),0,IF($W$3="Sim",TRUNC(ROUND(MAX(0,(Q205-p_CorrFixa)/(H205*W205*$W$6)),9),$W$4),TRUNC(ROUND(MAX(0,(Q205-p_CorrFixa)/(H205*W205*$W$6)),9)/$W$5)*$W$5)))</f>
        <v/>
      </c>
      <c r="AE205" s="85" t="str">
        <f>IF(A205="","",IF(N(AD205)&gt;0,AD205*H205*W205*$W$6+p_CorrFixa,0))</f>
        <v/>
      </c>
      <c r="AF205" s="85" t="str">
        <f>IF(A205="","",IF(OR($Y$1&lt;=0,N(H205)&lt;=0,N(W205)&lt;=0,N(AB205)&lt;=0),0,IF($W$3="Sim",TRUNC(ROUND(MAX(0,($Y$1-IF(N(AD205)&gt;0,0,p_CorrFixa))/(H205*W205*$W$6)),9),$W$4),TRUNC(ROUND(MAX(0,($Y$1-IF(N(AD205)&gt;0,0,p_CorrFixa))/(H205*W205*$W$6)),9)/$W$5)*$W$5)))</f>
        <v/>
      </c>
      <c r="AG205" s="85" t="str">
        <f>IF(A205="","",IF(AND(N(AD205)=0,N(AF205)*(H205*W205*$W$6)+p_CorrFixa&lt;p_CompraMin),0,AF205))</f>
        <v/>
      </c>
      <c r="AH205" s="85" t="str">
        <f>IF(A205="","",IF(N(AG205)&gt;0,AB205,0))</f>
        <v/>
      </c>
      <c r="AI205" s="85" t="str">
        <f>IF(A205="","",IF(AND(AH205&gt;0,AH205=$AH$6,COUNTIF($AH$9:AH205,AH205)=1),1,0))</f>
        <v/>
      </c>
    </row>
    <row r="206">
      <c r="A206" s="96" t="n"/>
      <c r="B206" s="96" t="n"/>
      <c r="C206" s="96" t="n"/>
      <c r="D206" s="97" t="n"/>
      <c r="E206" s="98" t="n"/>
      <c r="F206" s="99" t="n"/>
      <c r="G206" s="100" t="n"/>
      <c r="H206" s="104" t="str">
        <f>IF(A206="","",IF(AND(p_ModoCot="Automático",ISNUMBER(Z206)),Z206,IF(N(G206)&gt;0,G206,0)))</f>
        <v/>
      </c>
      <c r="I206" s="105" t="str">
        <f>IF(A206="","",IF(W206=0,"Sem câmbio",IF(AND(p_ModoCot="Automático",ISNUMBER(Z206)),"Auto",IF(N(G206)&gt;0,"Manual","Sem cotação"))))</f>
        <v/>
      </c>
      <c r="J206" s="106" t="str">
        <f>IF(A206="","",N(E206)*H206)</f>
        <v/>
      </c>
      <c r="K206" s="107" t="str">
        <f>IF(A206="","",J206*W206)</f>
        <v/>
      </c>
      <c r="L206" s="108" t="str">
        <f>IF(A206="","",IF($K$6&gt;0,K206/$K$6,0))</f>
        <v/>
      </c>
      <c r="M206" s="109" t="str">
        <f>IF(A206="","",N(F206)-L206)</f>
        <v/>
      </c>
      <c r="N206" s="108" t="str">
        <f>IF(A206="","",IF($AB$6&gt;0,AB206/$AB$6,0))</f>
        <v/>
      </c>
      <c r="O206" s="110" t="str">
        <f>IF(A206="","",IF(AB206&lt;=0,"",COUNTIF($AB$9:$AB$208,"&gt;"&amp;AB206)+COUNTIF($AB$9:AB206,AB206)))</f>
        <v/>
      </c>
      <c r="P206" s="105" t="str">
        <f>IF(A206="","",IF(Q206&gt;0,"BUY","HOLD"))</f>
        <v/>
      </c>
      <c r="Q206" s="107" t="str">
        <f>IF(A206="","",IF($W$7&lt;=0,0,IF($AC$6&gt;0,$W$7*AC206/$AC$6,IF($F$6&gt;0,$W$7*N(F206)/$F$6,0))))</f>
        <v/>
      </c>
      <c r="R206" s="111" t="str">
        <f>IF(A206="","",N(AD206)+IF(AI206=1,N(AG206),0))</f>
        <v/>
      </c>
      <c r="S206" s="111" t="str">
        <f>IF(A206="","",N(E206)+N(R206))</f>
        <v/>
      </c>
      <c r="T206" s="107" t="str">
        <f>IF(A206="","",IF(N(R206)&gt;0,R206*H206*W206*$W$6+p_CorrFixa,0))</f>
        <v/>
      </c>
      <c r="V206" s="85" t="str">
        <f>IF(A206="","",IF(D206="",$W$1,D206))</f>
        <v/>
      </c>
      <c r="W206" s="85" t="str">
        <f>IF(A206="","",IFERROR(INDEX(moeda_fx,MATCH(V206,moeda_cod,0)),0))</f>
        <v/>
      </c>
      <c r="X206" s="85" t="str">
        <f>IF(A206="","",IF($W$2="",UPPER(TRIM(A206)),IF(RIGHT(UPPER(TRIM(A206)),LEN($W$2))=$W$2,UPPER(TRIM(A206)),UPPER(TRIM(A206))&amp;$W$2)))</f>
        <v/>
      </c>
      <c r="Y206" s="85" t="str">
        <f>IF(OR(A206="",p_ModoCot&lt;&gt;"Automático"),"",IFERROR(_xlfn.WEBSERVICE("https://query1.finance.yahoo.com/v8/finance/chart/"&amp;X206&amp;"?range=1d&amp;interval=1d"),""))</f>
        <v/>
      </c>
      <c r="Z206" s="85" t="str">
        <f>IF(Y206="","",IFERROR(_xlfn.NUMBERVALUE(MID(Y206,SEARCH("""regularMarketPrice"":",Y206)+21,SEARCH(",",Y206&amp;",",SEARCH("""regularMarketPrice"":",Y206)+21)-SEARCH("""regularMarketPrice"":",Y206)-21),".",","),""))</f>
        <v/>
      </c>
      <c r="AA206" s="85" t="str">
        <f>IF(A206="","",ROUND(MAX(0,N(F206)*($K$6+$W$7)-K206),2))</f>
        <v/>
      </c>
      <c r="AB206" s="85" t="str">
        <f>IF(A206="","",IF(AND(M206&gt;0,M206&gt;=p_DifMin),AA206,0))</f>
        <v/>
      </c>
      <c r="AC206" s="85" t="str">
        <f>IF(A206="","",IF(AND(AB206&gt;0,N(O206)&lt;=p_MaxAtivos),AB206,0))</f>
        <v/>
      </c>
      <c r="AD206" s="85" t="str">
        <f>IF(A206="","",IF(OR(Q206&lt;=0,Q206&lt;p_CompraMin,N(H206)&lt;=0,N(W206)&lt;=0),0,IF($W$3="Sim",TRUNC(ROUND(MAX(0,(Q206-p_CorrFixa)/(H206*W206*$W$6)),9),$W$4),TRUNC(ROUND(MAX(0,(Q206-p_CorrFixa)/(H206*W206*$W$6)),9)/$W$5)*$W$5)))</f>
        <v/>
      </c>
      <c r="AE206" s="85" t="str">
        <f>IF(A206="","",IF(N(AD206)&gt;0,AD206*H206*W206*$W$6+p_CorrFixa,0))</f>
        <v/>
      </c>
      <c r="AF206" s="85" t="str">
        <f>IF(A206="","",IF(OR($Y$1&lt;=0,N(H206)&lt;=0,N(W206)&lt;=0,N(AB206)&lt;=0),0,IF($W$3="Sim",TRUNC(ROUND(MAX(0,($Y$1-IF(N(AD206)&gt;0,0,p_CorrFixa))/(H206*W206*$W$6)),9),$W$4),TRUNC(ROUND(MAX(0,($Y$1-IF(N(AD206)&gt;0,0,p_CorrFixa))/(H206*W206*$W$6)),9)/$W$5)*$W$5)))</f>
        <v/>
      </c>
      <c r="AG206" s="85" t="str">
        <f>IF(A206="","",IF(AND(N(AD206)=0,N(AF206)*(H206*W206*$W$6)+p_CorrFixa&lt;p_CompraMin),0,AF206))</f>
        <v/>
      </c>
      <c r="AH206" s="85" t="str">
        <f>IF(A206="","",IF(N(AG206)&gt;0,AB206,0))</f>
        <v/>
      </c>
      <c r="AI206" s="85" t="str">
        <f>IF(A206="","",IF(AND(AH206&gt;0,AH206=$AH$6,COUNTIF($AH$9:AH206,AH206)=1),1,0))</f>
        <v/>
      </c>
    </row>
    <row r="207">
      <c r="A207" s="96" t="n"/>
      <c r="B207" s="96" t="n"/>
      <c r="C207" s="96" t="n"/>
      <c r="D207" s="97" t="n"/>
      <c r="E207" s="98" t="n"/>
      <c r="F207" s="99" t="n"/>
      <c r="G207" s="100" t="n"/>
      <c r="H207" s="101" t="str">
        <f>IF(A207="","",IF(AND(p_ModoCot="Automático",ISNUMBER(Z207)),Z207,IF(N(G207)&gt;0,G207,0)))</f>
        <v/>
      </c>
      <c r="I207" s="73" t="str">
        <f>IF(A207="","",IF(W207=0,"Sem câmbio",IF(AND(p_ModoCot="Automático",ISNUMBER(Z207)),"Auto",IF(N(G207)&gt;0,"Manual","Sem cotação"))))</f>
        <v/>
      </c>
      <c r="J207" s="102" t="str">
        <f>IF(A207="","",N(E207)*H207)</f>
        <v/>
      </c>
      <c r="K207" s="70" t="str">
        <f>IF(A207="","",J207*W207)</f>
        <v/>
      </c>
      <c r="L207" s="30" t="str">
        <f>IF(A207="","",IF($K$6&gt;0,K207/$K$6,0))</f>
        <v/>
      </c>
      <c r="M207" s="72" t="str">
        <f>IF(A207="","",N(F207)-L207)</f>
        <v/>
      </c>
      <c r="N207" s="30" t="str">
        <f>IF(A207="","",IF($AB$6&gt;0,AB207/$AB$6,0))</f>
        <v/>
      </c>
      <c r="O207" s="74" t="str">
        <f>IF(A207="","",IF(AB207&lt;=0,"",COUNTIF($AB$9:$AB$208,"&gt;"&amp;AB207)+COUNTIF($AB$9:AB207,AB207)))</f>
        <v/>
      </c>
      <c r="P207" s="73" t="str">
        <f>IF(A207="","",IF(Q207&gt;0,"BUY","HOLD"))</f>
        <v/>
      </c>
      <c r="Q207" s="70" t="str">
        <f>IF(A207="","",IF($W$7&lt;=0,0,IF($AC$6&gt;0,$W$7*AC207/$AC$6,IF($F$6&gt;0,$W$7*N(F207)/$F$6,0))))</f>
        <v/>
      </c>
      <c r="R207" s="103" t="str">
        <f>IF(A207="","",N(AD207)+IF(AI207=1,N(AG207),0))</f>
        <v/>
      </c>
      <c r="S207" s="103" t="str">
        <f>IF(A207="","",N(E207)+N(R207))</f>
        <v/>
      </c>
      <c r="T207" s="70" t="str">
        <f>IF(A207="","",IF(N(R207)&gt;0,R207*H207*W207*$W$6+p_CorrFixa,0))</f>
        <v/>
      </c>
      <c r="V207" s="85" t="str">
        <f>IF(A207="","",IF(D207="",$W$1,D207))</f>
        <v/>
      </c>
      <c r="W207" s="85" t="str">
        <f>IF(A207="","",IFERROR(INDEX(moeda_fx,MATCH(V207,moeda_cod,0)),0))</f>
        <v/>
      </c>
      <c r="X207" s="85" t="str">
        <f>IF(A207="","",IF($W$2="",UPPER(TRIM(A207)),IF(RIGHT(UPPER(TRIM(A207)),LEN($W$2))=$W$2,UPPER(TRIM(A207)),UPPER(TRIM(A207))&amp;$W$2)))</f>
        <v/>
      </c>
      <c r="Y207" s="85" t="str">
        <f>IF(OR(A207="",p_ModoCot&lt;&gt;"Automático"),"",IFERROR(_xlfn.WEBSERVICE("https://query1.finance.yahoo.com/v8/finance/chart/"&amp;X207&amp;"?range=1d&amp;interval=1d"),""))</f>
        <v/>
      </c>
      <c r="Z207" s="85" t="str">
        <f>IF(Y207="","",IFERROR(_xlfn.NUMBERVALUE(MID(Y207,SEARCH("""regularMarketPrice"":",Y207)+21,SEARCH(",",Y207&amp;",",SEARCH("""regularMarketPrice"":",Y207)+21)-SEARCH("""regularMarketPrice"":",Y207)-21),".",","),""))</f>
        <v/>
      </c>
      <c r="AA207" s="85" t="str">
        <f>IF(A207="","",ROUND(MAX(0,N(F207)*($K$6+$W$7)-K207),2))</f>
        <v/>
      </c>
      <c r="AB207" s="85" t="str">
        <f>IF(A207="","",IF(AND(M207&gt;0,M207&gt;=p_DifMin),AA207,0))</f>
        <v/>
      </c>
      <c r="AC207" s="85" t="str">
        <f>IF(A207="","",IF(AND(AB207&gt;0,N(O207)&lt;=p_MaxAtivos),AB207,0))</f>
        <v/>
      </c>
      <c r="AD207" s="85" t="str">
        <f>IF(A207="","",IF(OR(Q207&lt;=0,Q207&lt;p_CompraMin,N(H207)&lt;=0,N(W207)&lt;=0),0,IF($W$3="Sim",TRUNC(ROUND(MAX(0,(Q207-p_CorrFixa)/(H207*W207*$W$6)),9),$W$4),TRUNC(ROUND(MAX(0,(Q207-p_CorrFixa)/(H207*W207*$W$6)),9)/$W$5)*$W$5)))</f>
        <v/>
      </c>
      <c r="AE207" s="85" t="str">
        <f>IF(A207="","",IF(N(AD207)&gt;0,AD207*H207*W207*$W$6+p_CorrFixa,0))</f>
        <v/>
      </c>
      <c r="AF207" s="85" t="str">
        <f>IF(A207="","",IF(OR($Y$1&lt;=0,N(H207)&lt;=0,N(W207)&lt;=0,N(AB207)&lt;=0),0,IF($W$3="Sim",TRUNC(ROUND(MAX(0,($Y$1-IF(N(AD207)&gt;0,0,p_CorrFixa))/(H207*W207*$W$6)),9),$W$4),TRUNC(ROUND(MAX(0,($Y$1-IF(N(AD207)&gt;0,0,p_CorrFixa))/(H207*W207*$W$6)),9)/$W$5)*$W$5)))</f>
        <v/>
      </c>
      <c r="AG207" s="85" t="str">
        <f>IF(A207="","",IF(AND(N(AD207)=0,N(AF207)*(H207*W207*$W$6)+p_CorrFixa&lt;p_CompraMin),0,AF207))</f>
        <v/>
      </c>
      <c r="AH207" s="85" t="str">
        <f>IF(A207="","",IF(N(AG207)&gt;0,AB207,0))</f>
        <v/>
      </c>
      <c r="AI207" s="85" t="str">
        <f>IF(A207="","",IF(AND(AH207&gt;0,AH207=$AH$6,COUNTIF($AH$9:AH207,AH207)=1),1,0))</f>
        <v/>
      </c>
    </row>
    <row r="208">
      <c r="A208" s="96" t="n"/>
      <c r="B208" s="96" t="n"/>
      <c r="C208" s="96" t="n"/>
      <c r="D208" s="97" t="n"/>
      <c r="E208" s="98" t="n"/>
      <c r="F208" s="99" t="n"/>
      <c r="G208" s="100" t="n"/>
      <c r="H208" s="104" t="str">
        <f>IF(A208="","",IF(AND(p_ModoCot="Automático",ISNUMBER(Z208)),Z208,IF(N(G208)&gt;0,G208,0)))</f>
        <v/>
      </c>
      <c r="I208" s="105" t="str">
        <f>IF(A208="","",IF(W208=0,"Sem câmbio",IF(AND(p_ModoCot="Automático",ISNUMBER(Z208)),"Auto",IF(N(G208)&gt;0,"Manual","Sem cotação"))))</f>
        <v/>
      </c>
      <c r="J208" s="106" t="str">
        <f>IF(A208="","",N(E208)*H208)</f>
        <v/>
      </c>
      <c r="K208" s="107" t="str">
        <f>IF(A208="","",J208*W208)</f>
        <v/>
      </c>
      <c r="L208" s="108" t="str">
        <f>IF(A208="","",IF($K$6&gt;0,K208/$K$6,0))</f>
        <v/>
      </c>
      <c r="M208" s="109" t="str">
        <f>IF(A208="","",N(F208)-L208)</f>
        <v/>
      </c>
      <c r="N208" s="108" t="str">
        <f>IF(A208="","",IF($AB$6&gt;0,AB208/$AB$6,0))</f>
        <v/>
      </c>
      <c r="O208" s="110" t="str">
        <f>IF(A208="","",IF(AB208&lt;=0,"",COUNTIF($AB$9:$AB$208,"&gt;"&amp;AB208)+COUNTIF($AB$9:AB208,AB208)))</f>
        <v/>
      </c>
      <c r="P208" s="105" t="str">
        <f>IF(A208="","",IF(Q208&gt;0,"BUY","HOLD"))</f>
        <v/>
      </c>
      <c r="Q208" s="107" t="str">
        <f>IF(A208="","",IF($W$7&lt;=0,0,IF($AC$6&gt;0,$W$7*AC208/$AC$6,IF($F$6&gt;0,$W$7*N(F208)/$F$6,0))))</f>
        <v/>
      </c>
      <c r="R208" s="111" t="str">
        <f>IF(A208="","",N(AD208)+IF(AI208=1,N(AG208),0))</f>
        <v/>
      </c>
      <c r="S208" s="111" t="str">
        <f>IF(A208="","",N(E208)+N(R208))</f>
        <v/>
      </c>
      <c r="T208" s="107" t="str">
        <f>IF(A208="","",IF(N(R208)&gt;0,R208*H208*W208*$W$6+p_CorrFixa,0))</f>
        <v/>
      </c>
      <c r="V208" s="85" t="str">
        <f>IF(A208="","",IF(D208="",$W$1,D208))</f>
        <v/>
      </c>
      <c r="W208" s="85" t="str">
        <f>IF(A208="","",IFERROR(INDEX(moeda_fx,MATCH(V208,moeda_cod,0)),0))</f>
        <v/>
      </c>
      <c r="X208" s="85" t="str">
        <f>IF(A208="","",IF($W$2="",UPPER(TRIM(A208)),IF(RIGHT(UPPER(TRIM(A208)),LEN($W$2))=$W$2,UPPER(TRIM(A208)),UPPER(TRIM(A208))&amp;$W$2)))</f>
        <v/>
      </c>
      <c r="Y208" s="85" t="str">
        <f>IF(OR(A208="",p_ModoCot&lt;&gt;"Automático"),"",IFERROR(_xlfn.WEBSERVICE("https://query1.finance.yahoo.com/v8/finance/chart/"&amp;X208&amp;"?range=1d&amp;interval=1d"),""))</f>
        <v/>
      </c>
      <c r="Z208" s="85" t="str">
        <f>IF(Y208="","",IFERROR(_xlfn.NUMBERVALUE(MID(Y208,SEARCH("""regularMarketPrice"":",Y208)+21,SEARCH(",",Y208&amp;",",SEARCH("""regularMarketPrice"":",Y208)+21)-SEARCH("""regularMarketPrice"":",Y208)-21),".",","),""))</f>
        <v/>
      </c>
      <c r="AA208" s="85" t="str">
        <f>IF(A208="","",ROUND(MAX(0,N(F208)*($K$6+$W$7)-K208),2))</f>
        <v/>
      </c>
      <c r="AB208" s="85" t="str">
        <f>IF(A208="","",IF(AND(M208&gt;0,M208&gt;=p_DifMin),AA208,0))</f>
        <v/>
      </c>
      <c r="AC208" s="85" t="str">
        <f>IF(A208="","",IF(AND(AB208&gt;0,N(O208)&lt;=p_MaxAtivos),AB208,0))</f>
        <v/>
      </c>
      <c r="AD208" s="85" t="str">
        <f>IF(A208="","",IF(OR(Q208&lt;=0,Q208&lt;p_CompraMin,N(H208)&lt;=0,N(W208)&lt;=0),0,IF($W$3="Sim",TRUNC(ROUND(MAX(0,(Q208-p_CorrFixa)/(H208*W208*$W$6)),9),$W$4),TRUNC(ROUND(MAX(0,(Q208-p_CorrFixa)/(H208*W208*$W$6)),9)/$W$5)*$W$5)))</f>
        <v/>
      </c>
      <c r="AE208" s="85" t="str">
        <f>IF(A208="","",IF(N(AD208)&gt;0,AD208*H208*W208*$W$6+p_CorrFixa,0))</f>
        <v/>
      </c>
      <c r="AF208" s="85" t="str">
        <f>IF(A208="","",IF(OR($Y$1&lt;=0,N(H208)&lt;=0,N(W208)&lt;=0,N(AB208)&lt;=0),0,IF($W$3="Sim",TRUNC(ROUND(MAX(0,($Y$1-IF(N(AD208)&gt;0,0,p_CorrFixa))/(H208*W208*$W$6)),9),$W$4),TRUNC(ROUND(MAX(0,($Y$1-IF(N(AD208)&gt;0,0,p_CorrFixa))/(H208*W208*$W$6)),9)/$W$5)*$W$5)))</f>
        <v/>
      </c>
      <c r="AG208" s="85" t="str">
        <f>IF(A208="","",IF(AND(N(AD208)=0,N(AF208)*(H208*W208*$W$6)+p_CorrFixa&lt;p_CompraMin),0,AF208))</f>
        <v/>
      </c>
      <c r="AH208" s="85" t="str">
        <f>IF(A208="","",IF(N(AG208)&gt;0,AB208,0))</f>
        <v/>
      </c>
      <c r="AI208" s="85" t="str">
        <f>IF(A208="","",IF(AND(AH208&gt;0,AH208=$AH$6,COUNTIF($AH$9:AH208,AH208)=1),1,0))</f>
        <v/>
      </c>
    </row>
  </sheetData>
  <mergeCells count="10">
    <mergeCell ref="A4:B4"/>
    <mergeCell ref="K4:N4"/>
    <mergeCell ref="C3:F3"/>
    <mergeCell ref="G3:J3"/>
    <mergeCell ref="O3:S3"/>
    <mergeCell ref="K3:N3"/>
    <mergeCell ref="C4:F4"/>
    <mergeCell ref="G4:J4"/>
    <mergeCell ref="A3:B3"/>
    <mergeCell ref="O4:S4"/>
  </mergeCells>
  <conditionalFormatting sqref="T4">
    <cfRule type="expression" priority="1" dxfId="5">
      <formula>ABS(T4-1)&gt;0.0001</formula>
    </cfRule>
    <cfRule type="expression" priority="2" dxfId="6">
      <formula>ABS(T4-1)&lt;=0.0001</formula>
    </cfRule>
  </conditionalFormatting>
  <conditionalFormatting sqref="P9:P208">
    <cfRule type="cellIs" priority="3" operator="equal" dxfId="1">
      <formula>"BUY"</formula>
    </cfRule>
    <cfRule type="cellIs" priority="4" operator="equal" dxfId="2">
      <formula>"HOLD"</formula>
    </cfRule>
  </conditionalFormatting>
  <conditionalFormatting sqref="M9:M208">
    <cfRule type="expression" priority="5" dxfId="8">
      <formula>AND(ISNUMBER(M9),M9&lt;0)</formula>
    </cfRule>
    <cfRule type="expression" priority="6" dxfId="9">
      <formula>AND(ISNUMBER(M9),M9&gt;0)</formula>
    </cfRule>
  </conditionalFormatting>
  <conditionalFormatting sqref="I9:I208">
    <cfRule type="expression" priority="7" dxfId="3">
      <formula>OR(I9="Sem cotação",I9="Sem câmbio")</formula>
    </cfRule>
    <cfRule type="expression" priority="8" dxfId="9">
      <formula>I9="Auto"</formula>
    </cfRule>
  </conditionalFormatting>
  <conditionalFormatting sqref="R9:R208">
    <cfRule type="expression" priority="9" dxfId="4">
      <formula>AND(ISNUMBER(R9),R9&gt;0)</formula>
    </cfRule>
  </conditionalFormatting>
  <dataValidations count="5">
    <dataValidation sqref="D9:D208" showDropDown="0" showInputMessage="0" showErrorMessage="0" allowBlank="1" errorTitle="Moeda inválida" error="Moeda não cadastrada em Configurações &gt; Câmbio e Moedas." type="list">
      <formula1>='10 Configurações'!$B$21:$B$30</formula1>
    </dataValidation>
    <dataValidation sqref="C9:C208" showDropDown="0" showInputMessage="0" showErrorMessage="0" allowBlank="1" errorTitle="Valor fora da lista" error="Esse valor não está na lista da aba Auxiliar. Deseja manter?" type="list" errorStyle="warning">
      <formula1>='11 Auxiliar'!$I$5:$I$44</formula1>
    </dataValidation>
    <dataValidation sqref="F9:F20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E9:E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G9:G20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T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38BDF8"/>
    <outlinePr summaryBelow="1" summaryRight="1"/>
    <pageSetUpPr fitToPage="1"/>
  </sheetPr>
  <dimension ref="A1:AI208"/>
  <sheetViews>
    <sheetView showGridLines="0" tabSelected="0" zoomScale="9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2" customWidth="1" style="1" min="1" max="1"/>
    <col width="28" customWidth="1" style="1" min="2" max="2"/>
    <col width="20" customWidth="1" style="1" min="3" max="3"/>
    <col width="8" customWidth="1" style="1" min="4" max="4"/>
    <col width="13" customWidth="1" style="1" min="5" max="5"/>
    <col width="12" customWidth="1" style="1" min="6" max="6"/>
    <col width="13" customWidth="1" style="1" min="7" max="7"/>
    <col width="12" customWidth="1" style="1" min="8" max="8"/>
    <col width="12" customWidth="1" style="1" min="9" max="9"/>
    <col width="14" customWidth="1" style="1" min="10" max="10"/>
    <col width="15" customWidth="1" style="1" min="11" max="11"/>
    <col width="10" customWidth="1" style="1" min="12" max="12"/>
    <col width="10" customWidth="1" style="1" min="13" max="13"/>
    <col width="11" customWidth="1" style="1" min="14" max="14"/>
    <col width="7" customWidth="1" style="1" min="15" max="15"/>
    <col width="9" customWidth="1" style="1" min="16" max="16"/>
    <col width="14" customWidth="1" style="1" min="17" max="17"/>
    <col width="12" customWidth="1" style="1" min="18" max="18"/>
    <col width="12" customWidth="1" style="1" min="19" max="19"/>
    <col width="14" customWidth="1" style="1" min="20" max="20"/>
    <col width="3" customWidth="1" style="1" min="21" max="21"/>
    <col hidden="1" outlineLevel="1" width="16" customWidth="1" style="1" min="22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FIIS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62" t="inlineStr">
        <is>
          <t>◄ Dashboard</t>
        </is>
      </c>
      <c r="V1" s="85" t="inlineStr">
        <is>
          <t>Moeda padrão da classe</t>
        </is>
      </c>
      <c r="W1" s="86" t="str">
        <f>INDEX('10 Configurações'!$D$35:$D$41,MATCH("FIIs",'10 Configurações'!$B$35:$B$41,0))&amp;""</f>
        <v>BRL</v>
      </c>
      <c r="X1" s="85" t="inlineStr">
        <is>
          <t>Sobra da 1ª passada (R$)</t>
        </is>
      </c>
      <c r="Y1" s="86">
        <f>MAX(0,$W$7-SUM($AE$9:$AE$208))</f>
        <v>100</v>
      </c>
    </row>
    <row r="2" ht="18" customHeight="1">
      <c r="A2" s="63" t="str">
        <f>"Moeda padrão: "&amp;$W$1&amp;"   ·   Fração: "&amp;$W$3&amp;" ("&amp;$W$4&amp;" casas)   ·   Lote: "&amp;$W$5&amp;"   ·   Custo efetivo de compra: "&amp;ROUND(($W$6-1)*100,2)&amp;"%   ·   Cotações: "&amp;p_ModoCot</f>
        <v>Moeda padrão: BRL   ·   Fração: Não (0 casas)   ·   Lote: 1   ·   Custo efetivo de compra: 0%   ·   Cotações: Automático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V2" s="85" t="inlineStr">
        <is>
          <t>Sufixo Yahoo</t>
        </is>
      </c>
      <c r="W2" s="86" t="str">
        <f>INDEX('10 Configurações'!$E$35:$E$41,MATCH("FIIs",'10 Configurações'!$B$35:$B$41,0))&amp;""</f>
        <v>.SA</v>
      </c>
    </row>
    <row r="3" ht="16" customHeight="1">
      <c r="A3" s="11" t="inlineStr">
        <is>
          <t>VALOR DA CLASSE (R$)</t>
        </is>
      </c>
      <c r="B3" s="12" t="n"/>
      <c r="C3" s="11" t="inlineStr">
        <is>
          <t>Nº DE ATIVOS</t>
        </is>
      </c>
      <c r="D3" s="12" t="n"/>
      <c r="E3" s="12" t="n"/>
      <c r="F3" s="12" t="n"/>
      <c r="G3" s="13" t="inlineStr">
        <is>
          <t>APORTE DESTINADO (R$)</t>
        </is>
      </c>
      <c r="H3" s="14" t="n"/>
      <c r="I3" s="14" t="n"/>
      <c r="J3" s="14" t="n"/>
      <c r="K3" s="13" t="inlineStr">
        <is>
          <t>COMPRA EFETIVA (R$)</t>
        </is>
      </c>
      <c r="L3" s="14" t="n"/>
      <c r="M3" s="14" t="n"/>
      <c r="N3" s="14" t="n"/>
      <c r="O3" s="15" t="inlineStr">
        <is>
          <t>SOBRA DA CLASSE (R$)</t>
        </is>
      </c>
      <c r="P3" s="16" t="n"/>
      <c r="Q3" s="16" t="n"/>
      <c r="R3" s="16" t="n"/>
      <c r="S3" s="16" t="n"/>
      <c r="T3" s="15" t="inlineStr">
        <is>
          <t>SOMA DOS OBJETIVOS</t>
        </is>
      </c>
      <c r="V3" s="85" t="inlineStr">
        <is>
          <t>Permite fração?</t>
        </is>
      </c>
      <c r="W3" s="86" t="str">
        <f>INDEX('10 Configurações'!$G$35:$G$41,MATCH("FIIs",'10 Configurações'!$B$35:$B$41,0))&amp;""</f>
        <v>Não</v>
      </c>
    </row>
    <row r="4" ht="26" customHeight="1">
      <c r="A4" s="64">
        <f>$K$6</f>
        <v>0</v>
      </c>
      <c r="B4" s="1" t="n"/>
      <c r="C4" s="65">
        <f>SUMPRODUCT(--($A$9:$A$208&lt;&gt;""))</f>
        <v>0</v>
      </c>
      <c r="D4" s="1" t="n"/>
      <c r="E4" s="1" t="n"/>
      <c r="F4" s="1" t="n"/>
      <c r="G4" s="64">
        <f>$W$7</f>
        <v>100</v>
      </c>
      <c r="H4" s="1" t="n"/>
      <c r="I4" s="1" t="n"/>
      <c r="J4" s="1" t="n"/>
      <c r="K4" s="64">
        <f>$T$6</f>
        <v>0</v>
      </c>
      <c r="L4" s="1" t="n"/>
      <c r="M4" s="1" t="n"/>
      <c r="N4" s="1" t="n"/>
      <c r="O4" s="64">
        <f>$W$7-$T$6</f>
        <v>100</v>
      </c>
      <c r="P4" s="1" t="n"/>
      <c r="Q4" s="1" t="n"/>
      <c r="R4" s="1" t="n"/>
      <c r="S4" s="1" t="n"/>
      <c r="T4" s="66">
        <f>$F$6</f>
        <v>0</v>
      </c>
      <c r="V4" s="85" t="inlineStr">
        <is>
          <t>Casas decimais</t>
        </is>
      </c>
      <c r="W4" s="86">
        <f>N(INDEX('10 Configurações'!$H$35:$H$41,MATCH("FIIs",'10 Configurações'!$B$35:$B$41,0)))</f>
        <v>0</v>
      </c>
    </row>
    <row r="5" ht="14" customHeight="1">
      <c r="A5" s="87" t="inlineStr">
        <is>
          <t>■ Azul = entrada de dados (você só altera Quantidade, Objetivo e, se quiser, Cotação Manual)     ■ Demais células = fórmulas     ■ Depois de comprar: copie 'Qtd. Após Compra' e cole como valores em 'Quantidade'</t>
        </is>
      </c>
      <c r="V5" s="85" t="inlineStr">
        <is>
          <t>Lote efetivo</t>
        </is>
      </c>
      <c r="W5" s="86">
        <f>IF(INDEX('10 Configurações'!$I$35:$I$41,MATCH("FIIs",'10 Configurações'!$B$35:$B$41,0))="Sim",MAX(1,N(INDEX('10 Configurações'!$J$35:$J$41,MATCH("FIIs",'10 Configurações'!$B$35:$B$41,0)))),1)</f>
        <v>1</v>
      </c>
    </row>
    <row r="6" ht="24" customHeight="1">
      <c r="A6" s="88" t="inlineStr">
        <is>
          <t>TOTAL</t>
        </is>
      </c>
      <c r="B6" s="31" t="n"/>
      <c r="C6" s="31" t="n"/>
      <c r="D6" s="31" t="n"/>
      <c r="E6" s="31" t="n"/>
      <c r="F6" s="55">
        <f>SUM($F$9:$F$208)</f>
        <v>0</v>
      </c>
      <c r="G6" s="31" t="n"/>
      <c r="H6" s="31" t="n"/>
      <c r="I6" s="31" t="n"/>
      <c r="J6" s="31" t="n"/>
      <c r="K6" s="75">
        <f>SUM($K$9:$K$208)</f>
        <v>0</v>
      </c>
      <c r="L6" s="55">
        <f>SUM($L$9:$L$208)</f>
        <v>0</v>
      </c>
      <c r="M6" s="31" t="n"/>
      <c r="N6" s="55">
        <f>SUM($N$9:$N$208)</f>
        <v>0</v>
      </c>
      <c r="O6" s="31" t="n"/>
      <c r="P6" s="31" t="n"/>
      <c r="Q6" s="75">
        <f>SUM($Q$9:$Q$208)</f>
        <v>0</v>
      </c>
      <c r="R6" s="31" t="n"/>
      <c r="S6" s="31" t="n"/>
      <c r="T6" s="75">
        <f>SUM($T$9:$T$208)</f>
        <v>0</v>
      </c>
      <c r="V6" s="85" t="inlineStr">
        <is>
          <t>Fator de custo (1 + custos)</t>
        </is>
      </c>
      <c r="W6" s="86">
        <f>1+N(INDEX('10 Configurações'!$K$35:$K$41,MATCH("FIIs",'10 Configurações'!$B$35:$B$41,0)))</f>
        <v>1</v>
      </c>
      <c r="AB6" s="89">
        <f>SUM($AB$9:$AB$208)</f>
        <v>0</v>
      </c>
      <c r="AC6" s="89">
        <f>SUM($AC$9:$AC$208)</f>
        <v>0</v>
      </c>
      <c r="AH6" s="89">
        <f>MAX($AH$9:$AH$208)</f>
        <v>0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1" t="inlineStr">
        <is>
          <t>POSIÇÃO E OBJETIVO</t>
        </is>
      </c>
      <c r="F7" s="91" t="n"/>
      <c r="G7" s="92" t="inlineStr">
        <is>
          <t>COTAÇÃO</t>
        </is>
      </c>
      <c r="H7" s="92" t="n"/>
      <c r="I7" s="92" t="n"/>
      <c r="J7" s="93" t="inlineStr">
        <is>
          <t>VALOR</t>
        </is>
      </c>
      <c r="K7" s="93" t="n"/>
      <c r="L7" s="93" t="n"/>
      <c r="M7" s="94" t="inlineStr">
        <is>
          <t>REBALANCEAMENTO</t>
        </is>
      </c>
      <c r="N7" s="94" t="n"/>
      <c r="O7" s="94" t="n"/>
      <c r="P7" s="94" t="n"/>
      <c r="Q7" s="94" t="n"/>
      <c r="R7" s="94" t="n"/>
      <c r="S7" s="94" t="n"/>
      <c r="T7" s="94" t="n"/>
      <c r="V7" s="85" t="inlineStr">
        <is>
          <t>Aporte destinado à classe (R$)</t>
        </is>
      </c>
      <c r="W7" s="86">
        <f>'02 Macro Alocação'!$M$10</f>
        <v>100</v>
      </c>
    </row>
    <row r="8" ht="34" customHeight="1">
      <c r="A8" s="68" t="inlineStr">
        <is>
          <t>Ticker</t>
        </is>
      </c>
      <c r="B8" s="68" t="inlineStr">
        <is>
          <t>Nome / Descrição</t>
        </is>
      </c>
      <c r="C8" s="68" t="inlineStr">
        <is>
          <t>Setor / Segmento</t>
        </is>
      </c>
      <c r="D8" s="68" t="inlineStr">
        <is>
          <t>Moeda</t>
        </is>
      </c>
      <c r="E8" s="68" t="inlineStr">
        <is>
          <t>Quantidade</t>
        </is>
      </c>
      <c r="F8" s="68" t="inlineStr">
        <is>
          <t>Objetivo (% da classe)</t>
        </is>
      </c>
      <c r="G8" s="68" t="inlineStr">
        <is>
          <t>Cotação Manual (opcional)</t>
        </is>
      </c>
      <c r="H8" s="67" t="inlineStr">
        <is>
          <t>Cotação</t>
        </is>
      </c>
      <c r="I8" s="67" t="inlineStr">
        <is>
          <t>Fonte</t>
        </is>
      </c>
      <c r="J8" s="67" t="inlineStr">
        <is>
          <t>Valor Atual (Moeda)</t>
        </is>
      </c>
      <c r="K8" s="67" t="inlineStr">
        <is>
          <t>Valor Atual (R$)</t>
        </is>
      </c>
      <c r="L8" s="67" t="inlineStr">
        <is>
          <t>Part. na Classe</t>
        </is>
      </c>
      <c r="M8" s="67" t="inlineStr">
        <is>
          <t>Diferença</t>
        </is>
      </c>
      <c r="N8" s="67" t="inlineStr">
        <is>
          <t>Rebalance Score</t>
        </is>
      </c>
      <c r="O8" s="67" t="inlineStr">
        <is>
          <t>Prior.</t>
        </is>
      </c>
      <c r="P8" s="67" t="inlineStr">
        <is>
          <t>Ação</t>
        </is>
      </c>
      <c r="Q8" s="67" t="inlineStr">
        <is>
          <t>Valor Sugerido (R$)</t>
        </is>
      </c>
      <c r="R8" s="67" t="inlineStr">
        <is>
          <t>Qtd. Sugerida</t>
        </is>
      </c>
      <c r="S8" s="67" t="inlineStr">
        <is>
          <t>Qtd. Após Compra</t>
        </is>
      </c>
      <c r="T8" s="67" t="inlineStr">
        <is>
          <t>Valor Efetivo (R$)</t>
        </is>
      </c>
      <c r="V8" s="95" t="inlineStr">
        <is>
          <t>Moeda efetiva</t>
        </is>
      </c>
      <c r="W8" s="95" t="inlineStr">
        <is>
          <t>Câmbio (R$)</t>
        </is>
      </c>
      <c r="X8" s="95" t="inlineStr">
        <is>
          <t>Ticker Yahoo</t>
        </is>
      </c>
      <c r="Y8" s="95" t="inlineStr">
        <is>
          <t>Resposta da API</t>
        </is>
      </c>
      <c r="Z8" s="95" t="inlineStr">
        <is>
          <t>Cotação auto</t>
        </is>
      </c>
      <c r="AA8" s="95" t="inlineStr">
        <is>
          <t>Déficit (R$)</t>
        </is>
      </c>
      <c r="AB8" s="95" t="inlineStr">
        <is>
          <t>Déficit elegível</t>
        </is>
      </c>
      <c r="AC8" s="95" t="inlineStr">
        <is>
          <t>Déficit final</t>
        </is>
      </c>
      <c r="AD8" s="95" t="inlineStr">
        <is>
          <t>Qtd 1ª passada</t>
        </is>
      </c>
      <c r="AE8" s="95" t="inlineStr">
        <is>
          <t>Valor 1ª passada (R$)</t>
        </is>
      </c>
      <c r="AF8" s="95" t="inlineStr">
        <is>
          <t>Qtd extra (bruta)</t>
        </is>
      </c>
      <c r="AG8" s="95" t="inlineStr">
        <is>
          <t>Qtd extra</t>
        </is>
      </c>
      <c r="AH8" s="95" t="inlineStr">
        <is>
          <t>Prioridade extra</t>
        </is>
      </c>
      <c r="AI8" s="95" t="inlineStr">
        <is>
          <t>Recebe a sobra</t>
        </is>
      </c>
    </row>
    <row r="9">
      <c r="A9" s="96" t="n"/>
      <c r="B9" s="96" t="n"/>
      <c r="C9" s="96" t="n"/>
      <c r="D9" s="97" t="n"/>
      <c r="E9" s="98" t="n"/>
      <c r="F9" s="99" t="n"/>
      <c r="G9" s="100" t="n"/>
      <c r="H9" s="101" t="str">
        <f>IF(A9="","",IF(AND(p_ModoCot="Automático",ISNUMBER(Z9)),Z9,IF(N(G9)&gt;0,G9,0)))</f>
        <v/>
      </c>
      <c r="I9" s="73" t="str">
        <f>IF(A9="","",IF(W9=0,"Sem câmbio",IF(AND(p_ModoCot="Automático",ISNUMBER(Z9)),"Auto",IF(N(G9)&gt;0,"Manual","Sem cotação"))))</f>
        <v/>
      </c>
      <c r="J9" s="102" t="str">
        <f>IF(A9="","",N(E9)*H9)</f>
        <v/>
      </c>
      <c r="K9" s="70" t="str">
        <f>IF(A9="","",J9*W9)</f>
        <v/>
      </c>
      <c r="L9" s="30" t="str">
        <f>IF(A9="","",IF($K$6&gt;0,K9/$K$6,0))</f>
        <v/>
      </c>
      <c r="M9" s="72" t="str">
        <f>IF(A9="","",N(F9)-L9)</f>
        <v/>
      </c>
      <c r="N9" s="30" t="str">
        <f>IF(A9="","",IF($AB$6&gt;0,AB9/$AB$6,0))</f>
        <v/>
      </c>
      <c r="O9" s="74" t="str">
        <f>IF(A9="","",IF(AB9&lt;=0,"",COUNTIF($AB$9:$AB$208,"&gt;"&amp;AB9)+COUNTIF($AB$9:AB9,AB9)))</f>
        <v/>
      </c>
      <c r="P9" s="73" t="str">
        <f>IF(A9="","",IF(Q9&gt;0,"BUY","HOLD"))</f>
        <v/>
      </c>
      <c r="Q9" s="70" t="str">
        <f>IF(A9="","",IF($W$7&lt;=0,0,IF($AC$6&gt;0,$W$7*AC9/$AC$6,IF($F$6&gt;0,$W$7*N(F9)/$F$6,0))))</f>
        <v/>
      </c>
      <c r="R9" s="103" t="str">
        <f>IF(A9="","",N(AD9)+IF(AI9=1,N(AG9),0))</f>
        <v/>
      </c>
      <c r="S9" s="103" t="str">
        <f>IF(A9="","",N(E9)+N(R9))</f>
        <v/>
      </c>
      <c r="T9" s="70" t="str">
        <f>IF(A9="","",IF(N(R9)&gt;0,R9*H9*W9*$W$6+p_CorrFixa,0))</f>
        <v/>
      </c>
      <c r="V9" s="85" t="str">
        <f>IF(A9="","",IF(D9="",$W$1,D9))</f>
        <v/>
      </c>
      <c r="W9" s="85" t="str">
        <f>IF(A9="","",IFERROR(INDEX(moeda_fx,MATCH(V9,moeda_cod,0)),0))</f>
        <v/>
      </c>
      <c r="X9" s="85" t="str">
        <f>IF(A9="","",IF($W$2="",UPPER(TRIM(A9)),IF(RIGHT(UPPER(TRIM(A9)),LEN($W$2))=$W$2,UPPER(TRIM(A9)),UPPER(TRIM(A9))&amp;$W$2)))</f>
        <v/>
      </c>
      <c r="Y9" s="85" t="str">
        <f>IF(OR(A9="",p_ModoCot&lt;&gt;"Automático"),"",IFERROR(_xlfn.WEBSERVICE("https://query1.finance.yahoo.com/v8/finance/chart/"&amp;X9&amp;"?range=1d&amp;interval=1d"),""))</f>
        <v/>
      </c>
      <c r="Z9" s="85" t="str">
        <f>IF(Y9="","",IFERROR(_xlfn.NUMBERVALUE(MID(Y9,SEARCH("""regularMarketPrice"":",Y9)+21,SEARCH(",",Y9&amp;",",SEARCH("""regularMarketPrice"":",Y9)+21)-SEARCH("""regularMarketPrice"":",Y9)-21),".",","),""))</f>
        <v/>
      </c>
      <c r="AA9" s="85" t="str">
        <f>IF(A9="","",ROUND(MAX(0,N(F9)*($K$6+$W$7)-K9),2))</f>
        <v/>
      </c>
      <c r="AB9" s="85" t="str">
        <f>IF(A9="","",IF(AND(M9&gt;0,M9&gt;=p_DifMin),AA9,0))</f>
        <v/>
      </c>
      <c r="AC9" s="85" t="str">
        <f>IF(A9="","",IF(AND(AB9&gt;0,N(O9)&lt;=p_MaxAtivos),AB9,0))</f>
        <v/>
      </c>
      <c r="AD9" s="85" t="str">
        <f>IF(A9="","",IF(OR(Q9&lt;=0,Q9&lt;p_CompraMin,N(H9)&lt;=0,N(W9)&lt;=0),0,IF($W$3="Sim",TRUNC(ROUND(MAX(0,(Q9-p_CorrFixa)/(H9*W9*$W$6)),9),$W$4),TRUNC(ROUND(MAX(0,(Q9-p_CorrFixa)/(H9*W9*$W$6)),9)/$W$5)*$W$5)))</f>
        <v/>
      </c>
      <c r="AE9" s="85" t="str">
        <f>IF(A9="","",IF(N(AD9)&gt;0,AD9*H9*W9*$W$6+p_CorrFixa,0))</f>
        <v/>
      </c>
      <c r="AF9" s="85" t="str">
        <f>IF(A9="","",IF(OR($Y$1&lt;=0,N(H9)&lt;=0,N(W9)&lt;=0,N(AB9)&lt;=0),0,IF($W$3="Sim",TRUNC(ROUND(MAX(0,($Y$1-IF(N(AD9)&gt;0,0,p_CorrFixa))/(H9*W9*$W$6)),9),$W$4),TRUNC(ROUND(MAX(0,($Y$1-IF(N(AD9)&gt;0,0,p_CorrFixa))/(H9*W9*$W$6)),9)/$W$5)*$W$5)))</f>
        <v/>
      </c>
      <c r="AG9" s="85" t="str">
        <f>IF(A9="","",IF(AND(N(AD9)=0,N(AF9)*(H9*W9*$W$6)+p_CorrFixa&lt;p_CompraMin),0,AF9))</f>
        <v/>
      </c>
      <c r="AH9" s="85" t="str">
        <f>IF(A9="","",IF(N(AG9)&gt;0,AB9,0))</f>
        <v/>
      </c>
      <c r="AI9" s="85" t="str">
        <f>IF(A9="","",IF(AND(AH9&gt;0,AH9=$AH$6,COUNTIF($AH$9:AH9,AH9)=1),1,0))</f>
        <v/>
      </c>
    </row>
    <row r="10">
      <c r="A10" s="96" t="n"/>
      <c r="B10" s="96" t="n"/>
      <c r="C10" s="96" t="n"/>
      <c r="D10" s="97" t="n"/>
      <c r="E10" s="98" t="n"/>
      <c r="F10" s="99" t="n"/>
      <c r="G10" s="100" t="n"/>
      <c r="H10" s="104" t="str">
        <f>IF(A10="","",IF(AND(p_ModoCot="Automático",ISNUMBER(Z10)),Z10,IF(N(G10)&gt;0,G10,0)))</f>
        <v/>
      </c>
      <c r="I10" s="105" t="str">
        <f>IF(A10="","",IF(W10=0,"Sem câmbio",IF(AND(p_ModoCot="Automático",ISNUMBER(Z10)),"Auto",IF(N(G10)&gt;0,"Manual","Sem cotação"))))</f>
        <v/>
      </c>
      <c r="J10" s="106" t="str">
        <f>IF(A10="","",N(E10)*H10)</f>
        <v/>
      </c>
      <c r="K10" s="107" t="str">
        <f>IF(A10="","",J10*W10)</f>
        <v/>
      </c>
      <c r="L10" s="108" t="str">
        <f>IF(A10="","",IF($K$6&gt;0,K10/$K$6,0))</f>
        <v/>
      </c>
      <c r="M10" s="109" t="str">
        <f>IF(A10="","",N(F10)-L10)</f>
        <v/>
      </c>
      <c r="N10" s="108" t="str">
        <f>IF(A10="","",IF($AB$6&gt;0,AB10/$AB$6,0))</f>
        <v/>
      </c>
      <c r="O10" s="110" t="str">
        <f>IF(A10="","",IF(AB10&lt;=0,"",COUNTIF($AB$9:$AB$208,"&gt;"&amp;AB10)+COUNTIF($AB$9:AB10,AB10)))</f>
        <v/>
      </c>
      <c r="P10" s="105" t="str">
        <f>IF(A10="","",IF(Q10&gt;0,"BUY","HOLD"))</f>
        <v/>
      </c>
      <c r="Q10" s="107" t="str">
        <f>IF(A10="","",IF($W$7&lt;=0,0,IF($AC$6&gt;0,$W$7*AC10/$AC$6,IF($F$6&gt;0,$W$7*N(F10)/$F$6,0))))</f>
        <v/>
      </c>
      <c r="R10" s="111" t="str">
        <f>IF(A10="","",N(AD10)+IF(AI10=1,N(AG10),0))</f>
        <v/>
      </c>
      <c r="S10" s="111" t="str">
        <f>IF(A10="","",N(E10)+N(R10))</f>
        <v/>
      </c>
      <c r="T10" s="107" t="str">
        <f>IF(A10="","",IF(N(R10)&gt;0,R10*H10*W10*$W$6+p_CorrFixa,0))</f>
        <v/>
      </c>
      <c r="V10" s="85" t="str">
        <f>IF(A10="","",IF(D10="",$W$1,D10))</f>
        <v/>
      </c>
      <c r="W10" s="85" t="str">
        <f>IF(A10="","",IFERROR(INDEX(moeda_fx,MATCH(V10,moeda_cod,0)),0))</f>
        <v/>
      </c>
      <c r="X10" s="85" t="str">
        <f>IF(A10="","",IF($W$2="",UPPER(TRIM(A10)),IF(RIGHT(UPPER(TRIM(A10)),LEN($W$2))=$W$2,UPPER(TRIM(A10)),UPPER(TRIM(A10))&amp;$W$2)))</f>
        <v/>
      </c>
      <c r="Y10" s="85" t="str">
        <f>IF(OR(A10="",p_ModoCot&lt;&gt;"Automático"),"",IFERROR(_xlfn.WEBSERVICE("https://query1.finance.yahoo.com/v8/finance/chart/"&amp;X10&amp;"?range=1d&amp;interval=1d"),""))</f>
        <v/>
      </c>
      <c r="Z10" s="85" t="str">
        <f>IF(Y10="","",IFERROR(_xlfn.NUMBERVALUE(MID(Y10,SEARCH("""regularMarketPrice"":",Y10)+21,SEARCH(",",Y10&amp;",",SEARCH("""regularMarketPrice"":",Y10)+21)-SEARCH("""regularMarketPrice"":",Y10)-21),".",","),""))</f>
        <v/>
      </c>
      <c r="AA10" s="85" t="str">
        <f>IF(A10="","",ROUND(MAX(0,N(F10)*($K$6+$W$7)-K10),2))</f>
        <v/>
      </c>
      <c r="AB10" s="85" t="str">
        <f>IF(A10="","",IF(AND(M10&gt;0,M10&gt;=p_DifMin),AA10,0))</f>
        <v/>
      </c>
      <c r="AC10" s="85" t="str">
        <f>IF(A10="","",IF(AND(AB10&gt;0,N(O10)&lt;=p_MaxAtivos),AB10,0))</f>
        <v/>
      </c>
      <c r="AD10" s="85" t="str">
        <f>IF(A10="","",IF(OR(Q10&lt;=0,Q10&lt;p_CompraMin,N(H10)&lt;=0,N(W10)&lt;=0),0,IF($W$3="Sim",TRUNC(ROUND(MAX(0,(Q10-p_CorrFixa)/(H10*W10*$W$6)),9),$W$4),TRUNC(ROUND(MAX(0,(Q10-p_CorrFixa)/(H10*W10*$W$6)),9)/$W$5)*$W$5)))</f>
        <v/>
      </c>
      <c r="AE10" s="85" t="str">
        <f>IF(A10="","",IF(N(AD10)&gt;0,AD10*H10*W10*$W$6+p_CorrFixa,0))</f>
        <v/>
      </c>
      <c r="AF10" s="85" t="str">
        <f>IF(A10="","",IF(OR($Y$1&lt;=0,N(H10)&lt;=0,N(W10)&lt;=0,N(AB10)&lt;=0),0,IF($W$3="Sim",TRUNC(ROUND(MAX(0,($Y$1-IF(N(AD10)&gt;0,0,p_CorrFixa))/(H10*W10*$W$6)),9),$W$4),TRUNC(ROUND(MAX(0,($Y$1-IF(N(AD10)&gt;0,0,p_CorrFixa))/(H10*W10*$W$6)),9)/$W$5)*$W$5)))</f>
        <v/>
      </c>
      <c r="AG10" s="85" t="str">
        <f>IF(A10="","",IF(AND(N(AD10)=0,N(AF10)*(H10*W10*$W$6)+p_CorrFixa&lt;p_CompraMin),0,AF10))</f>
        <v/>
      </c>
      <c r="AH10" s="85" t="str">
        <f>IF(A10="","",IF(N(AG10)&gt;0,AB10,0))</f>
        <v/>
      </c>
      <c r="AI10" s="85" t="str">
        <f>IF(A10="","",IF(AND(AH10&gt;0,AH10=$AH$6,COUNTIF($AH$9:AH10,AH10)=1),1,0))</f>
        <v/>
      </c>
    </row>
    <row r="11">
      <c r="A11" s="96" t="n"/>
      <c r="B11" s="96" t="n"/>
      <c r="C11" s="96" t="n"/>
      <c r="D11" s="97" t="n"/>
      <c r="E11" s="98" t="n"/>
      <c r="F11" s="99" t="n"/>
      <c r="G11" s="100" t="n"/>
      <c r="H11" s="101" t="str">
        <f>IF(A11="","",IF(AND(p_ModoCot="Automático",ISNUMBER(Z11)),Z11,IF(N(G11)&gt;0,G11,0)))</f>
        <v/>
      </c>
      <c r="I11" s="73" t="str">
        <f>IF(A11="","",IF(W11=0,"Sem câmbio",IF(AND(p_ModoCot="Automático",ISNUMBER(Z11)),"Auto",IF(N(G11)&gt;0,"Manual","Sem cotação"))))</f>
        <v/>
      </c>
      <c r="J11" s="102" t="str">
        <f>IF(A11="","",N(E11)*H11)</f>
        <v/>
      </c>
      <c r="K11" s="70" t="str">
        <f>IF(A11="","",J11*W11)</f>
        <v/>
      </c>
      <c r="L11" s="30" t="str">
        <f>IF(A11="","",IF($K$6&gt;0,K11/$K$6,0))</f>
        <v/>
      </c>
      <c r="M11" s="72" t="str">
        <f>IF(A11="","",N(F11)-L11)</f>
        <v/>
      </c>
      <c r="N11" s="30" t="str">
        <f>IF(A11="","",IF($AB$6&gt;0,AB11/$AB$6,0))</f>
        <v/>
      </c>
      <c r="O11" s="74" t="str">
        <f>IF(A11="","",IF(AB11&lt;=0,"",COUNTIF($AB$9:$AB$208,"&gt;"&amp;AB11)+COUNTIF($AB$9:AB11,AB11)))</f>
        <v/>
      </c>
      <c r="P11" s="73" t="str">
        <f>IF(A11="","",IF(Q11&gt;0,"BUY","HOLD"))</f>
        <v/>
      </c>
      <c r="Q11" s="70" t="str">
        <f>IF(A11="","",IF($W$7&lt;=0,0,IF($AC$6&gt;0,$W$7*AC11/$AC$6,IF($F$6&gt;0,$W$7*N(F11)/$F$6,0))))</f>
        <v/>
      </c>
      <c r="R11" s="103" t="str">
        <f>IF(A11="","",N(AD11)+IF(AI11=1,N(AG11),0))</f>
        <v/>
      </c>
      <c r="S11" s="103" t="str">
        <f>IF(A11="","",N(E11)+N(R11))</f>
        <v/>
      </c>
      <c r="T11" s="70" t="str">
        <f>IF(A11="","",IF(N(R11)&gt;0,R11*H11*W11*$W$6+p_CorrFixa,0))</f>
        <v/>
      </c>
      <c r="V11" s="85" t="str">
        <f>IF(A11="","",IF(D11="",$W$1,D11))</f>
        <v/>
      </c>
      <c r="W11" s="85" t="str">
        <f>IF(A11="","",IFERROR(INDEX(moeda_fx,MATCH(V11,moeda_cod,0)),0))</f>
        <v/>
      </c>
      <c r="X11" s="85" t="str">
        <f>IF(A11="","",IF($W$2="",UPPER(TRIM(A11)),IF(RIGHT(UPPER(TRIM(A11)),LEN($W$2))=$W$2,UPPER(TRIM(A11)),UPPER(TRIM(A11))&amp;$W$2)))</f>
        <v/>
      </c>
      <c r="Y11" s="85" t="str">
        <f>IF(OR(A11="",p_ModoCot&lt;&gt;"Automático"),"",IFERROR(_xlfn.WEBSERVICE("https://query1.finance.yahoo.com/v8/finance/chart/"&amp;X11&amp;"?range=1d&amp;interval=1d"),""))</f>
        <v/>
      </c>
      <c r="Z11" s="85" t="str">
        <f>IF(Y11="","",IFERROR(_xlfn.NUMBERVALUE(MID(Y11,SEARCH("""regularMarketPrice"":",Y11)+21,SEARCH(",",Y11&amp;",",SEARCH("""regularMarketPrice"":",Y11)+21)-SEARCH("""regularMarketPrice"":",Y11)-21),".",","),""))</f>
        <v/>
      </c>
      <c r="AA11" s="85" t="str">
        <f>IF(A11="","",ROUND(MAX(0,N(F11)*($K$6+$W$7)-K11),2))</f>
        <v/>
      </c>
      <c r="AB11" s="85" t="str">
        <f>IF(A11="","",IF(AND(M11&gt;0,M11&gt;=p_DifMin),AA11,0))</f>
        <v/>
      </c>
      <c r="AC11" s="85" t="str">
        <f>IF(A11="","",IF(AND(AB11&gt;0,N(O11)&lt;=p_MaxAtivos),AB11,0))</f>
        <v/>
      </c>
      <c r="AD11" s="85" t="str">
        <f>IF(A11="","",IF(OR(Q11&lt;=0,Q11&lt;p_CompraMin,N(H11)&lt;=0,N(W11)&lt;=0),0,IF($W$3="Sim",TRUNC(ROUND(MAX(0,(Q11-p_CorrFixa)/(H11*W11*$W$6)),9),$W$4),TRUNC(ROUND(MAX(0,(Q11-p_CorrFixa)/(H11*W11*$W$6)),9)/$W$5)*$W$5)))</f>
        <v/>
      </c>
      <c r="AE11" s="85" t="str">
        <f>IF(A11="","",IF(N(AD11)&gt;0,AD11*H11*W11*$W$6+p_CorrFixa,0))</f>
        <v/>
      </c>
      <c r="AF11" s="85" t="str">
        <f>IF(A11="","",IF(OR($Y$1&lt;=0,N(H11)&lt;=0,N(W11)&lt;=0,N(AB11)&lt;=0),0,IF($W$3="Sim",TRUNC(ROUND(MAX(0,($Y$1-IF(N(AD11)&gt;0,0,p_CorrFixa))/(H11*W11*$W$6)),9),$W$4),TRUNC(ROUND(MAX(0,($Y$1-IF(N(AD11)&gt;0,0,p_CorrFixa))/(H11*W11*$W$6)),9)/$W$5)*$W$5)))</f>
        <v/>
      </c>
      <c r="AG11" s="85" t="str">
        <f>IF(A11="","",IF(AND(N(AD11)=0,N(AF11)*(H11*W11*$W$6)+p_CorrFixa&lt;p_CompraMin),0,AF11))</f>
        <v/>
      </c>
      <c r="AH11" s="85" t="str">
        <f>IF(A11="","",IF(N(AG11)&gt;0,AB11,0))</f>
        <v/>
      </c>
      <c r="AI11" s="85" t="str">
        <f>IF(A11="","",IF(AND(AH11&gt;0,AH11=$AH$6,COUNTIF($AH$9:AH11,AH11)=1),1,0))</f>
        <v/>
      </c>
    </row>
    <row r="12">
      <c r="A12" s="96" t="n"/>
      <c r="B12" s="96" t="n"/>
      <c r="C12" s="96" t="n"/>
      <c r="D12" s="97" t="n"/>
      <c r="E12" s="98" t="n"/>
      <c r="F12" s="99" t="n"/>
      <c r="G12" s="100" t="n"/>
      <c r="H12" s="104" t="str">
        <f>IF(A12="","",IF(AND(p_ModoCot="Automático",ISNUMBER(Z12)),Z12,IF(N(G12)&gt;0,G12,0)))</f>
        <v/>
      </c>
      <c r="I12" s="105" t="str">
        <f>IF(A12="","",IF(W12=0,"Sem câmbio",IF(AND(p_ModoCot="Automático",ISNUMBER(Z12)),"Auto",IF(N(G12)&gt;0,"Manual","Sem cotação"))))</f>
        <v/>
      </c>
      <c r="J12" s="106" t="str">
        <f>IF(A12="","",N(E12)*H12)</f>
        <v/>
      </c>
      <c r="K12" s="107" t="str">
        <f>IF(A12="","",J12*W12)</f>
        <v/>
      </c>
      <c r="L12" s="108" t="str">
        <f>IF(A12="","",IF($K$6&gt;0,K12/$K$6,0))</f>
        <v/>
      </c>
      <c r="M12" s="109" t="str">
        <f>IF(A12="","",N(F12)-L12)</f>
        <v/>
      </c>
      <c r="N12" s="108" t="str">
        <f>IF(A12="","",IF($AB$6&gt;0,AB12/$AB$6,0))</f>
        <v/>
      </c>
      <c r="O12" s="110" t="str">
        <f>IF(A12="","",IF(AB12&lt;=0,"",COUNTIF($AB$9:$AB$208,"&gt;"&amp;AB12)+COUNTIF($AB$9:AB12,AB12)))</f>
        <v/>
      </c>
      <c r="P12" s="105" t="str">
        <f>IF(A12="","",IF(Q12&gt;0,"BUY","HOLD"))</f>
        <v/>
      </c>
      <c r="Q12" s="107" t="str">
        <f>IF(A12="","",IF($W$7&lt;=0,0,IF($AC$6&gt;0,$W$7*AC12/$AC$6,IF($F$6&gt;0,$W$7*N(F12)/$F$6,0))))</f>
        <v/>
      </c>
      <c r="R12" s="111" t="str">
        <f>IF(A12="","",N(AD12)+IF(AI12=1,N(AG12),0))</f>
        <v/>
      </c>
      <c r="S12" s="111" t="str">
        <f>IF(A12="","",N(E12)+N(R12))</f>
        <v/>
      </c>
      <c r="T12" s="107" t="str">
        <f>IF(A12="","",IF(N(R12)&gt;0,R12*H12*W12*$W$6+p_CorrFixa,0))</f>
        <v/>
      </c>
      <c r="V12" s="85" t="str">
        <f>IF(A12="","",IF(D12="",$W$1,D12))</f>
        <v/>
      </c>
      <c r="W12" s="85" t="str">
        <f>IF(A12="","",IFERROR(INDEX(moeda_fx,MATCH(V12,moeda_cod,0)),0))</f>
        <v/>
      </c>
      <c r="X12" s="85" t="str">
        <f>IF(A12="","",IF($W$2="",UPPER(TRIM(A12)),IF(RIGHT(UPPER(TRIM(A12)),LEN($W$2))=$W$2,UPPER(TRIM(A12)),UPPER(TRIM(A12))&amp;$W$2)))</f>
        <v/>
      </c>
      <c r="Y12" s="85" t="str">
        <f>IF(OR(A12="",p_ModoCot&lt;&gt;"Automático"),"",IFERROR(_xlfn.WEBSERVICE("https://query1.finance.yahoo.com/v8/finance/chart/"&amp;X12&amp;"?range=1d&amp;interval=1d"),""))</f>
        <v/>
      </c>
      <c r="Z12" s="85" t="str">
        <f>IF(Y12="","",IFERROR(_xlfn.NUMBERVALUE(MID(Y12,SEARCH("""regularMarketPrice"":",Y12)+21,SEARCH(",",Y12&amp;",",SEARCH("""regularMarketPrice"":",Y12)+21)-SEARCH("""regularMarketPrice"":",Y12)-21),".",","),""))</f>
        <v/>
      </c>
      <c r="AA12" s="85" t="str">
        <f>IF(A12="","",ROUND(MAX(0,N(F12)*($K$6+$W$7)-K12),2))</f>
        <v/>
      </c>
      <c r="AB12" s="85" t="str">
        <f>IF(A12="","",IF(AND(M12&gt;0,M12&gt;=p_DifMin),AA12,0))</f>
        <v/>
      </c>
      <c r="AC12" s="85" t="str">
        <f>IF(A12="","",IF(AND(AB12&gt;0,N(O12)&lt;=p_MaxAtivos),AB12,0))</f>
        <v/>
      </c>
      <c r="AD12" s="85" t="str">
        <f>IF(A12="","",IF(OR(Q12&lt;=0,Q12&lt;p_CompraMin,N(H12)&lt;=0,N(W12)&lt;=0),0,IF($W$3="Sim",TRUNC(ROUND(MAX(0,(Q12-p_CorrFixa)/(H12*W12*$W$6)),9),$W$4),TRUNC(ROUND(MAX(0,(Q12-p_CorrFixa)/(H12*W12*$W$6)),9)/$W$5)*$W$5)))</f>
        <v/>
      </c>
      <c r="AE12" s="85" t="str">
        <f>IF(A12="","",IF(N(AD12)&gt;0,AD12*H12*W12*$W$6+p_CorrFixa,0))</f>
        <v/>
      </c>
      <c r="AF12" s="85" t="str">
        <f>IF(A12="","",IF(OR($Y$1&lt;=0,N(H12)&lt;=0,N(W12)&lt;=0,N(AB12)&lt;=0),0,IF($W$3="Sim",TRUNC(ROUND(MAX(0,($Y$1-IF(N(AD12)&gt;0,0,p_CorrFixa))/(H12*W12*$W$6)),9),$W$4),TRUNC(ROUND(MAX(0,($Y$1-IF(N(AD12)&gt;0,0,p_CorrFixa))/(H12*W12*$W$6)),9)/$W$5)*$W$5)))</f>
        <v/>
      </c>
      <c r="AG12" s="85" t="str">
        <f>IF(A12="","",IF(AND(N(AD12)=0,N(AF12)*(H12*W12*$W$6)+p_CorrFixa&lt;p_CompraMin),0,AF12))</f>
        <v/>
      </c>
      <c r="AH12" s="85" t="str">
        <f>IF(A12="","",IF(N(AG12)&gt;0,AB12,0))</f>
        <v/>
      </c>
      <c r="AI12" s="85" t="str">
        <f>IF(A12="","",IF(AND(AH12&gt;0,AH12=$AH$6,COUNTIF($AH$9:AH12,AH12)=1),1,0))</f>
        <v/>
      </c>
    </row>
    <row r="13">
      <c r="A13" s="96" t="n"/>
      <c r="B13" s="96" t="n"/>
      <c r="C13" s="96" t="n"/>
      <c r="D13" s="97" t="n"/>
      <c r="E13" s="98" t="n"/>
      <c r="F13" s="99" t="n"/>
      <c r="G13" s="100" t="n"/>
      <c r="H13" s="101" t="str">
        <f>IF(A13="","",IF(AND(p_ModoCot="Automático",ISNUMBER(Z13)),Z13,IF(N(G13)&gt;0,G13,0)))</f>
        <v/>
      </c>
      <c r="I13" s="73" t="str">
        <f>IF(A13="","",IF(W13=0,"Sem câmbio",IF(AND(p_ModoCot="Automático",ISNUMBER(Z13)),"Auto",IF(N(G13)&gt;0,"Manual","Sem cotação"))))</f>
        <v/>
      </c>
      <c r="J13" s="102" t="str">
        <f>IF(A13="","",N(E13)*H13)</f>
        <v/>
      </c>
      <c r="K13" s="70" t="str">
        <f>IF(A13="","",J13*W13)</f>
        <v/>
      </c>
      <c r="L13" s="30" t="str">
        <f>IF(A13="","",IF($K$6&gt;0,K13/$K$6,0))</f>
        <v/>
      </c>
      <c r="M13" s="72" t="str">
        <f>IF(A13="","",N(F13)-L13)</f>
        <v/>
      </c>
      <c r="N13" s="30" t="str">
        <f>IF(A13="","",IF($AB$6&gt;0,AB13/$AB$6,0))</f>
        <v/>
      </c>
      <c r="O13" s="74" t="str">
        <f>IF(A13="","",IF(AB13&lt;=0,"",COUNTIF($AB$9:$AB$208,"&gt;"&amp;AB13)+COUNTIF($AB$9:AB13,AB13)))</f>
        <v/>
      </c>
      <c r="P13" s="73" t="str">
        <f>IF(A13="","",IF(Q13&gt;0,"BUY","HOLD"))</f>
        <v/>
      </c>
      <c r="Q13" s="70" t="str">
        <f>IF(A13="","",IF($W$7&lt;=0,0,IF($AC$6&gt;0,$W$7*AC13/$AC$6,IF($F$6&gt;0,$W$7*N(F13)/$F$6,0))))</f>
        <v/>
      </c>
      <c r="R13" s="103" t="str">
        <f>IF(A13="","",N(AD13)+IF(AI13=1,N(AG13),0))</f>
        <v/>
      </c>
      <c r="S13" s="103" t="str">
        <f>IF(A13="","",N(E13)+N(R13))</f>
        <v/>
      </c>
      <c r="T13" s="70" t="str">
        <f>IF(A13="","",IF(N(R13)&gt;0,R13*H13*W13*$W$6+p_CorrFixa,0))</f>
        <v/>
      </c>
      <c r="V13" s="85" t="str">
        <f>IF(A13="","",IF(D13="",$W$1,D13))</f>
        <v/>
      </c>
      <c r="W13" s="85" t="str">
        <f>IF(A13="","",IFERROR(INDEX(moeda_fx,MATCH(V13,moeda_cod,0)),0))</f>
        <v/>
      </c>
      <c r="X13" s="85" t="str">
        <f>IF(A13="","",IF($W$2="",UPPER(TRIM(A13)),IF(RIGHT(UPPER(TRIM(A13)),LEN($W$2))=$W$2,UPPER(TRIM(A13)),UPPER(TRIM(A13))&amp;$W$2)))</f>
        <v/>
      </c>
      <c r="Y13" s="85" t="str">
        <f>IF(OR(A13="",p_ModoCot&lt;&gt;"Automático"),"",IFERROR(_xlfn.WEBSERVICE("https://query1.finance.yahoo.com/v8/finance/chart/"&amp;X13&amp;"?range=1d&amp;interval=1d"),""))</f>
        <v/>
      </c>
      <c r="Z13" s="85" t="str">
        <f>IF(Y13="","",IFERROR(_xlfn.NUMBERVALUE(MID(Y13,SEARCH("""regularMarketPrice"":",Y13)+21,SEARCH(",",Y13&amp;",",SEARCH("""regularMarketPrice"":",Y13)+21)-SEARCH("""regularMarketPrice"":",Y13)-21),".",","),""))</f>
        <v/>
      </c>
      <c r="AA13" s="85" t="str">
        <f>IF(A13="","",ROUND(MAX(0,N(F13)*($K$6+$W$7)-K13),2))</f>
        <v/>
      </c>
      <c r="AB13" s="85" t="str">
        <f>IF(A13="","",IF(AND(M13&gt;0,M13&gt;=p_DifMin),AA13,0))</f>
        <v/>
      </c>
      <c r="AC13" s="85" t="str">
        <f>IF(A13="","",IF(AND(AB13&gt;0,N(O13)&lt;=p_MaxAtivos),AB13,0))</f>
        <v/>
      </c>
      <c r="AD13" s="85" t="str">
        <f>IF(A13="","",IF(OR(Q13&lt;=0,Q13&lt;p_CompraMin,N(H13)&lt;=0,N(W13)&lt;=0),0,IF($W$3="Sim",TRUNC(ROUND(MAX(0,(Q13-p_CorrFixa)/(H13*W13*$W$6)),9),$W$4),TRUNC(ROUND(MAX(0,(Q13-p_CorrFixa)/(H13*W13*$W$6)),9)/$W$5)*$W$5)))</f>
        <v/>
      </c>
      <c r="AE13" s="85" t="str">
        <f>IF(A13="","",IF(N(AD13)&gt;0,AD13*H13*W13*$W$6+p_CorrFixa,0))</f>
        <v/>
      </c>
      <c r="AF13" s="85" t="str">
        <f>IF(A13="","",IF(OR($Y$1&lt;=0,N(H13)&lt;=0,N(W13)&lt;=0,N(AB13)&lt;=0),0,IF($W$3="Sim",TRUNC(ROUND(MAX(0,($Y$1-IF(N(AD13)&gt;0,0,p_CorrFixa))/(H13*W13*$W$6)),9),$W$4),TRUNC(ROUND(MAX(0,($Y$1-IF(N(AD13)&gt;0,0,p_CorrFixa))/(H13*W13*$W$6)),9)/$W$5)*$W$5)))</f>
        <v/>
      </c>
      <c r="AG13" s="85" t="str">
        <f>IF(A13="","",IF(AND(N(AD13)=0,N(AF13)*(H13*W13*$W$6)+p_CorrFixa&lt;p_CompraMin),0,AF13))</f>
        <v/>
      </c>
      <c r="AH13" s="85" t="str">
        <f>IF(A13="","",IF(N(AG13)&gt;0,AB13,0))</f>
        <v/>
      </c>
      <c r="AI13" s="85" t="str">
        <f>IF(A13="","",IF(AND(AH13&gt;0,AH13=$AH$6,COUNTIF($AH$9:AH13,AH13)=1),1,0))</f>
        <v/>
      </c>
    </row>
    <row r="14">
      <c r="A14" s="96" t="n"/>
      <c r="B14" s="96" t="n"/>
      <c r="C14" s="96" t="n"/>
      <c r="D14" s="97" t="n"/>
      <c r="E14" s="98" t="n"/>
      <c r="F14" s="99" t="n"/>
      <c r="G14" s="100" t="n"/>
      <c r="H14" s="104" t="str">
        <f>IF(A14="","",IF(AND(p_ModoCot="Automático",ISNUMBER(Z14)),Z14,IF(N(G14)&gt;0,G14,0)))</f>
        <v/>
      </c>
      <c r="I14" s="105" t="str">
        <f>IF(A14="","",IF(W14=0,"Sem câmbio",IF(AND(p_ModoCot="Automático",ISNUMBER(Z14)),"Auto",IF(N(G14)&gt;0,"Manual","Sem cotação"))))</f>
        <v/>
      </c>
      <c r="J14" s="106" t="str">
        <f>IF(A14="","",N(E14)*H14)</f>
        <v/>
      </c>
      <c r="K14" s="107" t="str">
        <f>IF(A14="","",J14*W14)</f>
        <v/>
      </c>
      <c r="L14" s="108" t="str">
        <f>IF(A14="","",IF($K$6&gt;0,K14/$K$6,0))</f>
        <v/>
      </c>
      <c r="M14" s="109" t="str">
        <f>IF(A14="","",N(F14)-L14)</f>
        <v/>
      </c>
      <c r="N14" s="108" t="str">
        <f>IF(A14="","",IF($AB$6&gt;0,AB14/$AB$6,0))</f>
        <v/>
      </c>
      <c r="O14" s="110" t="str">
        <f>IF(A14="","",IF(AB14&lt;=0,"",COUNTIF($AB$9:$AB$208,"&gt;"&amp;AB14)+COUNTIF($AB$9:AB14,AB14)))</f>
        <v/>
      </c>
      <c r="P14" s="105" t="str">
        <f>IF(A14="","",IF(Q14&gt;0,"BUY","HOLD"))</f>
        <v/>
      </c>
      <c r="Q14" s="107" t="str">
        <f>IF(A14="","",IF($W$7&lt;=0,0,IF($AC$6&gt;0,$W$7*AC14/$AC$6,IF($F$6&gt;0,$W$7*N(F14)/$F$6,0))))</f>
        <v/>
      </c>
      <c r="R14" s="111" t="str">
        <f>IF(A14="","",N(AD14)+IF(AI14=1,N(AG14),0))</f>
        <v/>
      </c>
      <c r="S14" s="111" t="str">
        <f>IF(A14="","",N(E14)+N(R14))</f>
        <v/>
      </c>
      <c r="T14" s="107" t="str">
        <f>IF(A14="","",IF(N(R14)&gt;0,R14*H14*W14*$W$6+p_CorrFixa,0))</f>
        <v/>
      </c>
      <c r="V14" s="85" t="str">
        <f>IF(A14="","",IF(D14="",$W$1,D14))</f>
        <v/>
      </c>
      <c r="W14" s="85" t="str">
        <f>IF(A14="","",IFERROR(INDEX(moeda_fx,MATCH(V14,moeda_cod,0)),0))</f>
        <v/>
      </c>
      <c r="X14" s="85" t="str">
        <f>IF(A14="","",IF($W$2="",UPPER(TRIM(A14)),IF(RIGHT(UPPER(TRIM(A14)),LEN($W$2))=$W$2,UPPER(TRIM(A14)),UPPER(TRIM(A14))&amp;$W$2)))</f>
        <v/>
      </c>
      <c r="Y14" s="85" t="str">
        <f>IF(OR(A14="",p_ModoCot&lt;&gt;"Automático"),"",IFERROR(_xlfn.WEBSERVICE("https://query1.finance.yahoo.com/v8/finance/chart/"&amp;X14&amp;"?range=1d&amp;interval=1d"),""))</f>
        <v/>
      </c>
      <c r="Z14" s="85" t="str">
        <f>IF(Y14="","",IFERROR(_xlfn.NUMBERVALUE(MID(Y14,SEARCH("""regularMarketPrice"":",Y14)+21,SEARCH(",",Y14&amp;",",SEARCH("""regularMarketPrice"":",Y14)+21)-SEARCH("""regularMarketPrice"":",Y14)-21),".",","),""))</f>
        <v/>
      </c>
      <c r="AA14" s="85" t="str">
        <f>IF(A14="","",ROUND(MAX(0,N(F14)*($K$6+$W$7)-K14),2))</f>
        <v/>
      </c>
      <c r="AB14" s="85" t="str">
        <f>IF(A14="","",IF(AND(M14&gt;0,M14&gt;=p_DifMin),AA14,0))</f>
        <v/>
      </c>
      <c r="AC14" s="85" t="str">
        <f>IF(A14="","",IF(AND(AB14&gt;0,N(O14)&lt;=p_MaxAtivos),AB14,0))</f>
        <v/>
      </c>
      <c r="AD14" s="85" t="str">
        <f>IF(A14="","",IF(OR(Q14&lt;=0,Q14&lt;p_CompraMin,N(H14)&lt;=0,N(W14)&lt;=0),0,IF($W$3="Sim",TRUNC(ROUND(MAX(0,(Q14-p_CorrFixa)/(H14*W14*$W$6)),9),$W$4),TRUNC(ROUND(MAX(0,(Q14-p_CorrFixa)/(H14*W14*$W$6)),9)/$W$5)*$W$5)))</f>
        <v/>
      </c>
      <c r="AE14" s="85" t="str">
        <f>IF(A14="","",IF(N(AD14)&gt;0,AD14*H14*W14*$W$6+p_CorrFixa,0))</f>
        <v/>
      </c>
      <c r="AF14" s="85" t="str">
        <f>IF(A14="","",IF(OR($Y$1&lt;=0,N(H14)&lt;=0,N(W14)&lt;=0,N(AB14)&lt;=0),0,IF($W$3="Sim",TRUNC(ROUND(MAX(0,($Y$1-IF(N(AD14)&gt;0,0,p_CorrFixa))/(H14*W14*$W$6)),9),$W$4),TRUNC(ROUND(MAX(0,($Y$1-IF(N(AD14)&gt;0,0,p_CorrFixa))/(H14*W14*$W$6)),9)/$W$5)*$W$5)))</f>
        <v/>
      </c>
      <c r="AG14" s="85" t="str">
        <f>IF(A14="","",IF(AND(N(AD14)=0,N(AF14)*(H14*W14*$W$6)+p_CorrFixa&lt;p_CompraMin),0,AF14))</f>
        <v/>
      </c>
      <c r="AH14" s="85" t="str">
        <f>IF(A14="","",IF(N(AG14)&gt;0,AB14,0))</f>
        <v/>
      </c>
      <c r="AI14" s="85" t="str">
        <f>IF(A14="","",IF(AND(AH14&gt;0,AH14=$AH$6,COUNTIF($AH$9:AH14,AH14)=1),1,0))</f>
        <v/>
      </c>
    </row>
    <row r="15">
      <c r="A15" s="96" t="n"/>
      <c r="B15" s="96" t="n"/>
      <c r="C15" s="96" t="n"/>
      <c r="D15" s="97" t="n"/>
      <c r="E15" s="98" t="n"/>
      <c r="F15" s="99" t="n"/>
      <c r="G15" s="100" t="n"/>
      <c r="H15" s="101" t="str">
        <f>IF(A15="","",IF(AND(p_ModoCot="Automático",ISNUMBER(Z15)),Z15,IF(N(G15)&gt;0,G15,0)))</f>
        <v/>
      </c>
      <c r="I15" s="73" t="str">
        <f>IF(A15="","",IF(W15=0,"Sem câmbio",IF(AND(p_ModoCot="Automático",ISNUMBER(Z15)),"Auto",IF(N(G15)&gt;0,"Manual","Sem cotação"))))</f>
        <v/>
      </c>
      <c r="J15" s="102" t="str">
        <f>IF(A15="","",N(E15)*H15)</f>
        <v/>
      </c>
      <c r="K15" s="70" t="str">
        <f>IF(A15="","",J15*W15)</f>
        <v/>
      </c>
      <c r="L15" s="30" t="str">
        <f>IF(A15="","",IF($K$6&gt;0,K15/$K$6,0))</f>
        <v/>
      </c>
      <c r="M15" s="72" t="str">
        <f>IF(A15="","",N(F15)-L15)</f>
        <v/>
      </c>
      <c r="N15" s="30" t="str">
        <f>IF(A15="","",IF($AB$6&gt;0,AB15/$AB$6,0))</f>
        <v/>
      </c>
      <c r="O15" s="74" t="str">
        <f>IF(A15="","",IF(AB15&lt;=0,"",COUNTIF($AB$9:$AB$208,"&gt;"&amp;AB15)+COUNTIF($AB$9:AB15,AB15)))</f>
        <v/>
      </c>
      <c r="P15" s="73" t="str">
        <f>IF(A15="","",IF(Q15&gt;0,"BUY","HOLD"))</f>
        <v/>
      </c>
      <c r="Q15" s="70" t="str">
        <f>IF(A15="","",IF($W$7&lt;=0,0,IF($AC$6&gt;0,$W$7*AC15/$AC$6,IF($F$6&gt;0,$W$7*N(F15)/$F$6,0))))</f>
        <v/>
      </c>
      <c r="R15" s="103" t="str">
        <f>IF(A15="","",N(AD15)+IF(AI15=1,N(AG15),0))</f>
        <v/>
      </c>
      <c r="S15" s="103" t="str">
        <f>IF(A15="","",N(E15)+N(R15))</f>
        <v/>
      </c>
      <c r="T15" s="70" t="str">
        <f>IF(A15="","",IF(N(R15)&gt;0,R15*H15*W15*$W$6+p_CorrFixa,0))</f>
        <v/>
      </c>
      <c r="V15" s="85" t="str">
        <f>IF(A15="","",IF(D15="",$W$1,D15))</f>
        <v/>
      </c>
      <c r="W15" s="85" t="str">
        <f>IF(A15="","",IFERROR(INDEX(moeda_fx,MATCH(V15,moeda_cod,0)),0))</f>
        <v/>
      </c>
      <c r="X15" s="85" t="str">
        <f>IF(A15="","",IF($W$2="",UPPER(TRIM(A15)),IF(RIGHT(UPPER(TRIM(A15)),LEN($W$2))=$W$2,UPPER(TRIM(A15)),UPPER(TRIM(A15))&amp;$W$2)))</f>
        <v/>
      </c>
      <c r="Y15" s="85" t="str">
        <f>IF(OR(A15="",p_ModoCot&lt;&gt;"Automático"),"",IFERROR(_xlfn.WEBSERVICE("https://query1.finance.yahoo.com/v8/finance/chart/"&amp;X15&amp;"?range=1d&amp;interval=1d"),""))</f>
        <v/>
      </c>
      <c r="Z15" s="85" t="str">
        <f>IF(Y15="","",IFERROR(_xlfn.NUMBERVALUE(MID(Y15,SEARCH("""regularMarketPrice"":",Y15)+21,SEARCH(",",Y15&amp;",",SEARCH("""regularMarketPrice"":",Y15)+21)-SEARCH("""regularMarketPrice"":",Y15)-21),".",","),""))</f>
        <v/>
      </c>
      <c r="AA15" s="85" t="str">
        <f>IF(A15="","",ROUND(MAX(0,N(F15)*($K$6+$W$7)-K15),2))</f>
        <v/>
      </c>
      <c r="AB15" s="85" t="str">
        <f>IF(A15="","",IF(AND(M15&gt;0,M15&gt;=p_DifMin),AA15,0))</f>
        <v/>
      </c>
      <c r="AC15" s="85" t="str">
        <f>IF(A15="","",IF(AND(AB15&gt;0,N(O15)&lt;=p_MaxAtivos),AB15,0))</f>
        <v/>
      </c>
      <c r="AD15" s="85" t="str">
        <f>IF(A15="","",IF(OR(Q15&lt;=0,Q15&lt;p_CompraMin,N(H15)&lt;=0,N(W15)&lt;=0),0,IF($W$3="Sim",TRUNC(ROUND(MAX(0,(Q15-p_CorrFixa)/(H15*W15*$W$6)),9),$W$4),TRUNC(ROUND(MAX(0,(Q15-p_CorrFixa)/(H15*W15*$W$6)),9)/$W$5)*$W$5)))</f>
        <v/>
      </c>
      <c r="AE15" s="85" t="str">
        <f>IF(A15="","",IF(N(AD15)&gt;0,AD15*H15*W15*$W$6+p_CorrFixa,0))</f>
        <v/>
      </c>
      <c r="AF15" s="85" t="str">
        <f>IF(A15="","",IF(OR($Y$1&lt;=0,N(H15)&lt;=0,N(W15)&lt;=0,N(AB15)&lt;=0),0,IF($W$3="Sim",TRUNC(ROUND(MAX(0,($Y$1-IF(N(AD15)&gt;0,0,p_CorrFixa))/(H15*W15*$W$6)),9),$W$4),TRUNC(ROUND(MAX(0,($Y$1-IF(N(AD15)&gt;0,0,p_CorrFixa))/(H15*W15*$W$6)),9)/$W$5)*$W$5)))</f>
        <v/>
      </c>
      <c r="AG15" s="85" t="str">
        <f>IF(A15="","",IF(AND(N(AD15)=0,N(AF15)*(H15*W15*$W$6)+p_CorrFixa&lt;p_CompraMin),0,AF15))</f>
        <v/>
      </c>
      <c r="AH15" s="85" t="str">
        <f>IF(A15="","",IF(N(AG15)&gt;0,AB15,0))</f>
        <v/>
      </c>
      <c r="AI15" s="85" t="str">
        <f>IF(A15="","",IF(AND(AH15&gt;0,AH15=$AH$6,COUNTIF($AH$9:AH15,AH15)=1),1,0))</f>
        <v/>
      </c>
    </row>
    <row r="16">
      <c r="A16" s="96" t="n"/>
      <c r="B16" s="96" t="n"/>
      <c r="C16" s="96" t="n"/>
      <c r="D16" s="97" t="n"/>
      <c r="E16" s="98" t="n"/>
      <c r="F16" s="99" t="n"/>
      <c r="G16" s="100" t="n"/>
      <c r="H16" s="104" t="str">
        <f>IF(A16="","",IF(AND(p_ModoCot="Automático",ISNUMBER(Z16)),Z16,IF(N(G16)&gt;0,G16,0)))</f>
        <v/>
      </c>
      <c r="I16" s="105" t="str">
        <f>IF(A16="","",IF(W16=0,"Sem câmbio",IF(AND(p_ModoCot="Automático",ISNUMBER(Z16)),"Auto",IF(N(G16)&gt;0,"Manual","Sem cotação"))))</f>
        <v/>
      </c>
      <c r="J16" s="106" t="str">
        <f>IF(A16="","",N(E16)*H16)</f>
        <v/>
      </c>
      <c r="K16" s="107" t="str">
        <f>IF(A16="","",J16*W16)</f>
        <v/>
      </c>
      <c r="L16" s="108" t="str">
        <f>IF(A16="","",IF($K$6&gt;0,K16/$K$6,0))</f>
        <v/>
      </c>
      <c r="M16" s="109" t="str">
        <f>IF(A16="","",N(F16)-L16)</f>
        <v/>
      </c>
      <c r="N16" s="108" t="str">
        <f>IF(A16="","",IF($AB$6&gt;0,AB16/$AB$6,0))</f>
        <v/>
      </c>
      <c r="O16" s="110" t="str">
        <f>IF(A16="","",IF(AB16&lt;=0,"",COUNTIF($AB$9:$AB$208,"&gt;"&amp;AB16)+COUNTIF($AB$9:AB16,AB16)))</f>
        <v/>
      </c>
      <c r="P16" s="105" t="str">
        <f>IF(A16="","",IF(Q16&gt;0,"BUY","HOLD"))</f>
        <v/>
      </c>
      <c r="Q16" s="107" t="str">
        <f>IF(A16="","",IF($W$7&lt;=0,0,IF($AC$6&gt;0,$W$7*AC16/$AC$6,IF($F$6&gt;0,$W$7*N(F16)/$F$6,0))))</f>
        <v/>
      </c>
      <c r="R16" s="111" t="str">
        <f>IF(A16="","",N(AD16)+IF(AI16=1,N(AG16),0))</f>
        <v/>
      </c>
      <c r="S16" s="111" t="str">
        <f>IF(A16="","",N(E16)+N(R16))</f>
        <v/>
      </c>
      <c r="T16" s="107" t="str">
        <f>IF(A16="","",IF(N(R16)&gt;0,R16*H16*W16*$W$6+p_CorrFixa,0))</f>
        <v/>
      </c>
      <c r="V16" s="85" t="str">
        <f>IF(A16="","",IF(D16="",$W$1,D16))</f>
        <v/>
      </c>
      <c r="W16" s="85" t="str">
        <f>IF(A16="","",IFERROR(INDEX(moeda_fx,MATCH(V16,moeda_cod,0)),0))</f>
        <v/>
      </c>
      <c r="X16" s="85" t="str">
        <f>IF(A16="","",IF($W$2="",UPPER(TRIM(A16)),IF(RIGHT(UPPER(TRIM(A16)),LEN($W$2))=$W$2,UPPER(TRIM(A16)),UPPER(TRIM(A16))&amp;$W$2)))</f>
        <v/>
      </c>
      <c r="Y16" s="85" t="str">
        <f>IF(OR(A16="",p_ModoCot&lt;&gt;"Automático"),"",IFERROR(_xlfn.WEBSERVICE("https://query1.finance.yahoo.com/v8/finance/chart/"&amp;X16&amp;"?range=1d&amp;interval=1d"),""))</f>
        <v/>
      </c>
      <c r="Z16" s="85" t="str">
        <f>IF(Y16="","",IFERROR(_xlfn.NUMBERVALUE(MID(Y16,SEARCH("""regularMarketPrice"":",Y16)+21,SEARCH(",",Y16&amp;",",SEARCH("""regularMarketPrice"":",Y16)+21)-SEARCH("""regularMarketPrice"":",Y16)-21),".",","),""))</f>
        <v/>
      </c>
      <c r="AA16" s="85" t="str">
        <f>IF(A16="","",ROUND(MAX(0,N(F16)*($K$6+$W$7)-K16),2))</f>
        <v/>
      </c>
      <c r="AB16" s="85" t="str">
        <f>IF(A16="","",IF(AND(M16&gt;0,M16&gt;=p_DifMin),AA16,0))</f>
        <v/>
      </c>
      <c r="AC16" s="85" t="str">
        <f>IF(A16="","",IF(AND(AB16&gt;0,N(O16)&lt;=p_MaxAtivos),AB16,0))</f>
        <v/>
      </c>
      <c r="AD16" s="85" t="str">
        <f>IF(A16="","",IF(OR(Q16&lt;=0,Q16&lt;p_CompraMin,N(H16)&lt;=0,N(W16)&lt;=0),0,IF($W$3="Sim",TRUNC(ROUND(MAX(0,(Q16-p_CorrFixa)/(H16*W16*$W$6)),9),$W$4),TRUNC(ROUND(MAX(0,(Q16-p_CorrFixa)/(H16*W16*$W$6)),9)/$W$5)*$W$5)))</f>
        <v/>
      </c>
      <c r="AE16" s="85" t="str">
        <f>IF(A16="","",IF(N(AD16)&gt;0,AD16*H16*W16*$W$6+p_CorrFixa,0))</f>
        <v/>
      </c>
      <c r="AF16" s="85" t="str">
        <f>IF(A16="","",IF(OR($Y$1&lt;=0,N(H16)&lt;=0,N(W16)&lt;=0,N(AB16)&lt;=0),0,IF($W$3="Sim",TRUNC(ROUND(MAX(0,($Y$1-IF(N(AD16)&gt;0,0,p_CorrFixa))/(H16*W16*$W$6)),9),$W$4),TRUNC(ROUND(MAX(0,($Y$1-IF(N(AD16)&gt;0,0,p_CorrFixa))/(H16*W16*$W$6)),9)/$W$5)*$W$5)))</f>
        <v/>
      </c>
      <c r="AG16" s="85" t="str">
        <f>IF(A16="","",IF(AND(N(AD16)=0,N(AF16)*(H16*W16*$W$6)+p_CorrFixa&lt;p_CompraMin),0,AF16))</f>
        <v/>
      </c>
      <c r="AH16" s="85" t="str">
        <f>IF(A16="","",IF(N(AG16)&gt;0,AB16,0))</f>
        <v/>
      </c>
      <c r="AI16" s="85" t="str">
        <f>IF(A16="","",IF(AND(AH16&gt;0,AH16=$AH$6,COUNTIF($AH$9:AH16,AH16)=1),1,0))</f>
        <v/>
      </c>
    </row>
    <row r="17">
      <c r="A17" s="96" t="n"/>
      <c r="B17" s="96" t="n"/>
      <c r="C17" s="96" t="n"/>
      <c r="D17" s="97" t="n"/>
      <c r="E17" s="98" t="n"/>
      <c r="F17" s="99" t="n"/>
      <c r="G17" s="100" t="n"/>
      <c r="H17" s="101" t="str">
        <f>IF(A17="","",IF(AND(p_ModoCot="Automático",ISNUMBER(Z17)),Z17,IF(N(G17)&gt;0,G17,0)))</f>
        <v/>
      </c>
      <c r="I17" s="73" t="str">
        <f>IF(A17="","",IF(W17=0,"Sem câmbio",IF(AND(p_ModoCot="Automático",ISNUMBER(Z17)),"Auto",IF(N(G17)&gt;0,"Manual","Sem cotação"))))</f>
        <v/>
      </c>
      <c r="J17" s="102" t="str">
        <f>IF(A17="","",N(E17)*H17)</f>
        <v/>
      </c>
      <c r="K17" s="70" t="str">
        <f>IF(A17="","",J17*W17)</f>
        <v/>
      </c>
      <c r="L17" s="30" t="str">
        <f>IF(A17="","",IF($K$6&gt;0,K17/$K$6,0))</f>
        <v/>
      </c>
      <c r="M17" s="72" t="str">
        <f>IF(A17="","",N(F17)-L17)</f>
        <v/>
      </c>
      <c r="N17" s="30" t="str">
        <f>IF(A17="","",IF($AB$6&gt;0,AB17/$AB$6,0))</f>
        <v/>
      </c>
      <c r="O17" s="74" t="str">
        <f>IF(A17="","",IF(AB17&lt;=0,"",COUNTIF($AB$9:$AB$208,"&gt;"&amp;AB17)+COUNTIF($AB$9:AB17,AB17)))</f>
        <v/>
      </c>
      <c r="P17" s="73" t="str">
        <f>IF(A17="","",IF(Q17&gt;0,"BUY","HOLD"))</f>
        <v/>
      </c>
      <c r="Q17" s="70" t="str">
        <f>IF(A17="","",IF($W$7&lt;=0,0,IF($AC$6&gt;0,$W$7*AC17/$AC$6,IF($F$6&gt;0,$W$7*N(F17)/$F$6,0))))</f>
        <v/>
      </c>
      <c r="R17" s="103" t="str">
        <f>IF(A17="","",N(AD17)+IF(AI17=1,N(AG17),0))</f>
        <v/>
      </c>
      <c r="S17" s="103" t="str">
        <f>IF(A17="","",N(E17)+N(R17))</f>
        <v/>
      </c>
      <c r="T17" s="70" t="str">
        <f>IF(A17="","",IF(N(R17)&gt;0,R17*H17*W17*$W$6+p_CorrFixa,0))</f>
        <v/>
      </c>
      <c r="V17" s="85" t="str">
        <f>IF(A17="","",IF(D17="",$W$1,D17))</f>
        <v/>
      </c>
      <c r="W17" s="85" t="str">
        <f>IF(A17="","",IFERROR(INDEX(moeda_fx,MATCH(V17,moeda_cod,0)),0))</f>
        <v/>
      </c>
      <c r="X17" s="85" t="str">
        <f>IF(A17="","",IF($W$2="",UPPER(TRIM(A17)),IF(RIGHT(UPPER(TRIM(A17)),LEN($W$2))=$W$2,UPPER(TRIM(A17)),UPPER(TRIM(A17))&amp;$W$2)))</f>
        <v/>
      </c>
      <c r="Y17" s="85" t="str">
        <f>IF(OR(A17="",p_ModoCot&lt;&gt;"Automático"),"",IFERROR(_xlfn.WEBSERVICE("https://query1.finance.yahoo.com/v8/finance/chart/"&amp;X17&amp;"?range=1d&amp;interval=1d"),""))</f>
        <v/>
      </c>
      <c r="Z17" s="85" t="str">
        <f>IF(Y17="","",IFERROR(_xlfn.NUMBERVALUE(MID(Y17,SEARCH("""regularMarketPrice"":",Y17)+21,SEARCH(",",Y17&amp;",",SEARCH("""regularMarketPrice"":",Y17)+21)-SEARCH("""regularMarketPrice"":",Y17)-21),".",","),""))</f>
        <v/>
      </c>
      <c r="AA17" s="85" t="str">
        <f>IF(A17="","",ROUND(MAX(0,N(F17)*($K$6+$W$7)-K17),2))</f>
        <v/>
      </c>
      <c r="AB17" s="85" t="str">
        <f>IF(A17="","",IF(AND(M17&gt;0,M17&gt;=p_DifMin),AA17,0))</f>
        <v/>
      </c>
      <c r="AC17" s="85" t="str">
        <f>IF(A17="","",IF(AND(AB17&gt;0,N(O17)&lt;=p_MaxAtivos),AB17,0))</f>
        <v/>
      </c>
      <c r="AD17" s="85" t="str">
        <f>IF(A17="","",IF(OR(Q17&lt;=0,Q17&lt;p_CompraMin,N(H17)&lt;=0,N(W17)&lt;=0),0,IF($W$3="Sim",TRUNC(ROUND(MAX(0,(Q17-p_CorrFixa)/(H17*W17*$W$6)),9),$W$4),TRUNC(ROUND(MAX(0,(Q17-p_CorrFixa)/(H17*W17*$W$6)),9)/$W$5)*$W$5)))</f>
        <v/>
      </c>
      <c r="AE17" s="85" t="str">
        <f>IF(A17="","",IF(N(AD17)&gt;0,AD17*H17*W17*$W$6+p_CorrFixa,0))</f>
        <v/>
      </c>
      <c r="AF17" s="85" t="str">
        <f>IF(A17="","",IF(OR($Y$1&lt;=0,N(H17)&lt;=0,N(W17)&lt;=0,N(AB17)&lt;=0),0,IF($W$3="Sim",TRUNC(ROUND(MAX(0,($Y$1-IF(N(AD17)&gt;0,0,p_CorrFixa))/(H17*W17*$W$6)),9),$W$4),TRUNC(ROUND(MAX(0,($Y$1-IF(N(AD17)&gt;0,0,p_CorrFixa))/(H17*W17*$W$6)),9)/$W$5)*$W$5)))</f>
        <v/>
      </c>
      <c r="AG17" s="85" t="str">
        <f>IF(A17="","",IF(AND(N(AD17)=0,N(AF17)*(H17*W17*$W$6)+p_CorrFixa&lt;p_CompraMin),0,AF17))</f>
        <v/>
      </c>
      <c r="AH17" s="85" t="str">
        <f>IF(A17="","",IF(N(AG17)&gt;0,AB17,0))</f>
        <v/>
      </c>
      <c r="AI17" s="85" t="str">
        <f>IF(A17="","",IF(AND(AH17&gt;0,AH17=$AH$6,COUNTIF($AH$9:AH17,AH17)=1),1,0))</f>
        <v/>
      </c>
    </row>
    <row r="18">
      <c r="A18" s="96" t="n"/>
      <c r="B18" s="96" t="n"/>
      <c r="C18" s="96" t="n"/>
      <c r="D18" s="97" t="n"/>
      <c r="E18" s="98" t="n"/>
      <c r="F18" s="99" t="n"/>
      <c r="G18" s="100" t="n"/>
      <c r="H18" s="104" t="str">
        <f>IF(A18="","",IF(AND(p_ModoCot="Automático",ISNUMBER(Z18)),Z18,IF(N(G18)&gt;0,G18,0)))</f>
        <v/>
      </c>
      <c r="I18" s="105" t="str">
        <f>IF(A18="","",IF(W18=0,"Sem câmbio",IF(AND(p_ModoCot="Automático",ISNUMBER(Z18)),"Auto",IF(N(G18)&gt;0,"Manual","Sem cotação"))))</f>
        <v/>
      </c>
      <c r="J18" s="106" t="str">
        <f>IF(A18="","",N(E18)*H18)</f>
        <v/>
      </c>
      <c r="K18" s="107" t="str">
        <f>IF(A18="","",J18*W18)</f>
        <v/>
      </c>
      <c r="L18" s="108" t="str">
        <f>IF(A18="","",IF($K$6&gt;0,K18/$K$6,0))</f>
        <v/>
      </c>
      <c r="M18" s="109" t="str">
        <f>IF(A18="","",N(F18)-L18)</f>
        <v/>
      </c>
      <c r="N18" s="108" t="str">
        <f>IF(A18="","",IF($AB$6&gt;0,AB18/$AB$6,0))</f>
        <v/>
      </c>
      <c r="O18" s="110" t="str">
        <f>IF(A18="","",IF(AB18&lt;=0,"",COUNTIF($AB$9:$AB$208,"&gt;"&amp;AB18)+COUNTIF($AB$9:AB18,AB18)))</f>
        <v/>
      </c>
      <c r="P18" s="105" t="str">
        <f>IF(A18="","",IF(Q18&gt;0,"BUY","HOLD"))</f>
        <v/>
      </c>
      <c r="Q18" s="107" t="str">
        <f>IF(A18="","",IF($W$7&lt;=0,0,IF($AC$6&gt;0,$W$7*AC18/$AC$6,IF($F$6&gt;0,$W$7*N(F18)/$F$6,0))))</f>
        <v/>
      </c>
      <c r="R18" s="111" t="str">
        <f>IF(A18="","",N(AD18)+IF(AI18=1,N(AG18),0))</f>
        <v/>
      </c>
      <c r="S18" s="111" t="str">
        <f>IF(A18="","",N(E18)+N(R18))</f>
        <v/>
      </c>
      <c r="T18" s="107" t="str">
        <f>IF(A18="","",IF(N(R18)&gt;0,R18*H18*W18*$W$6+p_CorrFixa,0))</f>
        <v/>
      </c>
      <c r="V18" s="85" t="str">
        <f>IF(A18="","",IF(D18="",$W$1,D18))</f>
        <v/>
      </c>
      <c r="W18" s="85" t="str">
        <f>IF(A18="","",IFERROR(INDEX(moeda_fx,MATCH(V18,moeda_cod,0)),0))</f>
        <v/>
      </c>
      <c r="X18" s="85" t="str">
        <f>IF(A18="","",IF($W$2="",UPPER(TRIM(A18)),IF(RIGHT(UPPER(TRIM(A18)),LEN($W$2))=$W$2,UPPER(TRIM(A18)),UPPER(TRIM(A18))&amp;$W$2)))</f>
        <v/>
      </c>
      <c r="Y18" s="85" t="str">
        <f>IF(OR(A18="",p_ModoCot&lt;&gt;"Automático"),"",IFERROR(_xlfn.WEBSERVICE("https://query1.finance.yahoo.com/v8/finance/chart/"&amp;X18&amp;"?range=1d&amp;interval=1d"),""))</f>
        <v/>
      </c>
      <c r="Z18" s="85" t="str">
        <f>IF(Y18="","",IFERROR(_xlfn.NUMBERVALUE(MID(Y18,SEARCH("""regularMarketPrice"":",Y18)+21,SEARCH(",",Y18&amp;",",SEARCH("""regularMarketPrice"":",Y18)+21)-SEARCH("""regularMarketPrice"":",Y18)-21),".",","),""))</f>
        <v/>
      </c>
      <c r="AA18" s="85" t="str">
        <f>IF(A18="","",ROUND(MAX(0,N(F18)*($K$6+$W$7)-K18),2))</f>
        <v/>
      </c>
      <c r="AB18" s="85" t="str">
        <f>IF(A18="","",IF(AND(M18&gt;0,M18&gt;=p_DifMin),AA18,0))</f>
        <v/>
      </c>
      <c r="AC18" s="85" t="str">
        <f>IF(A18="","",IF(AND(AB18&gt;0,N(O18)&lt;=p_MaxAtivos),AB18,0))</f>
        <v/>
      </c>
      <c r="AD18" s="85" t="str">
        <f>IF(A18="","",IF(OR(Q18&lt;=0,Q18&lt;p_CompraMin,N(H18)&lt;=0,N(W18)&lt;=0),0,IF($W$3="Sim",TRUNC(ROUND(MAX(0,(Q18-p_CorrFixa)/(H18*W18*$W$6)),9),$W$4),TRUNC(ROUND(MAX(0,(Q18-p_CorrFixa)/(H18*W18*$W$6)),9)/$W$5)*$W$5)))</f>
        <v/>
      </c>
      <c r="AE18" s="85" t="str">
        <f>IF(A18="","",IF(N(AD18)&gt;0,AD18*H18*W18*$W$6+p_CorrFixa,0))</f>
        <v/>
      </c>
      <c r="AF18" s="85" t="str">
        <f>IF(A18="","",IF(OR($Y$1&lt;=0,N(H18)&lt;=0,N(W18)&lt;=0,N(AB18)&lt;=0),0,IF($W$3="Sim",TRUNC(ROUND(MAX(0,($Y$1-IF(N(AD18)&gt;0,0,p_CorrFixa))/(H18*W18*$W$6)),9),$W$4),TRUNC(ROUND(MAX(0,($Y$1-IF(N(AD18)&gt;0,0,p_CorrFixa))/(H18*W18*$W$6)),9)/$W$5)*$W$5)))</f>
        <v/>
      </c>
      <c r="AG18" s="85" t="str">
        <f>IF(A18="","",IF(AND(N(AD18)=0,N(AF18)*(H18*W18*$W$6)+p_CorrFixa&lt;p_CompraMin),0,AF18))</f>
        <v/>
      </c>
      <c r="AH18" s="85" t="str">
        <f>IF(A18="","",IF(N(AG18)&gt;0,AB18,0))</f>
        <v/>
      </c>
      <c r="AI18" s="85" t="str">
        <f>IF(A18="","",IF(AND(AH18&gt;0,AH18=$AH$6,COUNTIF($AH$9:AH18,AH18)=1),1,0))</f>
        <v/>
      </c>
    </row>
    <row r="19">
      <c r="A19" s="96" t="n"/>
      <c r="B19" s="96" t="n"/>
      <c r="C19" s="96" t="n"/>
      <c r="D19" s="97" t="n"/>
      <c r="E19" s="98" t="n"/>
      <c r="F19" s="99" t="n"/>
      <c r="G19" s="100" t="n"/>
      <c r="H19" s="101" t="str">
        <f>IF(A19="","",IF(AND(p_ModoCot="Automático",ISNUMBER(Z19)),Z19,IF(N(G19)&gt;0,G19,0)))</f>
        <v/>
      </c>
      <c r="I19" s="73" t="str">
        <f>IF(A19="","",IF(W19=0,"Sem câmbio",IF(AND(p_ModoCot="Automático",ISNUMBER(Z19)),"Auto",IF(N(G19)&gt;0,"Manual","Sem cotação"))))</f>
        <v/>
      </c>
      <c r="J19" s="102" t="str">
        <f>IF(A19="","",N(E19)*H19)</f>
        <v/>
      </c>
      <c r="K19" s="70" t="str">
        <f>IF(A19="","",J19*W19)</f>
        <v/>
      </c>
      <c r="L19" s="30" t="str">
        <f>IF(A19="","",IF($K$6&gt;0,K19/$K$6,0))</f>
        <v/>
      </c>
      <c r="M19" s="72" t="str">
        <f>IF(A19="","",N(F19)-L19)</f>
        <v/>
      </c>
      <c r="N19" s="30" t="str">
        <f>IF(A19="","",IF($AB$6&gt;0,AB19/$AB$6,0))</f>
        <v/>
      </c>
      <c r="O19" s="74" t="str">
        <f>IF(A19="","",IF(AB19&lt;=0,"",COUNTIF($AB$9:$AB$208,"&gt;"&amp;AB19)+COUNTIF($AB$9:AB19,AB19)))</f>
        <v/>
      </c>
      <c r="P19" s="73" t="str">
        <f>IF(A19="","",IF(Q19&gt;0,"BUY","HOLD"))</f>
        <v/>
      </c>
      <c r="Q19" s="70" t="str">
        <f>IF(A19="","",IF($W$7&lt;=0,0,IF($AC$6&gt;0,$W$7*AC19/$AC$6,IF($F$6&gt;0,$W$7*N(F19)/$F$6,0))))</f>
        <v/>
      </c>
      <c r="R19" s="103" t="str">
        <f>IF(A19="","",N(AD19)+IF(AI19=1,N(AG19),0))</f>
        <v/>
      </c>
      <c r="S19" s="103" t="str">
        <f>IF(A19="","",N(E19)+N(R19))</f>
        <v/>
      </c>
      <c r="T19" s="70" t="str">
        <f>IF(A19="","",IF(N(R19)&gt;0,R19*H19*W19*$W$6+p_CorrFixa,0))</f>
        <v/>
      </c>
      <c r="V19" s="85" t="str">
        <f>IF(A19="","",IF(D19="",$W$1,D19))</f>
        <v/>
      </c>
      <c r="W19" s="85" t="str">
        <f>IF(A19="","",IFERROR(INDEX(moeda_fx,MATCH(V19,moeda_cod,0)),0))</f>
        <v/>
      </c>
      <c r="X19" s="85" t="str">
        <f>IF(A19="","",IF($W$2="",UPPER(TRIM(A19)),IF(RIGHT(UPPER(TRIM(A19)),LEN($W$2))=$W$2,UPPER(TRIM(A19)),UPPER(TRIM(A19))&amp;$W$2)))</f>
        <v/>
      </c>
      <c r="Y19" s="85" t="str">
        <f>IF(OR(A19="",p_ModoCot&lt;&gt;"Automático"),"",IFERROR(_xlfn.WEBSERVICE("https://query1.finance.yahoo.com/v8/finance/chart/"&amp;X19&amp;"?range=1d&amp;interval=1d"),""))</f>
        <v/>
      </c>
      <c r="Z19" s="85" t="str">
        <f>IF(Y19="","",IFERROR(_xlfn.NUMBERVALUE(MID(Y19,SEARCH("""regularMarketPrice"":",Y19)+21,SEARCH(",",Y19&amp;",",SEARCH("""regularMarketPrice"":",Y19)+21)-SEARCH("""regularMarketPrice"":",Y19)-21),".",","),""))</f>
        <v/>
      </c>
      <c r="AA19" s="85" t="str">
        <f>IF(A19="","",ROUND(MAX(0,N(F19)*($K$6+$W$7)-K19),2))</f>
        <v/>
      </c>
      <c r="AB19" s="85" t="str">
        <f>IF(A19="","",IF(AND(M19&gt;0,M19&gt;=p_DifMin),AA19,0))</f>
        <v/>
      </c>
      <c r="AC19" s="85" t="str">
        <f>IF(A19="","",IF(AND(AB19&gt;0,N(O19)&lt;=p_MaxAtivos),AB19,0))</f>
        <v/>
      </c>
      <c r="AD19" s="85" t="str">
        <f>IF(A19="","",IF(OR(Q19&lt;=0,Q19&lt;p_CompraMin,N(H19)&lt;=0,N(W19)&lt;=0),0,IF($W$3="Sim",TRUNC(ROUND(MAX(0,(Q19-p_CorrFixa)/(H19*W19*$W$6)),9),$W$4),TRUNC(ROUND(MAX(0,(Q19-p_CorrFixa)/(H19*W19*$W$6)),9)/$W$5)*$W$5)))</f>
        <v/>
      </c>
      <c r="AE19" s="85" t="str">
        <f>IF(A19="","",IF(N(AD19)&gt;0,AD19*H19*W19*$W$6+p_CorrFixa,0))</f>
        <v/>
      </c>
      <c r="AF19" s="85" t="str">
        <f>IF(A19="","",IF(OR($Y$1&lt;=0,N(H19)&lt;=0,N(W19)&lt;=0,N(AB19)&lt;=0),0,IF($W$3="Sim",TRUNC(ROUND(MAX(0,($Y$1-IF(N(AD19)&gt;0,0,p_CorrFixa))/(H19*W19*$W$6)),9),$W$4),TRUNC(ROUND(MAX(0,($Y$1-IF(N(AD19)&gt;0,0,p_CorrFixa))/(H19*W19*$W$6)),9)/$W$5)*$W$5)))</f>
        <v/>
      </c>
      <c r="AG19" s="85" t="str">
        <f>IF(A19="","",IF(AND(N(AD19)=0,N(AF19)*(H19*W19*$W$6)+p_CorrFixa&lt;p_CompraMin),0,AF19))</f>
        <v/>
      </c>
      <c r="AH19" s="85" t="str">
        <f>IF(A19="","",IF(N(AG19)&gt;0,AB19,0))</f>
        <v/>
      </c>
      <c r="AI19" s="85" t="str">
        <f>IF(A19="","",IF(AND(AH19&gt;0,AH19=$AH$6,COUNTIF($AH$9:AH19,AH19)=1),1,0))</f>
        <v/>
      </c>
    </row>
    <row r="20">
      <c r="A20" s="96" t="n"/>
      <c r="B20" s="96" t="n"/>
      <c r="C20" s="96" t="n"/>
      <c r="D20" s="97" t="n"/>
      <c r="E20" s="98" t="n"/>
      <c r="F20" s="99" t="n"/>
      <c r="G20" s="100" t="n"/>
      <c r="H20" s="104" t="str">
        <f>IF(A20="","",IF(AND(p_ModoCot="Automático",ISNUMBER(Z20)),Z20,IF(N(G20)&gt;0,G20,0)))</f>
        <v/>
      </c>
      <c r="I20" s="105" t="str">
        <f>IF(A20="","",IF(W20=0,"Sem câmbio",IF(AND(p_ModoCot="Automático",ISNUMBER(Z20)),"Auto",IF(N(G20)&gt;0,"Manual","Sem cotação"))))</f>
        <v/>
      </c>
      <c r="J20" s="106" t="str">
        <f>IF(A20="","",N(E20)*H20)</f>
        <v/>
      </c>
      <c r="K20" s="107" t="str">
        <f>IF(A20="","",J20*W20)</f>
        <v/>
      </c>
      <c r="L20" s="108" t="str">
        <f>IF(A20="","",IF($K$6&gt;0,K20/$K$6,0))</f>
        <v/>
      </c>
      <c r="M20" s="109" t="str">
        <f>IF(A20="","",N(F20)-L20)</f>
        <v/>
      </c>
      <c r="N20" s="108" t="str">
        <f>IF(A20="","",IF($AB$6&gt;0,AB20/$AB$6,0))</f>
        <v/>
      </c>
      <c r="O20" s="110" t="str">
        <f>IF(A20="","",IF(AB20&lt;=0,"",COUNTIF($AB$9:$AB$208,"&gt;"&amp;AB20)+COUNTIF($AB$9:AB20,AB20)))</f>
        <v/>
      </c>
      <c r="P20" s="105" t="str">
        <f>IF(A20="","",IF(Q20&gt;0,"BUY","HOLD"))</f>
        <v/>
      </c>
      <c r="Q20" s="107" t="str">
        <f>IF(A20="","",IF($W$7&lt;=0,0,IF($AC$6&gt;0,$W$7*AC20/$AC$6,IF($F$6&gt;0,$W$7*N(F20)/$F$6,0))))</f>
        <v/>
      </c>
      <c r="R20" s="111" t="str">
        <f>IF(A20="","",N(AD20)+IF(AI20=1,N(AG20),0))</f>
        <v/>
      </c>
      <c r="S20" s="111" t="str">
        <f>IF(A20="","",N(E20)+N(R20))</f>
        <v/>
      </c>
      <c r="T20" s="107" t="str">
        <f>IF(A20="","",IF(N(R20)&gt;0,R20*H20*W20*$W$6+p_CorrFixa,0))</f>
        <v/>
      </c>
      <c r="V20" s="85" t="str">
        <f>IF(A20="","",IF(D20="",$W$1,D20))</f>
        <v/>
      </c>
      <c r="W20" s="85" t="str">
        <f>IF(A20="","",IFERROR(INDEX(moeda_fx,MATCH(V20,moeda_cod,0)),0))</f>
        <v/>
      </c>
      <c r="X20" s="85" t="str">
        <f>IF(A20="","",IF($W$2="",UPPER(TRIM(A20)),IF(RIGHT(UPPER(TRIM(A20)),LEN($W$2))=$W$2,UPPER(TRIM(A20)),UPPER(TRIM(A20))&amp;$W$2)))</f>
        <v/>
      </c>
      <c r="Y20" s="85" t="str">
        <f>IF(OR(A20="",p_ModoCot&lt;&gt;"Automático"),"",IFERROR(_xlfn.WEBSERVICE("https://query1.finance.yahoo.com/v8/finance/chart/"&amp;X20&amp;"?range=1d&amp;interval=1d"),""))</f>
        <v/>
      </c>
      <c r="Z20" s="85" t="str">
        <f>IF(Y20="","",IFERROR(_xlfn.NUMBERVALUE(MID(Y20,SEARCH("""regularMarketPrice"":",Y20)+21,SEARCH(",",Y20&amp;",",SEARCH("""regularMarketPrice"":",Y20)+21)-SEARCH("""regularMarketPrice"":",Y20)-21),".",","),""))</f>
        <v/>
      </c>
      <c r="AA20" s="85" t="str">
        <f>IF(A20="","",ROUND(MAX(0,N(F20)*($K$6+$W$7)-K20),2))</f>
        <v/>
      </c>
      <c r="AB20" s="85" t="str">
        <f>IF(A20="","",IF(AND(M20&gt;0,M20&gt;=p_DifMin),AA20,0))</f>
        <v/>
      </c>
      <c r="AC20" s="85" t="str">
        <f>IF(A20="","",IF(AND(AB20&gt;0,N(O20)&lt;=p_MaxAtivos),AB20,0))</f>
        <v/>
      </c>
      <c r="AD20" s="85" t="str">
        <f>IF(A20="","",IF(OR(Q20&lt;=0,Q20&lt;p_CompraMin,N(H20)&lt;=0,N(W20)&lt;=0),0,IF($W$3="Sim",TRUNC(ROUND(MAX(0,(Q20-p_CorrFixa)/(H20*W20*$W$6)),9),$W$4),TRUNC(ROUND(MAX(0,(Q20-p_CorrFixa)/(H20*W20*$W$6)),9)/$W$5)*$W$5)))</f>
        <v/>
      </c>
      <c r="AE20" s="85" t="str">
        <f>IF(A20="","",IF(N(AD20)&gt;0,AD20*H20*W20*$W$6+p_CorrFixa,0))</f>
        <v/>
      </c>
      <c r="AF20" s="85" t="str">
        <f>IF(A20="","",IF(OR($Y$1&lt;=0,N(H20)&lt;=0,N(W20)&lt;=0,N(AB20)&lt;=0),0,IF($W$3="Sim",TRUNC(ROUND(MAX(0,($Y$1-IF(N(AD20)&gt;0,0,p_CorrFixa))/(H20*W20*$W$6)),9),$W$4),TRUNC(ROUND(MAX(0,($Y$1-IF(N(AD20)&gt;0,0,p_CorrFixa))/(H20*W20*$W$6)),9)/$W$5)*$W$5)))</f>
        <v/>
      </c>
      <c r="AG20" s="85" t="str">
        <f>IF(A20="","",IF(AND(N(AD20)=0,N(AF20)*(H20*W20*$W$6)+p_CorrFixa&lt;p_CompraMin),0,AF20))</f>
        <v/>
      </c>
      <c r="AH20" s="85" t="str">
        <f>IF(A20="","",IF(N(AG20)&gt;0,AB20,0))</f>
        <v/>
      </c>
      <c r="AI20" s="85" t="str">
        <f>IF(A20="","",IF(AND(AH20&gt;0,AH20=$AH$6,COUNTIF($AH$9:AH20,AH20)=1),1,0))</f>
        <v/>
      </c>
    </row>
    <row r="21">
      <c r="A21" s="96" t="n"/>
      <c r="B21" s="96" t="n"/>
      <c r="C21" s="96" t="n"/>
      <c r="D21" s="97" t="n"/>
      <c r="E21" s="98" t="n"/>
      <c r="F21" s="99" t="n"/>
      <c r="G21" s="100" t="n"/>
      <c r="H21" s="101" t="str">
        <f>IF(A21="","",IF(AND(p_ModoCot="Automático",ISNUMBER(Z21)),Z21,IF(N(G21)&gt;0,G21,0)))</f>
        <v/>
      </c>
      <c r="I21" s="73" t="str">
        <f>IF(A21="","",IF(W21=0,"Sem câmbio",IF(AND(p_ModoCot="Automático",ISNUMBER(Z21)),"Auto",IF(N(G21)&gt;0,"Manual","Sem cotação"))))</f>
        <v/>
      </c>
      <c r="J21" s="102" t="str">
        <f>IF(A21="","",N(E21)*H21)</f>
        <v/>
      </c>
      <c r="K21" s="70" t="str">
        <f>IF(A21="","",J21*W21)</f>
        <v/>
      </c>
      <c r="L21" s="30" t="str">
        <f>IF(A21="","",IF($K$6&gt;0,K21/$K$6,0))</f>
        <v/>
      </c>
      <c r="M21" s="72" t="str">
        <f>IF(A21="","",N(F21)-L21)</f>
        <v/>
      </c>
      <c r="N21" s="30" t="str">
        <f>IF(A21="","",IF($AB$6&gt;0,AB21/$AB$6,0))</f>
        <v/>
      </c>
      <c r="O21" s="74" t="str">
        <f>IF(A21="","",IF(AB21&lt;=0,"",COUNTIF($AB$9:$AB$208,"&gt;"&amp;AB21)+COUNTIF($AB$9:AB21,AB21)))</f>
        <v/>
      </c>
      <c r="P21" s="73" t="str">
        <f>IF(A21="","",IF(Q21&gt;0,"BUY","HOLD"))</f>
        <v/>
      </c>
      <c r="Q21" s="70" t="str">
        <f>IF(A21="","",IF($W$7&lt;=0,0,IF($AC$6&gt;0,$W$7*AC21/$AC$6,IF($F$6&gt;0,$W$7*N(F21)/$F$6,0))))</f>
        <v/>
      </c>
      <c r="R21" s="103" t="str">
        <f>IF(A21="","",N(AD21)+IF(AI21=1,N(AG21),0))</f>
        <v/>
      </c>
      <c r="S21" s="103" t="str">
        <f>IF(A21="","",N(E21)+N(R21))</f>
        <v/>
      </c>
      <c r="T21" s="70" t="str">
        <f>IF(A21="","",IF(N(R21)&gt;0,R21*H21*W21*$W$6+p_CorrFixa,0))</f>
        <v/>
      </c>
      <c r="V21" s="85" t="str">
        <f>IF(A21="","",IF(D21="",$W$1,D21))</f>
        <v/>
      </c>
      <c r="W21" s="85" t="str">
        <f>IF(A21="","",IFERROR(INDEX(moeda_fx,MATCH(V21,moeda_cod,0)),0))</f>
        <v/>
      </c>
      <c r="X21" s="85" t="str">
        <f>IF(A21="","",IF($W$2="",UPPER(TRIM(A21)),IF(RIGHT(UPPER(TRIM(A21)),LEN($W$2))=$W$2,UPPER(TRIM(A21)),UPPER(TRIM(A21))&amp;$W$2)))</f>
        <v/>
      </c>
      <c r="Y21" s="85" t="str">
        <f>IF(OR(A21="",p_ModoCot&lt;&gt;"Automático"),"",IFERROR(_xlfn.WEBSERVICE("https://query1.finance.yahoo.com/v8/finance/chart/"&amp;X21&amp;"?range=1d&amp;interval=1d"),""))</f>
        <v/>
      </c>
      <c r="Z21" s="85" t="str">
        <f>IF(Y21="","",IFERROR(_xlfn.NUMBERVALUE(MID(Y21,SEARCH("""regularMarketPrice"":",Y21)+21,SEARCH(",",Y21&amp;",",SEARCH("""regularMarketPrice"":",Y21)+21)-SEARCH("""regularMarketPrice"":",Y21)-21),".",","),""))</f>
        <v/>
      </c>
      <c r="AA21" s="85" t="str">
        <f>IF(A21="","",ROUND(MAX(0,N(F21)*($K$6+$W$7)-K21),2))</f>
        <v/>
      </c>
      <c r="AB21" s="85" t="str">
        <f>IF(A21="","",IF(AND(M21&gt;0,M21&gt;=p_DifMin),AA21,0))</f>
        <v/>
      </c>
      <c r="AC21" s="85" t="str">
        <f>IF(A21="","",IF(AND(AB21&gt;0,N(O21)&lt;=p_MaxAtivos),AB21,0))</f>
        <v/>
      </c>
      <c r="AD21" s="85" t="str">
        <f>IF(A21="","",IF(OR(Q21&lt;=0,Q21&lt;p_CompraMin,N(H21)&lt;=0,N(W21)&lt;=0),0,IF($W$3="Sim",TRUNC(ROUND(MAX(0,(Q21-p_CorrFixa)/(H21*W21*$W$6)),9),$W$4),TRUNC(ROUND(MAX(0,(Q21-p_CorrFixa)/(H21*W21*$W$6)),9)/$W$5)*$W$5)))</f>
        <v/>
      </c>
      <c r="AE21" s="85" t="str">
        <f>IF(A21="","",IF(N(AD21)&gt;0,AD21*H21*W21*$W$6+p_CorrFixa,0))</f>
        <v/>
      </c>
      <c r="AF21" s="85" t="str">
        <f>IF(A21="","",IF(OR($Y$1&lt;=0,N(H21)&lt;=0,N(W21)&lt;=0,N(AB21)&lt;=0),0,IF($W$3="Sim",TRUNC(ROUND(MAX(0,($Y$1-IF(N(AD21)&gt;0,0,p_CorrFixa))/(H21*W21*$W$6)),9),$W$4),TRUNC(ROUND(MAX(0,($Y$1-IF(N(AD21)&gt;0,0,p_CorrFixa))/(H21*W21*$W$6)),9)/$W$5)*$W$5)))</f>
        <v/>
      </c>
      <c r="AG21" s="85" t="str">
        <f>IF(A21="","",IF(AND(N(AD21)=0,N(AF21)*(H21*W21*$W$6)+p_CorrFixa&lt;p_CompraMin),0,AF21))</f>
        <v/>
      </c>
      <c r="AH21" s="85" t="str">
        <f>IF(A21="","",IF(N(AG21)&gt;0,AB21,0))</f>
        <v/>
      </c>
      <c r="AI21" s="85" t="str">
        <f>IF(A21="","",IF(AND(AH21&gt;0,AH21=$AH$6,COUNTIF($AH$9:AH21,AH21)=1),1,0))</f>
        <v/>
      </c>
    </row>
    <row r="22">
      <c r="A22" s="96" t="n"/>
      <c r="B22" s="96" t="n"/>
      <c r="C22" s="96" t="n"/>
      <c r="D22" s="97" t="n"/>
      <c r="E22" s="98" t="n"/>
      <c r="F22" s="99" t="n"/>
      <c r="G22" s="100" t="n"/>
      <c r="H22" s="104" t="str">
        <f>IF(A22="","",IF(AND(p_ModoCot="Automático",ISNUMBER(Z22)),Z22,IF(N(G22)&gt;0,G22,0)))</f>
        <v/>
      </c>
      <c r="I22" s="105" t="str">
        <f>IF(A22="","",IF(W22=0,"Sem câmbio",IF(AND(p_ModoCot="Automático",ISNUMBER(Z22)),"Auto",IF(N(G22)&gt;0,"Manual","Sem cotação"))))</f>
        <v/>
      </c>
      <c r="J22" s="106" t="str">
        <f>IF(A22="","",N(E22)*H22)</f>
        <v/>
      </c>
      <c r="K22" s="107" t="str">
        <f>IF(A22="","",J22*W22)</f>
        <v/>
      </c>
      <c r="L22" s="108" t="str">
        <f>IF(A22="","",IF($K$6&gt;0,K22/$K$6,0))</f>
        <v/>
      </c>
      <c r="M22" s="109" t="str">
        <f>IF(A22="","",N(F22)-L22)</f>
        <v/>
      </c>
      <c r="N22" s="108" t="str">
        <f>IF(A22="","",IF($AB$6&gt;0,AB22/$AB$6,0))</f>
        <v/>
      </c>
      <c r="O22" s="110" t="str">
        <f>IF(A22="","",IF(AB22&lt;=0,"",COUNTIF($AB$9:$AB$208,"&gt;"&amp;AB22)+COUNTIF($AB$9:AB22,AB22)))</f>
        <v/>
      </c>
      <c r="P22" s="105" t="str">
        <f>IF(A22="","",IF(Q22&gt;0,"BUY","HOLD"))</f>
        <v/>
      </c>
      <c r="Q22" s="107" t="str">
        <f>IF(A22="","",IF($W$7&lt;=0,0,IF($AC$6&gt;0,$W$7*AC22/$AC$6,IF($F$6&gt;0,$W$7*N(F22)/$F$6,0))))</f>
        <v/>
      </c>
      <c r="R22" s="111" t="str">
        <f>IF(A22="","",N(AD22)+IF(AI22=1,N(AG22),0))</f>
        <v/>
      </c>
      <c r="S22" s="111" t="str">
        <f>IF(A22="","",N(E22)+N(R22))</f>
        <v/>
      </c>
      <c r="T22" s="107" t="str">
        <f>IF(A22="","",IF(N(R22)&gt;0,R22*H22*W22*$W$6+p_CorrFixa,0))</f>
        <v/>
      </c>
      <c r="V22" s="85" t="str">
        <f>IF(A22="","",IF(D22="",$W$1,D22))</f>
        <v/>
      </c>
      <c r="W22" s="85" t="str">
        <f>IF(A22="","",IFERROR(INDEX(moeda_fx,MATCH(V22,moeda_cod,0)),0))</f>
        <v/>
      </c>
      <c r="X22" s="85" t="str">
        <f>IF(A22="","",IF($W$2="",UPPER(TRIM(A22)),IF(RIGHT(UPPER(TRIM(A22)),LEN($W$2))=$W$2,UPPER(TRIM(A22)),UPPER(TRIM(A22))&amp;$W$2)))</f>
        <v/>
      </c>
      <c r="Y22" s="85" t="str">
        <f>IF(OR(A22="",p_ModoCot&lt;&gt;"Automático"),"",IFERROR(_xlfn.WEBSERVICE("https://query1.finance.yahoo.com/v8/finance/chart/"&amp;X22&amp;"?range=1d&amp;interval=1d"),""))</f>
        <v/>
      </c>
      <c r="Z22" s="85" t="str">
        <f>IF(Y22="","",IFERROR(_xlfn.NUMBERVALUE(MID(Y22,SEARCH("""regularMarketPrice"":",Y22)+21,SEARCH(",",Y22&amp;",",SEARCH("""regularMarketPrice"":",Y22)+21)-SEARCH("""regularMarketPrice"":",Y22)-21),".",","),""))</f>
        <v/>
      </c>
      <c r="AA22" s="85" t="str">
        <f>IF(A22="","",ROUND(MAX(0,N(F22)*($K$6+$W$7)-K22),2))</f>
        <v/>
      </c>
      <c r="AB22" s="85" t="str">
        <f>IF(A22="","",IF(AND(M22&gt;0,M22&gt;=p_DifMin),AA22,0))</f>
        <v/>
      </c>
      <c r="AC22" s="85" t="str">
        <f>IF(A22="","",IF(AND(AB22&gt;0,N(O22)&lt;=p_MaxAtivos),AB22,0))</f>
        <v/>
      </c>
      <c r="AD22" s="85" t="str">
        <f>IF(A22="","",IF(OR(Q22&lt;=0,Q22&lt;p_CompraMin,N(H22)&lt;=0,N(W22)&lt;=0),0,IF($W$3="Sim",TRUNC(ROUND(MAX(0,(Q22-p_CorrFixa)/(H22*W22*$W$6)),9),$W$4),TRUNC(ROUND(MAX(0,(Q22-p_CorrFixa)/(H22*W22*$W$6)),9)/$W$5)*$W$5)))</f>
        <v/>
      </c>
      <c r="AE22" s="85" t="str">
        <f>IF(A22="","",IF(N(AD22)&gt;0,AD22*H22*W22*$W$6+p_CorrFixa,0))</f>
        <v/>
      </c>
      <c r="AF22" s="85" t="str">
        <f>IF(A22="","",IF(OR($Y$1&lt;=0,N(H22)&lt;=0,N(W22)&lt;=0,N(AB22)&lt;=0),0,IF($W$3="Sim",TRUNC(ROUND(MAX(0,($Y$1-IF(N(AD22)&gt;0,0,p_CorrFixa))/(H22*W22*$W$6)),9),$W$4),TRUNC(ROUND(MAX(0,($Y$1-IF(N(AD22)&gt;0,0,p_CorrFixa))/(H22*W22*$W$6)),9)/$W$5)*$W$5)))</f>
        <v/>
      </c>
      <c r="AG22" s="85" t="str">
        <f>IF(A22="","",IF(AND(N(AD22)=0,N(AF22)*(H22*W22*$W$6)+p_CorrFixa&lt;p_CompraMin),0,AF22))</f>
        <v/>
      </c>
      <c r="AH22" s="85" t="str">
        <f>IF(A22="","",IF(N(AG22)&gt;0,AB22,0))</f>
        <v/>
      </c>
      <c r="AI22" s="85" t="str">
        <f>IF(A22="","",IF(AND(AH22&gt;0,AH22=$AH$6,COUNTIF($AH$9:AH22,AH22)=1),1,0))</f>
        <v/>
      </c>
    </row>
    <row r="23">
      <c r="A23" s="96" t="n"/>
      <c r="B23" s="96" t="n"/>
      <c r="C23" s="96" t="n"/>
      <c r="D23" s="97" t="n"/>
      <c r="E23" s="98" t="n"/>
      <c r="F23" s="99" t="n"/>
      <c r="G23" s="100" t="n"/>
      <c r="H23" s="101" t="str">
        <f>IF(A23="","",IF(AND(p_ModoCot="Automático",ISNUMBER(Z23)),Z23,IF(N(G23)&gt;0,G23,0)))</f>
        <v/>
      </c>
      <c r="I23" s="73" t="str">
        <f>IF(A23="","",IF(W23=0,"Sem câmbio",IF(AND(p_ModoCot="Automático",ISNUMBER(Z23)),"Auto",IF(N(G23)&gt;0,"Manual","Sem cotação"))))</f>
        <v/>
      </c>
      <c r="J23" s="102" t="str">
        <f>IF(A23="","",N(E23)*H23)</f>
        <v/>
      </c>
      <c r="K23" s="70" t="str">
        <f>IF(A23="","",J23*W23)</f>
        <v/>
      </c>
      <c r="L23" s="30" t="str">
        <f>IF(A23="","",IF($K$6&gt;0,K23/$K$6,0))</f>
        <v/>
      </c>
      <c r="M23" s="72" t="str">
        <f>IF(A23="","",N(F23)-L23)</f>
        <v/>
      </c>
      <c r="N23" s="30" t="str">
        <f>IF(A23="","",IF($AB$6&gt;0,AB23/$AB$6,0))</f>
        <v/>
      </c>
      <c r="O23" s="74" t="str">
        <f>IF(A23="","",IF(AB23&lt;=0,"",COUNTIF($AB$9:$AB$208,"&gt;"&amp;AB23)+COUNTIF($AB$9:AB23,AB23)))</f>
        <v/>
      </c>
      <c r="P23" s="73" t="str">
        <f>IF(A23="","",IF(Q23&gt;0,"BUY","HOLD"))</f>
        <v/>
      </c>
      <c r="Q23" s="70" t="str">
        <f>IF(A23="","",IF($W$7&lt;=0,0,IF($AC$6&gt;0,$W$7*AC23/$AC$6,IF($F$6&gt;0,$W$7*N(F23)/$F$6,0))))</f>
        <v/>
      </c>
      <c r="R23" s="103" t="str">
        <f>IF(A23="","",N(AD23)+IF(AI23=1,N(AG23),0))</f>
        <v/>
      </c>
      <c r="S23" s="103" t="str">
        <f>IF(A23="","",N(E23)+N(R23))</f>
        <v/>
      </c>
      <c r="T23" s="70" t="str">
        <f>IF(A23="","",IF(N(R23)&gt;0,R23*H23*W23*$W$6+p_CorrFixa,0))</f>
        <v/>
      </c>
      <c r="V23" s="85" t="str">
        <f>IF(A23="","",IF(D23="",$W$1,D23))</f>
        <v/>
      </c>
      <c r="W23" s="85" t="str">
        <f>IF(A23="","",IFERROR(INDEX(moeda_fx,MATCH(V23,moeda_cod,0)),0))</f>
        <v/>
      </c>
      <c r="X23" s="85" t="str">
        <f>IF(A23="","",IF($W$2="",UPPER(TRIM(A23)),IF(RIGHT(UPPER(TRIM(A23)),LEN($W$2))=$W$2,UPPER(TRIM(A23)),UPPER(TRIM(A23))&amp;$W$2)))</f>
        <v/>
      </c>
      <c r="Y23" s="85" t="str">
        <f>IF(OR(A23="",p_ModoCot&lt;&gt;"Automático"),"",IFERROR(_xlfn.WEBSERVICE("https://query1.finance.yahoo.com/v8/finance/chart/"&amp;X23&amp;"?range=1d&amp;interval=1d"),""))</f>
        <v/>
      </c>
      <c r="Z23" s="85" t="str">
        <f>IF(Y23="","",IFERROR(_xlfn.NUMBERVALUE(MID(Y23,SEARCH("""regularMarketPrice"":",Y23)+21,SEARCH(",",Y23&amp;",",SEARCH("""regularMarketPrice"":",Y23)+21)-SEARCH("""regularMarketPrice"":",Y23)-21),".",","),""))</f>
        <v/>
      </c>
      <c r="AA23" s="85" t="str">
        <f>IF(A23="","",ROUND(MAX(0,N(F23)*($K$6+$W$7)-K23),2))</f>
        <v/>
      </c>
      <c r="AB23" s="85" t="str">
        <f>IF(A23="","",IF(AND(M23&gt;0,M23&gt;=p_DifMin),AA23,0))</f>
        <v/>
      </c>
      <c r="AC23" s="85" t="str">
        <f>IF(A23="","",IF(AND(AB23&gt;0,N(O23)&lt;=p_MaxAtivos),AB23,0))</f>
        <v/>
      </c>
      <c r="AD23" s="85" t="str">
        <f>IF(A23="","",IF(OR(Q23&lt;=0,Q23&lt;p_CompraMin,N(H23)&lt;=0,N(W23)&lt;=0),0,IF($W$3="Sim",TRUNC(ROUND(MAX(0,(Q23-p_CorrFixa)/(H23*W23*$W$6)),9),$W$4),TRUNC(ROUND(MAX(0,(Q23-p_CorrFixa)/(H23*W23*$W$6)),9)/$W$5)*$W$5)))</f>
        <v/>
      </c>
      <c r="AE23" s="85" t="str">
        <f>IF(A23="","",IF(N(AD23)&gt;0,AD23*H23*W23*$W$6+p_CorrFixa,0))</f>
        <v/>
      </c>
      <c r="AF23" s="85" t="str">
        <f>IF(A23="","",IF(OR($Y$1&lt;=0,N(H23)&lt;=0,N(W23)&lt;=0,N(AB23)&lt;=0),0,IF($W$3="Sim",TRUNC(ROUND(MAX(0,($Y$1-IF(N(AD23)&gt;0,0,p_CorrFixa))/(H23*W23*$W$6)),9),$W$4),TRUNC(ROUND(MAX(0,($Y$1-IF(N(AD23)&gt;0,0,p_CorrFixa))/(H23*W23*$W$6)),9)/$W$5)*$W$5)))</f>
        <v/>
      </c>
      <c r="AG23" s="85" t="str">
        <f>IF(A23="","",IF(AND(N(AD23)=0,N(AF23)*(H23*W23*$W$6)+p_CorrFixa&lt;p_CompraMin),0,AF23))</f>
        <v/>
      </c>
      <c r="AH23" s="85" t="str">
        <f>IF(A23="","",IF(N(AG23)&gt;0,AB23,0))</f>
        <v/>
      </c>
      <c r="AI23" s="85" t="str">
        <f>IF(A23="","",IF(AND(AH23&gt;0,AH23=$AH$6,COUNTIF($AH$9:AH23,AH23)=1),1,0))</f>
        <v/>
      </c>
    </row>
    <row r="24">
      <c r="A24" s="96" t="n"/>
      <c r="B24" s="96" t="n"/>
      <c r="C24" s="96" t="n"/>
      <c r="D24" s="97" t="n"/>
      <c r="E24" s="98" t="n"/>
      <c r="F24" s="99" t="n"/>
      <c r="G24" s="100" t="n"/>
      <c r="H24" s="104" t="str">
        <f>IF(A24="","",IF(AND(p_ModoCot="Automático",ISNUMBER(Z24)),Z24,IF(N(G24)&gt;0,G24,0)))</f>
        <v/>
      </c>
      <c r="I24" s="105" t="str">
        <f>IF(A24="","",IF(W24=0,"Sem câmbio",IF(AND(p_ModoCot="Automático",ISNUMBER(Z24)),"Auto",IF(N(G24)&gt;0,"Manual","Sem cotação"))))</f>
        <v/>
      </c>
      <c r="J24" s="106" t="str">
        <f>IF(A24="","",N(E24)*H24)</f>
        <v/>
      </c>
      <c r="K24" s="107" t="str">
        <f>IF(A24="","",J24*W24)</f>
        <v/>
      </c>
      <c r="L24" s="108" t="str">
        <f>IF(A24="","",IF($K$6&gt;0,K24/$K$6,0))</f>
        <v/>
      </c>
      <c r="M24" s="109" t="str">
        <f>IF(A24="","",N(F24)-L24)</f>
        <v/>
      </c>
      <c r="N24" s="108" t="str">
        <f>IF(A24="","",IF($AB$6&gt;0,AB24/$AB$6,0))</f>
        <v/>
      </c>
      <c r="O24" s="110" t="str">
        <f>IF(A24="","",IF(AB24&lt;=0,"",COUNTIF($AB$9:$AB$208,"&gt;"&amp;AB24)+COUNTIF($AB$9:AB24,AB24)))</f>
        <v/>
      </c>
      <c r="P24" s="105" t="str">
        <f>IF(A24="","",IF(Q24&gt;0,"BUY","HOLD"))</f>
        <v/>
      </c>
      <c r="Q24" s="107" t="str">
        <f>IF(A24="","",IF($W$7&lt;=0,0,IF($AC$6&gt;0,$W$7*AC24/$AC$6,IF($F$6&gt;0,$W$7*N(F24)/$F$6,0))))</f>
        <v/>
      </c>
      <c r="R24" s="111" t="str">
        <f>IF(A24="","",N(AD24)+IF(AI24=1,N(AG24),0))</f>
        <v/>
      </c>
      <c r="S24" s="111" t="str">
        <f>IF(A24="","",N(E24)+N(R24))</f>
        <v/>
      </c>
      <c r="T24" s="107" t="str">
        <f>IF(A24="","",IF(N(R24)&gt;0,R24*H24*W24*$W$6+p_CorrFixa,0))</f>
        <v/>
      </c>
      <c r="V24" s="85" t="str">
        <f>IF(A24="","",IF(D24="",$W$1,D24))</f>
        <v/>
      </c>
      <c r="W24" s="85" t="str">
        <f>IF(A24="","",IFERROR(INDEX(moeda_fx,MATCH(V24,moeda_cod,0)),0))</f>
        <v/>
      </c>
      <c r="X24" s="85" t="str">
        <f>IF(A24="","",IF($W$2="",UPPER(TRIM(A24)),IF(RIGHT(UPPER(TRIM(A24)),LEN($W$2))=$W$2,UPPER(TRIM(A24)),UPPER(TRIM(A24))&amp;$W$2)))</f>
        <v/>
      </c>
      <c r="Y24" s="85" t="str">
        <f>IF(OR(A24="",p_ModoCot&lt;&gt;"Automático"),"",IFERROR(_xlfn.WEBSERVICE("https://query1.finance.yahoo.com/v8/finance/chart/"&amp;X24&amp;"?range=1d&amp;interval=1d"),""))</f>
        <v/>
      </c>
      <c r="Z24" s="85" t="str">
        <f>IF(Y24="","",IFERROR(_xlfn.NUMBERVALUE(MID(Y24,SEARCH("""regularMarketPrice"":",Y24)+21,SEARCH(",",Y24&amp;",",SEARCH("""regularMarketPrice"":",Y24)+21)-SEARCH("""regularMarketPrice"":",Y24)-21),".",","),""))</f>
        <v/>
      </c>
      <c r="AA24" s="85" t="str">
        <f>IF(A24="","",ROUND(MAX(0,N(F24)*($K$6+$W$7)-K24),2))</f>
        <v/>
      </c>
      <c r="AB24" s="85" t="str">
        <f>IF(A24="","",IF(AND(M24&gt;0,M24&gt;=p_DifMin),AA24,0))</f>
        <v/>
      </c>
      <c r="AC24" s="85" t="str">
        <f>IF(A24="","",IF(AND(AB24&gt;0,N(O24)&lt;=p_MaxAtivos),AB24,0))</f>
        <v/>
      </c>
      <c r="AD24" s="85" t="str">
        <f>IF(A24="","",IF(OR(Q24&lt;=0,Q24&lt;p_CompraMin,N(H24)&lt;=0,N(W24)&lt;=0),0,IF($W$3="Sim",TRUNC(ROUND(MAX(0,(Q24-p_CorrFixa)/(H24*W24*$W$6)),9),$W$4),TRUNC(ROUND(MAX(0,(Q24-p_CorrFixa)/(H24*W24*$W$6)),9)/$W$5)*$W$5)))</f>
        <v/>
      </c>
      <c r="AE24" s="85" t="str">
        <f>IF(A24="","",IF(N(AD24)&gt;0,AD24*H24*W24*$W$6+p_CorrFixa,0))</f>
        <v/>
      </c>
      <c r="AF24" s="85" t="str">
        <f>IF(A24="","",IF(OR($Y$1&lt;=0,N(H24)&lt;=0,N(W24)&lt;=0,N(AB24)&lt;=0),0,IF($W$3="Sim",TRUNC(ROUND(MAX(0,($Y$1-IF(N(AD24)&gt;0,0,p_CorrFixa))/(H24*W24*$W$6)),9),$W$4),TRUNC(ROUND(MAX(0,($Y$1-IF(N(AD24)&gt;0,0,p_CorrFixa))/(H24*W24*$W$6)),9)/$W$5)*$W$5)))</f>
        <v/>
      </c>
      <c r="AG24" s="85" t="str">
        <f>IF(A24="","",IF(AND(N(AD24)=0,N(AF24)*(H24*W24*$W$6)+p_CorrFixa&lt;p_CompraMin),0,AF24))</f>
        <v/>
      </c>
      <c r="AH24" s="85" t="str">
        <f>IF(A24="","",IF(N(AG24)&gt;0,AB24,0))</f>
        <v/>
      </c>
      <c r="AI24" s="85" t="str">
        <f>IF(A24="","",IF(AND(AH24&gt;0,AH24=$AH$6,COUNTIF($AH$9:AH24,AH24)=1),1,0))</f>
        <v/>
      </c>
    </row>
    <row r="25">
      <c r="A25" s="96" t="n"/>
      <c r="B25" s="96" t="n"/>
      <c r="C25" s="96" t="n"/>
      <c r="D25" s="97" t="n"/>
      <c r="E25" s="98" t="n"/>
      <c r="F25" s="99" t="n"/>
      <c r="G25" s="100" t="n"/>
      <c r="H25" s="101" t="str">
        <f>IF(A25="","",IF(AND(p_ModoCot="Automático",ISNUMBER(Z25)),Z25,IF(N(G25)&gt;0,G25,0)))</f>
        <v/>
      </c>
      <c r="I25" s="73" t="str">
        <f>IF(A25="","",IF(W25=0,"Sem câmbio",IF(AND(p_ModoCot="Automático",ISNUMBER(Z25)),"Auto",IF(N(G25)&gt;0,"Manual","Sem cotação"))))</f>
        <v/>
      </c>
      <c r="J25" s="102" t="str">
        <f>IF(A25="","",N(E25)*H25)</f>
        <v/>
      </c>
      <c r="K25" s="70" t="str">
        <f>IF(A25="","",J25*W25)</f>
        <v/>
      </c>
      <c r="L25" s="30" t="str">
        <f>IF(A25="","",IF($K$6&gt;0,K25/$K$6,0))</f>
        <v/>
      </c>
      <c r="M25" s="72" t="str">
        <f>IF(A25="","",N(F25)-L25)</f>
        <v/>
      </c>
      <c r="N25" s="30" t="str">
        <f>IF(A25="","",IF($AB$6&gt;0,AB25/$AB$6,0))</f>
        <v/>
      </c>
      <c r="O25" s="74" t="str">
        <f>IF(A25="","",IF(AB25&lt;=0,"",COUNTIF($AB$9:$AB$208,"&gt;"&amp;AB25)+COUNTIF($AB$9:AB25,AB25)))</f>
        <v/>
      </c>
      <c r="P25" s="73" t="str">
        <f>IF(A25="","",IF(Q25&gt;0,"BUY","HOLD"))</f>
        <v/>
      </c>
      <c r="Q25" s="70" t="str">
        <f>IF(A25="","",IF($W$7&lt;=0,0,IF($AC$6&gt;0,$W$7*AC25/$AC$6,IF($F$6&gt;0,$W$7*N(F25)/$F$6,0))))</f>
        <v/>
      </c>
      <c r="R25" s="103" t="str">
        <f>IF(A25="","",N(AD25)+IF(AI25=1,N(AG25),0))</f>
        <v/>
      </c>
      <c r="S25" s="103" t="str">
        <f>IF(A25="","",N(E25)+N(R25))</f>
        <v/>
      </c>
      <c r="T25" s="70" t="str">
        <f>IF(A25="","",IF(N(R25)&gt;0,R25*H25*W25*$W$6+p_CorrFixa,0))</f>
        <v/>
      </c>
      <c r="V25" s="85" t="str">
        <f>IF(A25="","",IF(D25="",$W$1,D25))</f>
        <v/>
      </c>
      <c r="W25" s="85" t="str">
        <f>IF(A25="","",IFERROR(INDEX(moeda_fx,MATCH(V25,moeda_cod,0)),0))</f>
        <v/>
      </c>
      <c r="X25" s="85" t="str">
        <f>IF(A25="","",IF($W$2="",UPPER(TRIM(A25)),IF(RIGHT(UPPER(TRIM(A25)),LEN($W$2))=$W$2,UPPER(TRIM(A25)),UPPER(TRIM(A25))&amp;$W$2)))</f>
        <v/>
      </c>
      <c r="Y25" s="85" t="str">
        <f>IF(OR(A25="",p_ModoCot&lt;&gt;"Automático"),"",IFERROR(_xlfn.WEBSERVICE("https://query1.finance.yahoo.com/v8/finance/chart/"&amp;X25&amp;"?range=1d&amp;interval=1d"),""))</f>
        <v/>
      </c>
      <c r="Z25" s="85" t="str">
        <f>IF(Y25="","",IFERROR(_xlfn.NUMBERVALUE(MID(Y25,SEARCH("""regularMarketPrice"":",Y25)+21,SEARCH(",",Y25&amp;",",SEARCH("""regularMarketPrice"":",Y25)+21)-SEARCH("""regularMarketPrice"":",Y25)-21),".",","),""))</f>
        <v/>
      </c>
      <c r="AA25" s="85" t="str">
        <f>IF(A25="","",ROUND(MAX(0,N(F25)*($K$6+$W$7)-K25),2))</f>
        <v/>
      </c>
      <c r="AB25" s="85" t="str">
        <f>IF(A25="","",IF(AND(M25&gt;0,M25&gt;=p_DifMin),AA25,0))</f>
        <v/>
      </c>
      <c r="AC25" s="85" t="str">
        <f>IF(A25="","",IF(AND(AB25&gt;0,N(O25)&lt;=p_MaxAtivos),AB25,0))</f>
        <v/>
      </c>
      <c r="AD25" s="85" t="str">
        <f>IF(A25="","",IF(OR(Q25&lt;=0,Q25&lt;p_CompraMin,N(H25)&lt;=0,N(W25)&lt;=0),0,IF($W$3="Sim",TRUNC(ROUND(MAX(0,(Q25-p_CorrFixa)/(H25*W25*$W$6)),9),$W$4),TRUNC(ROUND(MAX(0,(Q25-p_CorrFixa)/(H25*W25*$W$6)),9)/$W$5)*$W$5)))</f>
        <v/>
      </c>
      <c r="AE25" s="85" t="str">
        <f>IF(A25="","",IF(N(AD25)&gt;0,AD25*H25*W25*$W$6+p_CorrFixa,0))</f>
        <v/>
      </c>
      <c r="AF25" s="85" t="str">
        <f>IF(A25="","",IF(OR($Y$1&lt;=0,N(H25)&lt;=0,N(W25)&lt;=0,N(AB25)&lt;=0),0,IF($W$3="Sim",TRUNC(ROUND(MAX(0,($Y$1-IF(N(AD25)&gt;0,0,p_CorrFixa))/(H25*W25*$W$6)),9),$W$4),TRUNC(ROUND(MAX(0,($Y$1-IF(N(AD25)&gt;0,0,p_CorrFixa))/(H25*W25*$W$6)),9)/$W$5)*$W$5)))</f>
        <v/>
      </c>
      <c r="AG25" s="85" t="str">
        <f>IF(A25="","",IF(AND(N(AD25)=0,N(AF25)*(H25*W25*$W$6)+p_CorrFixa&lt;p_CompraMin),0,AF25))</f>
        <v/>
      </c>
      <c r="AH25" s="85" t="str">
        <f>IF(A25="","",IF(N(AG25)&gt;0,AB25,0))</f>
        <v/>
      </c>
      <c r="AI25" s="85" t="str">
        <f>IF(A25="","",IF(AND(AH25&gt;0,AH25=$AH$6,COUNTIF($AH$9:AH25,AH25)=1),1,0))</f>
        <v/>
      </c>
    </row>
    <row r="26">
      <c r="A26" s="96" t="n"/>
      <c r="B26" s="96" t="n"/>
      <c r="C26" s="96" t="n"/>
      <c r="D26" s="97" t="n"/>
      <c r="E26" s="98" t="n"/>
      <c r="F26" s="99" t="n"/>
      <c r="G26" s="100" t="n"/>
      <c r="H26" s="104" t="str">
        <f>IF(A26="","",IF(AND(p_ModoCot="Automático",ISNUMBER(Z26)),Z26,IF(N(G26)&gt;0,G26,0)))</f>
        <v/>
      </c>
      <c r="I26" s="105" t="str">
        <f>IF(A26="","",IF(W26=0,"Sem câmbio",IF(AND(p_ModoCot="Automático",ISNUMBER(Z26)),"Auto",IF(N(G26)&gt;0,"Manual","Sem cotação"))))</f>
        <v/>
      </c>
      <c r="J26" s="106" t="str">
        <f>IF(A26="","",N(E26)*H26)</f>
        <v/>
      </c>
      <c r="K26" s="107" t="str">
        <f>IF(A26="","",J26*W26)</f>
        <v/>
      </c>
      <c r="L26" s="108" t="str">
        <f>IF(A26="","",IF($K$6&gt;0,K26/$K$6,0))</f>
        <v/>
      </c>
      <c r="M26" s="109" t="str">
        <f>IF(A26="","",N(F26)-L26)</f>
        <v/>
      </c>
      <c r="N26" s="108" t="str">
        <f>IF(A26="","",IF($AB$6&gt;0,AB26/$AB$6,0))</f>
        <v/>
      </c>
      <c r="O26" s="110" t="str">
        <f>IF(A26="","",IF(AB26&lt;=0,"",COUNTIF($AB$9:$AB$208,"&gt;"&amp;AB26)+COUNTIF($AB$9:AB26,AB26)))</f>
        <v/>
      </c>
      <c r="P26" s="105" t="str">
        <f>IF(A26="","",IF(Q26&gt;0,"BUY","HOLD"))</f>
        <v/>
      </c>
      <c r="Q26" s="107" t="str">
        <f>IF(A26="","",IF($W$7&lt;=0,0,IF($AC$6&gt;0,$W$7*AC26/$AC$6,IF($F$6&gt;0,$W$7*N(F26)/$F$6,0))))</f>
        <v/>
      </c>
      <c r="R26" s="111" t="str">
        <f>IF(A26="","",N(AD26)+IF(AI26=1,N(AG26),0))</f>
        <v/>
      </c>
      <c r="S26" s="111" t="str">
        <f>IF(A26="","",N(E26)+N(R26))</f>
        <v/>
      </c>
      <c r="T26" s="107" t="str">
        <f>IF(A26="","",IF(N(R26)&gt;0,R26*H26*W26*$W$6+p_CorrFixa,0))</f>
        <v/>
      </c>
      <c r="V26" s="85" t="str">
        <f>IF(A26="","",IF(D26="",$W$1,D26))</f>
        <v/>
      </c>
      <c r="W26" s="85" t="str">
        <f>IF(A26="","",IFERROR(INDEX(moeda_fx,MATCH(V26,moeda_cod,0)),0))</f>
        <v/>
      </c>
      <c r="X26" s="85" t="str">
        <f>IF(A26="","",IF($W$2="",UPPER(TRIM(A26)),IF(RIGHT(UPPER(TRIM(A26)),LEN($W$2))=$W$2,UPPER(TRIM(A26)),UPPER(TRIM(A26))&amp;$W$2)))</f>
        <v/>
      </c>
      <c r="Y26" s="85" t="str">
        <f>IF(OR(A26="",p_ModoCot&lt;&gt;"Automático"),"",IFERROR(_xlfn.WEBSERVICE("https://query1.finance.yahoo.com/v8/finance/chart/"&amp;X26&amp;"?range=1d&amp;interval=1d"),""))</f>
        <v/>
      </c>
      <c r="Z26" s="85" t="str">
        <f>IF(Y26="","",IFERROR(_xlfn.NUMBERVALUE(MID(Y26,SEARCH("""regularMarketPrice"":",Y26)+21,SEARCH(",",Y26&amp;",",SEARCH("""regularMarketPrice"":",Y26)+21)-SEARCH("""regularMarketPrice"":",Y26)-21),".",","),""))</f>
        <v/>
      </c>
      <c r="AA26" s="85" t="str">
        <f>IF(A26="","",ROUND(MAX(0,N(F26)*($K$6+$W$7)-K26),2))</f>
        <v/>
      </c>
      <c r="AB26" s="85" t="str">
        <f>IF(A26="","",IF(AND(M26&gt;0,M26&gt;=p_DifMin),AA26,0))</f>
        <v/>
      </c>
      <c r="AC26" s="85" t="str">
        <f>IF(A26="","",IF(AND(AB26&gt;0,N(O26)&lt;=p_MaxAtivos),AB26,0))</f>
        <v/>
      </c>
      <c r="AD26" s="85" t="str">
        <f>IF(A26="","",IF(OR(Q26&lt;=0,Q26&lt;p_CompraMin,N(H26)&lt;=0,N(W26)&lt;=0),0,IF($W$3="Sim",TRUNC(ROUND(MAX(0,(Q26-p_CorrFixa)/(H26*W26*$W$6)),9),$W$4),TRUNC(ROUND(MAX(0,(Q26-p_CorrFixa)/(H26*W26*$W$6)),9)/$W$5)*$W$5)))</f>
        <v/>
      </c>
      <c r="AE26" s="85" t="str">
        <f>IF(A26="","",IF(N(AD26)&gt;0,AD26*H26*W26*$W$6+p_CorrFixa,0))</f>
        <v/>
      </c>
      <c r="AF26" s="85" t="str">
        <f>IF(A26="","",IF(OR($Y$1&lt;=0,N(H26)&lt;=0,N(W26)&lt;=0,N(AB26)&lt;=0),0,IF($W$3="Sim",TRUNC(ROUND(MAX(0,($Y$1-IF(N(AD26)&gt;0,0,p_CorrFixa))/(H26*W26*$W$6)),9),$W$4),TRUNC(ROUND(MAX(0,($Y$1-IF(N(AD26)&gt;0,0,p_CorrFixa))/(H26*W26*$W$6)),9)/$W$5)*$W$5)))</f>
        <v/>
      </c>
      <c r="AG26" s="85" t="str">
        <f>IF(A26="","",IF(AND(N(AD26)=0,N(AF26)*(H26*W26*$W$6)+p_CorrFixa&lt;p_CompraMin),0,AF26))</f>
        <v/>
      </c>
      <c r="AH26" s="85" t="str">
        <f>IF(A26="","",IF(N(AG26)&gt;0,AB26,0))</f>
        <v/>
      </c>
      <c r="AI26" s="85" t="str">
        <f>IF(A26="","",IF(AND(AH26&gt;0,AH26=$AH$6,COUNTIF($AH$9:AH26,AH26)=1),1,0))</f>
        <v/>
      </c>
    </row>
    <row r="27">
      <c r="A27" s="96" t="n"/>
      <c r="B27" s="96" t="n"/>
      <c r="C27" s="96" t="n"/>
      <c r="D27" s="97" t="n"/>
      <c r="E27" s="98" t="n"/>
      <c r="F27" s="99" t="n"/>
      <c r="G27" s="100" t="n"/>
      <c r="H27" s="101" t="str">
        <f>IF(A27="","",IF(AND(p_ModoCot="Automático",ISNUMBER(Z27)),Z27,IF(N(G27)&gt;0,G27,0)))</f>
        <v/>
      </c>
      <c r="I27" s="73" t="str">
        <f>IF(A27="","",IF(W27=0,"Sem câmbio",IF(AND(p_ModoCot="Automático",ISNUMBER(Z27)),"Auto",IF(N(G27)&gt;0,"Manual","Sem cotação"))))</f>
        <v/>
      </c>
      <c r="J27" s="102" t="str">
        <f>IF(A27="","",N(E27)*H27)</f>
        <v/>
      </c>
      <c r="K27" s="70" t="str">
        <f>IF(A27="","",J27*W27)</f>
        <v/>
      </c>
      <c r="L27" s="30" t="str">
        <f>IF(A27="","",IF($K$6&gt;0,K27/$K$6,0))</f>
        <v/>
      </c>
      <c r="M27" s="72" t="str">
        <f>IF(A27="","",N(F27)-L27)</f>
        <v/>
      </c>
      <c r="N27" s="30" t="str">
        <f>IF(A27="","",IF($AB$6&gt;0,AB27/$AB$6,0))</f>
        <v/>
      </c>
      <c r="O27" s="74" t="str">
        <f>IF(A27="","",IF(AB27&lt;=0,"",COUNTIF($AB$9:$AB$208,"&gt;"&amp;AB27)+COUNTIF($AB$9:AB27,AB27)))</f>
        <v/>
      </c>
      <c r="P27" s="73" t="str">
        <f>IF(A27="","",IF(Q27&gt;0,"BUY","HOLD"))</f>
        <v/>
      </c>
      <c r="Q27" s="70" t="str">
        <f>IF(A27="","",IF($W$7&lt;=0,0,IF($AC$6&gt;0,$W$7*AC27/$AC$6,IF($F$6&gt;0,$W$7*N(F27)/$F$6,0))))</f>
        <v/>
      </c>
      <c r="R27" s="103" t="str">
        <f>IF(A27="","",N(AD27)+IF(AI27=1,N(AG27),0))</f>
        <v/>
      </c>
      <c r="S27" s="103" t="str">
        <f>IF(A27="","",N(E27)+N(R27))</f>
        <v/>
      </c>
      <c r="T27" s="70" t="str">
        <f>IF(A27="","",IF(N(R27)&gt;0,R27*H27*W27*$W$6+p_CorrFixa,0))</f>
        <v/>
      </c>
      <c r="V27" s="85" t="str">
        <f>IF(A27="","",IF(D27="",$W$1,D27))</f>
        <v/>
      </c>
      <c r="W27" s="85" t="str">
        <f>IF(A27="","",IFERROR(INDEX(moeda_fx,MATCH(V27,moeda_cod,0)),0))</f>
        <v/>
      </c>
      <c r="X27" s="85" t="str">
        <f>IF(A27="","",IF($W$2="",UPPER(TRIM(A27)),IF(RIGHT(UPPER(TRIM(A27)),LEN($W$2))=$W$2,UPPER(TRIM(A27)),UPPER(TRIM(A27))&amp;$W$2)))</f>
        <v/>
      </c>
      <c r="Y27" s="85" t="str">
        <f>IF(OR(A27="",p_ModoCot&lt;&gt;"Automático"),"",IFERROR(_xlfn.WEBSERVICE("https://query1.finance.yahoo.com/v8/finance/chart/"&amp;X27&amp;"?range=1d&amp;interval=1d"),""))</f>
        <v/>
      </c>
      <c r="Z27" s="85" t="str">
        <f>IF(Y27="","",IFERROR(_xlfn.NUMBERVALUE(MID(Y27,SEARCH("""regularMarketPrice"":",Y27)+21,SEARCH(",",Y27&amp;",",SEARCH("""regularMarketPrice"":",Y27)+21)-SEARCH("""regularMarketPrice"":",Y27)-21),".",","),""))</f>
        <v/>
      </c>
      <c r="AA27" s="85" t="str">
        <f>IF(A27="","",ROUND(MAX(0,N(F27)*($K$6+$W$7)-K27),2))</f>
        <v/>
      </c>
      <c r="AB27" s="85" t="str">
        <f>IF(A27="","",IF(AND(M27&gt;0,M27&gt;=p_DifMin),AA27,0))</f>
        <v/>
      </c>
      <c r="AC27" s="85" t="str">
        <f>IF(A27="","",IF(AND(AB27&gt;0,N(O27)&lt;=p_MaxAtivos),AB27,0))</f>
        <v/>
      </c>
      <c r="AD27" s="85" t="str">
        <f>IF(A27="","",IF(OR(Q27&lt;=0,Q27&lt;p_CompraMin,N(H27)&lt;=0,N(W27)&lt;=0),0,IF($W$3="Sim",TRUNC(ROUND(MAX(0,(Q27-p_CorrFixa)/(H27*W27*$W$6)),9),$W$4),TRUNC(ROUND(MAX(0,(Q27-p_CorrFixa)/(H27*W27*$W$6)),9)/$W$5)*$W$5)))</f>
        <v/>
      </c>
      <c r="AE27" s="85" t="str">
        <f>IF(A27="","",IF(N(AD27)&gt;0,AD27*H27*W27*$W$6+p_CorrFixa,0))</f>
        <v/>
      </c>
      <c r="AF27" s="85" t="str">
        <f>IF(A27="","",IF(OR($Y$1&lt;=0,N(H27)&lt;=0,N(W27)&lt;=0,N(AB27)&lt;=0),0,IF($W$3="Sim",TRUNC(ROUND(MAX(0,($Y$1-IF(N(AD27)&gt;0,0,p_CorrFixa))/(H27*W27*$W$6)),9),$W$4),TRUNC(ROUND(MAX(0,($Y$1-IF(N(AD27)&gt;0,0,p_CorrFixa))/(H27*W27*$W$6)),9)/$W$5)*$W$5)))</f>
        <v/>
      </c>
      <c r="AG27" s="85" t="str">
        <f>IF(A27="","",IF(AND(N(AD27)=0,N(AF27)*(H27*W27*$W$6)+p_CorrFixa&lt;p_CompraMin),0,AF27))</f>
        <v/>
      </c>
      <c r="AH27" s="85" t="str">
        <f>IF(A27="","",IF(N(AG27)&gt;0,AB27,0))</f>
        <v/>
      </c>
      <c r="AI27" s="85" t="str">
        <f>IF(A27="","",IF(AND(AH27&gt;0,AH27=$AH$6,COUNTIF($AH$9:AH27,AH27)=1),1,0))</f>
        <v/>
      </c>
    </row>
    <row r="28">
      <c r="A28" s="96" t="n"/>
      <c r="B28" s="96" t="n"/>
      <c r="C28" s="96" t="n"/>
      <c r="D28" s="97" t="n"/>
      <c r="E28" s="98" t="n"/>
      <c r="F28" s="99" t="n"/>
      <c r="G28" s="100" t="n"/>
      <c r="H28" s="104" t="str">
        <f>IF(A28="","",IF(AND(p_ModoCot="Automático",ISNUMBER(Z28)),Z28,IF(N(G28)&gt;0,G28,0)))</f>
        <v/>
      </c>
      <c r="I28" s="105" t="str">
        <f>IF(A28="","",IF(W28=0,"Sem câmbio",IF(AND(p_ModoCot="Automático",ISNUMBER(Z28)),"Auto",IF(N(G28)&gt;0,"Manual","Sem cotação"))))</f>
        <v/>
      </c>
      <c r="J28" s="106" t="str">
        <f>IF(A28="","",N(E28)*H28)</f>
        <v/>
      </c>
      <c r="K28" s="107" t="str">
        <f>IF(A28="","",J28*W28)</f>
        <v/>
      </c>
      <c r="L28" s="108" t="str">
        <f>IF(A28="","",IF($K$6&gt;0,K28/$K$6,0))</f>
        <v/>
      </c>
      <c r="M28" s="109" t="str">
        <f>IF(A28="","",N(F28)-L28)</f>
        <v/>
      </c>
      <c r="N28" s="108" t="str">
        <f>IF(A28="","",IF($AB$6&gt;0,AB28/$AB$6,0))</f>
        <v/>
      </c>
      <c r="O28" s="110" t="str">
        <f>IF(A28="","",IF(AB28&lt;=0,"",COUNTIF($AB$9:$AB$208,"&gt;"&amp;AB28)+COUNTIF($AB$9:AB28,AB28)))</f>
        <v/>
      </c>
      <c r="P28" s="105" t="str">
        <f>IF(A28="","",IF(Q28&gt;0,"BUY","HOLD"))</f>
        <v/>
      </c>
      <c r="Q28" s="107" t="str">
        <f>IF(A28="","",IF($W$7&lt;=0,0,IF($AC$6&gt;0,$W$7*AC28/$AC$6,IF($F$6&gt;0,$W$7*N(F28)/$F$6,0))))</f>
        <v/>
      </c>
      <c r="R28" s="111" t="str">
        <f>IF(A28="","",N(AD28)+IF(AI28=1,N(AG28),0))</f>
        <v/>
      </c>
      <c r="S28" s="111" t="str">
        <f>IF(A28="","",N(E28)+N(R28))</f>
        <v/>
      </c>
      <c r="T28" s="107" t="str">
        <f>IF(A28="","",IF(N(R28)&gt;0,R28*H28*W28*$W$6+p_CorrFixa,0))</f>
        <v/>
      </c>
      <c r="V28" s="85" t="str">
        <f>IF(A28="","",IF(D28="",$W$1,D28))</f>
        <v/>
      </c>
      <c r="W28" s="85" t="str">
        <f>IF(A28="","",IFERROR(INDEX(moeda_fx,MATCH(V28,moeda_cod,0)),0))</f>
        <v/>
      </c>
      <c r="X28" s="85" t="str">
        <f>IF(A28="","",IF($W$2="",UPPER(TRIM(A28)),IF(RIGHT(UPPER(TRIM(A28)),LEN($W$2))=$W$2,UPPER(TRIM(A28)),UPPER(TRIM(A28))&amp;$W$2)))</f>
        <v/>
      </c>
      <c r="Y28" s="85" t="str">
        <f>IF(OR(A28="",p_ModoCot&lt;&gt;"Automático"),"",IFERROR(_xlfn.WEBSERVICE("https://query1.finance.yahoo.com/v8/finance/chart/"&amp;X28&amp;"?range=1d&amp;interval=1d"),""))</f>
        <v/>
      </c>
      <c r="Z28" s="85" t="str">
        <f>IF(Y28="","",IFERROR(_xlfn.NUMBERVALUE(MID(Y28,SEARCH("""regularMarketPrice"":",Y28)+21,SEARCH(",",Y28&amp;",",SEARCH("""regularMarketPrice"":",Y28)+21)-SEARCH("""regularMarketPrice"":",Y28)-21),".",","),""))</f>
        <v/>
      </c>
      <c r="AA28" s="85" t="str">
        <f>IF(A28="","",ROUND(MAX(0,N(F28)*($K$6+$W$7)-K28),2))</f>
        <v/>
      </c>
      <c r="AB28" s="85" t="str">
        <f>IF(A28="","",IF(AND(M28&gt;0,M28&gt;=p_DifMin),AA28,0))</f>
        <v/>
      </c>
      <c r="AC28" s="85" t="str">
        <f>IF(A28="","",IF(AND(AB28&gt;0,N(O28)&lt;=p_MaxAtivos),AB28,0))</f>
        <v/>
      </c>
      <c r="AD28" s="85" t="str">
        <f>IF(A28="","",IF(OR(Q28&lt;=0,Q28&lt;p_CompraMin,N(H28)&lt;=0,N(W28)&lt;=0),0,IF($W$3="Sim",TRUNC(ROUND(MAX(0,(Q28-p_CorrFixa)/(H28*W28*$W$6)),9),$W$4),TRUNC(ROUND(MAX(0,(Q28-p_CorrFixa)/(H28*W28*$W$6)),9)/$W$5)*$W$5)))</f>
        <v/>
      </c>
      <c r="AE28" s="85" t="str">
        <f>IF(A28="","",IF(N(AD28)&gt;0,AD28*H28*W28*$W$6+p_CorrFixa,0))</f>
        <v/>
      </c>
      <c r="AF28" s="85" t="str">
        <f>IF(A28="","",IF(OR($Y$1&lt;=0,N(H28)&lt;=0,N(W28)&lt;=0,N(AB28)&lt;=0),0,IF($W$3="Sim",TRUNC(ROUND(MAX(0,($Y$1-IF(N(AD28)&gt;0,0,p_CorrFixa))/(H28*W28*$W$6)),9),$W$4),TRUNC(ROUND(MAX(0,($Y$1-IF(N(AD28)&gt;0,0,p_CorrFixa))/(H28*W28*$W$6)),9)/$W$5)*$W$5)))</f>
        <v/>
      </c>
      <c r="AG28" s="85" t="str">
        <f>IF(A28="","",IF(AND(N(AD28)=0,N(AF28)*(H28*W28*$W$6)+p_CorrFixa&lt;p_CompraMin),0,AF28))</f>
        <v/>
      </c>
      <c r="AH28" s="85" t="str">
        <f>IF(A28="","",IF(N(AG28)&gt;0,AB28,0))</f>
        <v/>
      </c>
      <c r="AI28" s="85" t="str">
        <f>IF(A28="","",IF(AND(AH28&gt;0,AH28=$AH$6,COUNTIF($AH$9:AH28,AH28)=1),1,0))</f>
        <v/>
      </c>
    </row>
    <row r="29">
      <c r="A29" s="96" t="n"/>
      <c r="B29" s="96" t="n"/>
      <c r="C29" s="96" t="n"/>
      <c r="D29" s="97" t="n"/>
      <c r="E29" s="98" t="n"/>
      <c r="F29" s="99" t="n"/>
      <c r="G29" s="100" t="n"/>
      <c r="H29" s="101" t="str">
        <f>IF(A29="","",IF(AND(p_ModoCot="Automático",ISNUMBER(Z29)),Z29,IF(N(G29)&gt;0,G29,0)))</f>
        <v/>
      </c>
      <c r="I29" s="73" t="str">
        <f>IF(A29="","",IF(W29=0,"Sem câmbio",IF(AND(p_ModoCot="Automático",ISNUMBER(Z29)),"Auto",IF(N(G29)&gt;0,"Manual","Sem cotação"))))</f>
        <v/>
      </c>
      <c r="J29" s="102" t="str">
        <f>IF(A29="","",N(E29)*H29)</f>
        <v/>
      </c>
      <c r="K29" s="70" t="str">
        <f>IF(A29="","",J29*W29)</f>
        <v/>
      </c>
      <c r="L29" s="30" t="str">
        <f>IF(A29="","",IF($K$6&gt;0,K29/$K$6,0))</f>
        <v/>
      </c>
      <c r="M29" s="72" t="str">
        <f>IF(A29="","",N(F29)-L29)</f>
        <v/>
      </c>
      <c r="N29" s="30" t="str">
        <f>IF(A29="","",IF($AB$6&gt;0,AB29/$AB$6,0))</f>
        <v/>
      </c>
      <c r="O29" s="74" t="str">
        <f>IF(A29="","",IF(AB29&lt;=0,"",COUNTIF($AB$9:$AB$208,"&gt;"&amp;AB29)+COUNTIF($AB$9:AB29,AB29)))</f>
        <v/>
      </c>
      <c r="P29" s="73" t="str">
        <f>IF(A29="","",IF(Q29&gt;0,"BUY","HOLD"))</f>
        <v/>
      </c>
      <c r="Q29" s="70" t="str">
        <f>IF(A29="","",IF($W$7&lt;=0,0,IF($AC$6&gt;0,$W$7*AC29/$AC$6,IF($F$6&gt;0,$W$7*N(F29)/$F$6,0))))</f>
        <v/>
      </c>
      <c r="R29" s="103" t="str">
        <f>IF(A29="","",N(AD29)+IF(AI29=1,N(AG29),0))</f>
        <v/>
      </c>
      <c r="S29" s="103" t="str">
        <f>IF(A29="","",N(E29)+N(R29))</f>
        <v/>
      </c>
      <c r="T29" s="70" t="str">
        <f>IF(A29="","",IF(N(R29)&gt;0,R29*H29*W29*$W$6+p_CorrFixa,0))</f>
        <v/>
      </c>
      <c r="V29" s="85" t="str">
        <f>IF(A29="","",IF(D29="",$W$1,D29))</f>
        <v/>
      </c>
      <c r="W29" s="85" t="str">
        <f>IF(A29="","",IFERROR(INDEX(moeda_fx,MATCH(V29,moeda_cod,0)),0))</f>
        <v/>
      </c>
      <c r="X29" s="85" t="str">
        <f>IF(A29="","",IF($W$2="",UPPER(TRIM(A29)),IF(RIGHT(UPPER(TRIM(A29)),LEN($W$2))=$W$2,UPPER(TRIM(A29)),UPPER(TRIM(A29))&amp;$W$2)))</f>
        <v/>
      </c>
      <c r="Y29" s="85" t="str">
        <f>IF(OR(A29="",p_ModoCot&lt;&gt;"Automático"),"",IFERROR(_xlfn.WEBSERVICE("https://query1.finance.yahoo.com/v8/finance/chart/"&amp;X29&amp;"?range=1d&amp;interval=1d"),""))</f>
        <v/>
      </c>
      <c r="Z29" s="85" t="str">
        <f>IF(Y29="","",IFERROR(_xlfn.NUMBERVALUE(MID(Y29,SEARCH("""regularMarketPrice"":",Y29)+21,SEARCH(",",Y29&amp;",",SEARCH("""regularMarketPrice"":",Y29)+21)-SEARCH("""regularMarketPrice"":",Y29)-21),".",","),""))</f>
        <v/>
      </c>
      <c r="AA29" s="85" t="str">
        <f>IF(A29="","",ROUND(MAX(0,N(F29)*($K$6+$W$7)-K29),2))</f>
        <v/>
      </c>
      <c r="AB29" s="85" t="str">
        <f>IF(A29="","",IF(AND(M29&gt;0,M29&gt;=p_DifMin),AA29,0))</f>
        <v/>
      </c>
      <c r="AC29" s="85" t="str">
        <f>IF(A29="","",IF(AND(AB29&gt;0,N(O29)&lt;=p_MaxAtivos),AB29,0))</f>
        <v/>
      </c>
      <c r="AD29" s="85" t="str">
        <f>IF(A29="","",IF(OR(Q29&lt;=0,Q29&lt;p_CompraMin,N(H29)&lt;=0,N(W29)&lt;=0),0,IF($W$3="Sim",TRUNC(ROUND(MAX(0,(Q29-p_CorrFixa)/(H29*W29*$W$6)),9),$W$4),TRUNC(ROUND(MAX(0,(Q29-p_CorrFixa)/(H29*W29*$W$6)),9)/$W$5)*$W$5)))</f>
        <v/>
      </c>
      <c r="AE29" s="85" t="str">
        <f>IF(A29="","",IF(N(AD29)&gt;0,AD29*H29*W29*$W$6+p_CorrFixa,0))</f>
        <v/>
      </c>
      <c r="AF29" s="85" t="str">
        <f>IF(A29="","",IF(OR($Y$1&lt;=0,N(H29)&lt;=0,N(W29)&lt;=0,N(AB29)&lt;=0),0,IF($W$3="Sim",TRUNC(ROUND(MAX(0,($Y$1-IF(N(AD29)&gt;0,0,p_CorrFixa))/(H29*W29*$W$6)),9),$W$4),TRUNC(ROUND(MAX(0,($Y$1-IF(N(AD29)&gt;0,0,p_CorrFixa))/(H29*W29*$W$6)),9)/$W$5)*$W$5)))</f>
        <v/>
      </c>
      <c r="AG29" s="85" t="str">
        <f>IF(A29="","",IF(AND(N(AD29)=0,N(AF29)*(H29*W29*$W$6)+p_CorrFixa&lt;p_CompraMin),0,AF29))</f>
        <v/>
      </c>
      <c r="AH29" s="85" t="str">
        <f>IF(A29="","",IF(N(AG29)&gt;0,AB29,0))</f>
        <v/>
      </c>
      <c r="AI29" s="85" t="str">
        <f>IF(A29="","",IF(AND(AH29&gt;0,AH29=$AH$6,COUNTIF($AH$9:AH29,AH29)=1),1,0))</f>
        <v/>
      </c>
    </row>
    <row r="30">
      <c r="A30" s="96" t="n"/>
      <c r="B30" s="96" t="n"/>
      <c r="C30" s="96" t="n"/>
      <c r="D30" s="97" t="n"/>
      <c r="E30" s="98" t="n"/>
      <c r="F30" s="99" t="n"/>
      <c r="G30" s="100" t="n"/>
      <c r="H30" s="104" t="str">
        <f>IF(A30="","",IF(AND(p_ModoCot="Automático",ISNUMBER(Z30)),Z30,IF(N(G30)&gt;0,G30,0)))</f>
        <v/>
      </c>
      <c r="I30" s="105" t="str">
        <f>IF(A30="","",IF(W30=0,"Sem câmbio",IF(AND(p_ModoCot="Automático",ISNUMBER(Z30)),"Auto",IF(N(G30)&gt;0,"Manual","Sem cotação"))))</f>
        <v/>
      </c>
      <c r="J30" s="106" t="str">
        <f>IF(A30="","",N(E30)*H30)</f>
        <v/>
      </c>
      <c r="K30" s="107" t="str">
        <f>IF(A30="","",J30*W30)</f>
        <v/>
      </c>
      <c r="L30" s="108" t="str">
        <f>IF(A30="","",IF($K$6&gt;0,K30/$K$6,0))</f>
        <v/>
      </c>
      <c r="M30" s="109" t="str">
        <f>IF(A30="","",N(F30)-L30)</f>
        <v/>
      </c>
      <c r="N30" s="108" t="str">
        <f>IF(A30="","",IF($AB$6&gt;0,AB30/$AB$6,0))</f>
        <v/>
      </c>
      <c r="O30" s="110" t="str">
        <f>IF(A30="","",IF(AB30&lt;=0,"",COUNTIF($AB$9:$AB$208,"&gt;"&amp;AB30)+COUNTIF($AB$9:AB30,AB30)))</f>
        <v/>
      </c>
      <c r="P30" s="105" t="str">
        <f>IF(A30="","",IF(Q30&gt;0,"BUY","HOLD"))</f>
        <v/>
      </c>
      <c r="Q30" s="107" t="str">
        <f>IF(A30="","",IF($W$7&lt;=0,0,IF($AC$6&gt;0,$W$7*AC30/$AC$6,IF($F$6&gt;0,$W$7*N(F30)/$F$6,0))))</f>
        <v/>
      </c>
      <c r="R30" s="111" t="str">
        <f>IF(A30="","",N(AD30)+IF(AI30=1,N(AG30),0))</f>
        <v/>
      </c>
      <c r="S30" s="111" t="str">
        <f>IF(A30="","",N(E30)+N(R30))</f>
        <v/>
      </c>
      <c r="T30" s="107" t="str">
        <f>IF(A30="","",IF(N(R30)&gt;0,R30*H30*W30*$W$6+p_CorrFixa,0))</f>
        <v/>
      </c>
      <c r="V30" s="85" t="str">
        <f>IF(A30="","",IF(D30="",$W$1,D30))</f>
        <v/>
      </c>
      <c r="W30" s="85" t="str">
        <f>IF(A30="","",IFERROR(INDEX(moeda_fx,MATCH(V30,moeda_cod,0)),0))</f>
        <v/>
      </c>
      <c r="X30" s="85" t="str">
        <f>IF(A30="","",IF($W$2="",UPPER(TRIM(A30)),IF(RIGHT(UPPER(TRIM(A30)),LEN($W$2))=$W$2,UPPER(TRIM(A30)),UPPER(TRIM(A30))&amp;$W$2)))</f>
        <v/>
      </c>
      <c r="Y30" s="85" t="str">
        <f>IF(OR(A30="",p_ModoCot&lt;&gt;"Automático"),"",IFERROR(_xlfn.WEBSERVICE("https://query1.finance.yahoo.com/v8/finance/chart/"&amp;X30&amp;"?range=1d&amp;interval=1d"),""))</f>
        <v/>
      </c>
      <c r="Z30" s="85" t="str">
        <f>IF(Y30="","",IFERROR(_xlfn.NUMBERVALUE(MID(Y30,SEARCH("""regularMarketPrice"":",Y30)+21,SEARCH(",",Y30&amp;",",SEARCH("""regularMarketPrice"":",Y30)+21)-SEARCH("""regularMarketPrice"":",Y30)-21),".",","),""))</f>
        <v/>
      </c>
      <c r="AA30" s="85" t="str">
        <f>IF(A30="","",ROUND(MAX(0,N(F30)*($K$6+$W$7)-K30),2))</f>
        <v/>
      </c>
      <c r="AB30" s="85" t="str">
        <f>IF(A30="","",IF(AND(M30&gt;0,M30&gt;=p_DifMin),AA30,0))</f>
        <v/>
      </c>
      <c r="AC30" s="85" t="str">
        <f>IF(A30="","",IF(AND(AB30&gt;0,N(O30)&lt;=p_MaxAtivos),AB30,0))</f>
        <v/>
      </c>
      <c r="AD30" s="85" t="str">
        <f>IF(A30="","",IF(OR(Q30&lt;=0,Q30&lt;p_CompraMin,N(H30)&lt;=0,N(W30)&lt;=0),0,IF($W$3="Sim",TRUNC(ROUND(MAX(0,(Q30-p_CorrFixa)/(H30*W30*$W$6)),9),$W$4),TRUNC(ROUND(MAX(0,(Q30-p_CorrFixa)/(H30*W30*$W$6)),9)/$W$5)*$W$5)))</f>
        <v/>
      </c>
      <c r="AE30" s="85" t="str">
        <f>IF(A30="","",IF(N(AD30)&gt;0,AD30*H30*W30*$W$6+p_CorrFixa,0))</f>
        <v/>
      </c>
      <c r="AF30" s="85" t="str">
        <f>IF(A30="","",IF(OR($Y$1&lt;=0,N(H30)&lt;=0,N(W30)&lt;=0,N(AB30)&lt;=0),0,IF($W$3="Sim",TRUNC(ROUND(MAX(0,($Y$1-IF(N(AD30)&gt;0,0,p_CorrFixa))/(H30*W30*$W$6)),9),$W$4),TRUNC(ROUND(MAX(0,($Y$1-IF(N(AD30)&gt;0,0,p_CorrFixa))/(H30*W30*$W$6)),9)/$W$5)*$W$5)))</f>
        <v/>
      </c>
      <c r="AG30" s="85" t="str">
        <f>IF(A30="","",IF(AND(N(AD30)=0,N(AF30)*(H30*W30*$W$6)+p_CorrFixa&lt;p_CompraMin),0,AF30))</f>
        <v/>
      </c>
      <c r="AH30" s="85" t="str">
        <f>IF(A30="","",IF(N(AG30)&gt;0,AB30,0))</f>
        <v/>
      </c>
      <c r="AI30" s="85" t="str">
        <f>IF(A30="","",IF(AND(AH30&gt;0,AH30=$AH$6,COUNTIF($AH$9:AH30,AH30)=1),1,0))</f>
        <v/>
      </c>
    </row>
    <row r="31">
      <c r="A31" s="96" t="n"/>
      <c r="B31" s="96" t="n"/>
      <c r="C31" s="96" t="n"/>
      <c r="D31" s="97" t="n"/>
      <c r="E31" s="98" t="n"/>
      <c r="F31" s="99" t="n"/>
      <c r="G31" s="100" t="n"/>
      <c r="H31" s="101" t="str">
        <f>IF(A31="","",IF(AND(p_ModoCot="Automático",ISNUMBER(Z31)),Z31,IF(N(G31)&gt;0,G31,0)))</f>
        <v/>
      </c>
      <c r="I31" s="73" t="str">
        <f>IF(A31="","",IF(W31=0,"Sem câmbio",IF(AND(p_ModoCot="Automático",ISNUMBER(Z31)),"Auto",IF(N(G31)&gt;0,"Manual","Sem cotação"))))</f>
        <v/>
      </c>
      <c r="J31" s="102" t="str">
        <f>IF(A31="","",N(E31)*H31)</f>
        <v/>
      </c>
      <c r="K31" s="70" t="str">
        <f>IF(A31="","",J31*W31)</f>
        <v/>
      </c>
      <c r="L31" s="30" t="str">
        <f>IF(A31="","",IF($K$6&gt;0,K31/$K$6,0))</f>
        <v/>
      </c>
      <c r="M31" s="72" t="str">
        <f>IF(A31="","",N(F31)-L31)</f>
        <v/>
      </c>
      <c r="N31" s="30" t="str">
        <f>IF(A31="","",IF($AB$6&gt;0,AB31/$AB$6,0))</f>
        <v/>
      </c>
      <c r="O31" s="74" t="str">
        <f>IF(A31="","",IF(AB31&lt;=0,"",COUNTIF($AB$9:$AB$208,"&gt;"&amp;AB31)+COUNTIF($AB$9:AB31,AB31)))</f>
        <v/>
      </c>
      <c r="P31" s="73" t="str">
        <f>IF(A31="","",IF(Q31&gt;0,"BUY","HOLD"))</f>
        <v/>
      </c>
      <c r="Q31" s="70" t="str">
        <f>IF(A31="","",IF($W$7&lt;=0,0,IF($AC$6&gt;0,$W$7*AC31/$AC$6,IF($F$6&gt;0,$W$7*N(F31)/$F$6,0))))</f>
        <v/>
      </c>
      <c r="R31" s="103" t="str">
        <f>IF(A31="","",N(AD31)+IF(AI31=1,N(AG31),0))</f>
        <v/>
      </c>
      <c r="S31" s="103" t="str">
        <f>IF(A31="","",N(E31)+N(R31))</f>
        <v/>
      </c>
      <c r="T31" s="70" t="str">
        <f>IF(A31="","",IF(N(R31)&gt;0,R31*H31*W31*$W$6+p_CorrFixa,0))</f>
        <v/>
      </c>
      <c r="V31" s="85" t="str">
        <f>IF(A31="","",IF(D31="",$W$1,D31))</f>
        <v/>
      </c>
      <c r="W31" s="85" t="str">
        <f>IF(A31="","",IFERROR(INDEX(moeda_fx,MATCH(V31,moeda_cod,0)),0))</f>
        <v/>
      </c>
      <c r="X31" s="85" t="str">
        <f>IF(A31="","",IF($W$2="",UPPER(TRIM(A31)),IF(RIGHT(UPPER(TRIM(A31)),LEN($W$2))=$W$2,UPPER(TRIM(A31)),UPPER(TRIM(A31))&amp;$W$2)))</f>
        <v/>
      </c>
      <c r="Y31" s="85" t="str">
        <f>IF(OR(A31="",p_ModoCot&lt;&gt;"Automático"),"",IFERROR(_xlfn.WEBSERVICE("https://query1.finance.yahoo.com/v8/finance/chart/"&amp;X31&amp;"?range=1d&amp;interval=1d"),""))</f>
        <v/>
      </c>
      <c r="Z31" s="85" t="str">
        <f>IF(Y31="","",IFERROR(_xlfn.NUMBERVALUE(MID(Y31,SEARCH("""regularMarketPrice"":",Y31)+21,SEARCH(",",Y31&amp;",",SEARCH("""regularMarketPrice"":",Y31)+21)-SEARCH("""regularMarketPrice"":",Y31)-21),".",","),""))</f>
        <v/>
      </c>
      <c r="AA31" s="85" t="str">
        <f>IF(A31="","",ROUND(MAX(0,N(F31)*($K$6+$W$7)-K31),2))</f>
        <v/>
      </c>
      <c r="AB31" s="85" t="str">
        <f>IF(A31="","",IF(AND(M31&gt;0,M31&gt;=p_DifMin),AA31,0))</f>
        <v/>
      </c>
      <c r="AC31" s="85" t="str">
        <f>IF(A31="","",IF(AND(AB31&gt;0,N(O31)&lt;=p_MaxAtivos),AB31,0))</f>
        <v/>
      </c>
      <c r="AD31" s="85" t="str">
        <f>IF(A31="","",IF(OR(Q31&lt;=0,Q31&lt;p_CompraMin,N(H31)&lt;=0,N(W31)&lt;=0),0,IF($W$3="Sim",TRUNC(ROUND(MAX(0,(Q31-p_CorrFixa)/(H31*W31*$W$6)),9),$W$4),TRUNC(ROUND(MAX(0,(Q31-p_CorrFixa)/(H31*W31*$W$6)),9)/$W$5)*$W$5)))</f>
        <v/>
      </c>
      <c r="AE31" s="85" t="str">
        <f>IF(A31="","",IF(N(AD31)&gt;0,AD31*H31*W31*$W$6+p_CorrFixa,0))</f>
        <v/>
      </c>
      <c r="AF31" s="85" t="str">
        <f>IF(A31="","",IF(OR($Y$1&lt;=0,N(H31)&lt;=0,N(W31)&lt;=0,N(AB31)&lt;=0),0,IF($W$3="Sim",TRUNC(ROUND(MAX(0,($Y$1-IF(N(AD31)&gt;0,0,p_CorrFixa))/(H31*W31*$W$6)),9),$W$4),TRUNC(ROUND(MAX(0,($Y$1-IF(N(AD31)&gt;0,0,p_CorrFixa))/(H31*W31*$W$6)),9)/$W$5)*$W$5)))</f>
        <v/>
      </c>
      <c r="AG31" s="85" t="str">
        <f>IF(A31="","",IF(AND(N(AD31)=0,N(AF31)*(H31*W31*$W$6)+p_CorrFixa&lt;p_CompraMin),0,AF31))</f>
        <v/>
      </c>
      <c r="AH31" s="85" t="str">
        <f>IF(A31="","",IF(N(AG31)&gt;0,AB31,0))</f>
        <v/>
      </c>
      <c r="AI31" s="85" t="str">
        <f>IF(A31="","",IF(AND(AH31&gt;0,AH31=$AH$6,COUNTIF($AH$9:AH31,AH31)=1),1,0))</f>
        <v/>
      </c>
    </row>
    <row r="32">
      <c r="A32" s="96" t="n"/>
      <c r="B32" s="96" t="n"/>
      <c r="C32" s="96" t="n"/>
      <c r="D32" s="97" t="n"/>
      <c r="E32" s="98" t="n"/>
      <c r="F32" s="99" t="n"/>
      <c r="G32" s="100" t="n"/>
      <c r="H32" s="104" t="str">
        <f>IF(A32="","",IF(AND(p_ModoCot="Automático",ISNUMBER(Z32)),Z32,IF(N(G32)&gt;0,G32,0)))</f>
        <v/>
      </c>
      <c r="I32" s="105" t="str">
        <f>IF(A32="","",IF(W32=0,"Sem câmbio",IF(AND(p_ModoCot="Automático",ISNUMBER(Z32)),"Auto",IF(N(G32)&gt;0,"Manual","Sem cotação"))))</f>
        <v/>
      </c>
      <c r="J32" s="106" t="str">
        <f>IF(A32="","",N(E32)*H32)</f>
        <v/>
      </c>
      <c r="K32" s="107" t="str">
        <f>IF(A32="","",J32*W32)</f>
        <v/>
      </c>
      <c r="L32" s="108" t="str">
        <f>IF(A32="","",IF($K$6&gt;0,K32/$K$6,0))</f>
        <v/>
      </c>
      <c r="M32" s="109" t="str">
        <f>IF(A32="","",N(F32)-L32)</f>
        <v/>
      </c>
      <c r="N32" s="108" t="str">
        <f>IF(A32="","",IF($AB$6&gt;0,AB32/$AB$6,0))</f>
        <v/>
      </c>
      <c r="O32" s="110" t="str">
        <f>IF(A32="","",IF(AB32&lt;=0,"",COUNTIF($AB$9:$AB$208,"&gt;"&amp;AB32)+COUNTIF($AB$9:AB32,AB32)))</f>
        <v/>
      </c>
      <c r="P32" s="105" t="str">
        <f>IF(A32="","",IF(Q32&gt;0,"BUY","HOLD"))</f>
        <v/>
      </c>
      <c r="Q32" s="107" t="str">
        <f>IF(A32="","",IF($W$7&lt;=0,0,IF($AC$6&gt;0,$W$7*AC32/$AC$6,IF($F$6&gt;0,$W$7*N(F32)/$F$6,0))))</f>
        <v/>
      </c>
      <c r="R32" s="111" t="str">
        <f>IF(A32="","",N(AD32)+IF(AI32=1,N(AG32),0))</f>
        <v/>
      </c>
      <c r="S32" s="111" t="str">
        <f>IF(A32="","",N(E32)+N(R32))</f>
        <v/>
      </c>
      <c r="T32" s="107" t="str">
        <f>IF(A32="","",IF(N(R32)&gt;0,R32*H32*W32*$W$6+p_CorrFixa,0))</f>
        <v/>
      </c>
      <c r="V32" s="85" t="str">
        <f>IF(A32="","",IF(D32="",$W$1,D32))</f>
        <v/>
      </c>
      <c r="W32" s="85" t="str">
        <f>IF(A32="","",IFERROR(INDEX(moeda_fx,MATCH(V32,moeda_cod,0)),0))</f>
        <v/>
      </c>
      <c r="X32" s="85" t="str">
        <f>IF(A32="","",IF($W$2="",UPPER(TRIM(A32)),IF(RIGHT(UPPER(TRIM(A32)),LEN($W$2))=$W$2,UPPER(TRIM(A32)),UPPER(TRIM(A32))&amp;$W$2)))</f>
        <v/>
      </c>
      <c r="Y32" s="85" t="str">
        <f>IF(OR(A32="",p_ModoCot&lt;&gt;"Automático"),"",IFERROR(_xlfn.WEBSERVICE("https://query1.finance.yahoo.com/v8/finance/chart/"&amp;X32&amp;"?range=1d&amp;interval=1d"),""))</f>
        <v/>
      </c>
      <c r="Z32" s="85" t="str">
        <f>IF(Y32="","",IFERROR(_xlfn.NUMBERVALUE(MID(Y32,SEARCH("""regularMarketPrice"":",Y32)+21,SEARCH(",",Y32&amp;",",SEARCH("""regularMarketPrice"":",Y32)+21)-SEARCH("""regularMarketPrice"":",Y32)-21),".",","),""))</f>
        <v/>
      </c>
      <c r="AA32" s="85" t="str">
        <f>IF(A32="","",ROUND(MAX(0,N(F32)*($K$6+$W$7)-K32),2))</f>
        <v/>
      </c>
      <c r="AB32" s="85" t="str">
        <f>IF(A32="","",IF(AND(M32&gt;0,M32&gt;=p_DifMin),AA32,0))</f>
        <v/>
      </c>
      <c r="AC32" s="85" t="str">
        <f>IF(A32="","",IF(AND(AB32&gt;0,N(O32)&lt;=p_MaxAtivos),AB32,0))</f>
        <v/>
      </c>
      <c r="AD32" s="85" t="str">
        <f>IF(A32="","",IF(OR(Q32&lt;=0,Q32&lt;p_CompraMin,N(H32)&lt;=0,N(W32)&lt;=0),0,IF($W$3="Sim",TRUNC(ROUND(MAX(0,(Q32-p_CorrFixa)/(H32*W32*$W$6)),9),$W$4),TRUNC(ROUND(MAX(0,(Q32-p_CorrFixa)/(H32*W32*$W$6)),9)/$W$5)*$W$5)))</f>
        <v/>
      </c>
      <c r="AE32" s="85" t="str">
        <f>IF(A32="","",IF(N(AD32)&gt;0,AD32*H32*W32*$W$6+p_CorrFixa,0))</f>
        <v/>
      </c>
      <c r="AF32" s="85" t="str">
        <f>IF(A32="","",IF(OR($Y$1&lt;=0,N(H32)&lt;=0,N(W32)&lt;=0,N(AB32)&lt;=0),0,IF($W$3="Sim",TRUNC(ROUND(MAX(0,($Y$1-IF(N(AD32)&gt;0,0,p_CorrFixa))/(H32*W32*$W$6)),9),$W$4),TRUNC(ROUND(MAX(0,($Y$1-IF(N(AD32)&gt;0,0,p_CorrFixa))/(H32*W32*$W$6)),9)/$W$5)*$W$5)))</f>
        <v/>
      </c>
      <c r="AG32" s="85" t="str">
        <f>IF(A32="","",IF(AND(N(AD32)=0,N(AF32)*(H32*W32*$W$6)+p_CorrFixa&lt;p_CompraMin),0,AF32))</f>
        <v/>
      </c>
      <c r="AH32" s="85" t="str">
        <f>IF(A32="","",IF(N(AG32)&gt;0,AB32,0))</f>
        <v/>
      </c>
      <c r="AI32" s="85" t="str">
        <f>IF(A32="","",IF(AND(AH32&gt;0,AH32=$AH$6,COUNTIF($AH$9:AH32,AH32)=1),1,0))</f>
        <v/>
      </c>
    </row>
    <row r="33">
      <c r="A33" s="96" t="n"/>
      <c r="B33" s="96" t="n"/>
      <c r="C33" s="96" t="n"/>
      <c r="D33" s="97" t="n"/>
      <c r="E33" s="98" t="n"/>
      <c r="F33" s="99" t="n"/>
      <c r="G33" s="100" t="n"/>
      <c r="H33" s="101" t="str">
        <f>IF(A33="","",IF(AND(p_ModoCot="Automático",ISNUMBER(Z33)),Z33,IF(N(G33)&gt;0,G33,0)))</f>
        <v/>
      </c>
      <c r="I33" s="73" t="str">
        <f>IF(A33="","",IF(W33=0,"Sem câmbio",IF(AND(p_ModoCot="Automático",ISNUMBER(Z33)),"Auto",IF(N(G33)&gt;0,"Manual","Sem cotação"))))</f>
        <v/>
      </c>
      <c r="J33" s="102" t="str">
        <f>IF(A33="","",N(E33)*H33)</f>
        <v/>
      </c>
      <c r="K33" s="70" t="str">
        <f>IF(A33="","",J33*W33)</f>
        <v/>
      </c>
      <c r="L33" s="30" t="str">
        <f>IF(A33="","",IF($K$6&gt;0,K33/$K$6,0))</f>
        <v/>
      </c>
      <c r="M33" s="72" t="str">
        <f>IF(A33="","",N(F33)-L33)</f>
        <v/>
      </c>
      <c r="N33" s="30" t="str">
        <f>IF(A33="","",IF($AB$6&gt;0,AB33/$AB$6,0))</f>
        <v/>
      </c>
      <c r="O33" s="74" t="str">
        <f>IF(A33="","",IF(AB33&lt;=0,"",COUNTIF($AB$9:$AB$208,"&gt;"&amp;AB33)+COUNTIF($AB$9:AB33,AB33)))</f>
        <v/>
      </c>
      <c r="P33" s="73" t="str">
        <f>IF(A33="","",IF(Q33&gt;0,"BUY","HOLD"))</f>
        <v/>
      </c>
      <c r="Q33" s="70" t="str">
        <f>IF(A33="","",IF($W$7&lt;=0,0,IF($AC$6&gt;0,$W$7*AC33/$AC$6,IF($F$6&gt;0,$W$7*N(F33)/$F$6,0))))</f>
        <v/>
      </c>
      <c r="R33" s="103" t="str">
        <f>IF(A33="","",N(AD33)+IF(AI33=1,N(AG33),0))</f>
        <v/>
      </c>
      <c r="S33" s="103" t="str">
        <f>IF(A33="","",N(E33)+N(R33))</f>
        <v/>
      </c>
      <c r="T33" s="70" t="str">
        <f>IF(A33="","",IF(N(R33)&gt;0,R33*H33*W33*$W$6+p_CorrFixa,0))</f>
        <v/>
      </c>
      <c r="V33" s="85" t="str">
        <f>IF(A33="","",IF(D33="",$W$1,D33))</f>
        <v/>
      </c>
      <c r="W33" s="85" t="str">
        <f>IF(A33="","",IFERROR(INDEX(moeda_fx,MATCH(V33,moeda_cod,0)),0))</f>
        <v/>
      </c>
      <c r="X33" s="85" t="str">
        <f>IF(A33="","",IF($W$2="",UPPER(TRIM(A33)),IF(RIGHT(UPPER(TRIM(A33)),LEN($W$2))=$W$2,UPPER(TRIM(A33)),UPPER(TRIM(A33))&amp;$W$2)))</f>
        <v/>
      </c>
      <c r="Y33" s="85" t="str">
        <f>IF(OR(A33="",p_ModoCot&lt;&gt;"Automático"),"",IFERROR(_xlfn.WEBSERVICE("https://query1.finance.yahoo.com/v8/finance/chart/"&amp;X33&amp;"?range=1d&amp;interval=1d"),""))</f>
        <v/>
      </c>
      <c r="Z33" s="85" t="str">
        <f>IF(Y33="","",IFERROR(_xlfn.NUMBERVALUE(MID(Y33,SEARCH("""regularMarketPrice"":",Y33)+21,SEARCH(",",Y33&amp;",",SEARCH("""regularMarketPrice"":",Y33)+21)-SEARCH("""regularMarketPrice"":",Y33)-21),".",","),""))</f>
        <v/>
      </c>
      <c r="AA33" s="85" t="str">
        <f>IF(A33="","",ROUND(MAX(0,N(F33)*($K$6+$W$7)-K33),2))</f>
        <v/>
      </c>
      <c r="AB33" s="85" t="str">
        <f>IF(A33="","",IF(AND(M33&gt;0,M33&gt;=p_DifMin),AA33,0))</f>
        <v/>
      </c>
      <c r="AC33" s="85" t="str">
        <f>IF(A33="","",IF(AND(AB33&gt;0,N(O33)&lt;=p_MaxAtivos),AB33,0))</f>
        <v/>
      </c>
      <c r="AD33" s="85" t="str">
        <f>IF(A33="","",IF(OR(Q33&lt;=0,Q33&lt;p_CompraMin,N(H33)&lt;=0,N(W33)&lt;=0),0,IF($W$3="Sim",TRUNC(ROUND(MAX(0,(Q33-p_CorrFixa)/(H33*W33*$W$6)),9),$W$4),TRUNC(ROUND(MAX(0,(Q33-p_CorrFixa)/(H33*W33*$W$6)),9)/$W$5)*$W$5)))</f>
        <v/>
      </c>
      <c r="AE33" s="85" t="str">
        <f>IF(A33="","",IF(N(AD33)&gt;0,AD33*H33*W33*$W$6+p_CorrFixa,0))</f>
        <v/>
      </c>
      <c r="AF33" s="85" t="str">
        <f>IF(A33="","",IF(OR($Y$1&lt;=0,N(H33)&lt;=0,N(W33)&lt;=0,N(AB33)&lt;=0),0,IF($W$3="Sim",TRUNC(ROUND(MAX(0,($Y$1-IF(N(AD33)&gt;0,0,p_CorrFixa))/(H33*W33*$W$6)),9),$W$4),TRUNC(ROUND(MAX(0,($Y$1-IF(N(AD33)&gt;0,0,p_CorrFixa))/(H33*W33*$W$6)),9)/$W$5)*$W$5)))</f>
        <v/>
      </c>
      <c r="AG33" s="85" t="str">
        <f>IF(A33="","",IF(AND(N(AD33)=0,N(AF33)*(H33*W33*$W$6)+p_CorrFixa&lt;p_CompraMin),0,AF33))</f>
        <v/>
      </c>
      <c r="AH33" s="85" t="str">
        <f>IF(A33="","",IF(N(AG33)&gt;0,AB33,0))</f>
        <v/>
      </c>
      <c r="AI33" s="85" t="str">
        <f>IF(A33="","",IF(AND(AH33&gt;0,AH33=$AH$6,COUNTIF($AH$9:AH33,AH33)=1),1,0))</f>
        <v/>
      </c>
    </row>
    <row r="34">
      <c r="A34" s="96" t="n"/>
      <c r="B34" s="96" t="n"/>
      <c r="C34" s="96" t="n"/>
      <c r="D34" s="97" t="n"/>
      <c r="E34" s="98" t="n"/>
      <c r="F34" s="99" t="n"/>
      <c r="G34" s="100" t="n"/>
      <c r="H34" s="104" t="str">
        <f>IF(A34="","",IF(AND(p_ModoCot="Automático",ISNUMBER(Z34)),Z34,IF(N(G34)&gt;0,G34,0)))</f>
        <v/>
      </c>
      <c r="I34" s="105" t="str">
        <f>IF(A34="","",IF(W34=0,"Sem câmbio",IF(AND(p_ModoCot="Automático",ISNUMBER(Z34)),"Auto",IF(N(G34)&gt;0,"Manual","Sem cotação"))))</f>
        <v/>
      </c>
      <c r="J34" s="106" t="str">
        <f>IF(A34="","",N(E34)*H34)</f>
        <v/>
      </c>
      <c r="K34" s="107" t="str">
        <f>IF(A34="","",J34*W34)</f>
        <v/>
      </c>
      <c r="L34" s="108" t="str">
        <f>IF(A34="","",IF($K$6&gt;0,K34/$K$6,0))</f>
        <v/>
      </c>
      <c r="M34" s="109" t="str">
        <f>IF(A34="","",N(F34)-L34)</f>
        <v/>
      </c>
      <c r="N34" s="108" t="str">
        <f>IF(A34="","",IF($AB$6&gt;0,AB34/$AB$6,0))</f>
        <v/>
      </c>
      <c r="O34" s="110" t="str">
        <f>IF(A34="","",IF(AB34&lt;=0,"",COUNTIF($AB$9:$AB$208,"&gt;"&amp;AB34)+COUNTIF($AB$9:AB34,AB34)))</f>
        <v/>
      </c>
      <c r="P34" s="105" t="str">
        <f>IF(A34="","",IF(Q34&gt;0,"BUY","HOLD"))</f>
        <v/>
      </c>
      <c r="Q34" s="107" t="str">
        <f>IF(A34="","",IF($W$7&lt;=0,0,IF($AC$6&gt;0,$W$7*AC34/$AC$6,IF($F$6&gt;0,$W$7*N(F34)/$F$6,0))))</f>
        <v/>
      </c>
      <c r="R34" s="111" t="str">
        <f>IF(A34="","",N(AD34)+IF(AI34=1,N(AG34),0))</f>
        <v/>
      </c>
      <c r="S34" s="111" t="str">
        <f>IF(A34="","",N(E34)+N(R34))</f>
        <v/>
      </c>
      <c r="T34" s="107" t="str">
        <f>IF(A34="","",IF(N(R34)&gt;0,R34*H34*W34*$W$6+p_CorrFixa,0))</f>
        <v/>
      </c>
      <c r="V34" s="85" t="str">
        <f>IF(A34="","",IF(D34="",$W$1,D34))</f>
        <v/>
      </c>
      <c r="W34" s="85" t="str">
        <f>IF(A34="","",IFERROR(INDEX(moeda_fx,MATCH(V34,moeda_cod,0)),0))</f>
        <v/>
      </c>
      <c r="X34" s="85" t="str">
        <f>IF(A34="","",IF($W$2="",UPPER(TRIM(A34)),IF(RIGHT(UPPER(TRIM(A34)),LEN($W$2))=$W$2,UPPER(TRIM(A34)),UPPER(TRIM(A34))&amp;$W$2)))</f>
        <v/>
      </c>
      <c r="Y34" s="85" t="str">
        <f>IF(OR(A34="",p_ModoCot&lt;&gt;"Automático"),"",IFERROR(_xlfn.WEBSERVICE("https://query1.finance.yahoo.com/v8/finance/chart/"&amp;X34&amp;"?range=1d&amp;interval=1d"),""))</f>
        <v/>
      </c>
      <c r="Z34" s="85" t="str">
        <f>IF(Y34="","",IFERROR(_xlfn.NUMBERVALUE(MID(Y34,SEARCH("""regularMarketPrice"":",Y34)+21,SEARCH(",",Y34&amp;",",SEARCH("""regularMarketPrice"":",Y34)+21)-SEARCH("""regularMarketPrice"":",Y34)-21),".",","),""))</f>
        <v/>
      </c>
      <c r="AA34" s="85" t="str">
        <f>IF(A34="","",ROUND(MAX(0,N(F34)*($K$6+$W$7)-K34),2))</f>
        <v/>
      </c>
      <c r="AB34" s="85" t="str">
        <f>IF(A34="","",IF(AND(M34&gt;0,M34&gt;=p_DifMin),AA34,0))</f>
        <v/>
      </c>
      <c r="AC34" s="85" t="str">
        <f>IF(A34="","",IF(AND(AB34&gt;0,N(O34)&lt;=p_MaxAtivos),AB34,0))</f>
        <v/>
      </c>
      <c r="AD34" s="85" t="str">
        <f>IF(A34="","",IF(OR(Q34&lt;=0,Q34&lt;p_CompraMin,N(H34)&lt;=0,N(W34)&lt;=0),0,IF($W$3="Sim",TRUNC(ROUND(MAX(0,(Q34-p_CorrFixa)/(H34*W34*$W$6)),9),$W$4),TRUNC(ROUND(MAX(0,(Q34-p_CorrFixa)/(H34*W34*$W$6)),9)/$W$5)*$W$5)))</f>
        <v/>
      </c>
      <c r="AE34" s="85" t="str">
        <f>IF(A34="","",IF(N(AD34)&gt;0,AD34*H34*W34*$W$6+p_CorrFixa,0))</f>
        <v/>
      </c>
      <c r="AF34" s="85" t="str">
        <f>IF(A34="","",IF(OR($Y$1&lt;=0,N(H34)&lt;=0,N(W34)&lt;=0,N(AB34)&lt;=0),0,IF($W$3="Sim",TRUNC(ROUND(MAX(0,($Y$1-IF(N(AD34)&gt;0,0,p_CorrFixa))/(H34*W34*$W$6)),9),$W$4),TRUNC(ROUND(MAX(0,($Y$1-IF(N(AD34)&gt;0,0,p_CorrFixa))/(H34*W34*$W$6)),9)/$W$5)*$W$5)))</f>
        <v/>
      </c>
      <c r="AG34" s="85" t="str">
        <f>IF(A34="","",IF(AND(N(AD34)=0,N(AF34)*(H34*W34*$W$6)+p_CorrFixa&lt;p_CompraMin),0,AF34))</f>
        <v/>
      </c>
      <c r="AH34" s="85" t="str">
        <f>IF(A34="","",IF(N(AG34)&gt;0,AB34,0))</f>
        <v/>
      </c>
      <c r="AI34" s="85" t="str">
        <f>IF(A34="","",IF(AND(AH34&gt;0,AH34=$AH$6,COUNTIF($AH$9:AH34,AH34)=1),1,0))</f>
        <v/>
      </c>
    </row>
    <row r="35">
      <c r="A35" s="96" t="n"/>
      <c r="B35" s="96" t="n"/>
      <c r="C35" s="96" t="n"/>
      <c r="D35" s="97" t="n"/>
      <c r="E35" s="98" t="n"/>
      <c r="F35" s="99" t="n"/>
      <c r="G35" s="100" t="n"/>
      <c r="H35" s="101" t="str">
        <f>IF(A35="","",IF(AND(p_ModoCot="Automático",ISNUMBER(Z35)),Z35,IF(N(G35)&gt;0,G35,0)))</f>
        <v/>
      </c>
      <c r="I35" s="73" t="str">
        <f>IF(A35="","",IF(W35=0,"Sem câmbio",IF(AND(p_ModoCot="Automático",ISNUMBER(Z35)),"Auto",IF(N(G35)&gt;0,"Manual","Sem cotação"))))</f>
        <v/>
      </c>
      <c r="J35" s="102" t="str">
        <f>IF(A35="","",N(E35)*H35)</f>
        <v/>
      </c>
      <c r="K35" s="70" t="str">
        <f>IF(A35="","",J35*W35)</f>
        <v/>
      </c>
      <c r="L35" s="30" t="str">
        <f>IF(A35="","",IF($K$6&gt;0,K35/$K$6,0))</f>
        <v/>
      </c>
      <c r="M35" s="72" t="str">
        <f>IF(A35="","",N(F35)-L35)</f>
        <v/>
      </c>
      <c r="N35" s="30" t="str">
        <f>IF(A35="","",IF($AB$6&gt;0,AB35/$AB$6,0))</f>
        <v/>
      </c>
      <c r="O35" s="74" t="str">
        <f>IF(A35="","",IF(AB35&lt;=0,"",COUNTIF($AB$9:$AB$208,"&gt;"&amp;AB35)+COUNTIF($AB$9:AB35,AB35)))</f>
        <v/>
      </c>
      <c r="P35" s="73" t="str">
        <f>IF(A35="","",IF(Q35&gt;0,"BUY","HOLD"))</f>
        <v/>
      </c>
      <c r="Q35" s="70" t="str">
        <f>IF(A35="","",IF($W$7&lt;=0,0,IF($AC$6&gt;0,$W$7*AC35/$AC$6,IF($F$6&gt;0,$W$7*N(F35)/$F$6,0))))</f>
        <v/>
      </c>
      <c r="R35" s="103" t="str">
        <f>IF(A35="","",N(AD35)+IF(AI35=1,N(AG35),0))</f>
        <v/>
      </c>
      <c r="S35" s="103" t="str">
        <f>IF(A35="","",N(E35)+N(R35))</f>
        <v/>
      </c>
      <c r="T35" s="70" t="str">
        <f>IF(A35="","",IF(N(R35)&gt;0,R35*H35*W35*$W$6+p_CorrFixa,0))</f>
        <v/>
      </c>
      <c r="V35" s="85" t="str">
        <f>IF(A35="","",IF(D35="",$W$1,D35))</f>
        <v/>
      </c>
      <c r="W35" s="85" t="str">
        <f>IF(A35="","",IFERROR(INDEX(moeda_fx,MATCH(V35,moeda_cod,0)),0))</f>
        <v/>
      </c>
      <c r="X35" s="85" t="str">
        <f>IF(A35="","",IF($W$2="",UPPER(TRIM(A35)),IF(RIGHT(UPPER(TRIM(A35)),LEN($W$2))=$W$2,UPPER(TRIM(A35)),UPPER(TRIM(A35))&amp;$W$2)))</f>
        <v/>
      </c>
      <c r="Y35" s="85" t="str">
        <f>IF(OR(A35="",p_ModoCot&lt;&gt;"Automático"),"",IFERROR(_xlfn.WEBSERVICE("https://query1.finance.yahoo.com/v8/finance/chart/"&amp;X35&amp;"?range=1d&amp;interval=1d"),""))</f>
        <v/>
      </c>
      <c r="Z35" s="85" t="str">
        <f>IF(Y35="","",IFERROR(_xlfn.NUMBERVALUE(MID(Y35,SEARCH("""regularMarketPrice"":",Y35)+21,SEARCH(",",Y35&amp;",",SEARCH("""regularMarketPrice"":",Y35)+21)-SEARCH("""regularMarketPrice"":",Y35)-21),".",","),""))</f>
        <v/>
      </c>
      <c r="AA35" s="85" t="str">
        <f>IF(A35="","",ROUND(MAX(0,N(F35)*($K$6+$W$7)-K35),2))</f>
        <v/>
      </c>
      <c r="AB35" s="85" t="str">
        <f>IF(A35="","",IF(AND(M35&gt;0,M35&gt;=p_DifMin),AA35,0))</f>
        <v/>
      </c>
      <c r="AC35" s="85" t="str">
        <f>IF(A35="","",IF(AND(AB35&gt;0,N(O35)&lt;=p_MaxAtivos),AB35,0))</f>
        <v/>
      </c>
      <c r="AD35" s="85" t="str">
        <f>IF(A35="","",IF(OR(Q35&lt;=0,Q35&lt;p_CompraMin,N(H35)&lt;=0,N(W35)&lt;=0),0,IF($W$3="Sim",TRUNC(ROUND(MAX(0,(Q35-p_CorrFixa)/(H35*W35*$W$6)),9),$W$4),TRUNC(ROUND(MAX(0,(Q35-p_CorrFixa)/(H35*W35*$W$6)),9)/$W$5)*$W$5)))</f>
        <v/>
      </c>
      <c r="AE35" s="85" t="str">
        <f>IF(A35="","",IF(N(AD35)&gt;0,AD35*H35*W35*$W$6+p_CorrFixa,0))</f>
        <v/>
      </c>
      <c r="AF35" s="85" t="str">
        <f>IF(A35="","",IF(OR($Y$1&lt;=0,N(H35)&lt;=0,N(W35)&lt;=0,N(AB35)&lt;=0),0,IF($W$3="Sim",TRUNC(ROUND(MAX(0,($Y$1-IF(N(AD35)&gt;0,0,p_CorrFixa))/(H35*W35*$W$6)),9),$W$4),TRUNC(ROUND(MAX(0,($Y$1-IF(N(AD35)&gt;0,0,p_CorrFixa))/(H35*W35*$W$6)),9)/$W$5)*$W$5)))</f>
        <v/>
      </c>
      <c r="AG35" s="85" t="str">
        <f>IF(A35="","",IF(AND(N(AD35)=0,N(AF35)*(H35*W35*$W$6)+p_CorrFixa&lt;p_CompraMin),0,AF35))</f>
        <v/>
      </c>
      <c r="AH35" s="85" t="str">
        <f>IF(A35="","",IF(N(AG35)&gt;0,AB35,0))</f>
        <v/>
      </c>
      <c r="AI35" s="85" t="str">
        <f>IF(A35="","",IF(AND(AH35&gt;0,AH35=$AH$6,COUNTIF($AH$9:AH35,AH35)=1),1,0))</f>
        <v/>
      </c>
    </row>
    <row r="36">
      <c r="A36" s="96" t="n"/>
      <c r="B36" s="96" t="n"/>
      <c r="C36" s="96" t="n"/>
      <c r="D36" s="97" t="n"/>
      <c r="E36" s="98" t="n"/>
      <c r="F36" s="99" t="n"/>
      <c r="G36" s="100" t="n"/>
      <c r="H36" s="104" t="str">
        <f>IF(A36="","",IF(AND(p_ModoCot="Automático",ISNUMBER(Z36)),Z36,IF(N(G36)&gt;0,G36,0)))</f>
        <v/>
      </c>
      <c r="I36" s="105" t="str">
        <f>IF(A36="","",IF(W36=0,"Sem câmbio",IF(AND(p_ModoCot="Automático",ISNUMBER(Z36)),"Auto",IF(N(G36)&gt;0,"Manual","Sem cotação"))))</f>
        <v/>
      </c>
      <c r="J36" s="106" t="str">
        <f>IF(A36="","",N(E36)*H36)</f>
        <v/>
      </c>
      <c r="K36" s="107" t="str">
        <f>IF(A36="","",J36*W36)</f>
        <v/>
      </c>
      <c r="L36" s="108" t="str">
        <f>IF(A36="","",IF($K$6&gt;0,K36/$K$6,0))</f>
        <v/>
      </c>
      <c r="M36" s="109" t="str">
        <f>IF(A36="","",N(F36)-L36)</f>
        <v/>
      </c>
      <c r="N36" s="108" t="str">
        <f>IF(A36="","",IF($AB$6&gt;0,AB36/$AB$6,0))</f>
        <v/>
      </c>
      <c r="O36" s="110" t="str">
        <f>IF(A36="","",IF(AB36&lt;=0,"",COUNTIF($AB$9:$AB$208,"&gt;"&amp;AB36)+COUNTIF($AB$9:AB36,AB36)))</f>
        <v/>
      </c>
      <c r="P36" s="105" t="str">
        <f>IF(A36="","",IF(Q36&gt;0,"BUY","HOLD"))</f>
        <v/>
      </c>
      <c r="Q36" s="107" t="str">
        <f>IF(A36="","",IF($W$7&lt;=0,0,IF($AC$6&gt;0,$W$7*AC36/$AC$6,IF($F$6&gt;0,$W$7*N(F36)/$F$6,0))))</f>
        <v/>
      </c>
      <c r="R36" s="111" t="str">
        <f>IF(A36="","",N(AD36)+IF(AI36=1,N(AG36),0))</f>
        <v/>
      </c>
      <c r="S36" s="111" t="str">
        <f>IF(A36="","",N(E36)+N(R36))</f>
        <v/>
      </c>
      <c r="T36" s="107" t="str">
        <f>IF(A36="","",IF(N(R36)&gt;0,R36*H36*W36*$W$6+p_CorrFixa,0))</f>
        <v/>
      </c>
      <c r="V36" s="85" t="str">
        <f>IF(A36="","",IF(D36="",$W$1,D36))</f>
        <v/>
      </c>
      <c r="W36" s="85" t="str">
        <f>IF(A36="","",IFERROR(INDEX(moeda_fx,MATCH(V36,moeda_cod,0)),0))</f>
        <v/>
      </c>
      <c r="X36" s="85" t="str">
        <f>IF(A36="","",IF($W$2="",UPPER(TRIM(A36)),IF(RIGHT(UPPER(TRIM(A36)),LEN($W$2))=$W$2,UPPER(TRIM(A36)),UPPER(TRIM(A36))&amp;$W$2)))</f>
        <v/>
      </c>
      <c r="Y36" s="85" t="str">
        <f>IF(OR(A36="",p_ModoCot&lt;&gt;"Automático"),"",IFERROR(_xlfn.WEBSERVICE("https://query1.finance.yahoo.com/v8/finance/chart/"&amp;X36&amp;"?range=1d&amp;interval=1d"),""))</f>
        <v/>
      </c>
      <c r="Z36" s="85" t="str">
        <f>IF(Y36="","",IFERROR(_xlfn.NUMBERVALUE(MID(Y36,SEARCH("""regularMarketPrice"":",Y36)+21,SEARCH(",",Y36&amp;",",SEARCH("""regularMarketPrice"":",Y36)+21)-SEARCH("""regularMarketPrice"":",Y36)-21),".",","),""))</f>
        <v/>
      </c>
      <c r="AA36" s="85" t="str">
        <f>IF(A36="","",ROUND(MAX(0,N(F36)*($K$6+$W$7)-K36),2))</f>
        <v/>
      </c>
      <c r="AB36" s="85" t="str">
        <f>IF(A36="","",IF(AND(M36&gt;0,M36&gt;=p_DifMin),AA36,0))</f>
        <v/>
      </c>
      <c r="AC36" s="85" t="str">
        <f>IF(A36="","",IF(AND(AB36&gt;0,N(O36)&lt;=p_MaxAtivos),AB36,0))</f>
        <v/>
      </c>
      <c r="AD36" s="85" t="str">
        <f>IF(A36="","",IF(OR(Q36&lt;=0,Q36&lt;p_CompraMin,N(H36)&lt;=0,N(W36)&lt;=0),0,IF($W$3="Sim",TRUNC(ROUND(MAX(0,(Q36-p_CorrFixa)/(H36*W36*$W$6)),9),$W$4),TRUNC(ROUND(MAX(0,(Q36-p_CorrFixa)/(H36*W36*$W$6)),9)/$W$5)*$W$5)))</f>
        <v/>
      </c>
      <c r="AE36" s="85" t="str">
        <f>IF(A36="","",IF(N(AD36)&gt;0,AD36*H36*W36*$W$6+p_CorrFixa,0))</f>
        <v/>
      </c>
      <c r="AF36" s="85" t="str">
        <f>IF(A36="","",IF(OR($Y$1&lt;=0,N(H36)&lt;=0,N(W36)&lt;=0,N(AB36)&lt;=0),0,IF($W$3="Sim",TRUNC(ROUND(MAX(0,($Y$1-IF(N(AD36)&gt;0,0,p_CorrFixa))/(H36*W36*$W$6)),9),$W$4),TRUNC(ROUND(MAX(0,($Y$1-IF(N(AD36)&gt;0,0,p_CorrFixa))/(H36*W36*$W$6)),9)/$W$5)*$W$5)))</f>
        <v/>
      </c>
      <c r="AG36" s="85" t="str">
        <f>IF(A36="","",IF(AND(N(AD36)=0,N(AF36)*(H36*W36*$W$6)+p_CorrFixa&lt;p_CompraMin),0,AF36))</f>
        <v/>
      </c>
      <c r="AH36" s="85" t="str">
        <f>IF(A36="","",IF(N(AG36)&gt;0,AB36,0))</f>
        <v/>
      </c>
      <c r="AI36" s="85" t="str">
        <f>IF(A36="","",IF(AND(AH36&gt;0,AH36=$AH$6,COUNTIF($AH$9:AH36,AH36)=1),1,0))</f>
        <v/>
      </c>
    </row>
    <row r="37">
      <c r="A37" s="96" t="n"/>
      <c r="B37" s="96" t="n"/>
      <c r="C37" s="96" t="n"/>
      <c r="D37" s="97" t="n"/>
      <c r="E37" s="98" t="n"/>
      <c r="F37" s="99" t="n"/>
      <c r="G37" s="100" t="n"/>
      <c r="H37" s="101" t="str">
        <f>IF(A37="","",IF(AND(p_ModoCot="Automático",ISNUMBER(Z37)),Z37,IF(N(G37)&gt;0,G37,0)))</f>
        <v/>
      </c>
      <c r="I37" s="73" t="str">
        <f>IF(A37="","",IF(W37=0,"Sem câmbio",IF(AND(p_ModoCot="Automático",ISNUMBER(Z37)),"Auto",IF(N(G37)&gt;0,"Manual","Sem cotação"))))</f>
        <v/>
      </c>
      <c r="J37" s="102" t="str">
        <f>IF(A37="","",N(E37)*H37)</f>
        <v/>
      </c>
      <c r="K37" s="70" t="str">
        <f>IF(A37="","",J37*W37)</f>
        <v/>
      </c>
      <c r="L37" s="30" t="str">
        <f>IF(A37="","",IF($K$6&gt;0,K37/$K$6,0))</f>
        <v/>
      </c>
      <c r="M37" s="72" t="str">
        <f>IF(A37="","",N(F37)-L37)</f>
        <v/>
      </c>
      <c r="N37" s="30" t="str">
        <f>IF(A37="","",IF($AB$6&gt;0,AB37/$AB$6,0))</f>
        <v/>
      </c>
      <c r="O37" s="74" t="str">
        <f>IF(A37="","",IF(AB37&lt;=0,"",COUNTIF($AB$9:$AB$208,"&gt;"&amp;AB37)+COUNTIF($AB$9:AB37,AB37)))</f>
        <v/>
      </c>
      <c r="P37" s="73" t="str">
        <f>IF(A37="","",IF(Q37&gt;0,"BUY","HOLD"))</f>
        <v/>
      </c>
      <c r="Q37" s="70" t="str">
        <f>IF(A37="","",IF($W$7&lt;=0,0,IF($AC$6&gt;0,$W$7*AC37/$AC$6,IF($F$6&gt;0,$W$7*N(F37)/$F$6,0))))</f>
        <v/>
      </c>
      <c r="R37" s="103" t="str">
        <f>IF(A37="","",N(AD37)+IF(AI37=1,N(AG37),0))</f>
        <v/>
      </c>
      <c r="S37" s="103" t="str">
        <f>IF(A37="","",N(E37)+N(R37))</f>
        <v/>
      </c>
      <c r="T37" s="70" t="str">
        <f>IF(A37="","",IF(N(R37)&gt;0,R37*H37*W37*$W$6+p_CorrFixa,0))</f>
        <v/>
      </c>
      <c r="V37" s="85" t="str">
        <f>IF(A37="","",IF(D37="",$W$1,D37))</f>
        <v/>
      </c>
      <c r="W37" s="85" t="str">
        <f>IF(A37="","",IFERROR(INDEX(moeda_fx,MATCH(V37,moeda_cod,0)),0))</f>
        <v/>
      </c>
      <c r="X37" s="85" t="str">
        <f>IF(A37="","",IF($W$2="",UPPER(TRIM(A37)),IF(RIGHT(UPPER(TRIM(A37)),LEN($W$2))=$W$2,UPPER(TRIM(A37)),UPPER(TRIM(A37))&amp;$W$2)))</f>
        <v/>
      </c>
      <c r="Y37" s="85" t="str">
        <f>IF(OR(A37="",p_ModoCot&lt;&gt;"Automático"),"",IFERROR(_xlfn.WEBSERVICE("https://query1.finance.yahoo.com/v8/finance/chart/"&amp;X37&amp;"?range=1d&amp;interval=1d"),""))</f>
        <v/>
      </c>
      <c r="Z37" s="85" t="str">
        <f>IF(Y37="","",IFERROR(_xlfn.NUMBERVALUE(MID(Y37,SEARCH("""regularMarketPrice"":",Y37)+21,SEARCH(",",Y37&amp;",",SEARCH("""regularMarketPrice"":",Y37)+21)-SEARCH("""regularMarketPrice"":",Y37)-21),".",","),""))</f>
        <v/>
      </c>
      <c r="AA37" s="85" t="str">
        <f>IF(A37="","",ROUND(MAX(0,N(F37)*($K$6+$W$7)-K37),2))</f>
        <v/>
      </c>
      <c r="AB37" s="85" t="str">
        <f>IF(A37="","",IF(AND(M37&gt;0,M37&gt;=p_DifMin),AA37,0))</f>
        <v/>
      </c>
      <c r="AC37" s="85" t="str">
        <f>IF(A37="","",IF(AND(AB37&gt;0,N(O37)&lt;=p_MaxAtivos),AB37,0))</f>
        <v/>
      </c>
      <c r="AD37" s="85" t="str">
        <f>IF(A37="","",IF(OR(Q37&lt;=0,Q37&lt;p_CompraMin,N(H37)&lt;=0,N(W37)&lt;=0),0,IF($W$3="Sim",TRUNC(ROUND(MAX(0,(Q37-p_CorrFixa)/(H37*W37*$W$6)),9),$W$4),TRUNC(ROUND(MAX(0,(Q37-p_CorrFixa)/(H37*W37*$W$6)),9)/$W$5)*$W$5)))</f>
        <v/>
      </c>
      <c r="AE37" s="85" t="str">
        <f>IF(A37="","",IF(N(AD37)&gt;0,AD37*H37*W37*$W$6+p_CorrFixa,0))</f>
        <v/>
      </c>
      <c r="AF37" s="85" t="str">
        <f>IF(A37="","",IF(OR($Y$1&lt;=0,N(H37)&lt;=0,N(W37)&lt;=0,N(AB37)&lt;=0),0,IF($W$3="Sim",TRUNC(ROUND(MAX(0,($Y$1-IF(N(AD37)&gt;0,0,p_CorrFixa))/(H37*W37*$W$6)),9),$W$4),TRUNC(ROUND(MAX(0,($Y$1-IF(N(AD37)&gt;0,0,p_CorrFixa))/(H37*W37*$W$6)),9)/$W$5)*$W$5)))</f>
        <v/>
      </c>
      <c r="AG37" s="85" t="str">
        <f>IF(A37="","",IF(AND(N(AD37)=0,N(AF37)*(H37*W37*$W$6)+p_CorrFixa&lt;p_CompraMin),0,AF37))</f>
        <v/>
      </c>
      <c r="AH37" s="85" t="str">
        <f>IF(A37="","",IF(N(AG37)&gt;0,AB37,0))</f>
        <v/>
      </c>
      <c r="AI37" s="85" t="str">
        <f>IF(A37="","",IF(AND(AH37&gt;0,AH37=$AH$6,COUNTIF($AH$9:AH37,AH37)=1),1,0))</f>
        <v/>
      </c>
    </row>
    <row r="38">
      <c r="A38" s="96" t="n"/>
      <c r="B38" s="96" t="n"/>
      <c r="C38" s="96" t="n"/>
      <c r="D38" s="97" t="n"/>
      <c r="E38" s="98" t="n"/>
      <c r="F38" s="99" t="n"/>
      <c r="G38" s="100" t="n"/>
      <c r="H38" s="104" t="str">
        <f>IF(A38="","",IF(AND(p_ModoCot="Automático",ISNUMBER(Z38)),Z38,IF(N(G38)&gt;0,G38,0)))</f>
        <v/>
      </c>
      <c r="I38" s="105" t="str">
        <f>IF(A38="","",IF(W38=0,"Sem câmbio",IF(AND(p_ModoCot="Automático",ISNUMBER(Z38)),"Auto",IF(N(G38)&gt;0,"Manual","Sem cotação"))))</f>
        <v/>
      </c>
      <c r="J38" s="106" t="str">
        <f>IF(A38="","",N(E38)*H38)</f>
        <v/>
      </c>
      <c r="K38" s="107" t="str">
        <f>IF(A38="","",J38*W38)</f>
        <v/>
      </c>
      <c r="L38" s="108" t="str">
        <f>IF(A38="","",IF($K$6&gt;0,K38/$K$6,0))</f>
        <v/>
      </c>
      <c r="M38" s="109" t="str">
        <f>IF(A38="","",N(F38)-L38)</f>
        <v/>
      </c>
      <c r="N38" s="108" t="str">
        <f>IF(A38="","",IF($AB$6&gt;0,AB38/$AB$6,0))</f>
        <v/>
      </c>
      <c r="O38" s="110" t="str">
        <f>IF(A38="","",IF(AB38&lt;=0,"",COUNTIF($AB$9:$AB$208,"&gt;"&amp;AB38)+COUNTIF($AB$9:AB38,AB38)))</f>
        <v/>
      </c>
      <c r="P38" s="105" t="str">
        <f>IF(A38="","",IF(Q38&gt;0,"BUY","HOLD"))</f>
        <v/>
      </c>
      <c r="Q38" s="107" t="str">
        <f>IF(A38="","",IF($W$7&lt;=0,0,IF($AC$6&gt;0,$W$7*AC38/$AC$6,IF($F$6&gt;0,$W$7*N(F38)/$F$6,0))))</f>
        <v/>
      </c>
      <c r="R38" s="111" t="str">
        <f>IF(A38="","",N(AD38)+IF(AI38=1,N(AG38),0))</f>
        <v/>
      </c>
      <c r="S38" s="111" t="str">
        <f>IF(A38="","",N(E38)+N(R38))</f>
        <v/>
      </c>
      <c r="T38" s="107" t="str">
        <f>IF(A38="","",IF(N(R38)&gt;0,R38*H38*W38*$W$6+p_CorrFixa,0))</f>
        <v/>
      </c>
      <c r="V38" s="85" t="str">
        <f>IF(A38="","",IF(D38="",$W$1,D38))</f>
        <v/>
      </c>
      <c r="W38" s="85" t="str">
        <f>IF(A38="","",IFERROR(INDEX(moeda_fx,MATCH(V38,moeda_cod,0)),0))</f>
        <v/>
      </c>
      <c r="X38" s="85" t="str">
        <f>IF(A38="","",IF($W$2="",UPPER(TRIM(A38)),IF(RIGHT(UPPER(TRIM(A38)),LEN($W$2))=$W$2,UPPER(TRIM(A38)),UPPER(TRIM(A38))&amp;$W$2)))</f>
        <v/>
      </c>
      <c r="Y38" s="85" t="str">
        <f>IF(OR(A38="",p_ModoCot&lt;&gt;"Automático"),"",IFERROR(_xlfn.WEBSERVICE("https://query1.finance.yahoo.com/v8/finance/chart/"&amp;X38&amp;"?range=1d&amp;interval=1d"),""))</f>
        <v/>
      </c>
      <c r="Z38" s="85" t="str">
        <f>IF(Y38="","",IFERROR(_xlfn.NUMBERVALUE(MID(Y38,SEARCH("""regularMarketPrice"":",Y38)+21,SEARCH(",",Y38&amp;",",SEARCH("""regularMarketPrice"":",Y38)+21)-SEARCH("""regularMarketPrice"":",Y38)-21),".",","),""))</f>
        <v/>
      </c>
      <c r="AA38" s="85" t="str">
        <f>IF(A38="","",ROUND(MAX(0,N(F38)*($K$6+$W$7)-K38),2))</f>
        <v/>
      </c>
      <c r="AB38" s="85" t="str">
        <f>IF(A38="","",IF(AND(M38&gt;0,M38&gt;=p_DifMin),AA38,0))</f>
        <v/>
      </c>
      <c r="AC38" s="85" t="str">
        <f>IF(A38="","",IF(AND(AB38&gt;0,N(O38)&lt;=p_MaxAtivos),AB38,0))</f>
        <v/>
      </c>
      <c r="AD38" s="85" t="str">
        <f>IF(A38="","",IF(OR(Q38&lt;=0,Q38&lt;p_CompraMin,N(H38)&lt;=0,N(W38)&lt;=0),0,IF($W$3="Sim",TRUNC(ROUND(MAX(0,(Q38-p_CorrFixa)/(H38*W38*$W$6)),9),$W$4),TRUNC(ROUND(MAX(0,(Q38-p_CorrFixa)/(H38*W38*$W$6)),9)/$W$5)*$W$5)))</f>
        <v/>
      </c>
      <c r="AE38" s="85" t="str">
        <f>IF(A38="","",IF(N(AD38)&gt;0,AD38*H38*W38*$W$6+p_CorrFixa,0))</f>
        <v/>
      </c>
      <c r="AF38" s="85" t="str">
        <f>IF(A38="","",IF(OR($Y$1&lt;=0,N(H38)&lt;=0,N(W38)&lt;=0,N(AB38)&lt;=0),0,IF($W$3="Sim",TRUNC(ROUND(MAX(0,($Y$1-IF(N(AD38)&gt;0,0,p_CorrFixa))/(H38*W38*$W$6)),9),$W$4),TRUNC(ROUND(MAX(0,($Y$1-IF(N(AD38)&gt;0,0,p_CorrFixa))/(H38*W38*$W$6)),9)/$W$5)*$W$5)))</f>
        <v/>
      </c>
      <c r="AG38" s="85" t="str">
        <f>IF(A38="","",IF(AND(N(AD38)=0,N(AF38)*(H38*W38*$W$6)+p_CorrFixa&lt;p_CompraMin),0,AF38))</f>
        <v/>
      </c>
      <c r="AH38" s="85" t="str">
        <f>IF(A38="","",IF(N(AG38)&gt;0,AB38,0))</f>
        <v/>
      </c>
      <c r="AI38" s="85" t="str">
        <f>IF(A38="","",IF(AND(AH38&gt;0,AH38=$AH$6,COUNTIF($AH$9:AH38,AH38)=1),1,0))</f>
        <v/>
      </c>
    </row>
    <row r="39">
      <c r="A39" s="96" t="n"/>
      <c r="B39" s="96" t="n"/>
      <c r="C39" s="96" t="n"/>
      <c r="D39" s="97" t="n"/>
      <c r="E39" s="98" t="n"/>
      <c r="F39" s="99" t="n"/>
      <c r="G39" s="100" t="n"/>
      <c r="H39" s="101" t="str">
        <f>IF(A39="","",IF(AND(p_ModoCot="Automático",ISNUMBER(Z39)),Z39,IF(N(G39)&gt;0,G39,0)))</f>
        <v/>
      </c>
      <c r="I39" s="73" t="str">
        <f>IF(A39="","",IF(W39=0,"Sem câmbio",IF(AND(p_ModoCot="Automático",ISNUMBER(Z39)),"Auto",IF(N(G39)&gt;0,"Manual","Sem cotação"))))</f>
        <v/>
      </c>
      <c r="J39" s="102" t="str">
        <f>IF(A39="","",N(E39)*H39)</f>
        <v/>
      </c>
      <c r="K39" s="70" t="str">
        <f>IF(A39="","",J39*W39)</f>
        <v/>
      </c>
      <c r="L39" s="30" t="str">
        <f>IF(A39="","",IF($K$6&gt;0,K39/$K$6,0))</f>
        <v/>
      </c>
      <c r="M39" s="72" t="str">
        <f>IF(A39="","",N(F39)-L39)</f>
        <v/>
      </c>
      <c r="N39" s="30" t="str">
        <f>IF(A39="","",IF($AB$6&gt;0,AB39/$AB$6,0))</f>
        <v/>
      </c>
      <c r="O39" s="74" t="str">
        <f>IF(A39="","",IF(AB39&lt;=0,"",COUNTIF($AB$9:$AB$208,"&gt;"&amp;AB39)+COUNTIF($AB$9:AB39,AB39)))</f>
        <v/>
      </c>
      <c r="P39" s="73" t="str">
        <f>IF(A39="","",IF(Q39&gt;0,"BUY","HOLD"))</f>
        <v/>
      </c>
      <c r="Q39" s="70" t="str">
        <f>IF(A39="","",IF($W$7&lt;=0,0,IF($AC$6&gt;0,$W$7*AC39/$AC$6,IF($F$6&gt;0,$W$7*N(F39)/$F$6,0))))</f>
        <v/>
      </c>
      <c r="R39" s="103" t="str">
        <f>IF(A39="","",N(AD39)+IF(AI39=1,N(AG39),0))</f>
        <v/>
      </c>
      <c r="S39" s="103" t="str">
        <f>IF(A39="","",N(E39)+N(R39))</f>
        <v/>
      </c>
      <c r="T39" s="70" t="str">
        <f>IF(A39="","",IF(N(R39)&gt;0,R39*H39*W39*$W$6+p_CorrFixa,0))</f>
        <v/>
      </c>
      <c r="V39" s="85" t="str">
        <f>IF(A39="","",IF(D39="",$W$1,D39))</f>
        <v/>
      </c>
      <c r="W39" s="85" t="str">
        <f>IF(A39="","",IFERROR(INDEX(moeda_fx,MATCH(V39,moeda_cod,0)),0))</f>
        <v/>
      </c>
      <c r="X39" s="85" t="str">
        <f>IF(A39="","",IF($W$2="",UPPER(TRIM(A39)),IF(RIGHT(UPPER(TRIM(A39)),LEN($W$2))=$W$2,UPPER(TRIM(A39)),UPPER(TRIM(A39))&amp;$W$2)))</f>
        <v/>
      </c>
      <c r="Y39" s="85" t="str">
        <f>IF(OR(A39="",p_ModoCot&lt;&gt;"Automático"),"",IFERROR(_xlfn.WEBSERVICE("https://query1.finance.yahoo.com/v8/finance/chart/"&amp;X39&amp;"?range=1d&amp;interval=1d"),""))</f>
        <v/>
      </c>
      <c r="Z39" s="85" t="str">
        <f>IF(Y39="","",IFERROR(_xlfn.NUMBERVALUE(MID(Y39,SEARCH("""regularMarketPrice"":",Y39)+21,SEARCH(",",Y39&amp;",",SEARCH("""regularMarketPrice"":",Y39)+21)-SEARCH("""regularMarketPrice"":",Y39)-21),".",","),""))</f>
        <v/>
      </c>
      <c r="AA39" s="85" t="str">
        <f>IF(A39="","",ROUND(MAX(0,N(F39)*($K$6+$W$7)-K39),2))</f>
        <v/>
      </c>
      <c r="AB39" s="85" t="str">
        <f>IF(A39="","",IF(AND(M39&gt;0,M39&gt;=p_DifMin),AA39,0))</f>
        <v/>
      </c>
      <c r="AC39" s="85" t="str">
        <f>IF(A39="","",IF(AND(AB39&gt;0,N(O39)&lt;=p_MaxAtivos),AB39,0))</f>
        <v/>
      </c>
      <c r="AD39" s="85" t="str">
        <f>IF(A39="","",IF(OR(Q39&lt;=0,Q39&lt;p_CompraMin,N(H39)&lt;=0,N(W39)&lt;=0),0,IF($W$3="Sim",TRUNC(ROUND(MAX(0,(Q39-p_CorrFixa)/(H39*W39*$W$6)),9),$W$4),TRUNC(ROUND(MAX(0,(Q39-p_CorrFixa)/(H39*W39*$W$6)),9)/$W$5)*$W$5)))</f>
        <v/>
      </c>
      <c r="AE39" s="85" t="str">
        <f>IF(A39="","",IF(N(AD39)&gt;0,AD39*H39*W39*$W$6+p_CorrFixa,0))</f>
        <v/>
      </c>
      <c r="AF39" s="85" t="str">
        <f>IF(A39="","",IF(OR($Y$1&lt;=0,N(H39)&lt;=0,N(W39)&lt;=0,N(AB39)&lt;=0),0,IF($W$3="Sim",TRUNC(ROUND(MAX(0,($Y$1-IF(N(AD39)&gt;0,0,p_CorrFixa))/(H39*W39*$W$6)),9),$W$4),TRUNC(ROUND(MAX(0,($Y$1-IF(N(AD39)&gt;0,0,p_CorrFixa))/(H39*W39*$W$6)),9)/$W$5)*$W$5)))</f>
        <v/>
      </c>
      <c r="AG39" s="85" t="str">
        <f>IF(A39="","",IF(AND(N(AD39)=0,N(AF39)*(H39*W39*$W$6)+p_CorrFixa&lt;p_CompraMin),0,AF39))</f>
        <v/>
      </c>
      <c r="AH39" s="85" t="str">
        <f>IF(A39="","",IF(N(AG39)&gt;0,AB39,0))</f>
        <v/>
      </c>
      <c r="AI39" s="85" t="str">
        <f>IF(A39="","",IF(AND(AH39&gt;0,AH39=$AH$6,COUNTIF($AH$9:AH39,AH39)=1),1,0))</f>
        <v/>
      </c>
    </row>
    <row r="40">
      <c r="A40" s="96" t="n"/>
      <c r="B40" s="96" t="n"/>
      <c r="C40" s="96" t="n"/>
      <c r="D40" s="97" t="n"/>
      <c r="E40" s="98" t="n"/>
      <c r="F40" s="99" t="n"/>
      <c r="G40" s="100" t="n"/>
      <c r="H40" s="104" t="str">
        <f>IF(A40="","",IF(AND(p_ModoCot="Automático",ISNUMBER(Z40)),Z40,IF(N(G40)&gt;0,G40,0)))</f>
        <v/>
      </c>
      <c r="I40" s="105" t="str">
        <f>IF(A40="","",IF(W40=0,"Sem câmbio",IF(AND(p_ModoCot="Automático",ISNUMBER(Z40)),"Auto",IF(N(G40)&gt;0,"Manual","Sem cotação"))))</f>
        <v/>
      </c>
      <c r="J40" s="106" t="str">
        <f>IF(A40="","",N(E40)*H40)</f>
        <v/>
      </c>
      <c r="K40" s="107" t="str">
        <f>IF(A40="","",J40*W40)</f>
        <v/>
      </c>
      <c r="L40" s="108" t="str">
        <f>IF(A40="","",IF($K$6&gt;0,K40/$K$6,0))</f>
        <v/>
      </c>
      <c r="M40" s="109" t="str">
        <f>IF(A40="","",N(F40)-L40)</f>
        <v/>
      </c>
      <c r="N40" s="108" t="str">
        <f>IF(A40="","",IF($AB$6&gt;0,AB40/$AB$6,0))</f>
        <v/>
      </c>
      <c r="O40" s="110" t="str">
        <f>IF(A40="","",IF(AB40&lt;=0,"",COUNTIF($AB$9:$AB$208,"&gt;"&amp;AB40)+COUNTIF($AB$9:AB40,AB40)))</f>
        <v/>
      </c>
      <c r="P40" s="105" t="str">
        <f>IF(A40="","",IF(Q40&gt;0,"BUY","HOLD"))</f>
        <v/>
      </c>
      <c r="Q40" s="107" t="str">
        <f>IF(A40="","",IF($W$7&lt;=0,0,IF($AC$6&gt;0,$W$7*AC40/$AC$6,IF($F$6&gt;0,$W$7*N(F40)/$F$6,0))))</f>
        <v/>
      </c>
      <c r="R40" s="111" t="str">
        <f>IF(A40="","",N(AD40)+IF(AI40=1,N(AG40),0))</f>
        <v/>
      </c>
      <c r="S40" s="111" t="str">
        <f>IF(A40="","",N(E40)+N(R40))</f>
        <v/>
      </c>
      <c r="T40" s="107" t="str">
        <f>IF(A40="","",IF(N(R40)&gt;0,R40*H40*W40*$W$6+p_CorrFixa,0))</f>
        <v/>
      </c>
      <c r="V40" s="85" t="str">
        <f>IF(A40="","",IF(D40="",$W$1,D40))</f>
        <v/>
      </c>
      <c r="W40" s="85" t="str">
        <f>IF(A40="","",IFERROR(INDEX(moeda_fx,MATCH(V40,moeda_cod,0)),0))</f>
        <v/>
      </c>
      <c r="X40" s="85" t="str">
        <f>IF(A40="","",IF($W$2="",UPPER(TRIM(A40)),IF(RIGHT(UPPER(TRIM(A40)),LEN($W$2))=$W$2,UPPER(TRIM(A40)),UPPER(TRIM(A40))&amp;$W$2)))</f>
        <v/>
      </c>
      <c r="Y40" s="85" t="str">
        <f>IF(OR(A40="",p_ModoCot&lt;&gt;"Automático"),"",IFERROR(_xlfn.WEBSERVICE("https://query1.finance.yahoo.com/v8/finance/chart/"&amp;X40&amp;"?range=1d&amp;interval=1d"),""))</f>
        <v/>
      </c>
      <c r="Z40" s="85" t="str">
        <f>IF(Y40="","",IFERROR(_xlfn.NUMBERVALUE(MID(Y40,SEARCH("""regularMarketPrice"":",Y40)+21,SEARCH(",",Y40&amp;",",SEARCH("""regularMarketPrice"":",Y40)+21)-SEARCH("""regularMarketPrice"":",Y40)-21),".",","),""))</f>
        <v/>
      </c>
      <c r="AA40" s="85" t="str">
        <f>IF(A40="","",ROUND(MAX(0,N(F40)*($K$6+$W$7)-K40),2))</f>
        <v/>
      </c>
      <c r="AB40" s="85" t="str">
        <f>IF(A40="","",IF(AND(M40&gt;0,M40&gt;=p_DifMin),AA40,0))</f>
        <v/>
      </c>
      <c r="AC40" s="85" t="str">
        <f>IF(A40="","",IF(AND(AB40&gt;0,N(O40)&lt;=p_MaxAtivos),AB40,0))</f>
        <v/>
      </c>
      <c r="AD40" s="85" t="str">
        <f>IF(A40="","",IF(OR(Q40&lt;=0,Q40&lt;p_CompraMin,N(H40)&lt;=0,N(W40)&lt;=0),0,IF($W$3="Sim",TRUNC(ROUND(MAX(0,(Q40-p_CorrFixa)/(H40*W40*$W$6)),9),$W$4),TRUNC(ROUND(MAX(0,(Q40-p_CorrFixa)/(H40*W40*$W$6)),9)/$W$5)*$W$5)))</f>
        <v/>
      </c>
      <c r="AE40" s="85" t="str">
        <f>IF(A40="","",IF(N(AD40)&gt;0,AD40*H40*W40*$W$6+p_CorrFixa,0))</f>
        <v/>
      </c>
      <c r="AF40" s="85" t="str">
        <f>IF(A40="","",IF(OR($Y$1&lt;=0,N(H40)&lt;=0,N(W40)&lt;=0,N(AB40)&lt;=0),0,IF($W$3="Sim",TRUNC(ROUND(MAX(0,($Y$1-IF(N(AD40)&gt;0,0,p_CorrFixa))/(H40*W40*$W$6)),9),$W$4),TRUNC(ROUND(MAX(0,($Y$1-IF(N(AD40)&gt;0,0,p_CorrFixa))/(H40*W40*$W$6)),9)/$W$5)*$W$5)))</f>
        <v/>
      </c>
      <c r="AG40" s="85" t="str">
        <f>IF(A40="","",IF(AND(N(AD40)=0,N(AF40)*(H40*W40*$W$6)+p_CorrFixa&lt;p_CompraMin),0,AF40))</f>
        <v/>
      </c>
      <c r="AH40" s="85" t="str">
        <f>IF(A40="","",IF(N(AG40)&gt;0,AB40,0))</f>
        <v/>
      </c>
      <c r="AI40" s="85" t="str">
        <f>IF(A40="","",IF(AND(AH40&gt;0,AH40=$AH$6,COUNTIF($AH$9:AH40,AH40)=1),1,0))</f>
        <v/>
      </c>
    </row>
    <row r="41">
      <c r="A41" s="96" t="n"/>
      <c r="B41" s="96" t="n"/>
      <c r="C41" s="96" t="n"/>
      <c r="D41" s="97" t="n"/>
      <c r="E41" s="98" t="n"/>
      <c r="F41" s="99" t="n"/>
      <c r="G41" s="100" t="n"/>
      <c r="H41" s="101" t="str">
        <f>IF(A41="","",IF(AND(p_ModoCot="Automático",ISNUMBER(Z41)),Z41,IF(N(G41)&gt;0,G41,0)))</f>
        <v/>
      </c>
      <c r="I41" s="73" t="str">
        <f>IF(A41="","",IF(W41=0,"Sem câmbio",IF(AND(p_ModoCot="Automático",ISNUMBER(Z41)),"Auto",IF(N(G41)&gt;0,"Manual","Sem cotação"))))</f>
        <v/>
      </c>
      <c r="J41" s="102" t="str">
        <f>IF(A41="","",N(E41)*H41)</f>
        <v/>
      </c>
      <c r="K41" s="70" t="str">
        <f>IF(A41="","",J41*W41)</f>
        <v/>
      </c>
      <c r="L41" s="30" t="str">
        <f>IF(A41="","",IF($K$6&gt;0,K41/$K$6,0))</f>
        <v/>
      </c>
      <c r="M41" s="72" t="str">
        <f>IF(A41="","",N(F41)-L41)</f>
        <v/>
      </c>
      <c r="N41" s="30" t="str">
        <f>IF(A41="","",IF($AB$6&gt;0,AB41/$AB$6,0))</f>
        <v/>
      </c>
      <c r="O41" s="74" t="str">
        <f>IF(A41="","",IF(AB41&lt;=0,"",COUNTIF($AB$9:$AB$208,"&gt;"&amp;AB41)+COUNTIF($AB$9:AB41,AB41)))</f>
        <v/>
      </c>
      <c r="P41" s="73" t="str">
        <f>IF(A41="","",IF(Q41&gt;0,"BUY","HOLD"))</f>
        <v/>
      </c>
      <c r="Q41" s="70" t="str">
        <f>IF(A41="","",IF($W$7&lt;=0,0,IF($AC$6&gt;0,$W$7*AC41/$AC$6,IF($F$6&gt;0,$W$7*N(F41)/$F$6,0))))</f>
        <v/>
      </c>
      <c r="R41" s="103" t="str">
        <f>IF(A41="","",N(AD41)+IF(AI41=1,N(AG41),0))</f>
        <v/>
      </c>
      <c r="S41" s="103" t="str">
        <f>IF(A41="","",N(E41)+N(R41))</f>
        <v/>
      </c>
      <c r="T41" s="70" t="str">
        <f>IF(A41="","",IF(N(R41)&gt;0,R41*H41*W41*$W$6+p_CorrFixa,0))</f>
        <v/>
      </c>
      <c r="V41" s="85" t="str">
        <f>IF(A41="","",IF(D41="",$W$1,D41))</f>
        <v/>
      </c>
      <c r="W41" s="85" t="str">
        <f>IF(A41="","",IFERROR(INDEX(moeda_fx,MATCH(V41,moeda_cod,0)),0))</f>
        <v/>
      </c>
      <c r="X41" s="85" t="str">
        <f>IF(A41="","",IF($W$2="",UPPER(TRIM(A41)),IF(RIGHT(UPPER(TRIM(A41)),LEN($W$2))=$W$2,UPPER(TRIM(A41)),UPPER(TRIM(A41))&amp;$W$2)))</f>
        <v/>
      </c>
      <c r="Y41" s="85" t="str">
        <f>IF(OR(A41="",p_ModoCot&lt;&gt;"Automático"),"",IFERROR(_xlfn.WEBSERVICE("https://query1.finance.yahoo.com/v8/finance/chart/"&amp;X41&amp;"?range=1d&amp;interval=1d"),""))</f>
        <v/>
      </c>
      <c r="Z41" s="85" t="str">
        <f>IF(Y41="","",IFERROR(_xlfn.NUMBERVALUE(MID(Y41,SEARCH("""regularMarketPrice"":",Y41)+21,SEARCH(",",Y41&amp;",",SEARCH("""regularMarketPrice"":",Y41)+21)-SEARCH("""regularMarketPrice"":",Y41)-21),".",","),""))</f>
        <v/>
      </c>
      <c r="AA41" s="85" t="str">
        <f>IF(A41="","",ROUND(MAX(0,N(F41)*($K$6+$W$7)-K41),2))</f>
        <v/>
      </c>
      <c r="AB41" s="85" t="str">
        <f>IF(A41="","",IF(AND(M41&gt;0,M41&gt;=p_DifMin),AA41,0))</f>
        <v/>
      </c>
      <c r="AC41" s="85" t="str">
        <f>IF(A41="","",IF(AND(AB41&gt;0,N(O41)&lt;=p_MaxAtivos),AB41,0))</f>
        <v/>
      </c>
      <c r="AD41" s="85" t="str">
        <f>IF(A41="","",IF(OR(Q41&lt;=0,Q41&lt;p_CompraMin,N(H41)&lt;=0,N(W41)&lt;=0),0,IF($W$3="Sim",TRUNC(ROUND(MAX(0,(Q41-p_CorrFixa)/(H41*W41*$W$6)),9),$W$4),TRUNC(ROUND(MAX(0,(Q41-p_CorrFixa)/(H41*W41*$W$6)),9)/$W$5)*$W$5)))</f>
        <v/>
      </c>
      <c r="AE41" s="85" t="str">
        <f>IF(A41="","",IF(N(AD41)&gt;0,AD41*H41*W41*$W$6+p_CorrFixa,0))</f>
        <v/>
      </c>
      <c r="AF41" s="85" t="str">
        <f>IF(A41="","",IF(OR($Y$1&lt;=0,N(H41)&lt;=0,N(W41)&lt;=0,N(AB41)&lt;=0),0,IF($W$3="Sim",TRUNC(ROUND(MAX(0,($Y$1-IF(N(AD41)&gt;0,0,p_CorrFixa))/(H41*W41*$W$6)),9),$W$4),TRUNC(ROUND(MAX(0,($Y$1-IF(N(AD41)&gt;0,0,p_CorrFixa))/(H41*W41*$W$6)),9)/$W$5)*$W$5)))</f>
        <v/>
      </c>
      <c r="AG41" s="85" t="str">
        <f>IF(A41="","",IF(AND(N(AD41)=0,N(AF41)*(H41*W41*$W$6)+p_CorrFixa&lt;p_CompraMin),0,AF41))</f>
        <v/>
      </c>
      <c r="AH41" s="85" t="str">
        <f>IF(A41="","",IF(N(AG41)&gt;0,AB41,0))</f>
        <v/>
      </c>
      <c r="AI41" s="85" t="str">
        <f>IF(A41="","",IF(AND(AH41&gt;0,AH41=$AH$6,COUNTIF($AH$9:AH41,AH41)=1),1,0))</f>
        <v/>
      </c>
    </row>
    <row r="42">
      <c r="A42" s="96" t="n"/>
      <c r="B42" s="96" t="n"/>
      <c r="C42" s="96" t="n"/>
      <c r="D42" s="97" t="n"/>
      <c r="E42" s="98" t="n"/>
      <c r="F42" s="99" t="n"/>
      <c r="G42" s="100" t="n"/>
      <c r="H42" s="104" t="str">
        <f>IF(A42="","",IF(AND(p_ModoCot="Automático",ISNUMBER(Z42)),Z42,IF(N(G42)&gt;0,G42,0)))</f>
        <v/>
      </c>
      <c r="I42" s="105" t="str">
        <f>IF(A42="","",IF(W42=0,"Sem câmbio",IF(AND(p_ModoCot="Automático",ISNUMBER(Z42)),"Auto",IF(N(G42)&gt;0,"Manual","Sem cotação"))))</f>
        <v/>
      </c>
      <c r="J42" s="106" t="str">
        <f>IF(A42="","",N(E42)*H42)</f>
        <v/>
      </c>
      <c r="K42" s="107" t="str">
        <f>IF(A42="","",J42*W42)</f>
        <v/>
      </c>
      <c r="L42" s="108" t="str">
        <f>IF(A42="","",IF($K$6&gt;0,K42/$K$6,0))</f>
        <v/>
      </c>
      <c r="M42" s="109" t="str">
        <f>IF(A42="","",N(F42)-L42)</f>
        <v/>
      </c>
      <c r="N42" s="108" t="str">
        <f>IF(A42="","",IF($AB$6&gt;0,AB42/$AB$6,0))</f>
        <v/>
      </c>
      <c r="O42" s="110" t="str">
        <f>IF(A42="","",IF(AB42&lt;=0,"",COUNTIF($AB$9:$AB$208,"&gt;"&amp;AB42)+COUNTIF($AB$9:AB42,AB42)))</f>
        <v/>
      </c>
      <c r="P42" s="105" t="str">
        <f>IF(A42="","",IF(Q42&gt;0,"BUY","HOLD"))</f>
        <v/>
      </c>
      <c r="Q42" s="107" t="str">
        <f>IF(A42="","",IF($W$7&lt;=0,0,IF($AC$6&gt;0,$W$7*AC42/$AC$6,IF($F$6&gt;0,$W$7*N(F42)/$F$6,0))))</f>
        <v/>
      </c>
      <c r="R42" s="111" t="str">
        <f>IF(A42="","",N(AD42)+IF(AI42=1,N(AG42),0))</f>
        <v/>
      </c>
      <c r="S42" s="111" t="str">
        <f>IF(A42="","",N(E42)+N(R42))</f>
        <v/>
      </c>
      <c r="T42" s="107" t="str">
        <f>IF(A42="","",IF(N(R42)&gt;0,R42*H42*W42*$W$6+p_CorrFixa,0))</f>
        <v/>
      </c>
      <c r="V42" s="85" t="str">
        <f>IF(A42="","",IF(D42="",$W$1,D42))</f>
        <v/>
      </c>
      <c r="W42" s="85" t="str">
        <f>IF(A42="","",IFERROR(INDEX(moeda_fx,MATCH(V42,moeda_cod,0)),0))</f>
        <v/>
      </c>
      <c r="X42" s="85" t="str">
        <f>IF(A42="","",IF($W$2="",UPPER(TRIM(A42)),IF(RIGHT(UPPER(TRIM(A42)),LEN($W$2))=$W$2,UPPER(TRIM(A42)),UPPER(TRIM(A42))&amp;$W$2)))</f>
        <v/>
      </c>
      <c r="Y42" s="85" t="str">
        <f>IF(OR(A42="",p_ModoCot&lt;&gt;"Automático"),"",IFERROR(_xlfn.WEBSERVICE("https://query1.finance.yahoo.com/v8/finance/chart/"&amp;X42&amp;"?range=1d&amp;interval=1d"),""))</f>
        <v/>
      </c>
      <c r="Z42" s="85" t="str">
        <f>IF(Y42="","",IFERROR(_xlfn.NUMBERVALUE(MID(Y42,SEARCH("""regularMarketPrice"":",Y42)+21,SEARCH(",",Y42&amp;",",SEARCH("""regularMarketPrice"":",Y42)+21)-SEARCH("""regularMarketPrice"":",Y42)-21),".",","),""))</f>
        <v/>
      </c>
      <c r="AA42" s="85" t="str">
        <f>IF(A42="","",ROUND(MAX(0,N(F42)*($K$6+$W$7)-K42),2))</f>
        <v/>
      </c>
      <c r="AB42" s="85" t="str">
        <f>IF(A42="","",IF(AND(M42&gt;0,M42&gt;=p_DifMin),AA42,0))</f>
        <v/>
      </c>
      <c r="AC42" s="85" t="str">
        <f>IF(A42="","",IF(AND(AB42&gt;0,N(O42)&lt;=p_MaxAtivos),AB42,0))</f>
        <v/>
      </c>
      <c r="AD42" s="85" t="str">
        <f>IF(A42="","",IF(OR(Q42&lt;=0,Q42&lt;p_CompraMin,N(H42)&lt;=0,N(W42)&lt;=0),0,IF($W$3="Sim",TRUNC(ROUND(MAX(0,(Q42-p_CorrFixa)/(H42*W42*$W$6)),9),$W$4),TRUNC(ROUND(MAX(0,(Q42-p_CorrFixa)/(H42*W42*$W$6)),9)/$W$5)*$W$5)))</f>
        <v/>
      </c>
      <c r="AE42" s="85" t="str">
        <f>IF(A42="","",IF(N(AD42)&gt;0,AD42*H42*W42*$W$6+p_CorrFixa,0))</f>
        <v/>
      </c>
      <c r="AF42" s="85" t="str">
        <f>IF(A42="","",IF(OR($Y$1&lt;=0,N(H42)&lt;=0,N(W42)&lt;=0,N(AB42)&lt;=0),0,IF($W$3="Sim",TRUNC(ROUND(MAX(0,($Y$1-IF(N(AD42)&gt;0,0,p_CorrFixa))/(H42*W42*$W$6)),9),$W$4),TRUNC(ROUND(MAX(0,($Y$1-IF(N(AD42)&gt;0,0,p_CorrFixa))/(H42*W42*$W$6)),9)/$W$5)*$W$5)))</f>
        <v/>
      </c>
      <c r="AG42" s="85" t="str">
        <f>IF(A42="","",IF(AND(N(AD42)=0,N(AF42)*(H42*W42*$W$6)+p_CorrFixa&lt;p_CompraMin),0,AF42))</f>
        <v/>
      </c>
      <c r="AH42" s="85" t="str">
        <f>IF(A42="","",IF(N(AG42)&gt;0,AB42,0))</f>
        <v/>
      </c>
      <c r="AI42" s="85" t="str">
        <f>IF(A42="","",IF(AND(AH42&gt;0,AH42=$AH$6,COUNTIF($AH$9:AH42,AH42)=1),1,0))</f>
        <v/>
      </c>
    </row>
    <row r="43">
      <c r="A43" s="96" t="n"/>
      <c r="B43" s="96" t="n"/>
      <c r="C43" s="96" t="n"/>
      <c r="D43" s="97" t="n"/>
      <c r="E43" s="98" t="n"/>
      <c r="F43" s="99" t="n"/>
      <c r="G43" s="100" t="n"/>
      <c r="H43" s="101" t="str">
        <f>IF(A43="","",IF(AND(p_ModoCot="Automático",ISNUMBER(Z43)),Z43,IF(N(G43)&gt;0,G43,0)))</f>
        <v/>
      </c>
      <c r="I43" s="73" t="str">
        <f>IF(A43="","",IF(W43=0,"Sem câmbio",IF(AND(p_ModoCot="Automático",ISNUMBER(Z43)),"Auto",IF(N(G43)&gt;0,"Manual","Sem cotação"))))</f>
        <v/>
      </c>
      <c r="J43" s="102" t="str">
        <f>IF(A43="","",N(E43)*H43)</f>
        <v/>
      </c>
      <c r="K43" s="70" t="str">
        <f>IF(A43="","",J43*W43)</f>
        <v/>
      </c>
      <c r="L43" s="30" t="str">
        <f>IF(A43="","",IF($K$6&gt;0,K43/$K$6,0))</f>
        <v/>
      </c>
      <c r="M43" s="72" t="str">
        <f>IF(A43="","",N(F43)-L43)</f>
        <v/>
      </c>
      <c r="N43" s="30" t="str">
        <f>IF(A43="","",IF($AB$6&gt;0,AB43/$AB$6,0))</f>
        <v/>
      </c>
      <c r="O43" s="74" t="str">
        <f>IF(A43="","",IF(AB43&lt;=0,"",COUNTIF($AB$9:$AB$208,"&gt;"&amp;AB43)+COUNTIF($AB$9:AB43,AB43)))</f>
        <v/>
      </c>
      <c r="P43" s="73" t="str">
        <f>IF(A43="","",IF(Q43&gt;0,"BUY","HOLD"))</f>
        <v/>
      </c>
      <c r="Q43" s="70" t="str">
        <f>IF(A43="","",IF($W$7&lt;=0,0,IF($AC$6&gt;0,$W$7*AC43/$AC$6,IF($F$6&gt;0,$W$7*N(F43)/$F$6,0))))</f>
        <v/>
      </c>
      <c r="R43" s="103" t="str">
        <f>IF(A43="","",N(AD43)+IF(AI43=1,N(AG43),0))</f>
        <v/>
      </c>
      <c r="S43" s="103" t="str">
        <f>IF(A43="","",N(E43)+N(R43))</f>
        <v/>
      </c>
      <c r="T43" s="70" t="str">
        <f>IF(A43="","",IF(N(R43)&gt;0,R43*H43*W43*$W$6+p_CorrFixa,0))</f>
        <v/>
      </c>
      <c r="V43" s="85" t="str">
        <f>IF(A43="","",IF(D43="",$W$1,D43))</f>
        <v/>
      </c>
      <c r="W43" s="85" t="str">
        <f>IF(A43="","",IFERROR(INDEX(moeda_fx,MATCH(V43,moeda_cod,0)),0))</f>
        <v/>
      </c>
      <c r="X43" s="85" t="str">
        <f>IF(A43="","",IF($W$2="",UPPER(TRIM(A43)),IF(RIGHT(UPPER(TRIM(A43)),LEN($W$2))=$W$2,UPPER(TRIM(A43)),UPPER(TRIM(A43))&amp;$W$2)))</f>
        <v/>
      </c>
      <c r="Y43" s="85" t="str">
        <f>IF(OR(A43="",p_ModoCot&lt;&gt;"Automático"),"",IFERROR(_xlfn.WEBSERVICE("https://query1.finance.yahoo.com/v8/finance/chart/"&amp;X43&amp;"?range=1d&amp;interval=1d"),""))</f>
        <v/>
      </c>
      <c r="Z43" s="85" t="str">
        <f>IF(Y43="","",IFERROR(_xlfn.NUMBERVALUE(MID(Y43,SEARCH("""regularMarketPrice"":",Y43)+21,SEARCH(",",Y43&amp;",",SEARCH("""regularMarketPrice"":",Y43)+21)-SEARCH("""regularMarketPrice"":",Y43)-21),".",","),""))</f>
        <v/>
      </c>
      <c r="AA43" s="85" t="str">
        <f>IF(A43="","",ROUND(MAX(0,N(F43)*($K$6+$W$7)-K43),2))</f>
        <v/>
      </c>
      <c r="AB43" s="85" t="str">
        <f>IF(A43="","",IF(AND(M43&gt;0,M43&gt;=p_DifMin),AA43,0))</f>
        <v/>
      </c>
      <c r="AC43" s="85" t="str">
        <f>IF(A43="","",IF(AND(AB43&gt;0,N(O43)&lt;=p_MaxAtivos),AB43,0))</f>
        <v/>
      </c>
      <c r="AD43" s="85" t="str">
        <f>IF(A43="","",IF(OR(Q43&lt;=0,Q43&lt;p_CompraMin,N(H43)&lt;=0,N(W43)&lt;=0),0,IF($W$3="Sim",TRUNC(ROUND(MAX(0,(Q43-p_CorrFixa)/(H43*W43*$W$6)),9),$W$4),TRUNC(ROUND(MAX(0,(Q43-p_CorrFixa)/(H43*W43*$W$6)),9)/$W$5)*$W$5)))</f>
        <v/>
      </c>
      <c r="AE43" s="85" t="str">
        <f>IF(A43="","",IF(N(AD43)&gt;0,AD43*H43*W43*$W$6+p_CorrFixa,0))</f>
        <v/>
      </c>
      <c r="AF43" s="85" t="str">
        <f>IF(A43="","",IF(OR($Y$1&lt;=0,N(H43)&lt;=0,N(W43)&lt;=0,N(AB43)&lt;=0),0,IF($W$3="Sim",TRUNC(ROUND(MAX(0,($Y$1-IF(N(AD43)&gt;0,0,p_CorrFixa))/(H43*W43*$W$6)),9),$W$4),TRUNC(ROUND(MAX(0,($Y$1-IF(N(AD43)&gt;0,0,p_CorrFixa))/(H43*W43*$W$6)),9)/$W$5)*$W$5)))</f>
        <v/>
      </c>
      <c r="AG43" s="85" t="str">
        <f>IF(A43="","",IF(AND(N(AD43)=0,N(AF43)*(H43*W43*$W$6)+p_CorrFixa&lt;p_CompraMin),0,AF43))</f>
        <v/>
      </c>
      <c r="AH43" s="85" t="str">
        <f>IF(A43="","",IF(N(AG43)&gt;0,AB43,0))</f>
        <v/>
      </c>
      <c r="AI43" s="85" t="str">
        <f>IF(A43="","",IF(AND(AH43&gt;0,AH43=$AH$6,COUNTIF($AH$9:AH43,AH43)=1),1,0))</f>
        <v/>
      </c>
    </row>
    <row r="44">
      <c r="A44" s="96" t="n"/>
      <c r="B44" s="96" t="n"/>
      <c r="C44" s="96" t="n"/>
      <c r="D44" s="97" t="n"/>
      <c r="E44" s="98" t="n"/>
      <c r="F44" s="99" t="n"/>
      <c r="G44" s="100" t="n"/>
      <c r="H44" s="104" t="str">
        <f>IF(A44="","",IF(AND(p_ModoCot="Automático",ISNUMBER(Z44)),Z44,IF(N(G44)&gt;0,G44,0)))</f>
        <v/>
      </c>
      <c r="I44" s="105" t="str">
        <f>IF(A44="","",IF(W44=0,"Sem câmbio",IF(AND(p_ModoCot="Automático",ISNUMBER(Z44)),"Auto",IF(N(G44)&gt;0,"Manual","Sem cotação"))))</f>
        <v/>
      </c>
      <c r="J44" s="106" t="str">
        <f>IF(A44="","",N(E44)*H44)</f>
        <v/>
      </c>
      <c r="K44" s="107" t="str">
        <f>IF(A44="","",J44*W44)</f>
        <v/>
      </c>
      <c r="L44" s="108" t="str">
        <f>IF(A44="","",IF($K$6&gt;0,K44/$K$6,0))</f>
        <v/>
      </c>
      <c r="M44" s="109" t="str">
        <f>IF(A44="","",N(F44)-L44)</f>
        <v/>
      </c>
      <c r="N44" s="108" t="str">
        <f>IF(A44="","",IF($AB$6&gt;0,AB44/$AB$6,0))</f>
        <v/>
      </c>
      <c r="O44" s="110" t="str">
        <f>IF(A44="","",IF(AB44&lt;=0,"",COUNTIF($AB$9:$AB$208,"&gt;"&amp;AB44)+COUNTIF($AB$9:AB44,AB44)))</f>
        <v/>
      </c>
      <c r="P44" s="105" t="str">
        <f>IF(A44="","",IF(Q44&gt;0,"BUY","HOLD"))</f>
        <v/>
      </c>
      <c r="Q44" s="107" t="str">
        <f>IF(A44="","",IF($W$7&lt;=0,0,IF($AC$6&gt;0,$W$7*AC44/$AC$6,IF($F$6&gt;0,$W$7*N(F44)/$F$6,0))))</f>
        <v/>
      </c>
      <c r="R44" s="111" t="str">
        <f>IF(A44="","",N(AD44)+IF(AI44=1,N(AG44),0))</f>
        <v/>
      </c>
      <c r="S44" s="111" t="str">
        <f>IF(A44="","",N(E44)+N(R44))</f>
        <v/>
      </c>
      <c r="T44" s="107" t="str">
        <f>IF(A44="","",IF(N(R44)&gt;0,R44*H44*W44*$W$6+p_CorrFixa,0))</f>
        <v/>
      </c>
      <c r="V44" s="85" t="str">
        <f>IF(A44="","",IF(D44="",$W$1,D44))</f>
        <v/>
      </c>
      <c r="W44" s="85" t="str">
        <f>IF(A44="","",IFERROR(INDEX(moeda_fx,MATCH(V44,moeda_cod,0)),0))</f>
        <v/>
      </c>
      <c r="X44" s="85" t="str">
        <f>IF(A44="","",IF($W$2="",UPPER(TRIM(A44)),IF(RIGHT(UPPER(TRIM(A44)),LEN($W$2))=$W$2,UPPER(TRIM(A44)),UPPER(TRIM(A44))&amp;$W$2)))</f>
        <v/>
      </c>
      <c r="Y44" s="85" t="str">
        <f>IF(OR(A44="",p_ModoCot&lt;&gt;"Automático"),"",IFERROR(_xlfn.WEBSERVICE("https://query1.finance.yahoo.com/v8/finance/chart/"&amp;X44&amp;"?range=1d&amp;interval=1d"),""))</f>
        <v/>
      </c>
      <c r="Z44" s="85" t="str">
        <f>IF(Y44="","",IFERROR(_xlfn.NUMBERVALUE(MID(Y44,SEARCH("""regularMarketPrice"":",Y44)+21,SEARCH(",",Y44&amp;",",SEARCH("""regularMarketPrice"":",Y44)+21)-SEARCH("""regularMarketPrice"":",Y44)-21),".",","),""))</f>
        <v/>
      </c>
      <c r="AA44" s="85" t="str">
        <f>IF(A44="","",ROUND(MAX(0,N(F44)*($K$6+$W$7)-K44),2))</f>
        <v/>
      </c>
      <c r="AB44" s="85" t="str">
        <f>IF(A44="","",IF(AND(M44&gt;0,M44&gt;=p_DifMin),AA44,0))</f>
        <v/>
      </c>
      <c r="AC44" s="85" t="str">
        <f>IF(A44="","",IF(AND(AB44&gt;0,N(O44)&lt;=p_MaxAtivos),AB44,0))</f>
        <v/>
      </c>
      <c r="AD44" s="85" t="str">
        <f>IF(A44="","",IF(OR(Q44&lt;=0,Q44&lt;p_CompraMin,N(H44)&lt;=0,N(W44)&lt;=0),0,IF($W$3="Sim",TRUNC(ROUND(MAX(0,(Q44-p_CorrFixa)/(H44*W44*$W$6)),9),$W$4),TRUNC(ROUND(MAX(0,(Q44-p_CorrFixa)/(H44*W44*$W$6)),9)/$W$5)*$W$5)))</f>
        <v/>
      </c>
      <c r="AE44" s="85" t="str">
        <f>IF(A44="","",IF(N(AD44)&gt;0,AD44*H44*W44*$W$6+p_CorrFixa,0))</f>
        <v/>
      </c>
      <c r="AF44" s="85" t="str">
        <f>IF(A44="","",IF(OR($Y$1&lt;=0,N(H44)&lt;=0,N(W44)&lt;=0,N(AB44)&lt;=0),0,IF($W$3="Sim",TRUNC(ROUND(MAX(0,($Y$1-IF(N(AD44)&gt;0,0,p_CorrFixa))/(H44*W44*$W$6)),9),$W$4),TRUNC(ROUND(MAX(0,($Y$1-IF(N(AD44)&gt;0,0,p_CorrFixa))/(H44*W44*$W$6)),9)/$W$5)*$W$5)))</f>
        <v/>
      </c>
      <c r="AG44" s="85" t="str">
        <f>IF(A44="","",IF(AND(N(AD44)=0,N(AF44)*(H44*W44*$W$6)+p_CorrFixa&lt;p_CompraMin),0,AF44))</f>
        <v/>
      </c>
      <c r="AH44" s="85" t="str">
        <f>IF(A44="","",IF(N(AG44)&gt;0,AB44,0))</f>
        <v/>
      </c>
      <c r="AI44" s="85" t="str">
        <f>IF(A44="","",IF(AND(AH44&gt;0,AH44=$AH$6,COUNTIF($AH$9:AH44,AH44)=1),1,0))</f>
        <v/>
      </c>
    </row>
    <row r="45">
      <c r="A45" s="96" t="n"/>
      <c r="B45" s="96" t="n"/>
      <c r="C45" s="96" t="n"/>
      <c r="D45" s="97" t="n"/>
      <c r="E45" s="98" t="n"/>
      <c r="F45" s="99" t="n"/>
      <c r="G45" s="100" t="n"/>
      <c r="H45" s="101" t="str">
        <f>IF(A45="","",IF(AND(p_ModoCot="Automático",ISNUMBER(Z45)),Z45,IF(N(G45)&gt;0,G45,0)))</f>
        <v/>
      </c>
      <c r="I45" s="73" t="str">
        <f>IF(A45="","",IF(W45=0,"Sem câmbio",IF(AND(p_ModoCot="Automático",ISNUMBER(Z45)),"Auto",IF(N(G45)&gt;0,"Manual","Sem cotação"))))</f>
        <v/>
      </c>
      <c r="J45" s="102" t="str">
        <f>IF(A45="","",N(E45)*H45)</f>
        <v/>
      </c>
      <c r="K45" s="70" t="str">
        <f>IF(A45="","",J45*W45)</f>
        <v/>
      </c>
      <c r="L45" s="30" t="str">
        <f>IF(A45="","",IF($K$6&gt;0,K45/$K$6,0))</f>
        <v/>
      </c>
      <c r="M45" s="72" t="str">
        <f>IF(A45="","",N(F45)-L45)</f>
        <v/>
      </c>
      <c r="N45" s="30" t="str">
        <f>IF(A45="","",IF($AB$6&gt;0,AB45/$AB$6,0))</f>
        <v/>
      </c>
      <c r="O45" s="74" t="str">
        <f>IF(A45="","",IF(AB45&lt;=0,"",COUNTIF($AB$9:$AB$208,"&gt;"&amp;AB45)+COUNTIF($AB$9:AB45,AB45)))</f>
        <v/>
      </c>
      <c r="P45" s="73" t="str">
        <f>IF(A45="","",IF(Q45&gt;0,"BUY","HOLD"))</f>
        <v/>
      </c>
      <c r="Q45" s="70" t="str">
        <f>IF(A45="","",IF($W$7&lt;=0,0,IF($AC$6&gt;0,$W$7*AC45/$AC$6,IF($F$6&gt;0,$W$7*N(F45)/$F$6,0))))</f>
        <v/>
      </c>
      <c r="R45" s="103" t="str">
        <f>IF(A45="","",N(AD45)+IF(AI45=1,N(AG45),0))</f>
        <v/>
      </c>
      <c r="S45" s="103" t="str">
        <f>IF(A45="","",N(E45)+N(R45))</f>
        <v/>
      </c>
      <c r="T45" s="70" t="str">
        <f>IF(A45="","",IF(N(R45)&gt;0,R45*H45*W45*$W$6+p_CorrFixa,0))</f>
        <v/>
      </c>
      <c r="V45" s="85" t="str">
        <f>IF(A45="","",IF(D45="",$W$1,D45))</f>
        <v/>
      </c>
      <c r="W45" s="85" t="str">
        <f>IF(A45="","",IFERROR(INDEX(moeda_fx,MATCH(V45,moeda_cod,0)),0))</f>
        <v/>
      </c>
      <c r="X45" s="85" t="str">
        <f>IF(A45="","",IF($W$2="",UPPER(TRIM(A45)),IF(RIGHT(UPPER(TRIM(A45)),LEN($W$2))=$W$2,UPPER(TRIM(A45)),UPPER(TRIM(A45))&amp;$W$2)))</f>
        <v/>
      </c>
      <c r="Y45" s="85" t="str">
        <f>IF(OR(A45="",p_ModoCot&lt;&gt;"Automático"),"",IFERROR(_xlfn.WEBSERVICE("https://query1.finance.yahoo.com/v8/finance/chart/"&amp;X45&amp;"?range=1d&amp;interval=1d"),""))</f>
        <v/>
      </c>
      <c r="Z45" s="85" t="str">
        <f>IF(Y45="","",IFERROR(_xlfn.NUMBERVALUE(MID(Y45,SEARCH("""regularMarketPrice"":",Y45)+21,SEARCH(",",Y45&amp;",",SEARCH("""regularMarketPrice"":",Y45)+21)-SEARCH("""regularMarketPrice"":",Y45)-21),".",","),""))</f>
        <v/>
      </c>
      <c r="AA45" s="85" t="str">
        <f>IF(A45="","",ROUND(MAX(0,N(F45)*($K$6+$W$7)-K45),2))</f>
        <v/>
      </c>
      <c r="AB45" s="85" t="str">
        <f>IF(A45="","",IF(AND(M45&gt;0,M45&gt;=p_DifMin),AA45,0))</f>
        <v/>
      </c>
      <c r="AC45" s="85" t="str">
        <f>IF(A45="","",IF(AND(AB45&gt;0,N(O45)&lt;=p_MaxAtivos),AB45,0))</f>
        <v/>
      </c>
      <c r="AD45" s="85" t="str">
        <f>IF(A45="","",IF(OR(Q45&lt;=0,Q45&lt;p_CompraMin,N(H45)&lt;=0,N(W45)&lt;=0),0,IF($W$3="Sim",TRUNC(ROUND(MAX(0,(Q45-p_CorrFixa)/(H45*W45*$W$6)),9),$W$4),TRUNC(ROUND(MAX(0,(Q45-p_CorrFixa)/(H45*W45*$W$6)),9)/$W$5)*$W$5)))</f>
        <v/>
      </c>
      <c r="AE45" s="85" t="str">
        <f>IF(A45="","",IF(N(AD45)&gt;0,AD45*H45*W45*$W$6+p_CorrFixa,0))</f>
        <v/>
      </c>
      <c r="AF45" s="85" t="str">
        <f>IF(A45="","",IF(OR($Y$1&lt;=0,N(H45)&lt;=0,N(W45)&lt;=0,N(AB45)&lt;=0),0,IF($W$3="Sim",TRUNC(ROUND(MAX(0,($Y$1-IF(N(AD45)&gt;0,0,p_CorrFixa))/(H45*W45*$W$6)),9),$W$4),TRUNC(ROUND(MAX(0,($Y$1-IF(N(AD45)&gt;0,0,p_CorrFixa))/(H45*W45*$W$6)),9)/$W$5)*$W$5)))</f>
        <v/>
      </c>
      <c r="AG45" s="85" t="str">
        <f>IF(A45="","",IF(AND(N(AD45)=0,N(AF45)*(H45*W45*$W$6)+p_CorrFixa&lt;p_CompraMin),0,AF45))</f>
        <v/>
      </c>
      <c r="AH45" s="85" t="str">
        <f>IF(A45="","",IF(N(AG45)&gt;0,AB45,0))</f>
        <v/>
      </c>
      <c r="AI45" s="85" t="str">
        <f>IF(A45="","",IF(AND(AH45&gt;0,AH45=$AH$6,COUNTIF($AH$9:AH45,AH45)=1),1,0))</f>
        <v/>
      </c>
    </row>
    <row r="46">
      <c r="A46" s="96" t="n"/>
      <c r="B46" s="96" t="n"/>
      <c r="C46" s="96" t="n"/>
      <c r="D46" s="97" t="n"/>
      <c r="E46" s="98" t="n"/>
      <c r="F46" s="99" t="n"/>
      <c r="G46" s="100" t="n"/>
      <c r="H46" s="104" t="str">
        <f>IF(A46="","",IF(AND(p_ModoCot="Automático",ISNUMBER(Z46)),Z46,IF(N(G46)&gt;0,G46,0)))</f>
        <v/>
      </c>
      <c r="I46" s="105" t="str">
        <f>IF(A46="","",IF(W46=0,"Sem câmbio",IF(AND(p_ModoCot="Automático",ISNUMBER(Z46)),"Auto",IF(N(G46)&gt;0,"Manual","Sem cotação"))))</f>
        <v/>
      </c>
      <c r="J46" s="106" t="str">
        <f>IF(A46="","",N(E46)*H46)</f>
        <v/>
      </c>
      <c r="K46" s="107" t="str">
        <f>IF(A46="","",J46*W46)</f>
        <v/>
      </c>
      <c r="L46" s="108" t="str">
        <f>IF(A46="","",IF($K$6&gt;0,K46/$K$6,0))</f>
        <v/>
      </c>
      <c r="M46" s="109" t="str">
        <f>IF(A46="","",N(F46)-L46)</f>
        <v/>
      </c>
      <c r="N46" s="108" t="str">
        <f>IF(A46="","",IF($AB$6&gt;0,AB46/$AB$6,0))</f>
        <v/>
      </c>
      <c r="O46" s="110" t="str">
        <f>IF(A46="","",IF(AB46&lt;=0,"",COUNTIF($AB$9:$AB$208,"&gt;"&amp;AB46)+COUNTIF($AB$9:AB46,AB46)))</f>
        <v/>
      </c>
      <c r="P46" s="105" t="str">
        <f>IF(A46="","",IF(Q46&gt;0,"BUY","HOLD"))</f>
        <v/>
      </c>
      <c r="Q46" s="107" t="str">
        <f>IF(A46="","",IF($W$7&lt;=0,0,IF($AC$6&gt;0,$W$7*AC46/$AC$6,IF($F$6&gt;0,$W$7*N(F46)/$F$6,0))))</f>
        <v/>
      </c>
      <c r="R46" s="111" t="str">
        <f>IF(A46="","",N(AD46)+IF(AI46=1,N(AG46),0))</f>
        <v/>
      </c>
      <c r="S46" s="111" t="str">
        <f>IF(A46="","",N(E46)+N(R46))</f>
        <v/>
      </c>
      <c r="T46" s="107" t="str">
        <f>IF(A46="","",IF(N(R46)&gt;0,R46*H46*W46*$W$6+p_CorrFixa,0))</f>
        <v/>
      </c>
      <c r="V46" s="85" t="str">
        <f>IF(A46="","",IF(D46="",$W$1,D46))</f>
        <v/>
      </c>
      <c r="W46" s="85" t="str">
        <f>IF(A46="","",IFERROR(INDEX(moeda_fx,MATCH(V46,moeda_cod,0)),0))</f>
        <v/>
      </c>
      <c r="X46" s="85" t="str">
        <f>IF(A46="","",IF($W$2="",UPPER(TRIM(A46)),IF(RIGHT(UPPER(TRIM(A46)),LEN($W$2))=$W$2,UPPER(TRIM(A46)),UPPER(TRIM(A46))&amp;$W$2)))</f>
        <v/>
      </c>
      <c r="Y46" s="85" t="str">
        <f>IF(OR(A46="",p_ModoCot&lt;&gt;"Automático"),"",IFERROR(_xlfn.WEBSERVICE("https://query1.finance.yahoo.com/v8/finance/chart/"&amp;X46&amp;"?range=1d&amp;interval=1d"),""))</f>
        <v/>
      </c>
      <c r="Z46" s="85" t="str">
        <f>IF(Y46="","",IFERROR(_xlfn.NUMBERVALUE(MID(Y46,SEARCH("""regularMarketPrice"":",Y46)+21,SEARCH(",",Y46&amp;",",SEARCH("""regularMarketPrice"":",Y46)+21)-SEARCH("""regularMarketPrice"":",Y46)-21),".",","),""))</f>
        <v/>
      </c>
      <c r="AA46" s="85" t="str">
        <f>IF(A46="","",ROUND(MAX(0,N(F46)*($K$6+$W$7)-K46),2))</f>
        <v/>
      </c>
      <c r="AB46" s="85" t="str">
        <f>IF(A46="","",IF(AND(M46&gt;0,M46&gt;=p_DifMin),AA46,0))</f>
        <v/>
      </c>
      <c r="AC46" s="85" t="str">
        <f>IF(A46="","",IF(AND(AB46&gt;0,N(O46)&lt;=p_MaxAtivos),AB46,0))</f>
        <v/>
      </c>
      <c r="AD46" s="85" t="str">
        <f>IF(A46="","",IF(OR(Q46&lt;=0,Q46&lt;p_CompraMin,N(H46)&lt;=0,N(W46)&lt;=0),0,IF($W$3="Sim",TRUNC(ROUND(MAX(0,(Q46-p_CorrFixa)/(H46*W46*$W$6)),9),$W$4),TRUNC(ROUND(MAX(0,(Q46-p_CorrFixa)/(H46*W46*$W$6)),9)/$W$5)*$W$5)))</f>
        <v/>
      </c>
      <c r="AE46" s="85" t="str">
        <f>IF(A46="","",IF(N(AD46)&gt;0,AD46*H46*W46*$W$6+p_CorrFixa,0))</f>
        <v/>
      </c>
      <c r="AF46" s="85" t="str">
        <f>IF(A46="","",IF(OR($Y$1&lt;=0,N(H46)&lt;=0,N(W46)&lt;=0,N(AB46)&lt;=0),0,IF($W$3="Sim",TRUNC(ROUND(MAX(0,($Y$1-IF(N(AD46)&gt;0,0,p_CorrFixa))/(H46*W46*$W$6)),9),$W$4),TRUNC(ROUND(MAX(0,($Y$1-IF(N(AD46)&gt;0,0,p_CorrFixa))/(H46*W46*$W$6)),9)/$W$5)*$W$5)))</f>
        <v/>
      </c>
      <c r="AG46" s="85" t="str">
        <f>IF(A46="","",IF(AND(N(AD46)=0,N(AF46)*(H46*W46*$W$6)+p_CorrFixa&lt;p_CompraMin),0,AF46))</f>
        <v/>
      </c>
      <c r="AH46" s="85" t="str">
        <f>IF(A46="","",IF(N(AG46)&gt;0,AB46,0))</f>
        <v/>
      </c>
      <c r="AI46" s="85" t="str">
        <f>IF(A46="","",IF(AND(AH46&gt;0,AH46=$AH$6,COUNTIF($AH$9:AH46,AH46)=1),1,0))</f>
        <v/>
      </c>
    </row>
    <row r="47">
      <c r="A47" s="96" t="n"/>
      <c r="B47" s="96" t="n"/>
      <c r="C47" s="96" t="n"/>
      <c r="D47" s="97" t="n"/>
      <c r="E47" s="98" t="n"/>
      <c r="F47" s="99" t="n"/>
      <c r="G47" s="100" t="n"/>
      <c r="H47" s="101" t="str">
        <f>IF(A47="","",IF(AND(p_ModoCot="Automático",ISNUMBER(Z47)),Z47,IF(N(G47)&gt;0,G47,0)))</f>
        <v/>
      </c>
      <c r="I47" s="73" t="str">
        <f>IF(A47="","",IF(W47=0,"Sem câmbio",IF(AND(p_ModoCot="Automático",ISNUMBER(Z47)),"Auto",IF(N(G47)&gt;0,"Manual","Sem cotação"))))</f>
        <v/>
      </c>
      <c r="J47" s="102" t="str">
        <f>IF(A47="","",N(E47)*H47)</f>
        <v/>
      </c>
      <c r="K47" s="70" t="str">
        <f>IF(A47="","",J47*W47)</f>
        <v/>
      </c>
      <c r="L47" s="30" t="str">
        <f>IF(A47="","",IF($K$6&gt;0,K47/$K$6,0))</f>
        <v/>
      </c>
      <c r="M47" s="72" t="str">
        <f>IF(A47="","",N(F47)-L47)</f>
        <v/>
      </c>
      <c r="N47" s="30" t="str">
        <f>IF(A47="","",IF($AB$6&gt;0,AB47/$AB$6,0))</f>
        <v/>
      </c>
      <c r="O47" s="74" t="str">
        <f>IF(A47="","",IF(AB47&lt;=0,"",COUNTIF($AB$9:$AB$208,"&gt;"&amp;AB47)+COUNTIF($AB$9:AB47,AB47)))</f>
        <v/>
      </c>
      <c r="P47" s="73" t="str">
        <f>IF(A47="","",IF(Q47&gt;0,"BUY","HOLD"))</f>
        <v/>
      </c>
      <c r="Q47" s="70" t="str">
        <f>IF(A47="","",IF($W$7&lt;=0,0,IF($AC$6&gt;0,$W$7*AC47/$AC$6,IF($F$6&gt;0,$W$7*N(F47)/$F$6,0))))</f>
        <v/>
      </c>
      <c r="R47" s="103" t="str">
        <f>IF(A47="","",N(AD47)+IF(AI47=1,N(AG47),0))</f>
        <v/>
      </c>
      <c r="S47" s="103" t="str">
        <f>IF(A47="","",N(E47)+N(R47))</f>
        <v/>
      </c>
      <c r="T47" s="70" t="str">
        <f>IF(A47="","",IF(N(R47)&gt;0,R47*H47*W47*$W$6+p_CorrFixa,0))</f>
        <v/>
      </c>
      <c r="V47" s="85" t="str">
        <f>IF(A47="","",IF(D47="",$W$1,D47))</f>
        <v/>
      </c>
      <c r="W47" s="85" t="str">
        <f>IF(A47="","",IFERROR(INDEX(moeda_fx,MATCH(V47,moeda_cod,0)),0))</f>
        <v/>
      </c>
      <c r="X47" s="85" t="str">
        <f>IF(A47="","",IF($W$2="",UPPER(TRIM(A47)),IF(RIGHT(UPPER(TRIM(A47)),LEN($W$2))=$W$2,UPPER(TRIM(A47)),UPPER(TRIM(A47))&amp;$W$2)))</f>
        <v/>
      </c>
      <c r="Y47" s="85" t="str">
        <f>IF(OR(A47="",p_ModoCot&lt;&gt;"Automático"),"",IFERROR(_xlfn.WEBSERVICE("https://query1.finance.yahoo.com/v8/finance/chart/"&amp;X47&amp;"?range=1d&amp;interval=1d"),""))</f>
        <v/>
      </c>
      <c r="Z47" s="85" t="str">
        <f>IF(Y47="","",IFERROR(_xlfn.NUMBERVALUE(MID(Y47,SEARCH("""regularMarketPrice"":",Y47)+21,SEARCH(",",Y47&amp;",",SEARCH("""regularMarketPrice"":",Y47)+21)-SEARCH("""regularMarketPrice"":",Y47)-21),".",","),""))</f>
        <v/>
      </c>
      <c r="AA47" s="85" t="str">
        <f>IF(A47="","",ROUND(MAX(0,N(F47)*($K$6+$W$7)-K47),2))</f>
        <v/>
      </c>
      <c r="AB47" s="85" t="str">
        <f>IF(A47="","",IF(AND(M47&gt;0,M47&gt;=p_DifMin),AA47,0))</f>
        <v/>
      </c>
      <c r="AC47" s="85" t="str">
        <f>IF(A47="","",IF(AND(AB47&gt;0,N(O47)&lt;=p_MaxAtivos),AB47,0))</f>
        <v/>
      </c>
      <c r="AD47" s="85" t="str">
        <f>IF(A47="","",IF(OR(Q47&lt;=0,Q47&lt;p_CompraMin,N(H47)&lt;=0,N(W47)&lt;=0),0,IF($W$3="Sim",TRUNC(ROUND(MAX(0,(Q47-p_CorrFixa)/(H47*W47*$W$6)),9),$W$4),TRUNC(ROUND(MAX(0,(Q47-p_CorrFixa)/(H47*W47*$W$6)),9)/$W$5)*$W$5)))</f>
        <v/>
      </c>
      <c r="AE47" s="85" t="str">
        <f>IF(A47="","",IF(N(AD47)&gt;0,AD47*H47*W47*$W$6+p_CorrFixa,0))</f>
        <v/>
      </c>
      <c r="AF47" s="85" t="str">
        <f>IF(A47="","",IF(OR($Y$1&lt;=0,N(H47)&lt;=0,N(W47)&lt;=0,N(AB47)&lt;=0),0,IF($W$3="Sim",TRUNC(ROUND(MAX(0,($Y$1-IF(N(AD47)&gt;0,0,p_CorrFixa))/(H47*W47*$W$6)),9),$W$4),TRUNC(ROUND(MAX(0,($Y$1-IF(N(AD47)&gt;0,0,p_CorrFixa))/(H47*W47*$W$6)),9)/$W$5)*$W$5)))</f>
        <v/>
      </c>
      <c r="AG47" s="85" t="str">
        <f>IF(A47="","",IF(AND(N(AD47)=0,N(AF47)*(H47*W47*$W$6)+p_CorrFixa&lt;p_CompraMin),0,AF47))</f>
        <v/>
      </c>
      <c r="AH47" s="85" t="str">
        <f>IF(A47="","",IF(N(AG47)&gt;0,AB47,0))</f>
        <v/>
      </c>
      <c r="AI47" s="85" t="str">
        <f>IF(A47="","",IF(AND(AH47&gt;0,AH47=$AH$6,COUNTIF($AH$9:AH47,AH47)=1),1,0))</f>
        <v/>
      </c>
    </row>
    <row r="48">
      <c r="A48" s="96" t="n"/>
      <c r="B48" s="96" t="n"/>
      <c r="C48" s="96" t="n"/>
      <c r="D48" s="97" t="n"/>
      <c r="E48" s="98" t="n"/>
      <c r="F48" s="99" t="n"/>
      <c r="G48" s="100" t="n"/>
      <c r="H48" s="104" t="str">
        <f>IF(A48="","",IF(AND(p_ModoCot="Automático",ISNUMBER(Z48)),Z48,IF(N(G48)&gt;0,G48,0)))</f>
        <v/>
      </c>
      <c r="I48" s="105" t="str">
        <f>IF(A48="","",IF(W48=0,"Sem câmbio",IF(AND(p_ModoCot="Automático",ISNUMBER(Z48)),"Auto",IF(N(G48)&gt;0,"Manual","Sem cotação"))))</f>
        <v/>
      </c>
      <c r="J48" s="106" t="str">
        <f>IF(A48="","",N(E48)*H48)</f>
        <v/>
      </c>
      <c r="K48" s="107" t="str">
        <f>IF(A48="","",J48*W48)</f>
        <v/>
      </c>
      <c r="L48" s="108" t="str">
        <f>IF(A48="","",IF($K$6&gt;0,K48/$K$6,0))</f>
        <v/>
      </c>
      <c r="M48" s="109" t="str">
        <f>IF(A48="","",N(F48)-L48)</f>
        <v/>
      </c>
      <c r="N48" s="108" t="str">
        <f>IF(A48="","",IF($AB$6&gt;0,AB48/$AB$6,0))</f>
        <v/>
      </c>
      <c r="O48" s="110" t="str">
        <f>IF(A48="","",IF(AB48&lt;=0,"",COUNTIF($AB$9:$AB$208,"&gt;"&amp;AB48)+COUNTIF($AB$9:AB48,AB48)))</f>
        <v/>
      </c>
      <c r="P48" s="105" t="str">
        <f>IF(A48="","",IF(Q48&gt;0,"BUY","HOLD"))</f>
        <v/>
      </c>
      <c r="Q48" s="107" t="str">
        <f>IF(A48="","",IF($W$7&lt;=0,0,IF($AC$6&gt;0,$W$7*AC48/$AC$6,IF($F$6&gt;0,$W$7*N(F48)/$F$6,0))))</f>
        <v/>
      </c>
      <c r="R48" s="111" t="str">
        <f>IF(A48="","",N(AD48)+IF(AI48=1,N(AG48),0))</f>
        <v/>
      </c>
      <c r="S48" s="111" t="str">
        <f>IF(A48="","",N(E48)+N(R48))</f>
        <v/>
      </c>
      <c r="T48" s="107" t="str">
        <f>IF(A48="","",IF(N(R48)&gt;0,R48*H48*W48*$W$6+p_CorrFixa,0))</f>
        <v/>
      </c>
      <c r="V48" s="85" t="str">
        <f>IF(A48="","",IF(D48="",$W$1,D48))</f>
        <v/>
      </c>
      <c r="W48" s="85" t="str">
        <f>IF(A48="","",IFERROR(INDEX(moeda_fx,MATCH(V48,moeda_cod,0)),0))</f>
        <v/>
      </c>
      <c r="X48" s="85" t="str">
        <f>IF(A48="","",IF($W$2="",UPPER(TRIM(A48)),IF(RIGHT(UPPER(TRIM(A48)),LEN($W$2))=$W$2,UPPER(TRIM(A48)),UPPER(TRIM(A48))&amp;$W$2)))</f>
        <v/>
      </c>
      <c r="Y48" s="85" t="str">
        <f>IF(OR(A48="",p_ModoCot&lt;&gt;"Automático"),"",IFERROR(_xlfn.WEBSERVICE("https://query1.finance.yahoo.com/v8/finance/chart/"&amp;X48&amp;"?range=1d&amp;interval=1d"),""))</f>
        <v/>
      </c>
      <c r="Z48" s="85" t="str">
        <f>IF(Y48="","",IFERROR(_xlfn.NUMBERVALUE(MID(Y48,SEARCH("""regularMarketPrice"":",Y48)+21,SEARCH(",",Y48&amp;",",SEARCH("""regularMarketPrice"":",Y48)+21)-SEARCH("""regularMarketPrice"":",Y48)-21),".",","),""))</f>
        <v/>
      </c>
      <c r="AA48" s="85" t="str">
        <f>IF(A48="","",ROUND(MAX(0,N(F48)*($K$6+$W$7)-K48),2))</f>
        <v/>
      </c>
      <c r="AB48" s="85" t="str">
        <f>IF(A48="","",IF(AND(M48&gt;0,M48&gt;=p_DifMin),AA48,0))</f>
        <v/>
      </c>
      <c r="AC48" s="85" t="str">
        <f>IF(A48="","",IF(AND(AB48&gt;0,N(O48)&lt;=p_MaxAtivos),AB48,0))</f>
        <v/>
      </c>
      <c r="AD48" s="85" t="str">
        <f>IF(A48="","",IF(OR(Q48&lt;=0,Q48&lt;p_CompraMin,N(H48)&lt;=0,N(W48)&lt;=0),0,IF($W$3="Sim",TRUNC(ROUND(MAX(0,(Q48-p_CorrFixa)/(H48*W48*$W$6)),9),$W$4),TRUNC(ROUND(MAX(0,(Q48-p_CorrFixa)/(H48*W48*$W$6)),9)/$W$5)*$W$5)))</f>
        <v/>
      </c>
      <c r="AE48" s="85" t="str">
        <f>IF(A48="","",IF(N(AD48)&gt;0,AD48*H48*W48*$W$6+p_CorrFixa,0))</f>
        <v/>
      </c>
      <c r="AF48" s="85" t="str">
        <f>IF(A48="","",IF(OR($Y$1&lt;=0,N(H48)&lt;=0,N(W48)&lt;=0,N(AB48)&lt;=0),0,IF($W$3="Sim",TRUNC(ROUND(MAX(0,($Y$1-IF(N(AD48)&gt;0,0,p_CorrFixa))/(H48*W48*$W$6)),9),$W$4),TRUNC(ROUND(MAX(0,($Y$1-IF(N(AD48)&gt;0,0,p_CorrFixa))/(H48*W48*$W$6)),9)/$W$5)*$W$5)))</f>
        <v/>
      </c>
      <c r="AG48" s="85" t="str">
        <f>IF(A48="","",IF(AND(N(AD48)=0,N(AF48)*(H48*W48*$W$6)+p_CorrFixa&lt;p_CompraMin),0,AF48))</f>
        <v/>
      </c>
      <c r="AH48" s="85" t="str">
        <f>IF(A48="","",IF(N(AG48)&gt;0,AB48,0))</f>
        <v/>
      </c>
      <c r="AI48" s="85" t="str">
        <f>IF(A48="","",IF(AND(AH48&gt;0,AH48=$AH$6,COUNTIF($AH$9:AH48,AH48)=1),1,0))</f>
        <v/>
      </c>
    </row>
    <row r="49">
      <c r="A49" s="96" t="n"/>
      <c r="B49" s="96" t="n"/>
      <c r="C49" s="96" t="n"/>
      <c r="D49" s="97" t="n"/>
      <c r="E49" s="98" t="n"/>
      <c r="F49" s="99" t="n"/>
      <c r="G49" s="100" t="n"/>
      <c r="H49" s="101" t="str">
        <f>IF(A49="","",IF(AND(p_ModoCot="Automático",ISNUMBER(Z49)),Z49,IF(N(G49)&gt;0,G49,0)))</f>
        <v/>
      </c>
      <c r="I49" s="73" t="str">
        <f>IF(A49="","",IF(W49=0,"Sem câmbio",IF(AND(p_ModoCot="Automático",ISNUMBER(Z49)),"Auto",IF(N(G49)&gt;0,"Manual","Sem cotação"))))</f>
        <v/>
      </c>
      <c r="J49" s="102" t="str">
        <f>IF(A49="","",N(E49)*H49)</f>
        <v/>
      </c>
      <c r="K49" s="70" t="str">
        <f>IF(A49="","",J49*W49)</f>
        <v/>
      </c>
      <c r="L49" s="30" t="str">
        <f>IF(A49="","",IF($K$6&gt;0,K49/$K$6,0))</f>
        <v/>
      </c>
      <c r="M49" s="72" t="str">
        <f>IF(A49="","",N(F49)-L49)</f>
        <v/>
      </c>
      <c r="N49" s="30" t="str">
        <f>IF(A49="","",IF($AB$6&gt;0,AB49/$AB$6,0))</f>
        <v/>
      </c>
      <c r="O49" s="74" t="str">
        <f>IF(A49="","",IF(AB49&lt;=0,"",COUNTIF($AB$9:$AB$208,"&gt;"&amp;AB49)+COUNTIF($AB$9:AB49,AB49)))</f>
        <v/>
      </c>
      <c r="P49" s="73" t="str">
        <f>IF(A49="","",IF(Q49&gt;0,"BUY","HOLD"))</f>
        <v/>
      </c>
      <c r="Q49" s="70" t="str">
        <f>IF(A49="","",IF($W$7&lt;=0,0,IF($AC$6&gt;0,$W$7*AC49/$AC$6,IF($F$6&gt;0,$W$7*N(F49)/$F$6,0))))</f>
        <v/>
      </c>
      <c r="R49" s="103" t="str">
        <f>IF(A49="","",N(AD49)+IF(AI49=1,N(AG49),0))</f>
        <v/>
      </c>
      <c r="S49" s="103" t="str">
        <f>IF(A49="","",N(E49)+N(R49))</f>
        <v/>
      </c>
      <c r="T49" s="70" t="str">
        <f>IF(A49="","",IF(N(R49)&gt;0,R49*H49*W49*$W$6+p_CorrFixa,0))</f>
        <v/>
      </c>
      <c r="V49" s="85" t="str">
        <f>IF(A49="","",IF(D49="",$W$1,D49))</f>
        <v/>
      </c>
      <c r="W49" s="85" t="str">
        <f>IF(A49="","",IFERROR(INDEX(moeda_fx,MATCH(V49,moeda_cod,0)),0))</f>
        <v/>
      </c>
      <c r="X49" s="85" t="str">
        <f>IF(A49="","",IF($W$2="",UPPER(TRIM(A49)),IF(RIGHT(UPPER(TRIM(A49)),LEN($W$2))=$W$2,UPPER(TRIM(A49)),UPPER(TRIM(A49))&amp;$W$2)))</f>
        <v/>
      </c>
      <c r="Y49" s="85" t="str">
        <f>IF(OR(A49="",p_ModoCot&lt;&gt;"Automático"),"",IFERROR(_xlfn.WEBSERVICE("https://query1.finance.yahoo.com/v8/finance/chart/"&amp;X49&amp;"?range=1d&amp;interval=1d"),""))</f>
        <v/>
      </c>
      <c r="Z49" s="85" t="str">
        <f>IF(Y49="","",IFERROR(_xlfn.NUMBERVALUE(MID(Y49,SEARCH("""regularMarketPrice"":",Y49)+21,SEARCH(",",Y49&amp;",",SEARCH("""regularMarketPrice"":",Y49)+21)-SEARCH("""regularMarketPrice"":",Y49)-21),".",","),""))</f>
        <v/>
      </c>
      <c r="AA49" s="85" t="str">
        <f>IF(A49="","",ROUND(MAX(0,N(F49)*($K$6+$W$7)-K49),2))</f>
        <v/>
      </c>
      <c r="AB49" s="85" t="str">
        <f>IF(A49="","",IF(AND(M49&gt;0,M49&gt;=p_DifMin),AA49,0))</f>
        <v/>
      </c>
      <c r="AC49" s="85" t="str">
        <f>IF(A49="","",IF(AND(AB49&gt;0,N(O49)&lt;=p_MaxAtivos),AB49,0))</f>
        <v/>
      </c>
      <c r="AD49" s="85" t="str">
        <f>IF(A49="","",IF(OR(Q49&lt;=0,Q49&lt;p_CompraMin,N(H49)&lt;=0,N(W49)&lt;=0),0,IF($W$3="Sim",TRUNC(ROUND(MAX(0,(Q49-p_CorrFixa)/(H49*W49*$W$6)),9),$W$4),TRUNC(ROUND(MAX(0,(Q49-p_CorrFixa)/(H49*W49*$W$6)),9)/$W$5)*$W$5)))</f>
        <v/>
      </c>
      <c r="AE49" s="85" t="str">
        <f>IF(A49="","",IF(N(AD49)&gt;0,AD49*H49*W49*$W$6+p_CorrFixa,0))</f>
        <v/>
      </c>
      <c r="AF49" s="85" t="str">
        <f>IF(A49="","",IF(OR($Y$1&lt;=0,N(H49)&lt;=0,N(W49)&lt;=0,N(AB49)&lt;=0),0,IF($W$3="Sim",TRUNC(ROUND(MAX(0,($Y$1-IF(N(AD49)&gt;0,0,p_CorrFixa))/(H49*W49*$W$6)),9),$W$4),TRUNC(ROUND(MAX(0,($Y$1-IF(N(AD49)&gt;0,0,p_CorrFixa))/(H49*W49*$W$6)),9)/$W$5)*$W$5)))</f>
        <v/>
      </c>
      <c r="AG49" s="85" t="str">
        <f>IF(A49="","",IF(AND(N(AD49)=0,N(AF49)*(H49*W49*$W$6)+p_CorrFixa&lt;p_CompraMin),0,AF49))</f>
        <v/>
      </c>
      <c r="AH49" s="85" t="str">
        <f>IF(A49="","",IF(N(AG49)&gt;0,AB49,0))</f>
        <v/>
      </c>
      <c r="AI49" s="85" t="str">
        <f>IF(A49="","",IF(AND(AH49&gt;0,AH49=$AH$6,COUNTIF($AH$9:AH49,AH49)=1),1,0))</f>
        <v/>
      </c>
    </row>
    <row r="50">
      <c r="A50" s="96" t="n"/>
      <c r="B50" s="96" t="n"/>
      <c r="C50" s="96" t="n"/>
      <c r="D50" s="97" t="n"/>
      <c r="E50" s="98" t="n"/>
      <c r="F50" s="99" t="n"/>
      <c r="G50" s="100" t="n"/>
      <c r="H50" s="104" t="str">
        <f>IF(A50="","",IF(AND(p_ModoCot="Automático",ISNUMBER(Z50)),Z50,IF(N(G50)&gt;0,G50,0)))</f>
        <v/>
      </c>
      <c r="I50" s="105" t="str">
        <f>IF(A50="","",IF(W50=0,"Sem câmbio",IF(AND(p_ModoCot="Automático",ISNUMBER(Z50)),"Auto",IF(N(G50)&gt;0,"Manual","Sem cotação"))))</f>
        <v/>
      </c>
      <c r="J50" s="106" t="str">
        <f>IF(A50="","",N(E50)*H50)</f>
        <v/>
      </c>
      <c r="K50" s="107" t="str">
        <f>IF(A50="","",J50*W50)</f>
        <v/>
      </c>
      <c r="L50" s="108" t="str">
        <f>IF(A50="","",IF($K$6&gt;0,K50/$K$6,0))</f>
        <v/>
      </c>
      <c r="M50" s="109" t="str">
        <f>IF(A50="","",N(F50)-L50)</f>
        <v/>
      </c>
      <c r="N50" s="108" t="str">
        <f>IF(A50="","",IF($AB$6&gt;0,AB50/$AB$6,0))</f>
        <v/>
      </c>
      <c r="O50" s="110" t="str">
        <f>IF(A50="","",IF(AB50&lt;=0,"",COUNTIF($AB$9:$AB$208,"&gt;"&amp;AB50)+COUNTIF($AB$9:AB50,AB50)))</f>
        <v/>
      </c>
      <c r="P50" s="105" t="str">
        <f>IF(A50="","",IF(Q50&gt;0,"BUY","HOLD"))</f>
        <v/>
      </c>
      <c r="Q50" s="107" t="str">
        <f>IF(A50="","",IF($W$7&lt;=0,0,IF($AC$6&gt;0,$W$7*AC50/$AC$6,IF($F$6&gt;0,$W$7*N(F50)/$F$6,0))))</f>
        <v/>
      </c>
      <c r="R50" s="111" t="str">
        <f>IF(A50="","",N(AD50)+IF(AI50=1,N(AG50),0))</f>
        <v/>
      </c>
      <c r="S50" s="111" t="str">
        <f>IF(A50="","",N(E50)+N(R50))</f>
        <v/>
      </c>
      <c r="T50" s="107" t="str">
        <f>IF(A50="","",IF(N(R50)&gt;0,R50*H50*W50*$W$6+p_CorrFixa,0))</f>
        <v/>
      </c>
      <c r="V50" s="85" t="str">
        <f>IF(A50="","",IF(D50="",$W$1,D50))</f>
        <v/>
      </c>
      <c r="W50" s="85" t="str">
        <f>IF(A50="","",IFERROR(INDEX(moeda_fx,MATCH(V50,moeda_cod,0)),0))</f>
        <v/>
      </c>
      <c r="X50" s="85" t="str">
        <f>IF(A50="","",IF($W$2="",UPPER(TRIM(A50)),IF(RIGHT(UPPER(TRIM(A50)),LEN($W$2))=$W$2,UPPER(TRIM(A50)),UPPER(TRIM(A50))&amp;$W$2)))</f>
        <v/>
      </c>
      <c r="Y50" s="85" t="str">
        <f>IF(OR(A50="",p_ModoCot&lt;&gt;"Automático"),"",IFERROR(_xlfn.WEBSERVICE("https://query1.finance.yahoo.com/v8/finance/chart/"&amp;X50&amp;"?range=1d&amp;interval=1d"),""))</f>
        <v/>
      </c>
      <c r="Z50" s="85" t="str">
        <f>IF(Y50="","",IFERROR(_xlfn.NUMBERVALUE(MID(Y50,SEARCH("""regularMarketPrice"":",Y50)+21,SEARCH(",",Y50&amp;",",SEARCH("""regularMarketPrice"":",Y50)+21)-SEARCH("""regularMarketPrice"":",Y50)-21),".",","),""))</f>
        <v/>
      </c>
      <c r="AA50" s="85" t="str">
        <f>IF(A50="","",ROUND(MAX(0,N(F50)*($K$6+$W$7)-K50),2))</f>
        <v/>
      </c>
      <c r="AB50" s="85" t="str">
        <f>IF(A50="","",IF(AND(M50&gt;0,M50&gt;=p_DifMin),AA50,0))</f>
        <v/>
      </c>
      <c r="AC50" s="85" t="str">
        <f>IF(A50="","",IF(AND(AB50&gt;0,N(O50)&lt;=p_MaxAtivos),AB50,0))</f>
        <v/>
      </c>
      <c r="AD50" s="85" t="str">
        <f>IF(A50="","",IF(OR(Q50&lt;=0,Q50&lt;p_CompraMin,N(H50)&lt;=0,N(W50)&lt;=0),0,IF($W$3="Sim",TRUNC(ROUND(MAX(0,(Q50-p_CorrFixa)/(H50*W50*$W$6)),9),$W$4),TRUNC(ROUND(MAX(0,(Q50-p_CorrFixa)/(H50*W50*$W$6)),9)/$W$5)*$W$5)))</f>
        <v/>
      </c>
      <c r="AE50" s="85" t="str">
        <f>IF(A50="","",IF(N(AD50)&gt;0,AD50*H50*W50*$W$6+p_CorrFixa,0))</f>
        <v/>
      </c>
      <c r="AF50" s="85" t="str">
        <f>IF(A50="","",IF(OR($Y$1&lt;=0,N(H50)&lt;=0,N(W50)&lt;=0,N(AB50)&lt;=0),0,IF($W$3="Sim",TRUNC(ROUND(MAX(0,($Y$1-IF(N(AD50)&gt;0,0,p_CorrFixa))/(H50*W50*$W$6)),9),$W$4),TRUNC(ROUND(MAX(0,($Y$1-IF(N(AD50)&gt;0,0,p_CorrFixa))/(H50*W50*$W$6)),9)/$W$5)*$W$5)))</f>
        <v/>
      </c>
      <c r="AG50" s="85" t="str">
        <f>IF(A50="","",IF(AND(N(AD50)=0,N(AF50)*(H50*W50*$W$6)+p_CorrFixa&lt;p_CompraMin),0,AF50))</f>
        <v/>
      </c>
      <c r="AH50" s="85" t="str">
        <f>IF(A50="","",IF(N(AG50)&gt;0,AB50,0))</f>
        <v/>
      </c>
      <c r="AI50" s="85" t="str">
        <f>IF(A50="","",IF(AND(AH50&gt;0,AH50=$AH$6,COUNTIF($AH$9:AH50,AH50)=1),1,0))</f>
        <v/>
      </c>
    </row>
    <row r="51">
      <c r="A51" s="96" t="n"/>
      <c r="B51" s="96" t="n"/>
      <c r="C51" s="96" t="n"/>
      <c r="D51" s="97" t="n"/>
      <c r="E51" s="98" t="n"/>
      <c r="F51" s="99" t="n"/>
      <c r="G51" s="100" t="n"/>
      <c r="H51" s="101" t="str">
        <f>IF(A51="","",IF(AND(p_ModoCot="Automático",ISNUMBER(Z51)),Z51,IF(N(G51)&gt;0,G51,0)))</f>
        <v/>
      </c>
      <c r="I51" s="73" t="str">
        <f>IF(A51="","",IF(W51=0,"Sem câmbio",IF(AND(p_ModoCot="Automático",ISNUMBER(Z51)),"Auto",IF(N(G51)&gt;0,"Manual","Sem cotação"))))</f>
        <v/>
      </c>
      <c r="J51" s="102" t="str">
        <f>IF(A51="","",N(E51)*H51)</f>
        <v/>
      </c>
      <c r="K51" s="70" t="str">
        <f>IF(A51="","",J51*W51)</f>
        <v/>
      </c>
      <c r="L51" s="30" t="str">
        <f>IF(A51="","",IF($K$6&gt;0,K51/$K$6,0))</f>
        <v/>
      </c>
      <c r="M51" s="72" t="str">
        <f>IF(A51="","",N(F51)-L51)</f>
        <v/>
      </c>
      <c r="N51" s="30" t="str">
        <f>IF(A51="","",IF($AB$6&gt;0,AB51/$AB$6,0))</f>
        <v/>
      </c>
      <c r="O51" s="74" t="str">
        <f>IF(A51="","",IF(AB51&lt;=0,"",COUNTIF($AB$9:$AB$208,"&gt;"&amp;AB51)+COUNTIF($AB$9:AB51,AB51)))</f>
        <v/>
      </c>
      <c r="P51" s="73" t="str">
        <f>IF(A51="","",IF(Q51&gt;0,"BUY","HOLD"))</f>
        <v/>
      </c>
      <c r="Q51" s="70" t="str">
        <f>IF(A51="","",IF($W$7&lt;=0,0,IF($AC$6&gt;0,$W$7*AC51/$AC$6,IF($F$6&gt;0,$W$7*N(F51)/$F$6,0))))</f>
        <v/>
      </c>
      <c r="R51" s="103" t="str">
        <f>IF(A51="","",N(AD51)+IF(AI51=1,N(AG51),0))</f>
        <v/>
      </c>
      <c r="S51" s="103" t="str">
        <f>IF(A51="","",N(E51)+N(R51))</f>
        <v/>
      </c>
      <c r="T51" s="70" t="str">
        <f>IF(A51="","",IF(N(R51)&gt;0,R51*H51*W51*$W$6+p_CorrFixa,0))</f>
        <v/>
      </c>
      <c r="V51" s="85" t="str">
        <f>IF(A51="","",IF(D51="",$W$1,D51))</f>
        <v/>
      </c>
      <c r="W51" s="85" t="str">
        <f>IF(A51="","",IFERROR(INDEX(moeda_fx,MATCH(V51,moeda_cod,0)),0))</f>
        <v/>
      </c>
      <c r="X51" s="85" t="str">
        <f>IF(A51="","",IF($W$2="",UPPER(TRIM(A51)),IF(RIGHT(UPPER(TRIM(A51)),LEN($W$2))=$W$2,UPPER(TRIM(A51)),UPPER(TRIM(A51))&amp;$W$2)))</f>
        <v/>
      </c>
      <c r="Y51" s="85" t="str">
        <f>IF(OR(A51="",p_ModoCot&lt;&gt;"Automático"),"",IFERROR(_xlfn.WEBSERVICE("https://query1.finance.yahoo.com/v8/finance/chart/"&amp;X51&amp;"?range=1d&amp;interval=1d"),""))</f>
        <v/>
      </c>
      <c r="Z51" s="85" t="str">
        <f>IF(Y51="","",IFERROR(_xlfn.NUMBERVALUE(MID(Y51,SEARCH("""regularMarketPrice"":",Y51)+21,SEARCH(",",Y51&amp;",",SEARCH("""regularMarketPrice"":",Y51)+21)-SEARCH("""regularMarketPrice"":",Y51)-21),".",","),""))</f>
        <v/>
      </c>
      <c r="AA51" s="85" t="str">
        <f>IF(A51="","",ROUND(MAX(0,N(F51)*($K$6+$W$7)-K51),2))</f>
        <v/>
      </c>
      <c r="AB51" s="85" t="str">
        <f>IF(A51="","",IF(AND(M51&gt;0,M51&gt;=p_DifMin),AA51,0))</f>
        <v/>
      </c>
      <c r="AC51" s="85" t="str">
        <f>IF(A51="","",IF(AND(AB51&gt;0,N(O51)&lt;=p_MaxAtivos),AB51,0))</f>
        <v/>
      </c>
      <c r="AD51" s="85" t="str">
        <f>IF(A51="","",IF(OR(Q51&lt;=0,Q51&lt;p_CompraMin,N(H51)&lt;=0,N(W51)&lt;=0),0,IF($W$3="Sim",TRUNC(ROUND(MAX(0,(Q51-p_CorrFixa)/(H51*W51*$W$6)),9),$W$4),TRUNC(ROUND(MAX(0,(Q51-p_CorrFixa)/(H51*W51*$W$6)),9)/$W$5)*$W$5)))</f>
        <v/>
      </c>
      <c r="AE51" s="85" t="str">
        <f>IF(A51="","",IF(N(AD51)&gt;0,AD51*H51*W51*$W$6+p_CorrFixa,0))</f>
        <v/>
      </c>
      <c r="AF51" s="85" t="str">
        <f>IF(A51="","",IF(OR($Y$1&lt;=0,N(H51)&lt;=0,N(W51)&lt;=0,N(AB51)&lt;=0),0,IF($W$3="Sim",TRUNC(ROUND(MAX(0,($Y$1-IF(N(AD51)&gt;0,0,p_CorrFixa))/(H51*W51*$W$6)),9),$W$4),TRUNC(ROUND(MAX(0,($Y$1-IF(N(AD51)&gt;0,0,p_CorrFixa))/(H51*W51*$W$6)),9)/$W$5)*$W$5)))</f>
        <v/>
      </c>
      <c r="AG51" s="85" t="str">
        <f>IF(A51="","",IF(AND(N(AD51)=0,N(AF51)*(H51*W51*$W$6)+p_CorrFixa&lt;p_CompraMin),0,AF51))</f>
        <v/>
      </c>
      <c r="AH51" s="85" t="str">
        <f>IF(A51="","",IF(N(AG51)&gt;0,AB51,0))</f>
        <v/>
      </c>
      <c r="AI51" s="85" t="str">
        <f>IF(A51="","",IF(AND(AH51&gt;0,AH51=$AH$6,COUNTIF($AH$9:AH51,AH51)=1),1,0))</f>
        <v/>
      </c>
    </row>
    <row r="52">
      <c r="A52" s="96" t="n"/>
      <c r="B52" s="96" t="n"/>
      <c r="C52" s="96" t="n"/>
      <c r="D52" s="97" t="n"/>
      <c r="E52" s="98" t="n"/>
      <c r="F52" s="99" t="n"/>
      <c r="G52" s="100" t="n"/>
      <c r="H52" s="104" t="str">
        <f>IF(A52="","",IF(AND(p_ModoCot="Automático",ISNUMBER(Z52)),Z52,IF(N(G52)&gt;0,G52,0)))</f>
        <v/>
      </c>
      <c r="I52" s="105" t="str">
        <f>IF(A52="","",IF(W52=0,"Sem câmbio",IF(AND(p_ModoCot="Automático",ISNUMBER(Z52)),"Auto",IF(N(G52)&gt;0,"Manual","Sem cotação"))))</f>
        <v/>
      </c>
      <c r="J52" s="106" t="str">
        <f>IF(A52="","",N(E52)*H52)</f>
        <v/>
      </c>
      <c r="K52" s="107" t="str">
        <f>IF(A52="","",J52*W52)</f>
        <v/>
      </c>
      <c r="L52" s="108" t="str">
        <f>IF(A52="","",IF($K$6&gt;0,K52/$K$6,0))</f>
        <v/>
      </c>
      <c r="M52" s="109" t="str">
        <f>IF(A52="","",N(F52)-L52)</f>
        <v/>
      </c>
      <c r="N52" s="108" t="str">
        <f>IF(A52="","",IF($AB$6&gt;0,AB52/$AB$6,0))</f>
        <v/>
      </c>
      <c r="O52" s="110" t="str">
        <f>IF(A52="","",IF(AB52&lt;=0,"",COUNTIF($AB$9:$AB$208,"&gt;"&amp;AB52)+COUNTIF($AB$9:AB52,AB52)))</f>
        <v/>
      </c>
      <c r="P52" s="105" t="str">
        <f>IF(A52="","",IF(Q52&gt;0,"BUY","HOLD"))</f>
        <v/>
      </c>
      <c r="Q52" s="107" t="str">
        <f>IF(A52="","",IF($W$7&lt;=0,0,IF($AC$6&gt;0,$W$7*AC52/$AC$6,IF($F$6&gt;0,$W$7*N(F52)/$F$6,0))))</f>
        <v/>
      </c>
      <c r="R52" s="111" t="str">
        <f>IF(A52="","",N(AD52)+IF(AI52=1,N(AG52),0))</f>
        <v/>
      </c>
      <c r="S52" s="111" t="str">
        <f>IF(A52="","",N(E52)+N(R52))</f>
        <v/>
      </c>
      <c r="T52" s="107" t="str">
        <f>IF(A52="","",IF(N(R52)&gt;0,R52*H52*W52*$W$6+p_CorrFixa,0))</f>
        <v/>
      </c>
      <c r="V52" s="85" t="str">
        <f>IF(A52="","",IF(D52="",$W$1,D52))</f>
        <v/>
      </c>
      <c r="W52" s="85" t="str">
        <f>IF(A52="","",IFERROR(INDEX(moeda_fx,MATCH(V52,moeda_cod,0)),0))</f>
        <v/>
      </c>
      <c r="X52" s="85" t="str">
        <f>IF(A52="","",IF($W$2="",UPPER(TRIM(A52)),IF(RIGHT(UPPER(TRIM(A52)),LEN($W$2))=$W$2,UPPER(TRIM(A52)),UPPER(TRIM(A52))&amp;$W$2)))</f>
        <v/>
      </c>
      <c r="Y52" s="85" t="str">
        <f>IF(OR(A52="",p_ModoCot&lt;&gt;"Automático"),"",IFERROR(_xlfn.WEBSERVICE("https://query1.finance.yahoo.com/v8/finance/chart/"&amp;X52&amp;"?range=1d&amp;interval=1d"),""))</f>
        <v/>
      </c>
      <c r="Z52" s="85" t="str">
        <f>IF(Y52="","",IFERROR(_xlfn.NUMBERVALUE(MID(Y52,SEARCH("""regularMarketPrice"":",Y52)+21,SEARCH(",",Y52&amp;",",SEARCH("""regularMarketPrice"":",Y52)+21)-SEARCH("""regularMarketPrice"":",Y52)-21),".",","),""))</f>
        <v/>
      </c>
      <c r="AA52" s="85" t="str">
        <f>IF(A52="","",ROUND(MAX(0,N(F52)*($K$6+$W$7)-K52),2))</f>
        <v/>
      </c>
      <c r="AB52" s="85" t="str">
        <f>IF(A52="","",IF(AND(M52&gt;0,M52&gt;=p_DifMin),AA52,0))</f>
        <v/>
      </c>
      <c r="AC52" s="85" t="str">
        <f>IF(A52="","",IF(AND(AB52&gt;0,N(O52)&lt;=p_MaxAtivos),AB52,0))</f>
        <v/>
      </c>
      <c r="AD52" s="85" t="str">
        <f>IF(A52="","",IF(OR(Q52&lt;=0,Q52&lt;p_CompraMin,N(H52)&lt;=0,N(W52)&lt;=0),0,IF($W$3="Sim",TRUNC(ROUND(MAX(0,(Q52-p_CorrFixa)/(H52*W52*$W$6)),9),$W$4),TRUNC(ROUND(MAX(0,(Q52-p_CorrFixa)/(H52*W52*$W$6)),9)/$W$5)*$W$5)))</f>
        <v/>
      </c>
      <c r="AE52" s="85" t="str">
        <f>IF(A52="","",IF(N(AD52)&gt;0,AD52*H52*W52*$W$6+p_CorrFixa,0))</f>
        <v/>
      </c>
      <c r="AF52" s="85" t="str">
        <f>IF(A52="","",IF(OR($Y$1&lt;=0,N(H52)&lt;=0,N(W52)&lt;=0,N(AB52)&lt;=0),0,IF($W$3="Sim",TRUNC(ROUND(MAX(0,($Y$1-IF(N(AD52)&gt;0,0,p_CorrFixa))/(H52*W52*$W$6)),9),$W$4),TRUNC(ROUND(MAX(0,($Y$1-IF(N(AD52)&gt;0,0,p_CorrFixa))/(H52*W52*$W$6)),9)/$W$5)*$W$5)))</f>
        <v/>
      </c>
      <c r="AG52" s="85" t="str">
        <f>IF(A52="","",IF(AND(N(AD52)=0,N(AF52)*(H52*W52*$W$6)+p_CorrFixa&lt;p_CompraMin),0,AF52))</f>
        <v/>
      </c>
      <c r="AH52" s="85" t="str">
        <f>IF(A52="","",IF(N(AG52)&gt;0,AB52,0))</f>
        <v/>
      </c>
      <c r="AI52" s="85" t="str">
        <f>IF(A52="","",IF(AND(AH52&gt;0,AH52=$AH$6,COUNTIF($AH$9:AH52,AH52)=1),1,0))</f>
        <v/>
      </c>
    </row>
    <row r="53">
      <c r="A53" s="96" t="n"/>
      <c r="B53" s="96" t="n"/>
      <c r="C53" s="96" t="n"/>
      <c r="D53" s="97" t="n"/>
      <c r="E53" s="98" t="n"/>
      <c r="F53" s="99" t="n"/>
      <c r="G53" s="100" t="n"/>
      <c r="H53" s="101" t="str">
        <f>IF(A53="","",IF(AND(p_ModoCot="Automático",ISNUMBER(Z53)),Z53,IF(N(G53)&gt;0,G53,0)))</f>
        <v/>
      </c>
      <c r="I53" s="73" t="str">
        <f>IF(A53="","",IF(W53=0,"Sem câmbio",IF(AND(p_ModoCot="Automático",ISNUMBER(Z53)),"Auto",IF(N(G53)&gt;0,"Manual","Sem cotação"))))</f>
        <v/>
      </c>
      <c r="J53" s="102" t="str">
        <f>IF(A53="","",N(E53)*H53)</f>
        <v/>
      </c>
      <c r="K53" s="70" t="str">
        <f>IF(A53="","",J53*W53)</f>
        <v/>
      </c>
      <c r="L53" s="30" t="str">
        <f>IF(A53="","",IF($K$6&gt;0,K53/$K$6,0))</f>
        <v/>
      </c>
      <c r="M53" s="72" t="str">
        <f>IF(A53="","",N(F53)-L53)</f>
        <v/>
      </c>
      <c r="N53" s="30" t="str">
        <f>IF(A53="","",IF($AB$6&gt;0,AB53/$AB$6,0))</f>
        <v/>
      </c>
      <c r="O53" s="74" t="str">
        <f>IF(A53="","",IF(AB53&lt;=0,"",COUNTIF($AB$9:$AB$208,"&gt;"&amp;AB53)+COUNTIF($AB$9:AB53,AB53)))</f>
        <v/>
      </c>
      <c r="P53" s="73" t="str">
        <f>IF(A53="","",IF(Q53&gt;0,"BUY","HOLD"))</f>
        <v/>
      </c>
      <c r="Q53" s="70" t="str">
        <f>IF(A53="","",IF($W$7&lt;=0,0,IF($AC$6&gt;0,$W$7*AC53/$AC$6,IF($F$6&gt;0,$W$7*N(F53)/$F$6,0))))</f>
        <v/>
      </c>
      <c r="R53" s="103" t="str">
        <f>IF(A53="","",N(AD53)+IF(AI53=1,N(AG53),0))</f>
        <v/>
      </c>
      <c r="S53" s="103" t="str">
        <f>IF(A53="","",N(E53)+N(R53))</f>
        <v/>
      </c>
      <c r="T53" s="70" t="str">
        <f>IF(A53="","",IF(N(R53)&gt;0,R53*H53*W53*$W$6+p_CorrFixa,0))</f>
        <v/>
      </c>
      <c r="V53" s="85" t="str">
        <f>IF(A53="","",IF(D53="",$W$1,D53))</f>
        <v/>
      </c>
      <c r="W53" s="85" t="str">
        <f>IF(A53="","",IFERROR(INDEX(moeda_fx,MATCH(V53,moeda_cod,0)),0))</f>
        <v/>
      </c>
      <c r="X53" s="85" t="str">
        <f>IF(A53="","",IF($W$2="",UPPER(TRIM(A53)),IF(RIGHT(UPPER(TRIM(A53)),LEN($W$2))=$W$2,UPPER(TRIM(A53)),UPPER(TRIM(A53))&amp;$W$2)))</f>
        <v/>
      </c>
      <c r="Y53" s="85" t="str">
        <f>IF(OR(A53="",p_ModoCot&lt;&gt;"Automático"),"",IFERROR(_xlfn.WEBSERVICE("https://query1.finance.yahoo.com/v8/finance/chart/"&amp;X53&amp;"?range=1d&amp;interval=1d"),""))</f>
        <v/>
      </c>
      <c r="Z53" s="85" t="str">
        <f>IF(Y53="","",IFERROR(_xlfn.NUMBERVALUE(MID(Y53,SEARCH("""regularMarketPrice"":",Y53)+21,SEARCH(",",Y53&amp;",",SEARCH("""regularMarketPrice"":",Y53)+21)-SEARCH("""regularMarketPrice"":",Y53)-21),".",","),""))</f>
        <v/>
      </c>
      <c r="AA53" s="85" t="str">
        <f>IF(A53="","",ROUND(MAX(0,N(F53)*($K$6+$W$7)-K53),2))</f>
        <v/>
      </c>
      <c r="AB53" s="85" t="str">
        <f>IF(A53="","",IF(AND(M53&gt;0,M53&gt;=p_DifMin),AA53,0))</f>
        <v/>
      </c>
      <c r="AC53" s="85" t="str">
        <f>IF(A53="","",IF(AND(AB53&gt;0,N(O53)&lt;=p_MaxAtivos),AB53,0))</f>
        <v/>
      </c>
      <c r="AD53" s="85" t="str">
        <f>IF(A53="","",IF(OR(Q53&lt;=0,Q53&lt;p_CompraMin,N(H53)&lt;=0,N(W53)&lt;=0),0,IF($W$3="Sim",TRUNC(ROUND(MAX(0,(Q53-p_CorrFixa)/(H53*W53*$W$6)),9),$W$4),TRUNC(ROUND(MAX(0,(Q53-p_CorrFixa)/(H53*W53*$W$6)),9)/$W$5)*$W$5)))</f>
        <v/>
      </c>
      <c r="AE53" s="85" t="str">
        <f>IF(A53="","",IF(N(AD53)&gt;0,AD53*H53*W53*$W$6+p_CorrFixa,0))</f>
        <v/>
      </c>
      <c r="AF53" s="85" t="str">
        <f>IF(A53="","",IF(OR($Y$1&lt;=0,N(H53)&lt;=0,N(W53)&lt;=0,N(AB53)&lt;=0),0,IF($W$3="Sim",TRUNC(ROUND(MAX(0,($Y$1-IF(N(AD53)&gt;0,0,p_CorrFixa))/(H53*W53*$W$6)),9),$W$4),TRUNC(ROUND(MAX(0,($Y$1-IF(N(AD53)&gt;0,0,p_CorrFixa))/(H53*W53*$W$6)),9)/$W$5)*$W$5)))</f>
        <v/>
      </c>
      <c r="AG53" s="85" t="str">
        <f>IF(A53="","",IF(AND(N(AD53)=0,N(AF53)*(H53*W53*$W$6)+p_CorrFixa&lt;p_CompraMin),0,AF53))</f>
        <v/>
      </c>
      <c r="AH53" s="85" t="str">
        <f>IF(A53="","",IF(N(AG53)&gt;0,AB53,0))</f>
        <v/>
      </c>
      <c r="AI53" s="85" t="str">
        <f>IF(A53="","",IF(AND(AH53&gt;0,AH53=$AH$6,COUNTIF($AH$9:AH53,AH53)=1),1,0))</f>
        <v/>
      </c>
    </row>
    <row r="54">
      <c r="A54" s="96" t="n"/>
      <c r="B54" s="96" t="n"/>
      <c r="C54" s="96" t="n"/>
      <c r="D54" s="97" t="n"/>
      <c r="E54" s="98" t="n"/>
      <c r="F54" s="99" t="n"/>
      <c r="G54" s="100" t="n"/>
      <c r="H54" s="104" t="str">
        <f>IF(A54="","",IF(AND(p_ModoCot="Automático",ISNUMBER(Z54)),Z54,IF(N(G54)&gt;0,G54,0)))</f>
        <v/>
      </c>
      <c r="I54" s="105" t="str">
        <f>IF(A54="","",IF(W54=0,"Sem câmbio",IF(AND(p_ModoCot="Automático",ISNUMBER(Z54)),"Auto",IF(N(G54)&gt;0,"Manual","Sem cotação"))))</f>
        <v/>
      </c>
      <c r="J54" s="106" t="str">
        <f>IF(A54="","",N(E54)*H54)</f>
        <v/>
      </c>
      <c r="K54" s="107" t="str">
        <f>IF(A54="","",J54*W54)</f>
        <v/>
      </c>
      <c r="L54" s="108" t="str">
        <f>IF(A54="","",IF($K$6&gt;0,K54/$K$6,0))</f>
        <v/>
      </c>
      <c r="M54" s="109" t="str">
        <f>IF(A54="","",N(F54)-L54)</f>
        <v/>
      </c>
      <c r="N54" s="108" t="str">
        <f>IF(A54="","",IF($AB$6&gt;0,AB54/$AB$6,0))</f>
        <v/>
      </c>
      <c r="O54" s="110" t="str">
        <f>IF(A54="","",IF(AB54&lt;=0,"",COUNTIF($AB$9:$AB$208,"&gt;"&amp;AB54)+COUNTIF($AB$9:AB54,AB54)))</f>
        <v/>
      </c>
      <c r="P54" s="105" t="str">
        <f>IF(A54="","",IF(Q54&gt;0,"BUY","HOLD"))</f>
        <v/>
      </c>
      <c r="Q54" s="107" t="str">
        <f>IF(A54="","",IF($W$7&lt;=0,0,IF($AC$6&gt;0,$W$7*AC54/$AC$6,IF($F$6&gt;0,$W$7*N(F54)/$F$6,0))))</f>
        <v/>
      </c>
      <c r="R54" s="111" t="str">
        <f>IF(A54="","",N(AD54)+IF(AI54=1,N(AG54),0))</f>
        <v/>
      </c>
      <c r="S54" s="111" t="str">
        <f>IF(A54="","",N(E54)+N(R54))</f>
        <v/>
      </c>
      <c r="T54" s="107" t="str">
        <f>IF(A54="","",IF(N(R54)&gt;0,R54*H54*W54*$W$6+p_CorrFixa,0))</f>
        <v/>
      </c>
      <c r="V54" s="85" t="str">
        <f>IF(A54="","",IF(D54="",$W$1,D54))</f>
        <v/>
      </c>
      <c r="W54" s="85" t="str">
        <f>IF(A54="","",IFERROR(INDEX(moeda_fx,MATCH(V54,moeda_cod,0)),0))</f>
        <v/>
      </c>
      <c r="X54" s="85" t="str">
        <f>IF(A54="","",IF($W$2="",UPPER(TRIM(A54)),IF(RIGHT(UPPER(TRIM(A54)),LEN($W$2))=$W$2,UPPER(TRIM(A54)),UPPER(TRIM(A54))&amp;$W$2)))</f>
        <v/>
      </c>
      <c r="Y54" s="85" t="str">
        <f>IF(OR(A54="",p_ModoCot&lt;&gt;"Automático"),"",IFERROR(_xlfn.WEBSERVICE("https://query1.finance.yahoo.com/v8/finance/chart/"&amp;X54&amp;"?range=1d&amp;interval=1d"),""))</f>
        <v/>
      </c>
      <c r="Z54" s="85" t="str">
        <f>IF(Y54="","",IFERROR(_xlfn.NUMBERVALUE(MID(Y54,SEARCH("""regularMarketPrice"":",Y54)+21,SEARCH(",",Y54&amp;",",SEARCH("""regularMarketPrice"":",Y54)+21)-SEARCH("""regularMarketPrice"":",Y54)-21),".",","),""))</f>
        <v/>
      </c>
      <c r="AA54" s="85" t="str">
        <f>IF(A54="","",ROUND(MAX(0,N(F54)*($K$6+$W$7)-K54),2))</f>
        <v/>
      </c>
      <c r="AB54" s="85" t="str">
        <f>IF(A54="","",IF(AND(M54&gt;0,M54&gt;=p_DifMin),AA54,0))</f>
        <v/>
      </c>
      <c r="AC54" s="85" t="str">
        <f>IF(A54="","",IF(AND(AB54&gt;0,N(O54)&lt;=p_MaxAtivos),AB54,0))</f>
        <v/>
      </c>
      <c r="AD54" s="85" t="str">
        <f>IF(A54="","",IF(OR(Q54&lt;=0,Q54&lt;p_CompraMin,N(H54)&lt;=0,N(W54)&lt;=0),0,IF($W$3="Sim",TRUNC(ROUND(MAX(0,(Q54-p_CorrFixa)/(H54*W54*$W$6)),9),$W$4),TRUNC(ROUND(MAX(0,(Q54-p_CorrFixa)/(H54*W54*$W$6)),9)/$W$5)*$W$5)))</f>
        <v/>
      </c>
      <c r="AE54" s="85" t="str">
        <f>IF(A54="","",IF(N(AD54)&gt;0,AD54*H54*W54*$W$6+p_CorrFixa,0))</f>
        <v/>
      </c>
      <c r="AF54" s="85" t="str">
        <f>IF(A54="","",IF(OR($Y$1&lt;=0,N(H54)&lt;=0,N(W54)&lt;=0,N(AB54)&lt;=0),0,IF($W$3="Sim",TRUNC(ROUND(MAX(0,($Y$1-IF(N(AD54)&gt;0,0,p_CorrFixa))/(H54*W54*$W$6)),9),$W$4),TRUNC(ROUND(MAX(0,($Y$1-IF(N(AD54)&gt;0,0,p_CorrFixa))/(H54*W54*$W$6)),9)/$W$5)*$W$5)))</f>
        <v/>
      </c>
      <c r="AG54" s="85" t="str">
        <f>IF(A54="","",IF(AND(N(AD54)=0,N(AF54)*(H54*W54*$W$6)+p_CorrFixa&lt;p_CompraMin),0,AF54))</f>
        <v/>
      </c>
      <c r="AH54" s="85" t="str">
        <f>IF(A54="","",IF(N(AG54)&gt;0,AB54,0))</f>
        <v/>
      </c>
      <c r="AI54" s="85" t="str">
        <f>IF(A54="","",IF(AND(AH54&gt;0,AH54=$AH$6,COUNTIF($AH$9:AH54,AH54)=1),1,0))</f>
        <v/>
      </c>
    </row>
    <row r="55">
      <c r="A55" s="96" t="n"/>
      <c r="B55" s="96" t="n"/>
      <c r="C55" s="96" t="n"/>
      <c r="D55" s="97" t="n"/>
      <c r="E55" s="98" t="n"/>
      <c r="F55" s="99" t="n"/>
      <c r="G55" s="100" t="n"/>
      <c r="H55" s="101" t="str">
        <f>IF(A55="","",IF(AND(p_ModoCot="Automático",ISNUMBER(Z55)),Z55,IF(N(G55)&gt;0,G55,0)))</f>
        <v/>
      </c>
      <c r="I55" s="73" t="str">
        <f>IF(A55="","",IF(W55=0,"Sem câmbio",IF(AND(p_ModoCot="Automático",ISNUMBER(Z55)),"Auto",IF(N(G55)&gt;0,"Manual","Sem cotação"))))</f>
        <v/>
      </c>
      <c r="J55" s="102" t="str">
        <f>IF(A55="","",N(E55)*H55)</f>
        <v/>
      </c>
      <c r="K55" s="70" t="str">
        <f>IF(A55="","",J55*W55)</f>
        <v/>
      </c>
      <c r="L55" s="30" t="str">
        <f>IF(A55="","",IF($K$6&gt;0,K55/$K$6,0))</f>
        <v/>
      </c>
      <c r="M55" s="72" t="str">
        <f>IF(A55="","",N(F55)-L55)</f>
        <v/>
      </c>
      <c r="N55" s="30" t="str">
        <f>IF(A55="","",IF($AB$6&gt;0,AB55/$AB$6,0))</f>
        <v/>
      </c>
      <c r="O55" s="74" t="str">
        <f>IF(A55="","",IF(AB55&lt;=0,"",COUNTIF($AB$9:$AB$208,"&gt;"&amp;AB55)+COUNTIF($AB$9:AB55,AB55)))</f>
        <v/>
      </c>
      <c r="P55" s="73" t="str">
        <f>IF(A55="","",IF(Q55&gt;0,"BUY","HOLD"))</f>
        <v/>
      </c>
      <c r="Q55" s="70" t="str">
        <f>IF(A55="","",IF($W$7&lt;=0,0,IF($AC$6&gt;0,$W$7*AC55/$AC$6,IF($F$6&gt;0,$W$7*N(F55)/$F$6,0))))</f>
        <v/>
      </c>
      <c r="R55" s="103" t="str">
        <f>IF(A55="","",N(AD55)+IF(AI55=1,N(AG55),0))</f>
        <v/>
      </c>
      <c r="S55" s="103" t="str">
        <f>IF(A55="","",N(E55)+N(R55))</f>
        <v/>
      </c>
      <c r="T55" s="70" t="str">
        <f>IF(A55="","",IF(N(R55)&gt;0,R55*H55*W55*$W$6+p_CorrFixa,0))</f>
        <v/>
      </c>
      <c r="V55" s="85" t="str">
        <f>IF(A55="","",IF(D55="",$W$1,D55))</f>
        <v/>
      </c>
      <c r="W55" s="85" t="str">
        <f>IF(A55="","",IFERROR(INDEX(moeda_fx,MATCH(V55,moeda_cod,0)),0))</f>
        <v/>
      </c>
      <c r="X55" s="85" t="str">
        <f>IF(A55="","",IF($W$2="",UPPER(TRIM(A55)),IF(RIGHT(UPPER(TRIM(A55)),LEN($W$2))=$W$2,UPPER(TRIM(A55)),UPPER(TRIM(A55))&amp;$W$2)))</f>
        <v/>
      </c>
      <c r="Y55" s="85" t="str">
        <f>IF(OR(A55="",p_ModoCot&lt;&gt;"Automático"),"",IFERROR(_xlfn.WEBSERVICE("https://query1.finance.yahoo.com/v8/finance/chart/"&amp;X55&amp;"?range=1d&amp;interval=1d"),""))</f>
        <v/>
      </c>
      <c r="Z55" s="85" t="str">
        <f>IF(Y55="","",IFERROR(_xlfn.NUMBERVALUE(MID(Y55,SEARCH("""regularMarketPrice"":",Y55)+21,SEARCH(",",Y55&amp;",",SEARCH("""regularMarketPrice"":",Y55)+21)-SEARCH("""regularMarketPrice"":",Y55)-21),".",","),""))</f>
        <v/>
      </c>
      <c r="AA55" s="85" t="str">
        <f>IF(A55="","",ROUND(MAX(0,N(F55)*($K$6+$W$7)-K55),2))</f>
        <v/>
      </c>
      <c r="AB55" s="85" t="str">
        <f>IF(A55="","",IF(AND(M55&gt;0,M55&gt;=p_DifMin),AA55,0))</f>
        <v/>
      </c>
      <c r="AC55" s="85" t="str">
        <f>IF(A55="","",IF(AND(AB55&gt;0,N(O55)&lt;=p_MaxAtivos),AB55,0))</f>
        <v/>
      </c>
      <c r="AD55" s="85" t="str">
        <f>IF(A55="","",IF(OR(Q55&lt;=0,Q55&lt;p_CompraMin,N(H55)&lt;=0,N(W55)&lt;=0),0,IF($W$3="Sim",TRUNC(ROUND(MAX(0,(Q55-p_CorrFixa)/(H55*W55*$W$6)),9),$W$4),TRUNC(ROUND(MAX(0,(Q55-p_CorrFixa)/(H55*W55*$W$6)),9)/$W$5)*$W$5)))</f>
        <v/>
      </c>
      <c r="AE55" s="85" t="str">
        <f>IF(A55="","",IF(N(AD55)&gt;0,AD55*H55*W55*$W$6+p_CorrFixa,0))</f>
        <v/>
      </c>
      <c r="AF55" s="85" t="str">
        <f>IF(A55="","",IF(OR($Y$1&lt;=0,N(H55)&lt;=0,N(W55)&lt;=0,N(AB55)&lt;=0),0,IF($W$3="Sim",TRUNC(ROUND(MAX(0,($Y$1-IF(N(AD55)&gt;0,0,p_CorrFixa))/(H55*W55*$W$6)),9),$W$4),TRUNC(ROUND(MAX(0,($Y$1-IF(N(AD55)&gt;0,0,p_CorrFixa))/(H55*W55*$W$6)),9)/$W$5)*$W$5)))</f>
        <v/>
      </c>
      <c r="AG55" s="85" t="str">
        <f>IF(A55="","",IF(AND(N(AD55)=0,N(AF55)*(H55*W55*$W$6)+p_CorrFixa&lt;p_CompraMin),0,AF55))</f>
        <v/>
      </c>
      <c r="AH55" s="85" t="str">
        <f>IF(A55="","",IF(N(AG55)&gt;0,AB55,0))</f>
        <v/>
      </c>
      <c r="AI55" s="85" t="str">
        <f>IF(A55="","",IF(AND(AH55&gt;0,AH55=$AH$6,COUNTIF($AH$9:AH55,AH55)=1),1,0))</f>
        <v/>
      </c>
    </row>
    <row r="56">
      <c r="A56" s="96" t="n"/>
      <c r="B56" s="96" t="n"/>
      <c r="C56" s="96" t="n"/>
      <c r="D56" s="97" t="n"/>
      <c r="E56" s="98" t="n"/>
      <c r="F56" s="99" t="n"/>
      <c r="G56" s="100" t="n"/>
      <c r="H56" s="104" t="str">
        <f>IF(A56="","",IF(AND(p_ModoCot="Automático",ISNUMBER(Z56)),Z56,IF(N(G56)&gt;0,G56,0)))</f>
        <v/>
      </c>
      <c r="I56" s="105" t="str">
        <f>IF(A56="","",IF(W56=0,"Sem câmbio",IF(AND(p_ModoCot="Automático",ISNUMBER(Z56)),"Auto",IF(N(G56)&gt;0,"Manual","Sem cotação"))))</f>
        <v/>
      </c>
      <c r="J56" s="106" t="str">
        <f>IF(A56="","",N(E56)*H56)</f>
        <v/>
      </c>
      <c r="K56" s="107" t="str">
        <f>IF(A56="","",J56*W56)</f>
        <v/>
      </c>
      <c r="L56" s="108" t="str">
        <f>IF(A56="","",IF($K$6&gt;0,K56/$K$6,0))</f>
        <v/>
      </c>
      <c r="M56" s="109" t="str">
        <f>IF(A56="","",N(F56)-L56)</f>
        <v/>
      </c>
      <c r="N56" s="108" t="str">
        <f>IF(A56="","",IF($AB$6&gt;0,AB56/$AB$6,0))</f>
        <v/>
      </c>
      <c r="O56" s="110" t="str">
        <f>IF(A56="","",IF(AB56&lt;=0,"",COUNTIF($AB$9:$AB$208,"&gt;"&amp;AB56)+COUNTIF($AB$9:AB56,AB56)))</f>
        <v/>
      </c>
      <c r="P56" s="105" t="str">
        <f>IF(A56="","",IF(Q56&gt;0,"BUY","HOLD"))</f>
        <v/>
      </c>
      <c r="Q56" s="107" t="str">
        <f>IF(A56="","",IF($W$7&lt;=0,0,IF($AC$6&gt;0,$W$7*AC56/$AC$6,IF($F$6&gt;0,$W$7*N(F56)/$F$6,0))))</f>
        <v/>
      </c>
      <c r="R56" s="111" t="str">
        <f>IF(A56="","",N(AD56)+IF(AI56=1,N(AG56),0))</f>
        <v/>
      </c>
      <c r="S56" s="111" t="str">
        <f>IF(A56="","",N(E56)+N(R56))</f>
        <v/>
      </c>
      <c r="T56" s="107" t="str">
        <f>IF(A56="","",IF(N(R56)&gt;0,R56*H56*W56*$W$6+p_CorrFixa,0))</f>
        <v/>
      </c>
      <c r="V56" s="85" t="str">
        <f>IF(A56="","",IF(D56="",$W$1,D56))</f>
        <v/>
      </c>
      <c r="W56" s="85" t="str">
        <f>IF(A56="","",IFERROR(INDEX(moeda_fx,MATCH(V56,moeda_cod,0)),0))</f>
        <v/>
      </c>
      <c r="X56" s="85" t="str">
        <f>IF(A56="","",IF($W$2="",UPPER(TRIM(A56)),IF(RIGHT(UPPER(TRIM(A56)),LEN($W$2))=$W$2,UPPER(TRIM(A56)),UPPER(TRIM(A56))&amp;$W$2)))</f>
        <v/>
      </c>
      <c r="Y56" s="85" t="str">
        <f>IF(OR(A56="",p_ModoCot&lt;&gt;"Automático"),"",IFERROR(_xlfn.WEBSERVICE("https://query1.finance.yahoo.com/v8/finance/chart/"&amp;X56&amp;"?range=1d&amp;interval=1d"),""))</f>
        <v/>
      </c>
      <c r="Z56" s="85" t="str">
        <f>IF(Y56="","",IFERROR(_xlfn.NUMBERVALUE(MID(Y56,SEARCH("""regularMarketPrice"":",Y56)+21,SEARCH(",",Y56&amp;",",SEARCH("""regularMarketPrice"":",Y56)+21)-SEARCH("""regularMarketPrice"":",Y56)-21),".",","),""))</f>
        <v/>
      </c>
      <c r="AA56" s="85" t="str">
        <f>IF(A56="","",ROUND(MAX(0,N(F56)*($K$6+$W$7)-K56),2))</f>
        <v/>
      </c>
      <c r="AB56" s="85" t="str">
        <f>IF(A56="","",IF(AND(M56&gt;0,M56&gt;=p_DifMin),AA56,0))</f>
        <v/>
      </c>
      <c r="AC56" s="85" t="str">
        <f>IF(A56="","",IF(AND(AB56&gt;0,N(O56)&lt;=p_MaxAtivos),AB56,0))</f>
        <v/>
      </c>
      <c r="AD56" s="85" t="str">
        <f>IF(A56="","",IF(OR(Q56&lt;=0,Q56&lt;p_CompraMin,N(H56)&lt;=0,N(W56)&lt;=0),0,IF($W$3="Sim",TRUNC(ROUND(MAX(0,(Q56-p_CorrFixa)/(H56*W56*$W$6)),9),$W$4),TRUNC(ROUND(MAX(0,(Q56-p_CorrFixa)/(H56*W56*$W$6)),9)/$W$5)*$W$5)))</f>
        <v/>
      </c>
      <c r="AE56" s="85" t="str">
        <f>IF(A56="","",IF(N(AD56)&gt;0,AD56*H56*W56*$W$6+p_CorrFixa,0))</f>
        <v/>
      </c>
      <c r="AF56" s="85" t="str">
        <f>IF(A56="","",IF(OR($Y$1&lt;=0,N(H56)&lt;=0,N(W56)&lt;=0,N(AB56)&lt;=0),0,IF($W$3="Sim",TRUNC(ROUND(MAX(0,($Y$1-IF(N(AD56)&gt;0,0,p_CorrFixa))/(H56*W56*$W$6)),9),$W$4),TRUNC(ROUND(MAX(0,($Y$1-IF(N(AD56)&gt;0,0,p_CorrFixa))/(H56*W56*$W$6)),9)/$W$5)*$W$5)))</f>
        <v/>
      </c>
      <c r="AG56" s="85" t="str">
        <f>IF(A56="","",IF(AND(N(AD56)=0,N(AF56)*(H56*W56*$W$6)+p_CorrFixa&lt;p_CompraMin),0,AF56))</f>
        <v/>
      </c>
      <c r="AH56" s="85" t="str">
        <f>IF(A56="","",IF(N(AG56)&gt;0,AB56,0))</f>
        <v/>
      </c>
      <c r="AI56" s="85" t="str">
        <f>IF(A56="","",IF(AND(AH56&gt;0,AH56=$AH$6,COUNTIF($AH$9:AH56,AH56)=1),1,0))</f>
        <v/>
      </c>
    </row>
    <row r="57">
      <c r="A57" s="96" t="n"/>
      <c r="B57" s="96" t="n"/>
      <c r="C57" s="96" t="n"/>
      <c r="D57" s="97" t="n"/>
      <c r="E57" s="98" t="n"/>
      <c r="F57" s="99" t="n"/>
      <c r="G57" s="100" t="n"/>
      <c r="H57" s="101" t="str">
        <f>IF(A57="","",IF(AND(p_ModoCot="Automático",ISNUMBER(Z57)),Z57,IF(N(G57)&gt;0,G57,0)))</f>
        <v/>
      </c>
      <c r="I57" s="73" t="str">
        <f>IF(A57="","",IF(W57=0,"Sem câmbio",IF(AND(p_ModoCot="Automático",ISNUMBER(Z57)),"Auto",IF(N(G57)&gt;0,"Manual","Sem cotação"))))</f>
        <v/>
      </c>
      <c r="J57" s="102" t="str">
        <f>IF(A57="","",N(E57)*H57)</f>
        <v/>
      </c>
      <c r="K57" s="70" t="str">
        <f>IF(A57="","",J57*W57)</f>
        <v/>
      </c>
      <c r="L57" s="30" t="str">
        <f>IF(A57="","",IF($K$6&gt;0,K57/$K$6,0))</f>
        <v/>
      </c>
      <c r="M57" s="72" t="str">
        <f>IF(A57="","",N(F57)-L57)</f>
        <v/>
      </c>
      <c r="N57" s="30" t="str">
        <f>IF(A57="","",IF($AB$6&gt;0,AB57/$AB$6,0))</f>
        <v/>
      </c>
      <c r="O57" s="74" t="str">
        <f>IF(A57="","",IF(AB57&lt;=0,"",COUNTIF($AB$9:$AB$208,"&gt;"&amp;AB57)+COUNTIF($AB$9:AB57,AB57)))</f>
        <v/>
      </c>
      <c r="P57" s="73" t="str">
        <f>IF(A57="","",IF(Q57&gt;0,"BUY","HOLD"))</f>
        <v/>
      </c>
      <c r="Q57" s="70" t="str">
        <f>IF(A57="","",IF($W$7&lt;=0,0,IF($AC$6&gt;0,$W$7*AC57/$AC$6,IF($F$6&gt;0,$W$7*N(F57)/$F$6,0))))</f>
        <v/>
      </c>
      <c r="R57" s="103" t="str">
        <f>IF(A57="","",N(AD57)+IF(AI57=1,N(AG57),0))</f>
        <v/>
      </c>
      <c r="S57" s="103" t="str">
        <f>IF(A57="","",N(E57)+N(R57))</f>
        <v/>
      </c>
      <c r="T57" s="70" t="str">
        <f>IF(A57="","",IF(N(R57)&gt;0,R57*H57*W57*$W$6+p_CorrFixa,0))</f>
        <v/>
      </c>
      <c r="V57" s="85" t="str">
        <f>IF(A57="","",IF(D57="",$W$1,D57))</f>
        <v/>
      </c>
      <c r="W57" s="85" t="str">
        <f>IF(A57="","",IFERROR(INDEX(moeda_fx,MATCH(V57,moeda_cod,0)),0))</f>
        <v/>
      </c>
      <c r="X57" s="85" t="str">
        <f>IF(A57="","",IF($W$2="",UPPER(TRIM(A57)),IF(RIGHT(UPPER(TRIM(A57)),LEN($W$2))=$W$2,UPPER(TRIM(A57)),UPPER(TRIM(A57))&amp;$W$2)))</f>
        <v/>
      </c>
      <c r="Y57" s="85" t="str">
        <f>IF(OR(A57="",p_ModoCot&lt;&gt;"Automático"),"",IFERROR(_xlfn.WEBSERVICE("https://query1.finance.yahoo.com/v8/finance/chart/"&amp;X57&amp;"?range=1d&amp;interval=1d"),""))</f>
        <v/>
      </c>
      <c r="Z57" s="85" t="str">
        <f>IF(Y57="","",IFERROR(_xlfn.NUMBERVALUE(MID(Y57,SEARCH("""regularMarketPrice"":",Y57)+21,SEARCH(",",Y57&amp;",",SEARCH("""regularMarketPrice"":",Y57)+21)-SEARCH("""regularMarketPrice"":",Y57)-21),".",","),""))</f>
        <v/>
      </c>
      <c r="AA57" s="85" t="str">
        <f>IF(A57="","",ROUND(MAX(0,N(F57)*($K$6+$W$7)-K57),2))</f>
        <v/>
      </c>
      <c r="AB57" s="85" t="str">
        <f>IF(A57="","",IF(AND(M57&gt;0,M57&gt;=p_DifMin),AA57,0))</f>
        <v/>
      </c>
      <c r="AC57" s="85" t="str">
        <f>IF(A57="","",IF(AND(AB57&gt;0,N(O57)&lt;=p_MaxAtivos),AB57,0))</f>
        <v/>
      </c>
      <c r="AD57" s="85" t="str">
        <f>IF(A57="","",IF(OR(Q57&lt;=0,Q57&lt;p_CompraMin,N(H57)&lt;=0,N(W57)&lt;=0),0,IF($W$3="Sim",TRUNC(ROUND(MAX(0,(Q57-p_CorrFixa)/(H57*W57*$W$6)),9),$W$4),TRUNC(ROUND(MAX(0,(Q57-p_CorrFixa)/(H57*W57*$W$6)),9)/$W$5)*$W$5)))</f>
        <v/>
      </c>
      <c r="AE57" s="85" t="str">
        <f>IF(A57="","",IF(N(AD57)&gt;0,AD57*H57*W57*$W$6+p_CorrFixa,0))</f>
        <v/>
      </c>
      <c r="AF57" s="85" t="str">
        <f>IF(A57="","",IF(OR($Y$1&lt;=0,N(H57)&lt;=0,N(W57)&lt;=0,N(AB57)&lt;=0),0,IF($W$3="Sim",TRUNC(ROUND(MAX(0,($Y$1-IF(N(AD57)&gt;0,0,p_CorrFixa))/(H57*W57*$W$6)),9),$W$4),TRUNC(ROUND(MAX(0,($Y$1-IF(N(AD57)&gt;0,0,p_CorrFixa))/(H57*W57*$W$6)),9)/$W$5)*$W$5)))</f>
        <v/>
      </c>
      <c r="AG57" s="85" t="str">
        <f>IF(A57="","",IF(AND(N(AD57)=0,N(AF57)*(H57*W57*$W$6)+p_CorrFixa&lt;p_CompraMin),0,AF57))</f>
        <v/>
      </c>
      <c r="AH57" s="85" t="str">
        <f>IF(A57="","",IF(N(AG57)&gt;0,AB57,0))</f>
        <v/>
      </c>
      <c r="AI57" s="85" t="str">
        <f>IF(A57="","",IF(AND(AH57&gt;0,AH57=$AH$6,COUNTIF($AH$9:AH57,AH57)=1),1,0))</f>
        <v/>
      </c>
    </row>
    <row r="58">
      <c r="A58" s="96" t="n"/>
      <c r="B58" s="96" t="n"/>
      <c r="C58" s="96" t="n"/>
      <c r="D58" s="97" t="n"/>
      <c r="E58" s="98" t="n"/>
      <c r="F58" s="99" t="n"/>
      <c r="G58" s="100" t="n"/>
      <c r="H58" s="104" t="str">
        <f>IF(A58="","",IF(AND(p_ModoCot="Automático",ISNUMBER(Z58)),Z58,IF(N(G58)&gt;0,G58,0)))</f>
        <v/>
      </c>
      <c r="I58" s="105" t="str">
        <f>IF(A58="","",IF(W58=0,"Sem câmbio",IF(AND(p_ModoCot="Automático",ISNUMBER(Z58)),"Auto",IF(N(G58)&gt;0,"Manual","Sem cotação"))))</f>
        <v/>
      </c>
      <c r="J58" s="106" t="str">
        <f>IF(A58="","",N(E58)*H58)</f>
        <v/>
      </c>
      <c r="K58" s="107" t="str">
        <f>IF(A58="","",J58*W58)</f>
        <v/>
      </c>
      <c r="L58" s="108" t="str">
        <f>IF(A58="","",IF($K$6&gt;0,K58/$K$6,0))</f>
        <v/>
      </c>
      <c r="M58" s="109" t="str">
        <f>IF(A58="","",N(F58)-L58)</f>
        <v/>
      </c>
      <c r="N58" s="108" t="str">
        <f>IF(A58="","",IF($AB$6&gt;0,AB58/$AB$6,0))</f>
        <v/>
      </c>
      <c r="O58" s="110" t="str">
        <f>IF(A58="","",IF(AB58&lt;=0,"",COUNTIF($AB$9:$AB$208,"&gt;"&amp;AB58)+COUNTIF($AB$9:AB58,AB58)))</f>
        <v/>
      </c>
      <c r="P58" s="105" t="str">
        <f>IF(A58="","",IF(Q58&gt;0,"BUY","HOLD"))</f>
        <v/>
      </c>
      <c r="Q58" s="107" t="str">
        <f>IF(A58="","",IF($W$7&lt;=0,0,IF($AC$6&gt;0,$W$7*AC58/$AC$6,IF($F$6&gt;0,$W$7*N(F58)/$F$6,0))))</f>
        <v/>
      </c>
      <c r="R58" s="111" t="str">
        <f>IF(A58="","",N(AD58)+IF(AI58=1,N(AG58),0))</f>
        <v/>
      </c>
      <c r="S58" s="111" t="str">
        <f>IF(A58="","",N(E58)+N(R58))</f>
        <v/>
      </c>
      <c r="T58" s="107" t="str">
        <f>IF(A58="","",IF(N(R58)&gt;0,R58*H58*W58*$W$6+p_CorrFixa,0))</f>
        <v/>
      </c>
      <c r="V58" s="85" t="str">
        <f>IF(A58="","",IF(D58="",$W$1,D58))</f>
        <v/>
      </c>
      <c r="W58" s="85" t="str">
        <f>IF(A58="","",IFERROR(INDEX(moeda_fx,MATCH(V58,moeda_cod,0)),0))</f>
        <v/>
      </c>
      <c r="X58" s="85" t="str">
        <f>IF(A58="","",IF($W$2="",UPPER(TRIM(A58)),IF(RIGHT(UPPER(TRIM(A58)),LEN($W$2))=$W$2,UPPER(TRIM(A58)),UPPER(TRIM(A58))&amp;$W$2)))</f>
        <v/>
      </c>
      <c r="Y58" s="85" t="str">
        <f>IF(OR(A58="",p_ModoCot&lt;&gt;"Automático"),"",IFERROR(_xlfn.WEBSERVICE("https://query1.finance.yahoo.com/v8/finance/chart/"&amp;X58&amp;"?range=1d&amp;interval=1d"),""))</f>
        <v/>
      </c>
      <c r="Z58" s="85" t="str">
        <f>IF(Y58="","",IFERROR(_xlfn.NUMBERVALUE(MID(Y58,SEARCH("""regularMarketPrice"":",Y58)+21,SEARCH(",",Y58&amp;",",SEARCH("""regularMarketPrice"":",Y58)+21)-SEARCH("""regularMarketPrice"":",Y58)-21),".",","),""))</f>
        <v/>
      </c>
      <c r="AA58" s="85" t="str">
        <f>IF(A58="","",ROUND(MAX(0,N(F58)*($K$6+$W$7)-K58),2))</f>
        <v/>
      </c>
      <c r="AB58" s="85" t="str">
        <f>IF(A58="","",IF(AND(M58&gt;0,M58&gt;=p_DifMin),AA58,0))</f>
        <v/>
      </c>
      <c r="AC58" s="85" t="str">
        <f>IF(A58="","",IF(AND(AB58&gt;0,N(O58)&lt;=p_MaxAtivos),AB58,0))</f>
        <v/>
      </c>
      <c r="AD58" s="85" t="str">
        <f>IF(A58="","",IF(OR(Q58&lt;=0,Q58&lt;p_CompraMin,N(H58)&lt;=0,N(W58)&lt;=0),0,IF($W$3="Sim",TRUNC(ROUND(MAX(0,(Q58-p_CorrFixa)/(H58*W58*$W$6)),9),$W$4),TRUNC(ROUND(MAX(0,(Q58-p_CorrFixa)/(H58*W58*$W$6)),9)/$W$5)*$W$5)))</f>
        <v/>
      </c>
      <c r="AE58" s="85" t="str">
        <f>IF(A58="","",IF(N(AD58)&gt;0,AD58*H58*W58*$W$6+p_CorrFixa,0))</f>
        <v/>
      </c>
      <c r="AF58" s="85" t="str">
        <f>IF(A58="","",IF(OR($Y$1&lt;=0,N(H58)&lt;=0,N(W58)&lt;=0,N(AB58)&lt;=0),0,IF($W$3="Sim",TRUNC(ROUND(MAX(0,($Y$1-IF(N(AD58)&gt;0,0,p_CorrFixa))/(H58*W58*$W$6)),9),$W$4),TRUNC(ROUND(MAX(0,($Y$1-IF(N(AD58)&gt;0,0,p_CorrFixa))/(H58*W58*$W$6)),9)/$W$5)*$W$5)))</f>
        <v/>
      </c>
      <c r="AG58" s="85" t="str">
        <f>IF(A58="","",IF(AND(N(AD58)=0,N(AF58)*(H58*W58*$W$6)+p_CorrFixa&lt;p_CompraMin),0,AF58))</f>
        <v/>
      </c>
      <c r="AH58" s="85" t="str">
        <f>IF(A58="","",IF(N(AG58)&gt;0,AB58,0))</f>
        <v/>
      </c>
      <c r="AI58" s="85" t="str">
        <f>IF(A58="","",IF(AND(AH58&gt;0,AH58=$AH$6,COUNTIF($AH$9:AH58,AH58)=1),1,0))</f>
        <v/>
      </c>
    </row>
    <row r="59">
      <c r="A59" s="96" t="n"/>
      <c r="B59" s="96" t="n"/>
      <c r="C59" s="96" t="n"/>
      <c r="D59" s="97" t="n"/>
      <c r="E59" s="98" t="n"/>
      <c r="F59" s="99" t="n"/>
      <c r="G59" s="100" t="n"/>
      <c r="H59" s="101" t="str">
        <f>IF(A59="","",IF(AND(p_ModoCot="Automático",ISNUMBER(Z59)),Z59,IF(N(G59)&gt;0,G59,0)))</f>
        <v/>
      </c>
      <c r="I59" s="73" t="str">
        <f>IF(A59="","",IF(W59=0,"Sem câmbio",IF(AND(p_ModoCot="Automático",ISNUMBER(Z59)),"Auto",IF(N(G59)&gt;0,"Manual","Sem cotação"))))</f>
        <v/>
      </c>
      <c r="J59" s="102" t="str">
        <f>IF(A59="","",N(E59)*H59)</f>
        <v/>
      </c>
      <c r="K59" s="70" t="str">
        <f>IF(A59="","",J59*W59)</f>
        <v/>
      </c>
      <c r="L59" s="30" t="str">
        <f>IF(A59="","",IF($K$6&gt;0,K59/$K$6,0))</f>
        <v/>
      </c>
      <c r="M59" s="72" t="str">
        <f>IF(A59="","",N(F59)-L59)</f>
        <v/>
      </c>
      <c r="N59" s="30" t="str">
        <f>IF(A59="","",IF($AB$6&gt;0,AB59/$AB$6,0))</f>
        <v/>
      </c>
      <c r="O59" s="74" t="str">
        <f>IF(A59="","",IF(AB59&lt;=0,"",COUNTIF($AB$9:$AB$208,"&gt;"&amp;AB59)+COUNTIF($AB$9:AB59,AB59)))</f>
        <v/>
      </c>
      <c r="P59" s="73" t="str">
        <f>IF(A59="","",IF(Q59&gt;0,"BUY","HOLD"))</f>
        <v/>
      </c>
      <c r="Q59" s="70" t="str">
        <f>IF(A59="","",IF($W$7&lt;=0,0,IF($AC$6&gt;0,$W$7*AC59/$AC$6,IF($F$6&gt;0,$W$7*N(F59)/$F$6,0))))</f>
        <v/>
      </c>
      <c r="R59" s="103" t="str">
        <f>IF(A59="","",N(AD59)+IF(AI59=1,N(AG59),0))</f>
        <v/>
      </c>
      <c r="S59" s="103" t="str">
        <f>IF(A59="","",N(E59)+N(R59))</f>
        <v/>
      </c>
      <c r="T59" s="70" t="str">
        <f>IF(A59="","",IF(N(R59)&gt;0,R59*H59*W59*$W$6+p_CorrFixa,0))</f>
        <v/>
      </c>
      <c r="V59" s="85" t="str">
        <f>IF(A59="","",IF(D59="",$W$1,D59))</f>
        <v/>
      </c>
      <c r="W59" s="85" t="str">
        <f>IF(A59="","",IFERROR(INDEX(moeda_fx,MATCH(V59,moeda_cod,0)),0))</f>
        <v/>
      </c>
      <c r="X59" s="85" t="str">
        <f>IF(A59="","",IF($W$2="",UPPER(TRIM(A59)),IF(RIGHT(UPPER(TRIM(A59)),LEN($W$2))=$W$2,UPPER(TRIM(A59)),UPPER(TRIM(A59))&amp;$W$2)))</f>
        <v/>
      </c>
      <c r="Y59" s="85" t="str">
        <f>IF(OR(A59="",p_ModoCot&lt;&gt;"Automático"),"",IFERROR(_xlfn.WEBSERVICE("https://query1.finance.yahoo.com/v8/finance/chart/"&amp;X59&amp;"?range=1d&amp;interval=1d"),""))</f>
        <v/>
      </c>
      <c r="Z59" s="85" t="str">
        <f>IF(Y59="","",IFERROR(_xlfn.NUMBERVALUE(MID(Y59,SEARCH("""regularMarketPrice"":",Y59)+21,SEARCH(",",Y59&amp;",",SEARCH("""regularMarketPrice"":",Y59)+21)-SEARCH("""regularMarketPrice"":",Y59)-21),".",","),""))</f>
        <v/>
      </c>
      <c r="AA59" s="85" t="str">
        <f>IF(A59="","",ROUND(MAX(0,N(F59)*($K$6+$W$7)-K59),2))</f>
        <v/>
      </c>
      <c r="AB59" s="85" t="str">
        <f>IF(A59="","",IF(AND(M59&gt;0,M59&gt;=p_DifMin),AA59,0))</f>
        <v/>
      </c>
      <c r="AC59" s="85" t="str">
        <f>IF(A59="","",IF(AND(AB59&gt;0,N(O59)&lt;=p_MaxAtivos),AB59,0))</f>
        <v/>
      </c>
      <c r="AD59" s="85" t="str">
        <f>IF(A59="","",IF(OR(Q59&lt;=0,Q59&lt;p_CompraMin,N(H59)&lt;=0,N(W59)&lt;=0),0,IF($W$3="Sim",TRUNC(ROUND(MAX(0,(Q59-p_CorrFixa)/(H59*W59*$W$6)),9),$W$4),TRUNC(ROUND(MAX(0,(Q59-p_CorrFixa)/(H59*W59*$W$6)),9)/$W$5)*$W$5)))</f>
        <v/>
      </c>
      <c r="AE59" s="85" t="str">
        <f>IF(A59="","",IF(N(AD59)&gt;0,AD59*H59*W59*$W$6+p_CorrFixa,0))</f>
        <v/>
      </c>
      <c r="AF59" s="85" t="str">
        <f>IF(A59="","",IF(OR($Y$1&lt;=0,N(H59)&lt;=0,N(W59)&lt;=0,N(AB59)&lt;=0),0,IF($W$3="Sim",TRUNC(ROUND(MAX(0,($Y$1-IF(N(AD59)&gt;0,0,p_CorrFixa))/(H59*W59*$W$6)),9),$W$4),TRUNC(ROUND(MAX(0,($Y$1-IF(N(AD59)&gt;0,0,p_CorrFixa))/(H59*W59*$W$6)),9)/$W$5)*$W$5)))</f>
        <v/>
      </c>
      <c r="AG59" s="85" t="str">
        <f>IF(A59="","",IF(AND(N(AD59)=0,N(AF59)*(H59*W59*$W$6)+p_CorrFixa&lt;p_CompraMin),0,AF59))</f>
        <v/>
      </c>
      <c r="AH59" s="85" t="str">
        <f>IF(A59="","",IF(N(AG59)&gt;0,AB59,0))</f>
        <v/>
      </c>
      <c r="AI59" s="85" t="str">
        <f>IF(A59="","",IF(AND(AH59&gt;0,AH59=$AH$6,COUNTIF($AH$9:AH59,AH59)=1),1,0))</f>
        <v/>
      </c>
    </row>
    <row r="60">
      <c r="A60" s="96" t="n"/>
      <c r="B60" s="96" t="n"/>
      <c r="C60" s="96" t="n"/>
      <c r="D60" s="97" t="n"/>
      <c r="E60" s="98" t="n"/>
      <c r="F60" s="99" t="n"/>
      <c r="G60" s="100" t="n"/>
      <c r="H60" s="104" t="str">
        <f>IF(A60="","",IF(AND(p_ModoCot="Automático",ISNUMBER(Z60)),Z60,IF(N(G60)&gt;0,G60,0)))</f>
        <v/>
      </c>
      <c r="I60" s="105" t="str">
        <f>IF(A60="","",IF(W60=0,"Sem câmbio",IF(AND(p_ModoCot="Automático",ISNUMBER(Z60)),"Auto",IF(N(G60)&gt;0,"Manual","Sem cotação"))))</f>
        <v/>
      </c>
      <c r="J60" s="106" t="str">
        <f>IF(A60="","",N(E60)*H60)</f>
        <v/>
      </c>
      <c r="K60" s="107" t="str">
        <f>IF(A60="","",J60*W60)</f>
        <v/>
      </c>
      <c r="L60" s="108" t="str">
        <f>IF(A60="","",IF($K$6&gt;0,K60/$K$6,0))</f>
        <v/>
      </c>
      <c r="M60" s="109" t="str">
        <f>IF(A60="","",N(F60)-L60)</f>
        <v/>
      </c>
      <c r="N60" s="108" t="str">
        <f>IF(A60="","",IF($AB$6&gt;0,AB60/$AB$6,0))</f>
        <v/>
      </c>
      <c r="O60" s="110" t="str">
        <f>IF(A60="","",IF(AB60&lt;=0,"",COUNTIF($AB$9:$AB$208,"&gt;"&amp;AB60)+COUNTIF($AB$9:AB60,AB60)))</f>
        <v/>
      </c>
      <c r="P60" s="105" t="str">
        <f>IF(A60="","",IF(Q60&gt;0,"BUY","HOLD"))</f>
        <v/>
      </c>
      <c r="Q60" s="107" t="str">
        <f>IF(A60="","",IF($W$7&lt;=0,0,IF($AC$6&gt;0,$W$7*AC60/$AC$6,IF($F$6&gt;0,$W$7*N(F60)/$F$6,0))))</f>
        <v/>
      </c>
      <c r="R60" s="111" t="str">
        <f>IF(A60="","",N(AD60)+IF(AI60=1,N(AG60),0))</f>
        <v/>
      </c>
      <c r="S60" s="111" t="str">
        <f>IF(A60="","",N(E60)+N(R60))</f>
        <v/>
      </c>
      <c r="T60" s="107" t="str">
        <f>IF(A60="","",IF(N(R60)&gt;0,R60*H60*W60*$W$6+p_CorrFixa,0))</f>
        <v/>
      </c>
      <c r="V60" s="85" t="str">
        <f>IF(A60="","",IF(D60="",$W$1,D60))</f>
        <v/>
      </c>
      <c r="W60" s="85" t="str">
        <f>IF(A60="","",IFERROR(INDEX(moeda_fx,MATCH(V60,moeda_cod,0)),0))</f>
        <v/>
      </c>
      <c r="X60" s="85" t="str">
        <f>IF(A60="","",IF($W$2="",UPPER(TRIM(A60)),IF(RIGHT(UPPER(TRIM(A60)),LEN($W$2))=$W$2,UPPER(TRIM(A60)),UPPER(TRIM(A60))&amp;$W$2)))</f>
        <v/>
      </c>
      <c r="Y60" s="85" t="str">
        <f>IF(OR(A60="",p_ModoCot&lt;&gt;"Automático"),"",IFERROR(_xlfn.WEBSERVICE("https://query1.finance.yahoo.com/v8/finance/chart/"&amp;X60&amp;"?range=1d&amp;interval=1d"),""))</f>
        <v/>
      </c>
      <c r="Z60" s="85" t="str">
        <f>IF(Y60="","",IFERROR(_xlfn.NUMBERVALUE(MID(Y60,SEARCH("""regularMarketPrice"":",Y60)+21,SEARCH(",",Y60&amp;",",SEARCH("""regularMarketPrice"":",Y60)+21)-SEARCH("""regularMarketPrice"":",Y60)-21),".",","),""))</f>
        <v/>
      </c>
      <c r="AA60" s="85" t="str">
        <f>IF(A60="","",ROUND(MAX(0,N(F60)*($K$6+$W$7)-K60),2))</f>
        <v/>
      </c>
      <c r="AB60" s="85" t="str">
        <f>IF(A60="","",IF(AND(M60&gt;0,M60&gt;=p_DifMin),AA60,0))</f>
        <v/>
      </c>
      <c r="AC60" s="85" t="str">
        <f>IF(A60="","",IF(AND(AB60&gt;0,N(O60)&lt;=p_MaxAtivos),AB60,0))</f>
        <v/>
      </c>
      <c r="AD60" s="85" t="str">
        <f>IF(A60="","",IF(OR(Q60&lt;=0,Q60&lt;p_CompraMin,N(H60)&lt;=0,N(W60)&lt;=0),0,IF($W$3="Sim",TRUNC(ROUND(MAX(0,(Q60-p_CorrFixa)/(H60*W60*$W$6)),9),$W$4),TRUNC(ROUND(MAX(0,(Q60-p_CorrFixa)/(H60*W60*$W$6)),9)/$W$5)*$W$5)))</f>
        <v/>
      </c>
      <c r="AE60" s="85" t="str">
        <f>IF(A60="","",IF(N(AD60)&gt;0,AD60*H60*W60*$W$6+p_CorrFixa,0))</f>
        <v/>
      </c>
      <c r="AF60" s="85" t="str">
        <f>IF(A60="","",IF(OR($Y$1&lt;=0,N(H60)&lt;=0,N(W60)&lt;=0,N(AB60)&lt;=0),0,IF($W$3="Sim",TRUNC(ROUND(MAX(0,($Y$1-IF(N(AD60)&gt;0,0,p_CorrFixa))/(H60*W60*$W$6)),9),$W$4),TRUNC(ROUND(MAX(0,($Y$1-IF(N(AD60)&gt;0,0,p_CorrFixa))/(H60*W60*$W$6)),9)/$W$5)*$W$5)))</f>
        <v/>
      </c>
      <c r="AG60" s="85" t="str">
        <f>IF(A60="","",IF(AND(N(AD60)=0,N(AF60)*(H60*W60*$W$6)+p_CorrFixa&lt;p_CompraMin),0,AF60))</f>
        <v/>
      </c>
      <c r="AH60" s="85" t="str">
        <f>IF(A60="","",IF(N(AG60)&gt;0,AB60,0))</f>
        <v/>
      </c>
      <c r="AI60" s="85" t="str">
        <f>IF(A60="","",IF(AND(AH60&gt;0,AH60=$AH$6,COUNTIF($AH$9:AH60,AH60)=1),1,0))</f>
        <v/>
      </c>
    </row>
    <row r="61">
      <c r="A61" s="96" t="n"/>
      <c r="B61" s="96" t="n"/>
      <c r="C61" s="96" t="n"/>
      <c r="D61" s="97" t="n"/>
      <c r="E61" s="98" t="n"/>
      <c r="F61" s="99" t="n"/>
      <c r="G61" s="100" t="n"/>
      <c r="H61" s="101" t="str">
        <f>IF(A61="","",IF(AND(p_ModoCot="Automático",ISNUMBER(Z61)),Z61,IF(N(G61)&gt;0,G61,0)))</f>
        <v/>
      </c>
      <c r="I61" s="73" t="str">
        <f>IF(A61="","",IF(W61=0,"Sem câmbio",IF(AND(p_ModoCot="Automático",ISNUMBER(Z61)),"Auto",IF(N(G61)&gt;0,"Manual","Sem cotação"))))</f>
        <v/>
      </c>
      <c r="J61" s="102" t="str">
        <f>IF(A61="","",N(E61)*H61)</f>
        <v/>
      </c>
      <c r="K61" s="70" t="str">
        <f>IF(A61="","",J61*W61)</f>
        <v/>
      </c>
      <c r="L61" s="30" t="str">
        <f>IF(A61="","",IF($K$6&gt;0,K61/$K$6,0))</f>
        <v/>
      </c>
      <c r="M61" s="72" t="str">
        <f>IF(A61="","",N(F61)-L61)</f>
        <v/>
      </c>
      <c r="N61" s="30" t="str">
        <f>IF(A61="","",IF($AB$6&gt;0,AB61/$AB$6,0))</f>
        <v/>
      </c>
      <c r="O61" s="74" t="str">
        <f>IF(A61="","",IF(AB61&lt;=0,"",COUNTIF($AB$9:$AB$208,"&gt;"&amp;AB61)+COUNTIF($AB$9:AB61,AB61)))</f>
        <v/>
      </c>
      <c r="P61" s="73" t="str">
        <f>IF(A61="","",IF(Q61&gt;0,"BUY","HOLD"))</f>
        <v/>
      </c>
      <c r="Q61" s="70" t="str">
        <f>IF(A61="","",IF($W$7&lt;=0,0,IF($AC$6&gt;0,$W$7*AC61/$AC$6,IF($F$6&gt;0,$W$7*N(F61)/$F$6,0))))</f>
        <v/>
      </c>
      <c r="R61" s="103" t="str">
        <f>IF(A61="","",N(AD61)+IF(AI61=1,N(AG61),0))</f>
        <v/>
      </c>
      <c r="S61" s="103" t="str">
        <f>IF(A61="","",N(E61)+N(R61))</f>
        <v/>
      </c>
      <c r="T61" s="70" t="str">
        <f>IF(A61="","",IF(N(R61)&gt;0,R61*H61*W61*$W$6+p_CorrFixa,0))</f>
        <v/>
      </c>
      <c r="V61" s="85" t="str">
        <f>IF(A61="","",IF(D61="",$W$1,D61))</f>
        <v/>
      </c>
      <c r="W61" s="85" t="str">
        <f>IF(A61="","",IFERROR(INDEX(moeda_fx,MATCH(V61,moeda_cod,0)),0))</f>
        <v/>
      </c>
      <c r="X61" s="85" t="str">
        <f>IF(A61="","",IF($W$2="",UPPER(TRIM(A61)),IF(RIGHT(UPPER(TRIM(A61)),LEN($W$2))=$W$2,UPPER(TRIM(A61)),UPPER(TRIM(A61))&amp;$W$2)))</f>
        <v/>
      </c>
      <c r="Y61" s="85" t="str">
        <f>IF(OR(A61="",p_ModoCot&lt;&gt;"Automático"),"",IFERROR(_xlfn.WEBSERVICE("https://query1.finance.yahoo.com/v8/finance/chart/"&amp;X61&amp;"?range=1d&amp;interval=1d"),""))</f>
        <v/>
      </c>
      <c r="Z61" s="85" t="str">
        <f>IF(Y61="","",IFERROR(_xlfn.NUMBERVALUE(MID(Y61,SEARCH("""regularMarketPrice"":",Y61)+21,SEARCH(",",Y61&amp;",",SEARCH("""regularMarketPrice"":",Y61)+21)-SEARCH("""regularMarketPrice"":",Y61)-21),".",","),""))</f>
        <v/>
      </c>
      <c r="AA61" s="85" t="str">
        <f>IF(A61="","",ROUND(MAX(0,N(F61)*($K$6+$W$7)-K61),2))</f>
        <v/>
      </c>
      <c r="AB61" s="85" t="str">
        <f>IF(A61="","",IF(AND(M61&gt;0,M61&gt;=p_DifMin),AA61,0))</f>
        <v/>
      </c>
      <c r="AC61" s="85" t="str">
        <f>IF(A61="","",IF(AND(AB61&gt;0,N(O61)&lt;=p_MaxAtivos),AB61,0))</f>
        <v/>
      </c>
      <c r="AD61" s="85" t="str">
        <f>IF(A61="","",IF(OR(Q61&lt;=0,Q61&lt;p_CompraMin,N(H61)&lt;=0,N(W61)&lt;=0),0,IF($W$3="Sim",TRUNC(ROUND(MAX(0,(Q61-p_CorrFixa)/(H61*W61*$W$6)),9),$W$4),TRUNC(ROUND(MAX(0,(Q61-p_CorrFixa)/(H61*W61*$W$6)),9)/$W$5)*$W$5)))</f>
        <v/>
      </c>
      <c r="AE61" s="85" t="str">
        <f>IF(A61="","",IF(N(AD61)&gt;0,AD61*H61*W61*$W$6+p_CorrFixa,0))</f>
        <v/>
      </c>
      <c r="AF61" s="85" t="str">
        <f>IF(A61="","",IF(OR($Y$1&lt;=0,N(H61)&lt;=0,N(W61)&lt;=0,N(AB61)&lt;=0),0,IF($W$3="Sim",TRUNC(ROUND(MAX(0,($Y$1-IF(N(AD61)&gt;0,0,p_CorrFixa))/(H61*W61*$W$6)),9),$W$4),TRUNC(ROUND(MAX(0,($Y$1-IF(N(AD61)&gt;0,0,p_CorrFixa))/(H61*W61*$W$6)),9)/$W$5)*$W$5)))</f>
        <v/>
      </c>
      <c r="AG61" s="85" t="str">
        <f>IF(A61="","",IF(AND(N(AD61)=0,N(AF61)*(H61*W61*$W$6)+p_CorrFixa&lt;p_CompraMin),0,AF61))</f>
        <v/>
      </c>
      <c r="AH61" s="85" t="str">
        <f>IF(A61="","",IF(N(AG61)&gt;0,AB61,0))</f>
        <v/>
      </c>
      <c r="AI61" s="85" t="str">
        <f>IF(A61="","",IF(AND(AH61&gt;0,AH61=$AH$6,COUNTIF($AH$9:AH61,AH61)=1),1,0))</f>
        <v/>
      </c>
    </row>
    <row r="62">
      <c r="A62" s="96" t="n"/>
      <c r="B62" s="96" t="n"/>
      <c r="C62" s="96" t="n"/>
      <c r="D62" s="97" t="n"/>
      <c r="E62" s="98" t="n"/>
      <c r="F62" s="99" t="n"/>
      <c r="G62" s="100" t="n"/>
      <c r="H62" s="104" t="str">
        <f>IF(A62="","",IF(AND(p_ModoCot="Automático",ISNUMBER(Z62)),Z62,IF(N(G62)&gt;0,G62,0)))</f>
        <v/>
      </c>
      <c r="I62" s="105" t="str">
        <f>IF(A62="","",IF(W62=0,"Sem câmbio",IF(AND(p_ModoCot="Automático",ISNUMBER(Z62)),"Auto",IF(N(G62)&gt;0,"Manual","Sem cotação"))))</f>
        <v/>
      </c>
      <c r="J62" s="106" t="str">
        <f>IF(A62="","",N(E62)*H62)</f>
        <v/>
      </c>
      <c r="K62" s="107" t="str">
        <f>IF(A62="","",J62*W62)</f>
        <v/>
      </c>
      <c r="L62" s="108" t="str">
        <f>IF(A62="","",IF($K$6&gt;0,K62/$K$6,0))</f>
        <v/>
      </c>
      <c r="M62" s="109" t="str">
        <f>IF(A62="","",N(F62)-L62)</f>
        <v/>
      </c>
      <c r="N62" s="108" t="str">
        <f>IF(A62="","",IF($AB$6&gt;0,AB62/$AB$6,0))</f>
        <v/>
      </c>
      <c r="O62" s="110" t="str">
        <f>IF(A62="","",IF(AB62&lt;=0,"",COUNTIF($AB$9:$AB$208,"&gt;"&amp;AB62)+COUNTIF($AB$9:AB62,AB62)))</f>
        <v/>
      </c>
      <c r="P62" s="105" t="str">
        <f>IF(A62="","",IF(Q62&gt;0,"BUY","HOLD"))</f>
        <v/>
      </c>
      <c r="Q62" s="107" t="str">
        <f>IF(A62="","",IF($W$7&lt;=0,0,IF($AC$6&gt;0,$W$7*AC62/$AC$6,IF($F$6&gt;0,$W$7*N(F62)/$F$6,0))))</f>
        <v/>
      </c>
      <c r="R62" s="111" t="str">
        <f>IF(A62="","",N(AD62)+IF(AI62=1,N(AG62),0))</f>
        <v/>
      </c>
      <c r="S62" s="111" t="str">
        <f>IF(A62="","",N(E62)+N(R62))</f>
        <v/>
      </c>
      <c r="T62" s="107" t="str">
        <f>IF(A62="","",IF(N(R62)&gt;0,R62*H62*W62*$W$6+p_CorrFixa,0))</f>
        <v/>
      </c>
      <c r="V62" s="85" t="str">
        <f>IF(A62="","",IF(D62="",$W$1,D62))</f>
        <v/>
      </c>
      <c r="W62" s="85" t="str">
        <f>IF(A62="","",IFERROR(INDEX(moeda_fx,MATCH(V62,moeda_cod,0)),0))</f>
        <v/>
      </c>
      <c r="X62" s="85" t="str">
        <f>IF(A62="","",IF($W$2="",UPPER(TRIM(A62)),IF(RIGHT(UPPER(TRIM(A62)),LEN($W$2))=$W$2,UPPER(TRIM(A62)),UPPER(TRIM(A62))&amp;$W$2)))</f>
        <v/>
      </c>
      <c r="Y62" s="85" t="str">
        <f>IF(OR(A62="",p_ModoCot&lt;&gt;"Automático"),"",IFERROR(_xlfn.WEBSERVICE("https://query1.finance.yahoo.com/v8/finance/chart/"&amp;X62&amp;"?range=1d&amp;interval=1d"),""))</f>
        <v/>
      </c>
      <c r="Z62" s="85" t="str">
        <f>IF(Y62="","",IFERROR(_xlfn.NUMBERVALUE(MID(Y62,SEARCH("""regularMarketPrice"":",Y62)+21,SEARCH(",",Y62&amp;",",SEARCH("""regularMarketPrice"":",Y62)+21)-SEARCH("""regularMarketPrice"":",Y62)-21),".",","),""))</f>
        <v/>
      </c>
      <c r="AA62" s="85" t="str">
        <f>IF(A62="","",ROUND(MAX(0,N(F62)*($K$6+$W$7)-K62),2))</f>
        <v/>
      </c>
      <c r="AB62" s="85" t="str">
        <f>IF(A62="","",IF(AND(M62&gt;0,M62&gt;=p_DifMin),AA62,0))</f>
        <v/>
      </c>
      <c r="AC62" s="85" t="str">
        <f>IF(A62="","",IF(AND(AB62&gt;0,N(O62)&lt;=p_MaxAtivos),AB62,0))</f>
        <v/>
      </c>
      <c r="AD62" s="85" t="str">
        <f>IF(A62="","",IF(OR(Q62&lt;=0,Q62&lt;p_CompraMin,N(H62)&lt;=0,N(W62)&lt;=0),0,IF($W$3="Sim",TRUNC(ROUND(MAX(0,(Q62-p_CorrFixa)/(H62*W62*$W$6)),9),$W$4),TRUNC(ROUND(MAX(0,(Q62-p_CorrFixa)/(H62*W62*$W$6)),9)/$W$5)*$W$5)))</f>
        <v/>
      </c>
      <c r="AE62" s="85" t="str">
        <f>IF(A62="","",IF(N(AD62)&gt;0,AD62*H62*W62*$W$6+p_CorrFixa,0))</f>
        <v/>
      </c>
      <c r="AF62" s="85" t="str">
        <f>IF(A62="","",IF(OR($Y$1&lt;=0,N(H62)&lt;=0,N(W62)&lt;=0,N(AB62)&lt;=0),0,IF($W$3="Sim",TRUNC(ROUND(MAX(0,($Y$1-IF(N(AD62)&gt;0,0,p_CorrFixa))/(H62*W62*$W$6)),9),$W$4),TRUNC(ROUND(MAX(0,($Y$1-IF(N(AD62)&gt;0,0,p_CorrFixa))/(H62*W62*$W$6)),9)/$W$5)*$W$5)))</f>
        <v/>
      </c>
      <c r="AG62" s="85" t="str">
        <f>IF(A62="","",IF(AND(N(AD62)=0,N(AF62)*(H62*W62*$W$6)+p_CorrFixa&lt;p_CompraMin),0,AF62))</f>
        <v/>
      </c>
      <c r="AH62" s="85" t="str">
        <f>IF(A62="","",IF(N(AG62)&gt;0,AB62,0))</f>
        <v/>
      </c>
      <c r="AI62" s="85" t="str">
        <f>IF(A62="","",IF(AND(AH62&gt;0,AH62=$AH$6,COUNTIF($AH$9:AH62,AH62)=1),1,0))</f>
        <v/>
      </c>
    </row>
    <row r="63">
      <c r="A63" s="96" t="n"/>
      <c r="B63" s="96" t="n"/>
      <c r="C63" s="96" t="n"/>
      <c r="D63" s="97" t="n"/>
      <c r="E63" s="98" t="n"/>
      <c r="F63" s="99" t="n"/>
      <c r="G63" s="100" t="n"/>
      <c r="H63" s="101" t="str">
        <f>IF(A63="","",IF(AND(p_ModoCot="Automático",ISNUMBER(Z63)),Z63,IF(N(G63)&gt;0,G63,0)))</f>
        <v/>
      </c>
      <c r="I63" s="73" t="str">
        <f>IF(A63="","",IF(W63=0,"Sem câmbio",IF(AND(p_ModoCot="Automático",ISNUMBER(Z63)),"Auto",IF(N(G63)&gt;0,"Manual","Sem cotação"))))</f>
        <v/>
      </c>
      <c r="J63" s="102" t="str">
        <f>IF(A63="","",N(E63)*H63)</f>
        <v/>
      </c>
      <c r="K63" s="70" t="str">
        <f>IF(A63="","",J63*W63)</f>
        <v/>
      </c>
      <c r="L63" s="30" t="str">
        <f>IF(A63="","",IF($K$6&gt;0,K63/$K$6,0))</f>
        <v/>
      </c>
      <c r="M63" s="72" t="str">
        <f>IF(A63="","",N(F63)-L63)</f>
        <v/>
      </c>
      <c r="N63" s="30" t="str">
        <f>IF(A63="","",IF($AB$6&gt;0,AB63/$AB$6,0))</f>
        <v/>
      </c>
      <c r="O63" s="74" t="str">
        <f>IF(A63="","",IF(AB63&lt;=0,"",COUNTIF($AB$9:$AB$208,"&gt;"&amp;AB63)+COUNTIF($AB$9:AB63,AB63)))</f>
        <v/>
      </c>
      <c r="P63" s="73" t="str">
        <f>IF(A63="","",IF(Q63&gt;0,"BUY","HOLD"))</f>
        <v/>
      </c>
      <c r="Q63" s="70" t="str">
        <f>IF(A63="","",IF($W$7&lt;=0,0,IF($AC$6&gt;0,$W$7*AC63/$AC$6,IF($F$6&gt;0,$W$7*N(F63)/$F$6,0))))</f>
        <v/>
      </c>
      <c r="R63" s="103" t="str">
        <f>IF(A63="","",N(AD63)+IF(AI63=1,N(AG63),0))</f>
        <v/>
      </c>
      <c r="S63" s="103" t="str">
        <f>IF(A63="","",N(E63)+N(R63))</f>
        <v/>
      </c>
      <c r="T63" s="70" t="str">
        <f>IF(A63="","",IF(N(R63)&gt;0,R63*H63*W63*$W$6+p_CorrFixa,0))</f>
        <v/>
      </c>
      <c r="V63" s="85" t="str">
        <f>IF(A63="","",IF(D63="",$W$1,D63))</f>
        <v/>
      </c>
      <c r="W63" s="85" t="str">
        <f>IF(A63="","",IFERROR(INDEX(moeda_fx,MATCH(V63,moeda_cod,0)),0))</f>
        <v/>
      </c>
      <c r="X63" s="85" t="str">
        <f>IF(A63="","",IF($W$2="",UPPER(TRIM(A63)),IF(RIGHT(UPPER(TRIM(A63)),LEN($W$2))=$W$2,UPPER(TRIM(A63)),UPPER(TRIM(A63))&amp;$W$2)))</f>
        <v/>
      </c>
      <c r="Y63" s="85" t="str">
        <f>IF(OR(A63="",p_ModoCot&lt;&gt;"Automático"),"",IFERROR(_xlfn.WEBSERVICE("https://query1.finance.yahoo.com/v8/finance/chart/"&amp;X63&amp;"?range=1d&amp;interval=1d"),""))</f>
        <v/>
      </c>
      <c r="Z63" s="85" t="str">
        <f>IF(Y63="","",IFERROR(_xlfn.NUMBERVALUE(MID(Y63,SEARCH("""regularMarketPrice"":",Y63)+21,SEARCH(",",Y63&amp;",",SEARCH("""regularMarketPrice"":",Y63)+21)-SEARCH("""regularMarketPrice"":",Y63)-21),".",","),""))</f>
        <v/>
      </c>
      <c r="AA63" s="85" t="str">
        <f>IF(A63="","",ROUND(MAX(0,N(F63)*($K$6+$W$7)-K63),2))</f>
        <v/>
      </c>
      <c r="AB63" s="85" t="str">
        <f>IF(A63="","",IF(AND(M63&gt;0,M63&gt;=p_DifMin),AA63,0))</f>
        <v/>
      </c>
      <c r="AC63" s="85" t="str">
        <f>IF(A63="","",IF(AND(AB63&gt;0,N(O63)&lt;=p_MaxAtivos),AB63,0))</f>
        <v/>
      </c>
      <c r="AD63" s="85" t="str">
        <f>IF(A63="","",IF(OR(Q63&lt;=0,Q63&lt;p_CompraMin,N(H63)&lt;=0,N(W63)&lt;=0),0,IF($W$3="Sim",TRUNC(ROUND(MAX(0,(Q63-p_CorrFixa)/(H63*W63*$W$6)),9),$W$4),TRUNC(ROUND(MAX(0,(Q63-p_CorrFixa)/(H63*W63*$W$6)),9)/$W$5)*$W$5)))</f>
        <v/>
      </c>
      <c r="AE63" s="85" t="str">
        <f>IF(A63="","",IF(N(AD63)&gt;0,AD63*H63*W63*$W$6+p_CorrFixa,0))</f>
        <v/>
      </c>
      <c r="AF63" s="85" t="str">
        <f>IF(A63="","",IF(OR($Y$1&lt;=0,N(H63)&lt;=0,N(W63)&lt;=0,N(AB63)&lt;=0),0,IF($W$3="Sim",TRUNC(ROUND(MAX(0,($Y$1-IF(N(AD63)&gt;0,0,p_CorrFixa))/(H63*W63*$W$6)),9),$W$4),TRUNC(ROUND(MAX(0,($Y$1-IF(N(AD63)&gt;0,0,p_CorrFixa))/(H63*W63*$W$6)),9)/$W$5)*$W$5)))</f>
        <v/>
      </c>
      <c r="AG63" s="85" t="str">
        <f>IF(A63="","",IF(AND(N(AD63)=0,N(AF63)*(H63*W63*$W$6)+p_CorrFixa&lt;p_CompraMin),0,AF63))</f>
        <v/>
      </c>
      <c r="AH63" s="85" t="str">
        <f>IF(A63="","",IF(N(AG63)&gt;0,AB63,0))</f>
        <v/>
      </c>
      <c r="AI63" s="85" t="str">
        <f>IF(A63="","",IF(AND(AH63&gt;0,AH63=$AH$6,COUNTIF($AH$9:AH63,AH63)=1),1,0))</f>
        <v/>
      </c>
    </row>
    <row r="64">
      <c r="A64" s="96" t="n"/>
      <c r="B64" s="96" t="n"/>
      <c r="C64" s="96" t="n"/>
      <c r="D64" s="97" t="n"/>
      <c r="E64" s="98" t="n"/>
      <c r="F64" s="99" t="n"/>
      <c r="G64" s="100" t="n"/>
      <c r="H64" s="104" t="str">
        <f>IF(A64="","",IF(AND(p_ModoCot="Automático",ISNUMBER(Z64)),Z64,IF(N(G64)&gt;0,G64,0)))</f>
        <v/>
      </c>
      <c r="I64" s="105" t="str">
        <f>IF(A64="","",IF(W64=0,"Sem câmbio",IF(AND(p_ModoCot="Automático",ISNUMBER(Z64)),"Auto",IF(N(G64)&gt;0,"Manual","Sem cotação"))))</f>
        <v/>
      </c>
      <c r="J64" s="106" t="str">
        <f>IF(A64="","",N(E64)*H64)</f>
        <v/>
      </c>
      <c r="K64" s="107" t="str">
        <f>IF(A64="","",J64*W64)</f>
        <v/>
      </c>
      <c r="L64" s="108" t="str">
        <f>IF(A64="","",IF($K$6&gt;0,K64/$K$6,0))</f>
        <v/>
      </c>
      <c r="M64" s="109" t="str">
        <f>IF(A64="","",N(F64)-L64)</f>
        <v/>
      </c>
      <c r="N64" s="108" t="str">
        <f>IF(A64="","",IF($AB$6&gt;0,AB64/$AB$6,0))</f>
        <v/>
      </c>
      <c r="O64" s="110" t="str">
        <f>IF(A64="","",IF(AB64&lt;=0,"",COUNTIF($AB$9:$AB$208,"&gt;"&amp;AB64)+COUNTIF($AB$9:AB64,AB64)))</f>
        <v/>
      </c>
      <c r="P64" s="105" t="str">
        <f>IF(A64="","",IF(Q64&gt;0,"BUY","HOLD"))</f>
        <v/>
      </c>
      <c r="Q64" s="107" t="str">
        <f>IF(A64="","",IF($W$7&lt;=0,0,IF($AC$6&gt;0,$W$7*AC64/$AC$6,IF($F$6&gt;0,$W$7*N(F64)/$F$6,0))))</f>
        <v/>
      </c>
      <c r="R64" s="111" t="str">
        <f>IF(A64="","",N(AD64)+IF(AI64=1,N(AG64),0))</f>
        <v/>
      </c>
      <c r="S64" s="111" t="str">
        <f>IF(A64="","",N(E64)+N(R64))</f>
        <v/>
      </c>
      <c r="T64" s="107" t="str">
        <f>IF(A64="","",IF(N(R64)&gt;0,R64*H64*W64*$W$6+p_CorrFixa,0))</f>
        <v/>
      </c>
      <c r="V64" s="85" t="str">
        <f>IF(A64="","",IF(D64="",$W$1,D64))</f>
        <v/>
      </c>
      <c r="W64" s="85" t="str">
        <f>IF(A64="","",IFERROR(INDEX(moeda_fx,MATCH(V64,moeda_cod,0)),0))</f>
        <v/>
      </c>
      <c r="X64" s="85" t="str">
        <f>IF(A64="","",IF($W$2="",UPPER(TRIM(A64)),IF(RIGHT(UPPER(TRIM(A64)),LEN($W$2))=$W$2,UPPER(TRIM(A64)),UPPER(TRIM(A64))&amp;$W$2)))</f>
        <v/>
      </c>
      <c r="Y64" s="85" t="str">
        <f>IF(OR(A64="",p_ModoCot&lt;&gt;"Automático"),"",IFERROR(_xlfn.WEBSERVICE("https://query1.finance.yahoo.com/v8/finance/chart/"&amp;X64&amp;"?range=1d&amp;interval=1d"),""))</f>
        <v/>
      </c>
      <c r="Z64" s="85" t="str">
        <f>IF(Y64="","",IFERROR(_xlfn.NUMBERVALUE(MID(Y64,SEARCH("""regularMarketPrice"":",Y64)+21,SEARCH(",",Y64&amp;",",SEARCH("""regularMarketPrice"":",Y64)+21)-SEARCH("""regularMarketPrice"":",Y64)-21),".",","),""))</f>
        <v/>
      </c>
      <c r="AA64" s="85" t="str">
        <f>IF(A64="","",ROUND(MAX(0,N(F64)*($K$6+$W$7)-K64),2))</f>
        <v/>
      </c>
      <c r="AB64" s="85" t="str">
        <f>IF(A64="","",IF(AND(M64&gt;0,M64&gt;=p_DifMin),AA64,0))</f>
        <v/>
      </c>
      <c r="AC64" s="85" t="str">
        <f>IF(A64="","",IF(AND(AB64&gt;0,N(O64)&lt;=p_MaxAtivos),AB64,0))</f>
        <v/>
      </c>
      <c r="AD64" s="85" t="str">
        <f>IF(A64="","",IF(OR(Q64&lt;=0,Q64&lt;p_CompraMin,N(H64)&lt;=0,N(W64)&lt;=0),0,IF($W$3="Sim",TRUNC(ROUND(MAX(0,(Q64-p_CorrFixa)/(H64*W64*$W$6)),9),$W$4),TRUNC(ROUND(MAX(0,(Q64-p_CorrFixa)/(H64*W64*$W$6)),9)/$W$5)*$W$5)))</f>
        <v/>
      </c>
      <c r="AE64" s="85" t="str">
        <f>IF(A64="","",IF(N(AD64)&gt;0,AD64*H64*W64*$W$6+p_CorrFixa,0))</f>
        <v/>
      </c>
      <c r="AF64" s="85" t="str">
        <f>IF(A64="","",IF(OR($Y$1&lt;=0,N(H64)&lt;=0,N(W64)&lt;=0,N(AB64)&lt;=0),0,IF($W$3="Sim",TRUNC(ROUND(MAX(0,($Y$1-IF(N(AD64)&gt;0,0,p_CorrFixa))/(H64*W64*$W$6)),9),$W$4),TRUNC(ROUND(MAX(0,($Y$1-IF(N(AD64)&gt;0,0,p_CorrFixa))/(H64*W64*$W$6)),9)/$W$5)*$W$5)))</f>
        <v/>
      </c>
      <c r="AG64" s="85" t="str">
        <f>IF(A64="","",IF(AND(N(AD64)=0,N(AF64)*(H64*W64*$W$6)+p_CorrFixa&lt;p_CompraMin),0,AF64))</f>
        <v/>
      </c>
      <c r="AH64" s="85" t="str">
        <f>IF(A64="","",IF(N(AG64)&gt;0,AB64,0))</f>
        <v/>
      </c>
      <c r="AI64" s="85" t="str">
        <f>IF(A64="","",IF(AND(AH64&gt;0,AH64=$AH$6,COUNTIF($AH$9:AH64,AH64)=1),1,0))</f>
        <v/>
      </c>
    </row>
    <row r="65">
      <c r="A65" s="96" t="n"/>
      <c r="B65" s="96" t="n"/>
      <c r="C65" s="96" t="n"/>
      <c r="D65" s="97" t="n"/>
      <c r="E65" s="98" t="n"/>
      <c r="F65" s="99" t="n"/>
      <c r="G65" s="100" t="n"/>
      <c r="H65" s="101" t="str">
        <f>IF(A65="","",IF(AND(p_ModoCot="Automático",ISNUMBER(Z65)),Z65,IF(N(G65)&gt;0,G65,0)))</f>
        <v/>
      </c>
      <c r="I65" s="73" t="str">
        <f>IF(A65="","",IF(W65=0,"Sem câmbio",IF(AND(p_ModoCot="Automático",ISNUMBER(Z65)),"Auto",IF(N(G65)&gt;0,"Manual","Sem cotação"))))</f>
        <v/>
      </c>
      <c r="J65" s="102" t="str">
        <f>IF(A65="","",N(E65)*H65)</f>
        <v/>
      </c>
      <c r="K65" s="70" t="str">
        <f>IF(A65="","",J65*W65)</f>
        <v/>
      </c>
      <c r="L65" s="30" t="str">
        <f>IF(A65="","",IF($K$6&gt;0,K65/$K$6,0))</f>
        <v/>
      </c>
      <c r="M65" s="72" t="str">
        <f>IF(A65="","",N(F65)-L65)</f>
        <v/>
      </c>
      <c r="N65" s="30" t="str">
        <f>IF(A65="","",IF($AB$6&gt;0,AB65/$AB$6,0))</f>
        <v/>
      </c>
      <c r="O65" s="74" t="str">
        <f>IF(A65="","",IF(AB65&lt;=0,"",COUNTIF($AB$9:$AB$208,"&gt;"&amp;AB65)+COUNTIF($AB$9:AB65,AB65)))</f>
        <v/>
      </c>
      <c r="P65" s="73" t="str">
        <f>IF(A65="","",IF(Q65&gt;0,"BUY","HOLD"))</f>
        <v/>
      </c>
      <c r="Q65" s="70" t="str">
        <f>IF(A65="","",IF($W$7&lt;=0,0,IF($AC$6&gt;0,$W$7*AC65/$AC$6,IF($F$6&gt;0,$W$7*N(F65)/$F$6,0))))</f>
        <v/>
      </c>
      <c r="R65" s="103" t="str">
        <f>IF(A65="","",N(AD65)+IF(AI65=1,N(AG65),0))</f>
        <v/>
      </c>
      <c r="S65" s="103" t="str">
        <f>IF(A65="","",N(E65)+N(R65))</f>
        <v/>
      </c>
      <c r="T65" s="70" t="str">
        <f>IF(A65="","",IF(N(R65)&gt;0,R65*H65*W65*$W$6+p_CorrFixa,0))</f>
        <v/>
      </c>
      <c r="V65" s="85" t="str">
        <f>IF(A65="","",IF(D65="",$W$1,D65))</f>
        <v/>
      </c>
      <c r="W65" s="85" t="str">
        <f>IF(A65="","",IFERROR(INDEX(moeda_fx,MATCH(V65,moeda_cod,0)),0))</f>
        <v/>
      </c>
      <c r="X65" s="85" t="str">
        <f>IF(A65="","",IF($W$2="",UPPER(TRIM(A65)),IF(RIGHT(UPPER(TRIM(A65)),LEN($W$2))=$W$2,UPPER(TRIM(A65)),UPPER(TRIM(A65))&amp;$W$2)))</f>
        <v/>
      </c>
      <c r="Y65" s="85" t="str">
        <f>IF(OR(A65="",p_ModoCot&lt;&gt;"Automático"),"",IFERROR(_xlfn.WEBSERVICE("https://query1.finance.yahoo.com/v8/finance/chart/"&amp;X65&amp;"?range=1d&amp;interval=1d"),""))</f>
        <v/>
      </c>
      <c r="Z65" s="85" t="str">
        <f>IF(Y65="","",IFERROR(_xlfn.NUMBERVALUE(MID(Y65,SEARCH("""regularMarketPrice"":",Y65)+21,SEARCH(",",Y65&amp;",",SEARCH("""regularMarketPrice"":",Y65)+21)-SEARCH("""regularMarketPrice"":",Y65)-21),".",","),""))</f>
        <v/>
      </c>
      <c r="AA65" s="85" t="str">
        <f>IF(A65="","",ROUND(MAX(0,N(F65)*($K$6+$W$7)-K65),2))</f>
        <v/>
      </c>
      <c r="AB65" s="85" t="str">
        <f>IF(A65="","",IF(AND(M65&gt;0,M65&gt;=p_DifMin),AA65,0))</f>
        <v/>
      </c>
      <c r="AC65" s="85" t="str">
        <f>IF(A65="","",IF(AND(AB65&gt;0,N(O65)&lt;=p_MaxAtivos),AB65,0))</f>
        <v/>
      </c>
      <c r="AD65" s="85" t="str">
        <f>IF(A65="","",IF(OR(Q65&lt;=0,Q65&lt;p_CompraMin,N(H65)&lt;=0,N(W65)&lt;=0),0,IF($W$3="Sim",TRUNC(ROUND(MAX(0,(Q65-p_CorrFixa)/(H65*W65*$W$6)),9),$W$4),TRUNC(ROUND(MAX(0,(Q65-p_CorrFixa)/(H65*W65*$W$6)),9)/$W$5)*$W$5)))</f>
        <v/>
      </c>
      <c r="AE65" s="85" t="str">
        <f>IF(A65="","",IF(N(AD65)&gt;0,AD65*H65*W65*$W$6+p_CorrFixa,0))</f>
        <v/>
      </c>
      <c r="AF65" s="85" t="str">
        <f>IF(A65="","",IF(OR($Y$1&lt;=0,N(H65)&lt;=0,N(W65)&lt;=0,N(AB65)&lt;=0),0,IF($W$3="Sim",TRUNC(ROUND(MAX(0,($Y$1-IF(N(AD65)&gt;0,0,p_CorrFixa))/(H65*W65*$W$6)),9),$W$4),TRUNC(ROUND(MAX(0,($Y$1-IF(N(AD65)&gt;0,0,p_CorrFixa))/(H65*W65*$W$6)),9)/$W$5)*$W$5)))</f>
        <v/>
      </c>
      <c r="AG65" s="85" t="str">
        <f>IF(A65="","",IF(AND(N(AD65)=0,N(AF65)*(H65*W65*$W$6)+p_CorrFixa&lt;p_CompraMin),0,AF65))</f>
        <v/>
      </c>
      <c r="AH65" s="85" t="str">
        <f>IF(A65="","",IF(N(AG65)&gt;0,AB65,0))</f>
        <v/>
      </c>
      <c r="AI65" s="85" t="str">
        <f>IF(A65="","",IF(AND(AH65&gt;0,AH65=$AH$6,COUNTIF($AH$9:AH65,AH65)=1),1,0))</f>
        <v/>
      </c>
    </row>
    <row r="66">
      <c r="A66" s="96" t="n"/>
      <c r="B66" s="96" t="n"/>
      <c r="C66" s="96" t="n"/>
      <c r="D66" s="97" t="n"/>
      <c r="E66" s="98" t="n"/>
      <c r="F66" s="99" t="n"/>
      <c r="G66" s="100" t="n"/>
      <c r="H66" s="104" t="str">
        <f>IF(A66="","",IF(AND(p_ModoCot="Automático",ISNUMBER(Z66)),Z66,IF(N(G66)&gt;0,G66,0)))</f>
        <v/>
      </c>
      <c r="I66" s="105" t="str">
        <f>IF(A66="","",IF(W66=0,"Sem câmbio",IF(AND(p_ModoCot="Automático",ISNUMBER(Z66)),"Auto",IF(N(G66)&gt;0,"Manual","Sem cotação"))))</f>
        <v/>
      </c>
      <c r="J66" s="106" t="str">
        <f>IF(A66="","",N(E66)*H66)</f>
        <v/>
      </c>
      <c r="K66" s="107" t="str">
        <f>IF(A66="","",J66*W66)</f>
        <v/>
      </c>
      <c r="L66" s="108" t="str">
        <f>IF(A66="","",IF($K$6&gt;0,K66/$K$6,0))</f>
        <v/>
      </c>
      <c r="M66" s="109" t="str">
        <f>IF(A66="","",N(F66)-L66)</f>
        <v/>
      </c>
      <c r="N66" s="108" t="str">
        <f>IF(A66="","",IF($AB$6&gt;0,AB66/$AB$6,0))</f>
        <v/>
      </c>
      <c r="O66" s="110" t="str">
        <f>IF(A66="","",IF(AB66&lt;=0,"",COUNTIF($AB$9:$AB$208,"&gt;"&amp;AB66)+COUNTIF($AB$9:AB66,AB66)))</f>
        <v/>
      </c>
      <c r="P66" s="105" t="str">
        <f>IF(A66="","",IF(Q66&gt;0,"BUY","HOLD"))</f>
        <v/>
      </c>
      <c r="Q66" s="107" t="str">
        <f>IF(A66="","",IF($W$7&lt;=0,0,IF($AC$6&gt;0,$W$7*AC66/$AC$6,IF($F$6&gt;0,$W$7*N(F66)/$F$6,0))))</f>
        <v/>
      </c>
      <c r="R66" s="111" t="str">
        <f>IF(A66="","",N(AD66)+IF(AI66=1,N(AG66),0))</f>
        <v/>
      </c>
      <c r="S66" s="111" t="str">
        <f>IF(A66="","",N(E66)+N(R66))</f>
        <v/>
      </c>
      <c r="T66" s="107" t="str">
        <f>IF(A66="","",IF(N(R66)&gt;0,R66*H66*W66*$W$6+p_CorrFixa,0))</f>
        <v/>
      </c>
      <c r="V66" s="85" t="str">
        <f>IF(A66="","",IF(D66="",$W$1,D66))</f>
        <v/>
      </c>
      <c r="W66" s="85" t="str">
        <f>IF(A66="","",IFERROR(INDEX(moeda_fx,MATCH(V66,moeda_cod,0)),0))</f>
        <v/>
      </c>
      <c r="X66" s="85" t="str">
        <f>IF(A66="","",IF($W$2="",UPPER(TRIM(A66)),IF(RIGHT(UPPER(TRIM(A66)),LEN($W$2))=$W$2,UPPER(TRIM(A66)),UPPER(TRIM(A66))&amp;$W$2)))</f>
        <v/>
      </c>
      <c r="Y66" s="85" t="str">
        <f>IF(OR(A66="",p_ModoCot&lt;&gt;"Automático"),"",IFERROR(_xlfn.WEBSERVICE("https://query1.finance.yahoo.com/v8/finance/chart/"&amp;X66&amp;"?range=1d&amp;interval=1d"),""))</f>
        <v/>
      </c>
      <c r="Z66" s="85" t="str">
        <f>IF(Y66="","",IFERROR(_xlfn.NUMBERVALUE(MID(Y66,SEARCH("""regularMarketPrice"":",Y66)+21,SEARCH(",",Y66&amp;",",SEARCH("""regularMarketPrice"":",Y66)+21)-SEARCH("""regularMarketPrice"":",Y66)-21),".",","),""))</f>
        <v/>
      </c>
      <c r="AA66" s="85" t="str">
        <f>IF(A66="","",ROUND(MAX(0,N(F66)*($K$6+$W$7)-K66),2))</f>
        <v/>
      </c>
      <c r="AB66" s="85" t="str">
        <f>IF(A66="","",IF(AND(M66&gt;0,M66&gt;=p_DifMin),AA66,0))</f>
        <v/>
      </c>
      <c r="AC66" s="85" t="str">
        <f>IF(A66="","",IF(AND(AB66&gt;0,N(O66)&lt;=p_MaxAtivos),AB66,0))</f>
        <v/>
      </c>
      <c r="AD66" s="85" t="str">
        <f>IF(A66="","",IF(OR(Q66&lt;=0,Q66&lt;p_CompraMin,N(H66)&lt;=0,N(W66)&lt;=0),0,IF($W$3="Sim",TRUNC(ROUND(MAX(0,(Q66-p_CorrFixa)/(H66*W66*$W$6)),9),$W$4),TRUNC(ROUND(MAX(0,(Q66-p_CorrFixa)/(H66*W66*$W$6)),9)/$W$5)*$W$5)))</f>
        <v/>
      </c>
      <c r="AE66" s="85" t="str">
        <f>IF(A66="","",IF(N(AD66)&gt;0,AD66*H66*W66*$W$6+p_CorrFixa,0))</f>
        <v/>
      </c>
      <c r="AF66" s="85" t="str">
        <f>IF(A66="","",IF(OR($Y$1&lt;=0,N(H66)&lt;=0,N(W66)&lt;=0,N(AB66)&lt;=0),0,IF($W$3="Sim",TRUNC(ROUND(MAX(0,($Y$1-IF(N(AD66)&gt;0,0,p_CorrFixa))/(H66*W66*$W$6)),9),$W$4),TRUNC(ROUND(MAX(0,($Y$1-IF(N(AD66)&gt;0,0,p_CorrFixa))/(H66*W66*$W$6)),9)/$W$5)*$W$5)))</f>
        <v/>
      </c>
      <c r="AG66" s="85" t="str">
        <f>IF(A66="","",IF(AND(N(AD66)=0,N(AF66)*(H66*W66*$W$6)+p_CorrFixa&lt;p_CompraMin),0,AF66))</f>
        <v/>
      </c>
      <c r="AH66" s="85" t="str">
        <f>IF(A66="","",IF(N(AG66)&gt;0,AB66,0))</f>
        <v/>
      </c>
      <c r="AI66" s="85" t="str">
        <f>IF(A66="","",IF(AND(AH66&gt;0,AH66=$AH$6,COUNTIF($AH$9:AH66,AH66)=1),1,0))</f>
        <v/>
      </c>
    </row>
    <row r="67">
      <c r="A67" s="96" t="n"/>
      <c r="B67" s="96" t="n"/>
      <c r="C67" s="96" t="n"/>
      <c r="D67" s="97" t="n"/>
      <c r="E67" s="98" t="n"/>
      <c r="F67" s="99" t="n"/>
      <c r="G67" s="100" t="n"/>
      <c r="H67" s="101" t="str">
        <f>IF(A67="","",IF(AND(p_ModoCot="Automático",ISNUMBER(Z67)),Z67,IF(N(G67)&gt;0,G67,0)))</f>
        <v/>
      </c>
      <c r="I67" s="73" t="str">
        <f>IF(A67="","",IF(W67=0,"Sem câmbio",IF(AND(p_ModoCot="Automático",ISNUMBER(Z67)),"Auto",IF(N(G67)&gt;0,"Manual","Sem cotação"))))</f>
        <v/>
      </c>
      <c r="J67" s="102" t="str">
        <f>IF(A67="","",N(E67)*H67)</f>
        <v/>
      </c>
      <c r="K67" s="70" t="str">
        <f>IF(A67="","",J67*W67)</f>
        <v/>
      </c>
      <c r="L67" s="30" t="str">
        <f>IF(A67="","",IF($K$6&gt;0,K67/$K$6,0))</f>
        <v/>
      </c>
      <c r="M67" s="72" t="str">
        <f>IF(A67="","",N(F67)-L67)</f>
        <v/>
      </c>
      <c r="N67" s="30" t="str">
        <f>IF(A67="","",IF($AB$6&gt;0,AB67/$AB$6,0))</f>
        <v/>
      </c>
      <c r="O67" s="74" t="str">
        <f>IF(A67="","",IF(AB67&lt;=0,"",COUNTIF($AB$9:$AB$208,"&gt;"&amp;AB67)+COUNTIF($AB$9:AB67,AB67)))</f>
        <v/>
      </c>
      <c r="P67" s="73" t="str">
        <f>IF(A67="","",IF(Q67&gt;0,"BUY","HOLD"))</f>
        <v/>
      </c>
      <c r="Q67" s="70" t="str">
        <f>IF(A67="","",IF($W$7&lt;=0,0,IF($AC$6&gt;0,$W$7*AC67/$AC$6,IF($F$6&gt;0,$W$7*N(F67)/$F$6,0))))</f>
        <v/>
      </c>
      <c r="R67" s="103" t="str">
        <f>IF(A67="","",N(AD67)+IF(AI67=1,N(AG67),0))</f>
        <v/>
      </c>
      <c r="S67" s="103" t="str">
        <f>IF(A67="","",N(E67)+N(R67))</f>
        <v/>
      </c>
      <c r="T67" s="70" t="str">
        <f>IF(A67="","",IF(N(R67)&gt;0,R67*H67*W67*$W$6+p_CorrFixa,0))</f>
        <v/>
      </c>
      <c r="V67" s="85" t="str">
        <f>IF(A67="","",IF(D67="",$W$1,D67))</f>
        <v/>
      </c>
      <c r="W67" s="85" t="str">
        <f>IF(A67="","",IFERROR(INDEX(moeda_fx,MATCH(V67,moeda_cod,0)),0))</f>
        <v/>
      </c>
      <c r="X67" s="85" t="str">
        <f>IF(A67="","",IF($W$2="",UPPER(TRIM(A67)),IF(RIGHT(UPPER(TRIM(A67)),LEN($W$2))=$W$2,UPPER(TRIM(A67)),UPPER(TRIM(A67))&amp;$W$2)))</f>
        <v/>
      </c>
      <c r="Y67" s="85" t="str">
        <f>IF(OR(A67="",p_ModoCot&lt;&gt;"Automático"),"",IFERROR(_xlfn.WEBSERVICE("https://query1.finance.yahoo.com/v8/finance/chart/"&amp;X67&amp;"?range=1d&amp;interval=1d"),""))</f>
        <v/>
      </c>
      <c r="Z67" s="85" t="str">
        <f>IF(Y67="","",IFERROR(_xlfn.NUMBERVALUE(MID(Y67,SEARCH("""regularMarketPrice"":",Y67)+21,SEARCH(",",Y67&amp;",",SEARCH("""regularMarketPrice"":",Y67)+21)-SEARCH("""regularMarketPrice"":",Y67)-21),".",","),""))</f>
        <v/>
      </c>
      <c r="AA67" s="85" t="str">
        <f>IF(A67="","",ROUND(MAX(0,N(F67)*($K$6+$W$7)-K67),2))</f>
        <v/>
      </c>
      <c r="AB67" s="85" t="str">
        <f>IF(A67="","",IF(AND(M67&gt;0,M67&gt;=p_DifMin),AA67,0))</f>
        <v/>
      </c>
      <c r="AC67" s="85" t="str">
        <f>IF(A67="","",IF(AND(AB67&gt;0,N(O67)&lt;=p_MaxAtivos),AB67,0))</f>
        <v/>
      </c>
      <c r="AD67" s="85" t="str">
        <f>IF(A67="","",IF(OR(Q67&lt;=0,Q67&lt;p_CompraMin,N(H67)&lt;=0,N(W67)&lt;=0),0,IF($W$3="Sim",TRUNC(ROUND(MAX(0,(Q67-p_CorrFixa)/(H67*W67*$W$6)),9),$W$4),TRUNC(ROUND(MAX(0,(Q67-p_CorrFixa)/(H67*W67*$W$6)),9)/$W$5)*$W$5)))</f>
        <v/>
      </c>
      <c r="AE67" s="85" t="str">
        <f>IF(A67="","",IF(N(AD67)&gt;0,AD67*H67*W67*$W$6+p_CorrFixa,0))</f>
        <v/>
      </c>
      <c r="AF67" s="85" t="str">
        <f>IF(A67="","",IF(OR($Y$1&lt;=0,N(H67)&lt;=0,N(W67)&lt;=0,N(AB67)&lt;=0),0,IF($W$3="Sim",TRUNC(ROUND(MAX(0,($Y$1-IF(N(AD67)&gt;0,0,p_CorrFixa))/(H67*W67*$W$6)),9),$W$4),TRUNC(ROUND(MAX(0,($Y$1-IF(N(AD67)&gt;0,0,p_CorrFixa))/(H67*W67*$W$6)),9)/$W$5)*$W$5)))</f>
        <v/>
      </c>
      <c r="AG67" s="85" t="str">
        <f>IF(A67="","",IF(AND(N(AD67)=0,N(AF67)*(H67*W67*$W$6)+p_CorrFixa&lt;p_CompraMin),0,AF67))</f>
        <v/>
      </c>
      <c r="AH67" s="85" t="str">
        <f>IF(A67="","",IF(N(AG67)&gt;0,AB67,0))</f>
        <v/>
      </c>
      <c r="AI67" s="85" t="str">
        <f>IF(A67="","",IF(AND(AH67&gt;0,AH67=$AH$6,COUNTIF($AH$9:AH67,AH67)=1),1,0))</f>
        <v/>
      </c>
    </row>
    <row r="68">
      <c r="A68" s="96" t="n"/>
      <c r="B68" s="96" t="n"/>
      <c r="C68" s="96" t="n"/>
      <c r="D68" s="97" t="n"/>
      <c r="E68" s="98" t="n"/>
      <c r="F68" s="99" t="n"/>
      <c r="G68" s="100" t="n"/>
      <c r="H68" s="104" t="str">
        <f>IF(A68="","",IF(AND(p_ModoCot="Automático",ISNUMBER(Z68)),Z68,IF(N(G68)&gt;0,G68,0)))</f>
        <v/>
      </c>
      <c r="I68" s="105" t="str">
        <f>IF(A68="","",IF(W68=0,"Sem câmbio",IF(AND(p_ModoCot="Automático",ISNUMBER(Z68)),"Auto",IF(N(G68)&gt;0,"Manual","Sem cotação"))))</f>
        <v/>
      </c>
      <c r="J68" s="106" t="str">
        <f>IF(A68="","",N(E68)*H68)</f>
        <v/>
      </c>
      <c r="K68" s="107" t="str">
        <f>IF(A68="","",J68*W68)</f>
        <v/>
      </c>
      <c r="L68" s="108" t="str">
        <f>IF(A68="","",IF($K$6&gt;0,K68/$K$6,0))</f>
        <v/>
      </c>
      <c r="M68" s="109" t="str">
        <f>IF(A68="","",N(F68)-L68)</f>
        <v/>
      </c>
      <c r="N68" s="108" t="str">
        <f>IF(A68="","",IF($AB$6&gt;0,AB68/$AB$6,0))</f>
        <v/>
      </c>
      <c r="O68" s="110" t="str">
        <f>IF(A68="","",IF(AB68&lt;=0,"",COUNTIF($AB$9:$AB$208,"&gt;"&amp;AB68)+COUNTIF($AB$9:AB68,AB68)))</f>
        <v/>
      </c>
      <c r="P68" s="105" t="str">
        <f>IF(A68="","",IF(Q68&gt;0,"BUY","HOLD"))</f>
        <v/>
      </c>
      <c r="Q68" s="107" t="str">
        <f>IF(A68="","",IF($W$7&lt;=0,0,IF($AC$6&gt;0,$W$7*AC68/$AC$6,IF($F$6&gt;0,$W$7*N(F68)/$F$6,0))))</f>
        <v/>
      </c>
      <c r="R68" s="111" t="str">
        <f>IF(A68="","",N(AD68)+IF(AI68=1,N(AG68),0))</f>
        <v/>
      </c>
      <c r="S68" s="111" t="str">
        <f>IF(A68="","",N(E68)+N(R68))</f>
        <v/>
      </c>
      <c r="T68" s="107" t="str">
        <f>IF(A68="","",IF(N(R68)&gt;0,R68*H68*W68*$W$6+p_CorrFixa,0))</f>
        <v/>
      </c>
      <c r="V68" s="85" t="str">
        <f>IF(A68="","",IF(D68="",$W$1,D68))</f>
        <v/>
      </c>
      <c r="W68" s="85" t="str">
        <f>IF(A68="","",IFERROR(INDEX(moeda_fx,MATCH(V68,moeda_cod,0)),0))</f>
        <v/>
      </c>
      <c r="X68" s="85" t="str">
        <f>IF(A68="","",IF($W$2="",UPPER(TRIM(A68)),IF(RIGHT(UPPER(TRIM(A68)),LEN($W$2))=$W$2,UPPER(TRIM(A68)),UPPER(TRIM(A68))&amp;$W$2)))</f>
        <v/>
      </c>
      <c r="Y68" s="85" t="str">
        <f>IF(OR(A68="",p_ModoCot&lt;&gt;"Automático"),"",IFERROR(_xlfn.WEBSERVICE("https://query1.finance.yahoo.com/v8/finance/chart/"&amp;X68&amp;"?range=1d&amp;interval=1d"),""))</f>
        <v/>
      </c>
      <c r="Z68" s="85" t="str">
        <f>IF(Y68="","",IFERROR(_xlfn.NUMBERVALUE(MID(Y68,SEARCH("""regularMarketPrice"":",Y68)+21,SEARCH(",",Y68&amp;",",SEARCH("""regularMarketPrice"":",Y68)+21)-SEARCH("""regularMarketPrice"":",Y68)-21),".",","),""))</f>
        <v/>
      </c>
      <c r="AA68" s="85" t="str">
        <f>IF(A68="","",ROUND(MAX(0,N(F68)*($K$6+$W$7)-K68),2))</f>
        <v/>
      </c>
      <c r="AB68" s="85" t="str">
        <f>IF(A68="","",IF(AND(M68&gt;0,M68&gt;=p_DifMin),AA68,0))</f>
        <v/>
      </c>
      <c r="AC68" s="85" t="str">
        <f>IF(A68="","",IF(AND(AB68&gt;0,N(O68)&lt;=p_MaxAtivos),AB68,0))</f>
        <v/>
      </c>
      <c r="AD68" s="85" t="str">
        <f>IF(A68="","",IF(OR(Q68&lt;=0,Q68&lt;p_CompraMin,N(H68)&lt;=0,N(W68)&lt;=0),0,IF($W$3="Sim",TRUNC(ROUND(MAX(0,(Q68-p_CorrFixa)/(H68*W68*$W$6)),9),$W$4),TRUNC(ROUND(MAX(0,(Q68-p_CorrFixa)/(H68*W68*$W$6)),9)/$W$5)*$W$5)))</f>
        <v/>
      </c>
      <c r="AE68" s="85" t="str">
        <f>IF(A68="","",IF(N(AD68)&gt;0,AD68*H68*W68*$W$6+p_CorrFixa,0))</f>
        <v/>
      </c>
      <c r="AF68" s="85" t="str">
        <f>IF(A68="","",IF(OR($Y$1&lt;=0,N(H68)&lt;=0,N(W68)&lt;=0,N(AB68)&lt;=0),0,IF($W$3="Sim",TRUNC(ROUND(MAX(0,($Y$1-IF(N(AD68)&gt;0,0,p_CorrFixa))/(H68*W68*$W$6)),9),$W$4),TRUNC(ROUND(MAX(0,($Y$1-IF(N(AD68)&gt;0,0,p_CorrFixa))/(H68*W68*$W$6)),9)/$W$5)*$W$5)))</f>
        <v/>
      </c>
      <c r="AG68" s="85" t="str">
        <f>IF(A68="","",IF(AND(N(AD68)=0,N(AF68)*(H68*W68*$W$6)+p_CorrFixa&lt;p_CompraMin),0,AF68))</f>
        <v/>
      </c>
      <c r="AH68" s="85" t="str">
        <f>IF(A68="","",IF(N(AG68)&gt;0,AB68,0))</f>
        <v/>
      </c>
      <c r="AI68" s="85" t="str">
        <f>IF(A68="","",IF(AND(AH68&gt;0,AH68=$AH$6,COUNTIF($AH$9:AH68,AH68)=1),1,0))</f>
        <v/>
      </c>
    </row>
    <row r="69">
      <c r="A69" s="96" t="n"/>
      <c r="B69" s="96" t="n"/>
      <c r="C69" s="96" t="n"/>
      <c r="D69" s="97" t="n"/>
      <c r="E69" s="98" t="n"/>
      <c r="F69" s="99" t="n"/>
      <c r="G69" s="100" t="n"/>
      <c r="H69" s="101" t="str">
        <f>IF(A69="","",IF(AND(p_ModoCot="Automático",ISNUMBER(Z69)),Z69,IF(N(G69)&gt;0,G69,0)))</f>
        <v/>
      </c>
      <c r="I69" s="73" t="str">
        <f>IF(A69="","",IF(W69=0,"Sem câmbio",IF(AND(p_ModoCot="Automático",ISNUMBER(Z69)),"Auto",IF(N(G69)&gt;0,"Manual","Sem cotação"))))</f>
        <v/>
      </c>
      <c r="J69" s="102" t="str">
        <f>IF(A69="","",N(E69)*H69)</f>
        <v/>
      </c>
      <c r="K69" s="70" t="str">
        <f>IF(A69="","",J69*W69)</f>
        <v/>
      </c>
      <c r="L69" s="30" t="str">
        <f>IF(A69="","",IF($K$6&gt;0,K69/$K$6,0))</f>
        <v/>
      </c>
      <c r="M69" s="72" t="str">
        <f>IF(A69="","",N(F69)-L69)</f>
        <v/>
      </c>
      <c r="N69" s="30" t="str">
        <f>IF(A69="","",IF($AB$6&gt;0,AB69/$AB$6,0))</f>
        <v/>
      </c>
      <c r="O69" s="74" t="str">
        <f>IF(A69="","",IF(AB69&lt;=0,"",COUNTIF($AB$9:$AB$208,"&gt;"&amp;AB69)+COUNTIF($AB$9:AB69,AB69)))</f>
        <v/>
      </c>
      <c r="P69" s="73" t="str">
        <f>IF(A69="","",IF(Q69&gt;0,"BUY","HOLD"))</f>
        <v/>
      </c>
      <c r="Q69" s="70" t="str">
        <f>IF(A69="","",IF($W$7&lt;=0,0,IF($AC$6&gt;0,$W$7*AC69/$AC$6,IF($F$6&gt;0,$W$7*N(F69)/$F$6,0))))</f>
        <v/>
      </c>
      <c r="R69" s="103" t="str">
        <f>IF(A69="","",N(AD69)+IF(AI69=1,N(AG69),0))</f>
        <v/>
      </c>
      <c r="S69" s="103" t="str">
        <f>IF(A69="","",N(E69)+N(R69))</f>
        <v/>
      </c>
      <c r="T69" s="70" t="str">
        <f>IF(A69="","",IF(N(R69)&gt;0,R69*H69*W69*$W$6+p_CorrFixa,0))</f>
        <v/>
      </c>
      <c r="V69" s="85" t="str">
        <f>IF(A69="","",IF(D69="",$W$1,D69))</f>
        <v/>
      </c>
      <c r="W69" s="85" t="str">
        <f>IF(A69="","",IFERROR(INDEX(moeda_fx,MATCH(V69,moeda_cod,0)),0))</f>
        <v/>
      </c>
      <c r="X69" s="85" t="str">
        <f>IF(A69="","",IF($W$2="",UPPER(TRIM(A69)),IF(RIGHT(UPPER(TRIM(A69)),LEN($W$2))=$W$2,UPPER(TRIM(A69)),UPPER(TRIM(A69))&amp;$W$2)))</f>
        <v/>
      </c>
      <c r="Y69" s="85" t="str">
        <f>IF(OR(A69="",p_ModoCot&lt;&gt;"Automático"),"",IFERROR(_xlfn.WEBSERVICE("https://query1.finance.yahoo.com/v8/finance/chart/"&amp;X69&amp;"?range=1d&amp;interval=1d"),""))</f>
        <v/>
      </c>
      <c r="Z69" s="85" t="str">
        <f>IF(Y69="","",IFERROR(_xlfn.NUMBERVALUE(MID(Y69,SEARCH("""regularMarketPrice"":",Y69)+21,SEARCH(",",Y69&amp;",",SEARCH("""regularMarketPrice"":",Y69)+21)-SEARCH("""regularMarketPrice"":",Y69)-21),".",","),""))</f>
        <v/>
      </c>
      <c r="AA69" s="85" t="str">
        <f>IF(A69="","",ROUND(MAX(0,N(F69)*($K$6+$W$7)-K69),2))</f>
        <v/>
      </c>
      <c r="AB69" s="85" t="str">
        <f>IF(A69="","",IF(AND(M69&gt;0,M69&gt;=p_DifMin),AA69,0))</f>
        <v/>
      </c>
      <c r="AC69" s="85" t="str">
        <f>IF(A69="","",IF(AND(AB69&gt;0,N(O69)&lt;=p_MaxAtivos),AB69,0))</f>
        <v/>
      </c>
      <c r="AD69" s="85" t="str">
        <f>IF(A69="","",IF(OR(Q69&lt;=0,Q69&lt;p_CompraMin,N(H69)&lt;=0,N(W69)&lt;=0),0,IF($W$3="Sim",TRUNC(ROUND(MAX(0,(Q69-p_CorrFixa)/(H69*W69*$W$6)),9),$W$4),TRUNC(ROUND(MAX(0,(Q69-p_CorrFixa)/(H69*W69*$W$6)),9)/$W$5)*$W$5)))</f>
        <v/>
      </c>
      <c r="AE69" s="85" t="str">
        <f>IF(A69="","",IF(N(AD69)&gt;0,AD69*H69*W69*$W$6+p_CorrFixa,0))</f>
        <v/>
      </c>
      <c r="AF69" s="85" t="str">
        <f>IF(A69="","",IF(OR($Y$1&lt;=0,N(H69)&lt;=0,N(W69)&lt;=0,N(AB69)&lt;=0),0,IF($W$3="Sim",TRUNC(ROUND(MAX(0,($Y$1-IF(N(AD69)&gt;0,0,p_CorrFixa))/(H69*W69*$W$6)),9),$W$4),TRUNC(ROUND(MAX(0,($Y$1-IF(N(AD69)&gt;0,0,p_CorrFixa))/(H69*W69*$W$6)),9)/$W$5)*$W$5)))</f>
        <v/>
      </c>
      <c r="AG69" s="85" t="str">
        <f>IF(A69="","",IF(AND(N(AD69)=0,N(AF69)*(H69*W69*$W$6)+p_CorrFixa&lt;p_CompraMin),0,AF69))</f>
        <v/>
      </c>
      <c r="AH69" s="85" t="str">
        <f>IF(A69="","",IF(N(AG69)&gt;0,AB69,0))</f>
        <v/>
      </c>
      <c r="AI69" s="85" t="str">
        <f>IF(A69="","",IF(AND(AH69&gt;0,AH69=$AH$6,COUNTIF($AH$9:AH69,AH69)=1),1,0))</f>
        <v/>
      </c>
    </row>
    <row r="70">
      <c r="A70" s="96" t="n"/>
      <c r="B70" s="96" t="n"/>
      <c r="C70" s="96" t="n"/>
      <c r="D70" s="97" t="n"/>
      <c r="E70" s="98" t="n"/>
      <c r="F70" s="99" t="n"/>
      <c r="G70" s="100" t="n"/>
      <c r="H70" s="104" t="str">
        <f>IF(A70="","",IF(AND(p_ModoCot="Automático",ISNUMBER(Z70)),Z70,IF(N(G70)&gt;0,G70,0)))</f>
        <v/>
      </c>
      <c r="I70" s="105" t="str">
        <f>IF(A70="","",IF(W70=0,"Sem câmbio",IF(AND(p_ModoCot="Automático",ISNUMBER(Z70)),"Auto",IF(N(G70)&gt;0,"Manual","Sem cotação"))))</f>
        <v/>
      </c>
      <c r="J70" s="106" t="str">
        <f>IF(A70="","",N(E70)*H70)</f>
        <v/>
      </c>
      <c r="K70" s="107" t="str">
        <f>IF(A70="","",J70*W70)</f>
        <v/>
      </c>
      <c r="L70" s="108" t="str">
        <f>IF(A70="","",IF($K$6&gt;0,K70/$K$6,0))</f>
        <v/>
      </c>
      <c r="M70" s="109" t="str">
        <f>IF(A70="","",N(F70)-L70)</f>
        <v/>
      </c>
      <c r="N70" s="108" t="str">
        <f>IF(A70="","",IF($AB$6&gt;0,AB70/$AB$6,0))</f>
        <v/>
      </c>
      <c r="O70" s="110" t="str">
        <f>IF(A70="","",IF(AB70&lt;=0,"",COUNTIF($AB$9:$AB$208,"&gt;"&amp;AB70)+COUNTIF($AB$9:AB70,AB70)))</f>
        <v/>
      </c>
      <c r="P70" s="105" t="str">
        <f>IF(A70="","",IF(Q70&gt;0,"BUY","HOLD"))</f>
        <v/>
      </c>
      <c r="Q70" s="107" t="str">
        <f>IF(A70="","",IF($W$7&lt;=0,0,IF($AC$6&gt;0,$W$7*AC70/$AC$6,IF($F$6&gt;0,$W$7*N(F70)/$F$6,0))))</f>
        <v/>
      </c>
      <c r="R70" s="111" t="str">
        <f>IF(A70="","",N(AD70)+IF(AI70=1,N(AG70),0))</f>
        <v/>
      </c>
      <c r="S70" s="111" t="str">
        <f>IF(A70="","",N(E70)+N(R70))</f>
        <v/>
      </c>
      <c r="T70" s="107" t="str">
        <f>IF(A70="","",IF(N(R70)&gt;0,R70*H70*W70*$W$6+p_CorrFixa,0))</f>
        <v/>
      </c>
      <c r="V70" s="85" t="str">
        <f>IF(A70="","",IF(D70="",$W$1,D70))</f>
        <v/>
      </c>
      <c r="W70" s="85" t="str">
        <f>IF(A70="","",IFERROR(INDEX(moeda_fx,MATCH(V70,moeda_cod,0)),0))</f>
        <v/>
      </c>
      <c r="X70" s="85" t="str">
        <f>IF(A70="","",IF($W$2="",UPPER(TRIM(A70)),IF(RIGHT(UPPER(TRIM(A70)),LEN($W$2))=$W$2,UPPER(TRIM(A70)),UPPER(TRIM(A70))&amp;$W$2)))</f>
        <v/>
      </c>
      <c r="Y70" s="85" t="str">
        <f>IF(OR(A70="",p_ModoCot&lt;&gt;"Automático"),"",IFERROR(_xlfn.WEBSERVICE("https://query1.finance.yahoo.com/v8/finance/chart/"&amp;X70&amp;"?range=1d&amp;interval=1d"),""))</f>
        <v/>
      </c>
      <c r="Z70" s="85" t="str">
        <f>IF(Y70="","",IFERROR(_xlfn.NUMBERVALUE(MID(Y70,SEARCH("""regularMarketPrice"":",Y70)+21,SEARCH(",",Y70&amp;",",SEARCH("""regularMarketPrice"":",Y70)+21)-SEARCH("""regularMarketPrice"":",Y70)-21),".",","),""))</f>
        <v/>
      </c>
      <c r="AA70" s="85" t="str">
        <f>IF(A70="","",ROUND(MAX(0,N(F70)*($K$6+$W$7)-K70),2))</f>
        <v/>
      </c>
      <c r="AB70" s="85" t="str">
        <f>IF(A70="","",IF(AND(M70&gt;0,M70&gt;=p_DifMin),AA70,0))</f>
        <v/>
      </c>
      <c r="AC70" s="85" t="str">
        <f>IF(A70="","",IF(AND(AB70&gt;0,N(O70)&lt;=p_MaxAtivos),AB70,0))</f>
        <v/>
      </c>
      <c r="AD70" s="85" t="str">
        <f>IF(A70="","",IF(OR(Q70&lt;=0,Q70&lt;p_CompraMin,N(H70)&lt;=0,N(W70)&lt;=0),0,IF($W$3="Sim",TRUNC(ROUND(MAX(0,(Q70-p_CorrFixa)/(H70*W70*$W$6)),9),$W$4),TRUNC(ROUND(MAX(0,(Q70-p_CorrFixa)/(H70*W70*$W$6)),9)/$W$5)*$W$5)))</f>
        <v/>
      </c>
      <c r="AE70" s="85" t="str">
        <f>IF(A70="","",IF(N(AD70)&gt;0,AD70*H70*W70*$W$6+p_CorrFixa,0))</f>
        <v/>
      </c>
      <c r="AF70" s="85" t="str">
        <f>IF(A70="","",IF(OR($Y$1&lt;=0,N(H70)&lt;=0,N(W70)&lt;=0,N(AB70)&lt;=0),0,IF($W$3="Sim",TRUNC(ROUND(MAX(0,($Y$1-IF(N(AD70)&gt;0,0,p_CorrFixa))/(H70*W70*$W$6)),9),$W$4),TRUNC(ROUND(MAX(0,($Y$1-IF(N(AD70)&gt;0,0,p_CorrFixa))/(H70*W70*$W$6)),9)/$W$5)*$W$5)))</f>
        <v/>
      </c>
      <c r="AG70" s="85" t="str">
        <f>IF(A70="","",IF(AND(N(AD70)=0,N(AF70)*(H70*W70*$W$6)+p_CorrFixa&lt;p_CompraMin),0,AF70))</f>
        <v/>
      </c>
      <c r="AH70" s="85" t="str">
        <f>IF(A70="","",IF(N(AG70)&gt;0,AB70,0))</f>
        <v/>
      </c>
      <c r="AI70" s="85" t="str">
        <f>IF(A70="","",IF(AND(AH70&gt;0,AH70=$AH$6,COUNTIF($AH$9:AH70,AH70)=1),1,0))</f>
        <v/>
      </c>
    </row>
    <row r="71">
      <c r="A71" s="96" t="n"/>
      <c r="B71" s="96" t="n"/>
      <c r="C71" s="96" t="n"/>
      <c r="D71" s="97" t="n"/>
      <c r="E71" s="98" t="n"/>
      <c r="F71" s="99" t="n"/>
      <c r="G71" s="100" t="n"/>
      <c r="H71" s="101" t="str">
        <f>IF(A71="","",IF(AND(p_ModoCot="Automático",ISNUMBER(Z71)),Z71,IF(N(G71)&gt;0,G71,0)))</f>
        <v/>
      </c>
      <c r="I71" s="73" t="str">
        <f>IF(A71="","",IF(W71=0,"Sem câmbio",IF(AND(p_ModoCot="Automático",ISNUMBER(Z71)),"Auto",IF(N(G71)&gt;0,"Manual","Sem cotação"))))</f>
        <v/>
      </c>
      <c r="J71" s="102" t="str">
        <f>IF(A71="","",N(E71)*H71)</f>
        <v/>
      </c>
      <c r="K71" s="70" t="str">
        <f>IF(A71="","",J71*W71)</f>
        <v/>
      </c>
      <c r="L71" s="30" t="str">
        <f>IF(A71="","",IF($K$6&gt;0,K71/$K$6,0))</f>
        <v/>
      </c>
      <c r="M71" s="72" t="str">
        <f>IF(A71="","",N(F71)-L71)</f>
        <v/>
      </c>
      <c r="N71" s="30" t="str">
        <f>IF(A71="","",IF($AB$6&gt;0,AB71/$AB$6,0))</f>
        <v/>
      </c>
      <c r="O71" s="74" t="str">
        <f>IF(A71="","",IF(AB71&lt;=0,"",COUNTIF($AB$9:$AB$208,"&gt;"&amp;AB71)+COUNTIF($AB$9:AB71,AB71)))</f>
        <v/>
      </c>
      <c r="P71" s="73" t="str">
        <f>IF(A71="","",IF(Q71&gt;0,"BUY","HOLD"))</f>
        <v/>
      </c>
      <c r="Q71" s="70" t="str">
        <f>IF(A71="","",IF($W$7&lt;=0,0,IF($AC$6&gt;0,$W$7*AC71/$AC$6,IF($F$6&gt;0,$W$7*N(F71)/$F$6,0))))</f>
        <v/>
      </c>
      <c r="R71" s="103" t="str">
        <f>IF(A71="","",N(AD71)+IF(AI71=1,N(AG71),0))</f>
        <v/>
      </c>
      <c r="S71" s="103" t="str">
        <f>IF(A71="","",N(E71)+N(R71))</f>
        <v/>
      </c>
      <c r="T71" s="70" t="str">
        <f>IF(A71="","",IF(N(R71)&gt;0,R71*H71*W71*$W$6+p_CorrFixa,0))</f>
        <v/>
      </c>
      <c r="V71" s="85" t="str">
        <f>IF(A71="","",IF(D71="",$W$1,D71))</f>
        <v/>
      </c>
      <c r="W71" s="85" t="str">
        <f>IF(A71="","",IFERROR(INDEX(moeda_fx,MATCH(V71,moeda_cod,0)),0))</f>
        <v/>
      </c>
      <c r="X71" s="85" t="str">
        <f>IF(A71="","",IF($W$2="",UPPER(TRIM(A71)),IF(RIGHT(UPPER(TRIM(A71)),LEN($W$2))=$W$2,UPPER(TRIM(A71)),UPPER(TRIM(A71))&amp;$W$2)))</f>
        <v/>
      </c>
      <c r="Y71" s="85" t="str">
        <f>IF(OR(A71="",p_ModoCot&lt;&gt;"Automático"),"",IFERROR(_xlfn.WEBSERVICE("https://query1.finance.yahoo.com/v8/finance/chart/"&amp;X71&amp;"?range=1d&amp;interval=1d"),""))</f>
        <v/>
      </c>
      <c r="Z71" s="85" t="str">
        <f>IF(Y71="","",IFERROR(_xlfn.NUMBERVALUE(MID(Y71,SEARCH("""regularMarketPrice"":",Y71)+21,SEARCH(",",Y71&amp;",",SEARCH("""regularMarketPrice"":",Y71)+21)-SEARCH("""regularMarketPrice"":",Y71)-21),".",","),""))</f>
        <v/>
      </c>
      <c r="AA71" s="85" t="str">
        <f>IF(A71="","",ROUND(MAX(0,N(F71)*($K$6+$W$7)-K71),2))</f>
        <v/>
      </c>
      <c r="AB71" s="85" t="str">
        <f>IF(A71="","",IF(AND(M71&gt;0,M71&gt;=p_DifMin),AA71,0))</f>
        <v/>
      </c>
      <c r="AC71" s="85" t="str">
        <f>IF(A71="","",IF(AND(AB71&gt;0,N(O71)&lt;=p_MaxAtivos),AB71,0))</f>
        <v/>
      </c>
      <c r="AD71" s="85" t="str">
        <f>IF(A71="","",IF(OR(Q71&lt;=0,Q71&lt;p_CompraMin,N(H71)&lt;=0,N(W71)&lt;=0),0,IF($W$3="Sim",TRUNC(ROUND(MAX(0,(Q71-p_CorrFixa)/(H71*W71*$W$6)),9),$W$4),TRUNC(ROUND(MAX(0,(Q71-p_CorrFixa)/(H71*W71*$W$6)),9)/$W$5)*$W$5)))</f>
        <v/>
      </c>
      <c r="AE71" s="85" t="str">
        <f>IF(A71="","",IF(N(AD71)&gt;0,AD71*H71*W71*$W$6+p_CorrFixa,0))</f>
        <v/>
      </c>
      <c r="AF71" s="85" t="str">
        <f>IF(A71="","",IF(OR($Y$1&lt;=0,N(H71)&lt;=0,N(W71)&lt;=0,N(AB71)&lt;=0),0,IF($W$3="Sim",TRUNC(ROUND(MAX(0,($Y$1-IF(N(AD71)&gt;0,0,p_CorrFixa))/(H71*W71*$W$6)),9),$W$4),TRUNC(ROUND(MAX(0,($Y$1-IF(N(AD71)&gt;0,0,p_CorrFixa))/(H71*W71*$W$6)),9)/$W$5)*$W$5)))</f>
        <v/>
      </c>
      <c r="AG71" s="85" t="str">
        <f>IF(A71="","",IF(AND(N(AD71)=0,N(AF71)*(H71*W71*$W$6)+p_CorrFixa&lt;p_CompraMin),0,AF71))</f>
        <v/>
      </c>
      <c r="AH71" s="85" t="str">
        <f>IF(A71="","",IF(N(AG71)&gt;0,AB71,0))</f>
        <v/>
      </c>
      <c r="AI71" s="85" t="str">
        <f>IF(A71="","",IF(AND(AH71&gt;0,AH71=$AH$6,COUNTIF($AH$9:AH71,AH71)=1),1,0))</f>
        <v/>
      </c>
    </row>
    <row r="72">
      <c r="A72" s="96" t="n"/>
      <c r="B72" s="96" t="n"/>
      <c r="C72" s="96" t="n"/>
      <c r="D72" s="97" t="n"/>
      <c r="E72" s="98" t="n"/>
      <c r="F72" s="99" t="n"/>
      <c r="G72" s="100" t="n"/>
      <c r="H72" s="104" t="str">
        <f>IF(A72="","",IF(AND(p_ModoCot="Automático",ISNUMBER(Z72)),Z72,IF(N(G72)&gt;0,G72,0)))</f>
        <v/>
      </c>
      <c r="I72" s="105" t="str">
        <f>IF(A72="","",IF(W72=0,"Sem câmbio",IF(AND(p_ModoCot="Automático",ISNUMBER(Z72)),"Auto",IF(N(G72)&gt;0,"Manual","Sem cotação"))))</f>
        <v/>
      </c>
      <c r="J72" s="106" t="str">
        <f>IF(A72="","",N(E72)*H72)</f>
        <v/>
      </c>
      <c r="K72" s="107" t="str">
        <f>IF(A72="","",J72*W72)</f>
        <v/>
      </c>
      <c r="L72" s="108" t="str">
        <f>IF(A72="","",IF($K$6&gt;0,K72/$K$6,0))</f>
        <v/>
      </c>
      <c r="M72" s="109" t="str">
        <f>IF(A72="","",N(F72)-L72)</f>
        <v/>
      </c>
      <c r="N72" s="108" t="str">
        <f>IF(A72="","",IF($AB$6&gt;0,AB72/$AB$6,0))</f>
        <v/>
      </c>
      <c r="O72" s="110" t="str">
        <f>IF(A72="","",IF(AB72&lt;=0,"",COUNTIF($AB$9:$AB$208,"&gt;"&amp;AB72)+COUNTIF($AB$9:AB72,AB72)))</f>
        <v/>
      </c>
      <c r="P72" s="105" t="str">
        <f>IF(A72="","",IF(Q72&gt;0,"BUY","HOLD"))</f>
        <v/>
      </c>
      <c r="Q72" s="107" t="str">
        <f>IF(A72="","",IF($W$7&lt;=0,0,IF($AC$6&gt;0,$W$7*AC72/$AC$6,IF($F$6&gt;0,$W$7*N(F72)/$F$6,0))))</f>
        <v/>
      </c>
      <c r="R72" s="111" t="str">
        <f>IF(A72="","",N(AD72)+IF(AI72=1,N(AG72),0))</f>
        <v/>
      </c>
      <c r="S72" s="111" t="str">
        <f>IF(A72="","",N(E72)+N(R72))</f>
        <v/>
      </c>
      <c r="T72" s="107" t="str">
        <f>IF(A72="","",IF(N(R72)&gt;0,R72*H72*W72*$W$6+p_CorrFixa,0))</f>
        <v/>
      </c>
      <c r="V72" s="85" t="str">
        <f>IF(A72="","",IF(D72="",$W$1,D72))</f>
        <v/>
      </c>
      <c r="W72" s="85" t="str">
        <f>IF(A72="","",IFERROR(INDEX(moeda_fx,MATCH(V72,moeda_cod,0)),0))</f>
        <v/>
      </c>
      <c r="X72" s="85" t="str">
        <f>IF(A72="","",IF($W$2="",UPPER(TRIM(A72)),IF(RIGHT(UPPER(TRIM(A72)),LEN($W$2))=$W$2,UPPER(TRIM(A72)),UPPER(TRIM(A72))&amp;$W$2)))</f>
        <v/>
      </c>
      <c r="Y72" s="85" t="str">
        <f>IF(OR(A72="",p_ModoCot&lt;&gt;"Automático"),"",IFERROR(_xlfn.WEBSERVICE("https://query1.finance.yahoo.com/v8/finance/chart/"&amp;X72&amp;"?range=1d&amp;interval=1d"),""))</f>
        <v/>
      </c>
      <c r="Z72" s="85" t="str">
        <f>IF(Y72="","",IFERROR(_xlfn.NUMBERVALUE(MID(Y72,SEARCH("""regularMarketPrice"":",Y72)+21,SEARCH(",",Y72&amp;",",SEARCH("""regularMarketPrice"":",Y72)+21)-SEARCH("""regularMarketPrice"":",Y72)-21),".",","),""))</f>
        <v/>
      </c>
      <c r="AA72" s="85" t="str">
        <f>IF(A72="","",ROUND(MAX(0,N(F72)*($K$6+$W$7)-K72),2))</f>
        <v/>
      </c>
      <c r="AB72" s="85" t="str">
        <f>IF(A72="","",IF(AND(M72&gt;0,M72&gt;=p_DifMin),AA72,0))</f>
        <v/>
      </c>
      <c r="AC72" s="85" t="str">
        <f>IF(A72="","",IF(AND(AB72&gt;0,N(O72)&lt;=p_MaxAtivos),AB72,0))</f>
        <v/>
      </c>
      <c r="AD72" s="85" t="str">
        <f>IF(A72="","",IF(OR(Q72&lt;=0,Q72&lt;p_CompraMin,N(H72)&lt;=0,N(W72)&lt;=0),0,IF($W$3="Sim",TRUNC(ROUND(MAX(0,(Q72-p_CorrFixa)/(H72*W72*$W$6)),9),$W$4),TRUNC(ROUND(MAX(0,(Q72-p_CorrFixa)/(H72*W72*$W$6)),9)/$W$5)*$W$5)))</f>
        <v/>
      </c>
      <c r="AE72" s="85" t="str">
        <f>IF(A72="","",IF(N(AD72)&gt;0,AD72*H72*W72*$W$6+p_CorrFixa,0))</f>
        <v/>
      </c>
      <c r="AF72" s="85" t="str">
        <f>IF(A72="","",IF(OR($Y$1&lt;=0,N(H72)&lt;=0,N(W72)&lt;=0,N(AB72)&lt;=0),0,IF($W$3="Sim",TRUNC(ROUND(MAX(0,($Y$1-IF(N(AD72)&gt;0,0,p_CorrFixa))/(H72*W72*$W$6)),9),$W$4),TRUNC(ROUND(MAX(0,($Y$1-IF(N(AD72)&gt;0,0,p_CorrFixa))/(H72*W72*$W$6)),9)/$W$5)*$W$5)))</f>
        <v/>
      </c>
      <c r="AG72" s="85" t="str">
        <f>IF(A72="","",IF(AND(N(AD72)=0,N(AF72)*(H72*W72*$W$6)+p_CorrFixa&lt;p_CompraMin),0,AF72))</f>
        <v/>
      </c>
      <c r="AH72" s="85" t="str">
        <f>IF(A72="","",IF(N(AG72)&gt;0,AB72,0))</f>
        <v/>
      </c>
      <c r="AI72" s="85" t="str">
        <f>IF(A72="","",IF(AND(AH72&gt;0,AH72=$AH$6,COUNTIF($AH$9:AH72,AH72)=1),1,0))</f>
        <v/>
      </c>
    </row>
    <row r="73">
      <c r="A73" s="96" t="n"/>
      <c r="B73" s="96" t="n"/>
      <c r="C73" s="96" t="n"/>
      <c r="D73" s="97" t="n"/>
      <c r="E73" s="98" t="n"/>
      <c r="F73" s="99" t="n"/>
      <c r="G73" s="100" t="n"/>
      <c r="H73" s="101" t="str">
        <f>IF(A73="","",IF(AND(p_ModoCot="Automático",ISNUMBER(Z73)),Z73,IF(N(G73)&gt;0,G73,0)))</f>
        <v/>
      </c>
      <c r="I73" s="73" t="str">
        <f>IF(A73="","",IF(W73=0,"Sem câmbio",IF(AND(p_ModoCot="Automático",ISNUMBER(Z73)),"Auto",IF(N(G73)&gt;0,"Manual","Sem cotação"))))</f>
        <v/>
      </c>
      <c r="J73" s="102" t="str">
        <f>IF(A73="","",N(E73)*H73)</f>
        <v/>
      </c>
      <c r="K73" s="70" t="str">
        <f>IF(A73="","",J73*W73)</f>
        <v/>
      </c>
      <c r="L73" s="30" t="str">
        <f>IF(A73="","",IF($K$6&gt;0,K73/$K$6,0))</f>
        <v/>
      </c>
      <c r="M73" s="72" t="str">
        <f>IF(A73="","",N(F73)-L73)</f>
        <v/>
      </c>
      <c r="N73" s="30" t="str">
        <f>IF(A73="","",IF($AB$6&gt;0,AB73/$AB$6,0))</f>
        <v/>
      </c>
      <c r="O73" s="74" t="str">
        <f>IF(A73="","",IF(AB73&lt;=0,"",COUNTIF($AB$9:$AB$208,"&gt;"&amp;AB73)+COUNTIF($AB$9:AB73,AB73)))</f>
        <v/>
      </c>
      <c r="P73" s="73" t="str">
        <f>IF(A73="","",IF(Q73&gt;0,"BUY","HOLD"))</f>
        <v/>
      </c>
      <c r="Q73" s="70" t="str">
        <f>IF(A73="","",IF($W$7&lt;=0,0,IF($AC$6&gt;0,$W$7*AC73/$AC$6,IF($F$6&gt;0,$W$7*N(F73)/$F$6,0))))</f>
        <v/>
      </c>
      <c r="R73" s="103" t="str">
        <f>IF(A73="","",N(AD73)+IF(AI73=1,N(AG73),0))</f>
        <v/>
      </c>
      <c r="S73" s="103" t="str">
        <f>IF(A73="","",N(E73)+N(R73))</f>
        <v/>
      </c>
      <c r="T73" s="70" t="str">
        <f>IF(A73="","",IF(N(R73)&gt;0,R73*H73*W73*$W$6+p_CorrFixa,0))</f>
        <v/>
      </c>
      <c r="V73" s="85" t="str">
        <f>IF(A73="","",IF(D73="",$W$1,D73))</f>
        <v/>
      </c>
      <c r="W73" s="85" t="str">
        <f>IF(A73="","",IFERROR(INDEX(moeda_fx,MATCH(V73,moeda_cod,0)),0))</f>
        <v/>
      </c>
      <c r="X73" s="85" t="str">
        <f>IF(A73="","",IF($W$2="",UPPER(TRIM(A73)),IF(RIGHT(UPPER(TRIM(A73)),LEN($W$2))=$W$2,UPPER(TRIM(A73)),UPPER(TRIM(A73))&amp;$W$2)))</f>
        <v/>
      </c>
      <c r="Y73" s="85" t="str">
        <f>IF(OR(A73="",p_ModoCot&lt;&gt;"Automático"),"",IFERROR(_xlfn.WEBSERVICE("https://query1.finance.yahoo.com/v8/finance/chart/"&amp;X73&amp;"?range=1d&amp;interval=1d"),""))</f>
        <v/>
      </c>
      <c r="Z73" s="85" t="str">
        <f>IF(Y73="","",IFERROR(_xlfn.NUMBERVALUE(MID(Y73,SEARCH("""regularMarketPrice"":",Y73)+21,SEARCH(",",Y73&amp;",",SEARCH("""regularMarketPrice"":",Y73)+21)-SEARCH("""regularMarketPrice"":",Y73)-21),".",","),""))</f>
        <v/>
      </c>
      <c r="AA73" s="85" t="str">
        <f>IF(A73="","",ROUND(MAX(0,N(F73)*($K$6+$W$7)-K73),2))</f>
        <v/>
      </c>
      <c r="AB73" s="85" t="str">
        <f>IF(A73="","",IF(AND(M73&gt;0,M73&gt;=p_DifMin),AA73,0))</f>
        <v/>
      </c>
      <c r="AC73" s="85" t="str">
        <f>IF(A73="","",IF(AND(AB73&gt;0,N(O73)&lt;=p_MaxAtivos),AB73,0))</f>
        <v/>
      </c>
      <c r="AD73" s="85" t="str">
        <f>IF(A73="","",IF(OR(Q73&lt;=0,Q73&lt;p_CompraMin,N(H73)&lt;=0,N(W73)&lt;=0),0,IF($W$3="Sim",TRUNC(ROUND(MAX(0,(Q73-p_CorrFixa)/(H73*W73*$W$6)),9),$W$4),TRUNC(ROUND(MAX(0,(Q73-p_CorrFixa)/(H73*W73*$W$6)),9)/$W$5)*$W$5)))</f>
        <v/>
      </c>
      <c r="AE73" s="85" t="str">
        <f>IF(A73="","",IF(N(AD73)&gt;0,AD73*H73*W73*$W$6+p_CorrFixa,0))</f>
        <v/>
      </c>
      <c r="AF73" s="85" t="str">
        <f>IF(A73="","",IF(OR($Y$1&lt;=0,N(H73)&lt;=0,N(W73)&lt;=0,N(AB73)&lt;=0),0,IF($W$3="Sim",TRUNC(ROUND(MAX(0,($Y$1-IF(N(AD73)&gt;0,0,p_CorrFixa))/(H73*W73*$W$6)),9),$W$4),TRUNC(ROUND(MAX(0,($Y$1-IF(N(AD73)&gt;0,0,p_CorrFixa))/(H73*W73*$W$6)),9)/$W$5)*$W$5)))</f>
        <v/>
      </c>
      <c r="AG73" s="85" t="str">
        <f>IF(A73="","",IF(AND(N(AD73)=0,N(AF73)*(H73*W73*$W$6)+p_CorrFixa&lt;p_CompraMin),0,AF73))</f>
        <v/>
      </c>
      <c r="AH73" s="85" t="str">
        <f>IF(A73="","",IF(N(AG73)&gt;0,AB73,0))</f>
        <v/>
      </c>
      <c r="AI73" s="85" t="str">
        <f>IF(A73="","",IF(AND(AH73&gt;0,AH73=$AH$6,COUNTIF($AH$9:AH73,AH73)=1),1,0))</f>
        <v/>
      </c>
    </row>
    <row r="74">
      <c r="A74" s="96" t="n"/>
      <c r="B74" s="96" t="n"/>
      <c r="C74" s="96" t="n"/>
      <c r="D74" s="97" t="n"/>
      <c r="E74" s="98" t="n"/>
      <c r="F74" s="99" t="n"/>
      <c r="G74" s="100" t="n"/>
      <c r="H74" s="104" t="str">
        <f>IF(A74="","",IF(AND(p_ModoCot="Automático",ISNUMBER(Z74)),Z74,IF(N(G74)&gt;0,G74,0)))</f>
        <v/>
      </c>
      <c r="I74" s="105" t="str">
        <f>IF(A74="","",IF(W74=0,"Sem câmbio",IF(AND(p_ModoCot="Automático",ISNUMBER(Z74)),"Auto",IF(N(G74)&gt;0,"Manual","Sem cotação"))))</f>
        <v/>
      </c>
      <c r="J74" s="106" t="str">
        <f>IF(A74="","",N(E74)*H74)</f>
        <v/>
      </c>
      <c r="K74" s="107" t="str">
        <f>IF(A74="","",J74*W74)</f>
        <v/>
      </c>
      <c r="L74" s="108" t="str">
        <f>IF(A74="","",IF($K$6&gt;0,K74/$K$6,0))</f>
        <v/>
      </c>
      <c r="M74" s="109" t="str">
        <f>IF(A74="","",N(F74)-L74)</f>
        <v/>
      </c>
      <c r="N74" s="108" t="str">
        <f>IF(A74="","",IF($AB$6&gt;0,AB74/$AB$6,0))</f>
        <v/>
      </c>
      <c r="O74" s="110" t="str">
        <f>IF(A74="","",IF(AB74&lt;=0,"",COUNTIF($AB$9:$AB$208,"&gt;"&amp;AB74)+COUNTIF($AB$9:AB74,AB74)))</f>
        <v/>
      </c>
      <c r="P74" s="105" t="str">
        <f>IF(A74="","",IF(Q74&gt;0,"BUY","HOLD"))</f>
        <v/>
      </c>
      <c r="Q74" s="107" t="str">
        <f>IF(A74="","",IF($W$7&lt;=0,0,IF($AC$6&gt;0,$W$7*AC74/$AC$6,IF($F$6&gt;0,$W$7*N(F74)/$F$6,0))))</f>
        <v/>
      </c>
      <c r="R74" s="111" t="str">
        <f>IF(A74="","",N(AD74)+IF(AI74=1,N(AG74),0))</f>
        <v/>
      </c>
      <c r="S74" s="111" t="str">
        <f>IF(A74="","",N(E74)+N(R74))</f>
        <v/>
      </c>
      <c r="T74" s="107" t="str">
        <f>IF(A74="","",IF(N(R74)&gt;0,R74*H74*W74*$W$6+p_CorrFixa,0))</f>
        <v/>
      </c>
      <c r="V74" s="85" t="str">
        <f>IF(A74="","",IF(D74="",$W$1,D74))</f>
        <v/>
      </c>
      <c r="W74" s="85" t="str">
        <f>IF(A74="","",IFERROR(INDEX(moeda_fx,MATCH(V74,moeda_cod,0)),0))</f>
        <v/>
      </c>
      <c r="X74" s="85" t="str">
        <f>IF(A74="","",IF($W$2="",UPPER(TRIM(A74)),IF(RIGHT(UPPER(TRIM(A74)),LEN($W$2))=$W$2,UPPER(TRIM(A74)),UPPER(TRIM(A74))&amp;$W$2)))</f>
        <v/>
      </c>
      <c r="Y74" s="85" t="str">
        <f>IF(OR(A74="",p_ModoCot&lt;&gt;"Automático"),"",IFERROR(_xlfn.WEBSERVICE("https://query1.finance.yahoo.com/v8/finance/chart/"&amp;X74&amp;"?range=1d&amp;interval=1d"),""))</f>
        <v/>
      </c>
      <c r="Z74" s="85" t="str">
        <f>IF(Y74="","",IFERROR(_xlfn.NUMBERVALUE(MID(Y74,SEARCH("""regularMarketPrice"":",Y74)+21,SEARCH(",",Y74&amp;",",SEARCH("""regularMarketPrice"":",Y74)+21)-SEARCH("""regularMarketPrice"":",Y74)-21),".",","),""))</f>
        <v/>
      </c>
      <c r="AA74" s="85" t="str">
        <f>IF(A74="","",ROUND(MAX(0,N(F74)*($K$6+$W$7)-K74),2))</f>
        <v/>
      </c>
      <c r="AB74" s="85" t="str">
        <f>IF(A74="","",IF(AND(M74&gt;0,M74&gt;=p_DifMin),AA74,0))</f>
        <v/>
      </c>
      <c r="AC74" s="85" t="str">
        <f>IF(A74="","",IF(AND(AB74&gt;0,N(O74)&lt;=p_MaxAtivos),AB74,0))</f>
        <v/>
      </c>
      <c r="AD74" s="85" t="str">
        <f>IF(A74="","",IF(OR(Q74&lt;=0,Q74&lt;p_CompraMin,N(H74)&lt;=0,N(W74)&lt;=0),0,IF($W$3="Sim",TRUNC(ROUND(MAX(0,(Q74-p_CorrFixa)/(H74*W74*$W$6)),9),$W$4),TRUNC(ROUND(MAX(0,(Q74-p_CorrFixa)/(H74*W74*$W$6)),9)/$W$5)*$W$5)))</f>
        <v/>
      </c>
      <c r="AE74" s="85" t="str">
        <f>IF(A74="","",IF(N(AD74)&gt;0,AD74*H74*W74*$W$6+p_CorrFixa,0))</f>
        <v/>
      </c>
      <c r="AF74" s="85" t="str">
        <f>IF(A74="","",IF(OR($Y$1&lt;=0,N(H74)&lt;=0,N(W74)&lt;=0,N(AB74)&lt;=0),0,IF($W$3="Sim",TRUNC(ROUND(MAX(0,($Y$1-IF(N(AD74)&gt;0,0,p_CorrFixa))/(H74*W74*$W$6)),9),$W$4),TRUNC(ROUND(MAX(0,($Y$1-IF(N(AD74)&gt;0,0,p_CorrFixa))/(H74*W74*$W$6)),9)/$W$5)*$W$5)))</f>
        <v/>
      </c>
      <c r="AG74" s="85" t="str">
        <f>IF(A74="","",IF(AND(N(AD74)=0,N(AF74)*(H74*W74*$W$6)+p_CorrFixa&lt;p_CompraMin),0,AF74))</f>
        <v/>
      </c>
      <c r="AH74" s="85" t="str">
        <f>IF(A74="","",IF(N(AG74)&gt;0,AB74,0))</f>
        <v/>
      </c>
      <c r="AI74" s="85" t="str">
        <f>IF(A74="","",IF(AND(AH74&gt;0,AH74=$AH$6,COUNTIF($AH$9:AH74,AH74)=1),1,0))</f>
        <v/>
      </c>
    </row>
    <row r="75">
      <c r="A75" s="96" t="n"/>
      <c r="B75" s="96" t="n"/>
      <c r="C75" s="96" t="n"/>
      <c r="D75" s="97" t="n"/>
      <c r="E75" s="98" t="n"/>
      <c r="F75" s="99" t="n"/>
      <c r="G75" s="100" t="n"/>
      <c r="H75" s="101" t="str">
        <f>IF(A75="","",IF(AND(p_ModoCot="Automático",ISNUMBER(Z75)),Z75,IF(N(G75)&gt;0,G75,0)))</f>
        <v/>
      </c>
      <c r="I75" s="73" t="str">
        <f>IF(A75="","",IF(W75=0,"Sem câmbio",IF(AND(p_ModoCot="Automático",ISNUMBER(Z75)),"Auto",IF(N(G75)&gt;0,"Manual","Sem cotação"))))</f>
        <v/>
      </c>
      <c r="J75" s="102" t="str">
        <f>IF(A75="","",N(E75)*H75)</f>
        <v/>
      </c>
      <c r="K75" s="70" t="str">
        <f>IF(A75="","",J75*W75)</f>
        <v/>
      </c>
      <c r="L75" s="30" t="str">
        <f>IF(A75="","",IF($K$6&gt;0,K75/$K$6,0))</f>
        <v/>
      </c>
      <c r="M75" s="72" t="str">
        <f>IF(A75="","",N(F75)-L75)</f>
        <v/>
      </c>
      <c r="N75" s="30" t="str">
        <f>IF(A75="","",IF($AB$6&gt;0,AB75/$AB$6,0))</f>
        <v/>
      </c>
      <c r="O75" s="74" t="str">
        <f>IF(A75="","",IF(AB75&lt;=0,"",COUNTIF($AB$9:$AB$208,"&gt;"&amp;AB75)+COUNTIF($AB$9:AB75,AB75)))</f>
        <v/>
      </c>
      <c r="P75" s="73" t="str">
        <f>IF(A75="","",IF(Q75&gt;0,"BUY","HOLD"))</f>
        <v/>
      </c>
      <c r="Q75" s="70" t="str">
        <f>IF(A75="","",IF($W$7&lt;=0,0,IF($AC$6&gt;0,$W$7*AC75/$AC$6,IF($F$6&gt;0,$W$7*N(F75)/$F$6,0))))</f>
        <v/>
      </c>
      <c r="R75" s="103" t="str">
        <f>IF(A75="","",N(AD75)+IF(AI75=1,N(AG75),0))</f>
        <v/>
      </c>
      <c r="S75" s="103" t="str">
        <f>IF(A75="","",N(E75)+N(R75))</f>
        <v/>
      </c>
      <c r="T75" s="70" t="str">
        <f>IF(A75="","",IF(N(R75)&gt;0,R75*H75*W75*$W$6+p_CorrFixa,0))</f>
        <v/>
      </c>
      <c r="V75" s="85" t="str">
        <f>IF(A75="","",IF(D75="",$W$1,D75))</f>
        <v/>
      </c>
      <c r="W75" s="85" t="str">
        <f>IF(A75="","",IFERROR(INDEX(moeda_fx,MATCH(V75,moeda_cod,0)),0))</f>
        <v/>
      </c>
      <c r="X75" s="85" t="str">
        <f>IF(A75="","",IF($W$2="",UPPER(TRIM(A75)),IF(RIGHT(UPPER(TRIM(A75)),LEN($W$2))=$W$2,UPPER(TRIM(A75)),UPPER(TRIM(A75))&amp;$W$2)))</f>
        <v/>
      </c>
      <c r="Y75" s="85" t="str">
        <f>IF(OR(A75="",p_ModoCot&lt;&gt;"Automático"),"",IFERROR(_xlfn.WEBSERVICE("https://query1.finance.yahoo.com/v8/finance/chart/"&amp;X75&amp;"?range=1d&amp;interval=1d"),""))</f>
        <v/>
      </c>
      <c r="Z75" s="85" t="str">
        <f>IF(Y75="","",IFERROR(_xlfn.NUMBERVALUE(MID(Y75,SEARCH("""regularMarketPrice"":",Y75)+21,SEARCH(",",Y75&amp;",",SEARCH("""regularMarketPrice"":",Y75)+21)-SEARCH("""regularMarketPrice"":",Y75)-21),".",","),""))</f>
        <v/>
      </c>
      <c r="AA75" s="85" t="str">
        <f>IF(A75="","",ROUND(MAX(0,N(F75)*($K$6+$W$7)-K75),2))</f>
        <v/>
      </c>
      <c r="AB75" s="85" t="str">
        <f>IF(A75="","",IF(AND(M75&gt;0,M75&gt;=p_DifMin),AA75,0))</f>
        <v/>
      </c>
      <c r="AC75" s="85" t="str">
        <f>IF(A75="","",IF(AND(AB75&gt;0,N(O75)&lt;=p_MaxAtivos),AB75,0))</f>
        <v/>
      </c>
      <c r="AD75" s="85" t="str">
        <f>IF(A75="","",IF(OR(Q75&lt;=0,Q75&lt;p_CompraMin,N(H75)&lt;=0,N(W75)&lt;=0),0,IF($W$3="Sim",TRUNC(ROUND(MAX(0,(Q75-p_CorrFixa)/(H75*W75*$W$6)),9),$W$4),TRUNC(ROUND(MAX(0,(Q75-p_CorrFixa)/(H75*W75*$W$6)),9)/$W$5)*$W$5)))</f>
        <v/>
      </c>
      <c r="AE75" s="85" t="str">
        <f>IF(A75="","",IF(N(AD75)&gt;0,AD75*H75*W75*$W$6+p_CorrFixa,0))</f>
        <v/>
      </c>
      <c r="AF75" s="85" t="str">
        <f>IF(A75="","",IF(OR($Y$1&lt;=0,N(H75)&lt;=0,N(W75)&lt;=0,N(AB75)&lt;=0),0,IF($W$3="Sim",TRUNC(ROUND(MAX(0,($Y$1-IF(N(AD75)&gt;0,0,p_CorrFixa))/(H75*W75*$W$6)),9),$W$4),TRUNC(ROUND(MAX(0,($Y$1-IF(N(AD75)&gt;0,0,p_CorrFixa))/(H75*W75*$W$6)),9)/$W$5)*$W$5)))</f>
        <v/>
      </c>
      <c r="AG75" s="85" t="str">
        <f>IF(A75="","",IF(AND(N(AD75)=0,N(AF75)*(H75*W75*$W$6)+p_CorrFixa&lt;p_CompraMin),0,AF75))</f>
        <v/>
      </c>
      <c r="AH75" s="85" t="str">
        <f>IF(A75="","",IF(N(AG75)&gt;0,AB75,0))</f>
        <v/>
      </c>
      <c r="AI75" s="85" t="str">
        <f>IF(A75="","",IF(AND(AH75&gt;0,AH75=$AH$6,COUNTIF($AH$9:AH75,AH75)=1),1,0))</f>
        <v/>
      </c>
    </row>
    <row r="76">
      <c r="A76" s="96" t="n"/>
      <c r="B76" s="96" t="n"/>
      <c r="C76" s="96" t="n"/>
      <c r="D76" s="97" t="n"/>
      <c r="E76" s="98" t="n"/>
      <c r="F76" s="99" t="n"/>
      <c r="G76" s="100" t="n"/>
      <c r="H76" s="104" t="str">
        <f>IF(A76="","",IF(AND(p_ModoCot="Automático",ISNUMBER(Z76)),Z76,IF(N(G76)&gt;0,G76,0)))</f>
        <v/>
      </c>
      <c r="I76" s="105" t="str">
        <f>IF(A76="","",IF(W76=0,"Sem câmbio",IF(AND(p_ModoCot="Automático",ISNUMBER(Z76)),"Auto",IF(N(G76)&gt;0,"Manual","Sem cotação"))))</f>
        <v/>
      </c>
      <c r="J76" s="106" t="str">
        <f>IF(A76="","",N(E76)*H76)</f>
        <v/>
      </c>
      <c r="K76" s="107" t="str">
        <f>IF(A76="","",J76*W76)</f>
        <v/>
      </c>
      <c r="L76" s="108" t="str">
        <f>IF(A76="","",IF($K$6&gt;0,K76/$K$6,0))</f>
        <v/>
      </c>
      <c r="M76" s="109" t="str">
        <f>IF(A76="","",N(F76)-L76)</f>
        <v/>
      </c>
      <c r="N76" s="108" t="str">
        <f>IF(A76="","",IF($AB$6&gt;0,AB76/$AB$6,0))</f>
        <v/>
      </c>
      <c r="O76" s="110" t="str">
        <f>IF(A76="","",IF(AB76&lt;=0,"",COUNTIF($AB$9:$AB$208,"&gt;"&amp;AB76)+COUNTIF($AB$9:AB76,AB76)))</f>
        <v/>
      </c>
      <c r="P76" s="105" t="str">
        <f>IF(A76="","",IF(Q76&gt;0,"BUY","HOLD"))</f>
        <v/>
      </c>
      <c r="Q76" s="107" t="str">
        <f>IF(A76="","",IF($W$7&lt;=0,0,IF($AC$6&gt;0,$W$7*AC76/$AC$6,IF($F$6&gt;0,$W$7*N(F76)/$F$6,0))))</f>
        <v/>
      </c>
      <c r="R76" s="111" t="str">
        <f>IF(A76="","",N(AD76)+IF(AI76=1,N(AG76),0))</f>
        <v/>
      </c>
      <c r="S76" s="111" t="str">
        <f>IF(A76="","",N(E76)+N(R76))</f>
        <v/>
      </c>
      <c r="T76" s="107" t="str">
        <f>IF(A76="","",IF(N(R76)&gt;0,R76*H76*W76*$W$6+p_CorrFixa,0))</f>
        <v/>
      </c>
      <c r="V76" s="85" t="str">
        <f>IF(A76="","",IF(D76="",$W$1,D76))</f>
        <v/>
      </c>
      <c r="W76" s="85" t="str">
        <f>IF(A76="","",IFERROR(INDEX(moeda_fx,MATCH(V76,moeda_cod,0)),0))</f>
        <v/>
      </c>
      <c r="X76" s="85" t="str">
        <f>IF(A76="","",IF($W$2="",UPPER(TRIM(A76)),IF(RIGHT(UPPER(TRIM(A76)),LEN($W$2))=$W$2,UPPER(TRIM(A76)),UPPER(TRIM(A76))&amp;$W$2)))</f>
        <v/>
      </c>
      <c r="Y76" s="85" t="str">
        <f>IF(OR(A76="",p_ModoCot&lt;&gt;"Automático"),"",IFERROR(_xlfn.WEBSERVICE("https://query1.finance.yahoo.com/v8/finance/chart/"&amp;X76&amp;"?range=1d&amp;interval=1d"),""))</f>
        <v/>
      </c>
      <c r="Z76" s="85" t="str">
        <f>IF(Y76="","",IFERROR(_xlfn.NUMBERVALUE(MID(Y76,SEARCH("""regularMarketPrice"":",Y76)+21,SEARCH(",",Y76&amp;",",SEARCH("""regularMarketPrice"":",Y76)+21)-SEARCH("""regularMarketPrice"":",Y76)-21),".",","),""))</f>
        <v/>
      </c>
      <c r="AA76" s="85" t="str">
        <f>IF(A76="","",ROUND(MAX(0,N(F76)*($K$6+$W$7)-K76),2))</f>
        <v/>
      </c>
      <c r="AB76" s="85" t="str">
        <f>IF(A76="","",IF(AND(M76&gt;0,M76&gt;=p_DifMin),AA76,0))</f>
        <v/>
      </c>
      <c r="AC76" s="85" t="str">
        <f>IF(A76="","",IF(AND(AB76&gt;0,N(O76)&lt;=p_MaxAtivos),AB76,0))</f>
        <v/>
      </c>
      <c r="AD76" s="85" t="str">
        <f>IF(A76="","",IF(OR(Q76&lt;=0,Q76&lt;p_CompraMin,N(H76)&lt;=0,N(W76)&lt;=0),0,IF($W$3="Sim",TRUNC(ROUND(MAX(0,(Q76-p_CorrFixa)/(H76*W76*$W$6)),9),$W$4),TRUNC(ROUND(MAX(0,(Q76-p_CorrFixa)/(H76*W76*$W$6)),9)/$W$5)*$W$5)))</f>
        <v/>
      </c>
      <c r="AE76" s="85" t="str">
        <f>IF(A76="","",IF(N(AD76)&gt;0,AD76*H76*W76*$W$6+p_CorrFixa,0))</f>
        <v/>
      </c>
      <c r="AF76" s="85" t="str">
        <f>IF(A76="","",IF(OR($Y$1&lt;=0,N(H76)&lt;=0,N(W76)&lt;=0,N(AB76)&lt;=0),0,IF($W$3="Sim",TRUNC(ROUND(MAX(0,($Y$1-IF(N(AD76)&gt;0,0,p_CorrFixa))/(H76*W76*$W$6)),9),$W$4),TRUNC(ROUND(MAX(0,($Y$1-IF(N(AD76)&gt;0,0,p_CorrFixa))/(H76*W76*$W$6)),9)/$W$5)*$W$5)))</f>
        <v/>
      </c>
      <c r="AG76" s="85" t="str">
        <f>IF(A76="","",IF(AND(N(AD76)=0,N(AF76)*(H76*W76*$W$6)+p_CorrFixa&lt;p_CompraMin),0,AF76))</f>
        <v/>
      </c>
      <c r="AH76" s="85" t="str">
        <f>IF(A76="","",IF(N(AG76)&gt;0,AB76,0))</f>
        <v/>
      </c>
      <c r="AI76" s="85" t="str">
        <f>IF(A76="","",IF(AND(AH76&gt;0,AH76=$AH$6,COUNTIF($AH$9:AH76,AH76)=1),1,0))</f>
        <v/>
      </c>
    </row>
    <row r="77">
      <c r="A77" s="96" t="n"/>
      <c r="B77" s="96" t="n"/>
      <c r="C77" s="96" t="n"/>
      <c r="D77" s="97" t="n"/>
      <c r="E77" s="98" t="n"/>
      <c r="F77" s="99" t="n"/>
      <c r="G77" s="100" t="n"/>
      <c r="H77" s="101" t="str">
        <f>IF(A77="","",IF(AND(p_ModoCot="Automático",ISNUMBER(Z77)),Z77,IF(N(G77)&gt;0,G77,0)))</f>
        <v/>
      </c>
      <c r="I77" s="73" t="str">
        <f>IF(A77="","",IF(W77=0,"Sem câmbio",IF(AND(p_ModoCot="Automático",ISNUMBER(Z77)),"Auto",IF(N(G77)&gt;0,"Manual","Sem cotação"))))</f>
        <v/>
      </c>
      <c r="J77" s="102" t="str">
        <f>IF(A77="","",N(E77)*H77)</f>
        <v/>
      </c>
      <c r="K77" s="70" t="str">
        <f>IF(A77="","",J77*W77)</f>
        <v/>
      </c>
      <c r="L77" s="30" t="str">
        <f>IF(A77="","",IF($K$6&gt;0,K77/$K$6,0))</f>
        <v/>
      </c>
      <c r="M77" s="72" t="str">
        <f>IF(A77="","",N(F77)-L77)</f>
        <v/>
      </c>
      <c r="N77" s="30" t="str">
        <f>IF(A77="","",IF($AB$6&gt;0,AB77/$AB$6,0))</f>
        <v/>
      </c>
      <c r="O77" s="74" t="str">
        <f>IF(A77="","",IF(AB77&lt;=0,"",COUNTIF($AB$9:$AB$208,"&gt;"&amp;AB77)+COUNTIF($AB$9:AB77,AB77)))</f>
        <v/>
      </c>
      <c r="P77" s="73" t="str">
        <f>IF(A77="","",IF(Q77&gt;0,"BUY","HOLD"))</f>
        <v/>
      </c>
      <c r="Q77" s="70" t="str">
        <f>IF(A77="","",IF($W$7&lt;=0,0,IF($AC$6&gt;0,$W$7*AC77/$AC$6,IF($F$6&gt;0,$W$7*N(F77)/$F$6,0))))</f>
        <v/>
      </c>
      <c r="R77" s="103" t="str">
        <f>IF(A77="","",N(AD77)+IF(AI77=1,N(AG77),0))</f>
        <v/>
      </c>
      <c r="S77" s="103" t="str">
        <f>IF(A77="","",N(E77)+N(R77))</f>
        <v/>
      </c>
      <c r="T77" s="70" t="str">
        <f>IF(A77="","",IF(N(R77)&gt;0,R77*H77*W77*$W$6+p_CorrFixa,0))</f>
        <v/>
      </c>
      <c r="V77" s="85" t="str">
        <f>IF(A77="","",IF(D77="",$W$1,D77))</f>
        <v/>
      </c>
      <c r="W77" s="85" t="str">
        <f>IF(A77="","",IFERROR(INDEX(moeda_fx,MATCH(V77,moeda_cod,0)),0))</f>
        <v/>
      </c>
      <c r="X77" s="85" t="str">
        <f>IF(A77="","",IF($W$2="",UPPER(TRIM(A77)),IF(RIGHT(UPPER(TRIM(A77)),LEN($W$2))=$W$2,UPPER(TRIM(A77)),UPPER(TRIM(A77))&amp;$W$2)))</f>
        <v/>
      </c>
      <c r="Y77" s="85" t="str">
        <f>IF(OR(A77="",p_ModoCot&lt;&gt;"Automático"),"",IFERROR(_xlfn.WEBSERVICE("https://query1.finance.yahoo.com/v8/finance/chart/"&amp;X77&amp;"?range=1d&amp;interval=1d"),""))</f>
        <v/>
      </c>
      <c r="Z77" s="85" t="str">
        <f>IF(Y77="","",IFERROR(_xlfn.NUMBERVALUE(MID(Y77,SEARCH("""regularMarketPrice"":",Y77)+21,SEARCH(",",Y77&amp;",",SEARCH("""regularMarketPrice"":",Y77)+21)-SEARCH("""regularMarketPrice"":",Y77)-21),".",","),""))</f>
        <v/>
      </c>
      <c r="AA77" s="85" t="str">
        <f>IF(A77="","",ROUND(MAX(0,N(F77)*($K$6+$W$7)-K77),2))</f>
        <v/>
      </c>
      <c r="AB77" s="85" t="str">
        <f>IF(A77="","",IF(AND(M77&gt;0,M77&gt;=p_DifMin),AA77,0))</f>
        <v/>
      </c>
      <c r="AC77" s="85" t="str">
        <f>IF(A77="","",IF(AND(AB77&gt;0,N(O77)&lt;=p_MaxAtivos),AB77,0))</f>
        <v/>
      </c>
      <c r="AD77" s="85" t="str">
        <f>IF(A77="","",IF(OR(Q77&lt;=0,Q77&lt;p_CompraMin,N(H77)&lt;=0,N(W77)&lt;=0),0,IF($W$3="Sim",TRUNC(ROUND(MAX(0,(Q77-p_CorrFixa)/(H77*W77*$W$6)),9),$W$4),TRUNC(ROUND(MAX(0,(Q77-p_CorrFixa)/(H77*W77*$W$6)),9)/$W$5)*$W$5)))</f>
        <v/>
      </c>
      <c r="AE77" s="85" t="str">
        <f>IF(A77="","",IF(N(AD77)&gt;0,AD77*H77*W77*$W$6+p_CorrFixa,0))</f>
        <v/>
      </c>
      <c r="AF77" s="85" t="str">
        <f>IF(A77="","",IF(OR($Y$1&lt;=0,N(H77)&lt;=0,N(W77)&lt;=0,N(AB77)&lt;=0),0,IF($W$3="Sim",TRUNC(ROUND(MAX(0,($Y$1-IF(N(AD77)&gt;0,0,p_CorrFixa))/(H77*W77*$W$6)),9),$W$4),TRUNC(ROUND(MAX(0,($Y$1-IF(N(AD77)&gt;0,0,p_CorrFixa))/(H77*W77*$W$6)),9)/$W$5)*$W$5)))</f>
        <v/>
      </c>
      <c r="AG77" s="85" t="str">
        <f>IF(A77="","",IF(AND(N(AD77)=0,N(AF77)*(H77*W77*$W$6)+p_CorrFixa&lt;p_CompraMin),0,AF77))</f>
        <v/>
      </c>
      <c r="AH77" s="85" t="str">
        <f>IF(A77="","",IF(N(AG77)&gt;0,AB77,0))</f>
        <v/>
      </c>
      <c r="AI77" s="85" t="str">
        <f>IF(A77="","",IF(AND(AH77&gt;0,AH77=$AH$6,COUNTIF($AH$9:AH77,AH77)=1),1,0))</f>
        <v/>
      </c>
    </row>
    <row r="78">
      <c r="A78" s="96" t="n"/>
      <c r="B78" s="96" t="n"/>
      <c r="C78" s="96" t="n"/>
      <c r="D78" s="97" t="n"/>
      <c r="E78" s="98" t="n"/>
      <c r="F78" s="99" t="n"/>
      <c r="G78" s="100" t="n"/>
      <c r="H78" s="104" t="str">
        <f>IF(A78="","",IF(AND(p_ModoCot="Automático",ISNUMBER(Z78)),Z78,IF(N(G78)&gt;0,G78,0)))</f>
        <v/>
      </c>
      <c r="I78" s="105" t="str">
        <f>IF(A78="","",IF(W78=0,"Sem câmbio",IF(AND(p_ModoCot="Automático",ISNUMBER(Z78)),"Auto",IF(N(G78)&gt;0,"Manual","Sem cotação"))))</f>
        <v/>
      </c>
      <c r="J78" s="106" t="str">
        <f>IF(A78="","",N(E78)*H78)</f>
        <v/>
      </c>
      <c r="K78" s="107" t="str">
        <f>IF(A78="","",J78*W78)</f>
        <v/>
      </c>
      <c r="L78" s="108" t="str">
        <f>IF(A78="","",IF($K$6&gt;0,K78/$K$6,0))</f>
        <v/>
      </c>
      <c r="M78" s="109" t="str">
        <f>IF(A78="","",N(F78)-L78)</f>
        <v/>
      </c>
      <c r="N78" s="108" t="str">
        <f>IF(A78="","",IF($AB$6&gt;0,AB78/$AB$6,0))</f>
        <v/>
      </c>
      <c r="O78" s="110" t="str">
        <f>IF(A78="","",IF(AB78&lt;=0,"",COUNTIF($AB$9:$AB$208,"&gt;"&amp;AB78)+COUNTIF($AB$9:AB78,AB78)))</f>
        <v/>
      </c>
      <c r="P78" s="105" t="str">
        <f>IF(A78="","",IF(Q78&gt;0,"BUY","HOLD"))</f>
        <v/>
      </c>
      <c r="Q78" s="107" t="str">
        <f>IF(A78="","",IF($W$7&lt;=0,0,IF($AC$6&gt;0,$W$7*AC78/$AC$6,IF($F$6&gt;0,$W$7*N(F78)/$F$6,0))))</f>
        <v/>
      </c>
      <c r="R78" s="111" t="str">
        <f>IF(A78="","",N(AD78)+IF(AI78=1,N(AG78),0))</f>
        <v/>
      </c>
      <c r="S78" s="111" t="str">
        <f>IF(A78="","",N(E78)+N(R78))</f>
        <v/>
      </c>
      <c r="T78" s="107" t="str">
        <f>IF(A78="","",IF(N(R78)&gt;0,R78*H78*W78*$W$6+p_CorrFixa,0))</f>
        <v/>
      </c>
      <c r="V78" s="85" t="str">
        <f>IF(A78="","",IF(D78="",$W$1,D78))</f>
        <v/>
      </c>
      <c r="W78" s="85" t="str">
        <f>IF(A78="","",IFERROR(INDEX(moeda_fx,MATCH(V78,moeda_cod,0)),0))</f>
        <v/>
      </c>
      <c r="X78" s="85" t="str">
        <f>IF(A78="","",IF($W$2="",UPPER(TRIM(A78)),IF(RIGHT(UPPER(TRIM(A78)),LEN($W$2))=$W$2,UPPER(TRIM(A78)),UPPER(TRIM(A78))&amp;$W$2)))</f>
        <v/>
      </c>
      <c r="Y78" s="85" t="str">
        <f>IF(OR(A78="",p_ModoCot&lt;&gt;"Automático"),"",IFERROR(_xlfn.WEBSERVICE("https://query1.finance.yahoo.com/v8/finance/chart/"&amp;X78&amp;"?range=1d&amp;interval=1d"),""))</f>
        <v/>
      </c>
      <c r="Z78" s="85" t="str">
        <f>IF(Y78="","",IFERROR(_xlfn.NUMBERVALUE(MID(Y78,SEARCH("""regularMarketPrice"":",Y78)+21,SEARCH(",",Y78&amp;",",SEARCH("""regularMarketPrice"":",Y78)+21)-SEARCH("""regularMarketPrice"":",Y78)-21),".",","),""))</f>
        <v/>
      </c>
      <c r="AA78" s="85" t="str">
        <f>IF(A78="","",ROUND(MAX(0,N(F78)*($K$6+$W$7)-K78),2))</f>
        <v/>
      </c>
      <c r="AB78" s="85" t="str">
        <f>IF(A78="","",IF(AND(M78&gt;0,M78&gt;=p_DifMin),AA78,0))</f>
        <v/>
      </c>
      <c r="AC78" s="85" t="str">
        <f>IF(A78="","",IF(AND(AB78&gt;0,N(O78)&lt;=p_MaxAtivos),AB78,0))</f>
        <v/>
      </c>
      <c r="AD78" s="85" t="str">
        <f>IF(A78="","",IF(OR(Q78&lt;=0,Q78&lt;p_CompraMin,N(H78)&lt;=0,N(W78)&lt;=0),0,IF($W$3="Sim",TRUNC(ROUND(MAX(0,(Q78-p_CorrFixa)/(H78*W78*$W$6)),9),$W$4),TRUNC(ROUND(MAX(0,(Q78-p_CorrFixa)/(H78*W78*$W$6)),9)/$W$5)*$W$5)))</f>
        <v/>
      </c>
      <c r="AE78" s="85" t="str">
        <f>IF(A78="","",IF(N(AD78)&gt;0,AD78*H78*W78*$W$6+p_CorrFixa,0))</f>
        <v/>
      </c>
      <c r="AF78" s="85" t="str">
        <f>IF(A78="","",IF(OR($Y$1&lt;=0,N(H78)&lt;=0,N(W78)&lt;=0,N(AB78)&lt;=0),0,IF($W$3="Sim",TRUNC(ROUND(MAX(0,($Y$1-IF(N(AD78)&gt;0,0,p_CorrFixa))/(H78*W78*$W$6)),9),$W$4),TRUNC(ROUND(MAX(0,($Y$1-IF(N(AD78)&gt;0,0,p_CorrFixa))/(H78*W78*$W$6)),9)/$W$5)*$W$5)))</f>
        <v/>
      </c>
      <c r="AG78" s="85" t="str">
        <f>IF(A78="","",IF(AND(N(AD78)=0,N(AF78)*(H78*W78*$W$6)+p_CorrFixa&lt;p_CompraMin),0,AF78))</f>
        <v/>
      </c>
      <c r="AH78" s="85" t="str">
        <f>IF(A78="","",IF(N(AG78)&gt;0,AB78,0))</f>
        <v/>
      </c>
      <c r="AI78" s="85" t="str">
        <f>IF(A78="","",IF(AND(AH78&gt;0,AH78=$AH$6,COUNTIF($AH$9:AH78,AH78)=1),1,0))</f>
        <v/>
      </c>
    </row>
    <row r="79">
      <c r="A79" s="96" t="n"/>
      <c r="B79" s="96" t="n"/>
      <c r="C79" s="96" t="n"/>
      <c r="D79" s="97" t="n"/>
      <c r="E79" s="98" t="n"/>
      <c r="F79" s="99" t="n"/>
      <c r="G79" s="100" t="n"/>
      <c r="H79" s="101" t="str">
        <f>IF(A79="","",IF(AND(p_ModoCot="Automático",ISNUMBER(Z79)),Z79,IF(N(G79)&gt;0,G79,0)))</f>
        <v/>
      </c>
      <c r="I79" s="73" t="str">
        <f>IF(A79="","",IF(W79=0,"Sem câmbio",IF(AND(p_ModoCot="Automático",ISNUMBER(Z79)),"Auto",IF(N(G79)&gt;0,"Manual","Sem cotação"))))</f>
        <v/>
      </c>
      <c r="J79" s="102" t="str">
        <f>IF(A79="","",N(E79)*H79)</f>
        <v/>
      </c>
      <c r="K79" s="70" t="str">
        <f>IF(A79="","",J79*W79)</f>
        <v/>
      </c>
      <c r="L79" s="30" t="str">
        <f>IF(A79="","",IF($K$6&gt;0,K79/$K$6,0))</f>
        <v/>
      </c>
      <c r="M79" s="72" t="str">
        <f>IF(A79="","",N(F79)-L79)</f>
        <v/>
      </c>
      <c r="N79" s="30" t="str">
        <f>IF(A79="","",IF($AB$6&gt;0,AB79/$AB$6,0))</f>
        <v/>
      </c>
      <c r="O79" s="74" t="str">
        <f>IF(A79="","",IF(AB79&lt;=0,"",COUNTIF($AB$9:$AB$208,"&gt;"&amp;AB79)+COUNTIF($AB$9:AB79,AB79)))</f>
        <v/>
      </c>
      <c r="P79" s="73" t="str">
        <f>IF(A79="","",IF(Q79&gt;0,"BUY","HOLD"))</f>
        <v/>
      </c>
      <c r="Q79" s="70" t="str">
        <f>IF(A79="","",IF($W$7&lt;=0,0,IF($AC$6&gt;0,$W$7*AC79/$AC$6,IF($F$6&gt;0,$W$7*N(F79)/$F$6,0))))</f>
        <v/>
      </c>
      <c r="R79" s="103" t="str">
        <f>IF(A79="","",N(AD79)+IF(AI79=1,N(AG79),0))</f>
        <v/>
      </c>
      <c r="S79" s="103" t="str">
        <f>IF(A79="","",N(E79)+N(R79))</f>
        <v/>
      </c>
      <c r="T79" s="70" t="str">
        <f>IF(A79="","",IF(N(R79)&gt;0,R79*H79*W79*$W$6+p_CorrFixa,0))</f>
        <v/>
      </c>
      <c r="V79" s="85" t="str">
        <f>IF(A79="","",IF(D79="",$W$1,D79))</f>
        <v/>
      </c>
      <c r="W79" s="85" t="str">
        <f>IF(A79="","",IFERROR(INDEX(moeda_fx,MATCH(V79,moeda_cod,0)),0))</f>
        <v/>
      </c>
      <c r="X79" s="85" t="str">
        <f>IF(A79="","",IF($W$2="",UPPER(TRIM(A79)),IF(RIGHT(UPPER(TRIM(A79)),LEN($W$2))=$W$2,UPPER(TRIM(A79)),UPPER(TRIM(A79))&amp;$W$2)))</f>
        <v/>
      </c>
      <c r="Y79" s="85" t="str">
        <f>IF(OR(A79="",p_ModoCot&lt;&gt;"Automático"),"",IFERROR(_xlfn.WEBSERVICE("https://query1.finance.yahoo.com/v8/finance/chart/"&amp;X79&amp;"?range=1d&amp;interval=1d"),""))</f>
        <v/>
      </c>
      <c r="Z79" s="85" t="str">
        <f>IF(Y79="","",IFERROR(_xlfn.NUMBERVALUE(MID(Y79,SEARCH("""regularMarketPrice"":",Y79)+21,SEARCH(",",Y79&amp;",",SEARCH("""regularMarketPrice"":",Y79)+21)-SEARCH("""regularMarketPrice"":",Y79)-21),".",","),""))</f>
        <v/>
      </c>
      <c r="AA79" s="85" t="str">
        <f>IF(A79="","",ROUND(MAX(0,N(F79)*($K$6+$W$7)-K79),2))</f>
        <v/>
      </c>
      <c r="AB79" s="85" t="str">
        <f>IF(A79="","",IF(AND(M79&gt;0,M79&gt;=p_DifMin),AA79,0))</f>
        <v/>
      </c>
      <c r="AC79" s="85" t="str">
        <f>IF(A79="","",IF(AND(AB79&gt;0,N(O79)&lt;=p_MaxAtivos),AB79,0))</f>
        <v/>
      </c>
      <c r="AD79" s="85" t="str">
        <f>IF(A79="","",IF(OR(Q79&lt;=0,Q79&lt;p_CompraMin,N(H79)&lt;=0,N(W79)&lt;=0),0,IF($W$3="Sim",TRUNC(ROUND(MAX(0,(Q79-p_CorrFixa)/(H79*W79*$W$6)),9),$W$4),TRUNC(ROUND(MAX(0,(Q79-p_CorrFixa)/(H79*W79*$W$6)),9)/$W$5)*$W$5)))</f>
        <v/>
      </c>
      <c r="AE79" s="85" t="str">
        <f>IF(A79="","",IF(N(AD79)&gt;0,AD79*H79*W79*$W$6+p_CorrFixa,0))</f>
        <v/>
      </c>
      <c r="AF79" s="85" t="str">
        <f>IF(A79="","",IF(OR($Y$1&lt;=0,N(H79)&lt;=0,N(W79)&lt;=0,N(AB79)&lt;=0),0,IF($W$3="Sim",TRUNC(ROUND(MAX(0,($Y$1-IF(N(AD79)&gt;0,0,p_CorrFixa))/(H79*W79*$W$6)),9),$W$4),TRUNC(ROUND(MAX(0,($Y$1-IF(N(AD79)&gt;0,0,p_CorrFixa))/(H79*W79*$W$6)),9)/$W$5)*$W$5)))</f>
        <v/>
      </c>
      <c r="AG79" s="85" t="str">
        <f>IF(A79="","",IF(AND(N(AD79)=0,N(AF79)*(H79*W79*$W$6)+p_CorrFixa&lt;p_CompraMin),0,AF79))</f>
        <v/>
      </c>
      <c r="AH79" s="85" t="str">
        <f>IF(A79="","",IF(N(AG79)&gt;0,AB79,0))</f>
        <v/>
      </c>
      <c r="AI79" s="85" t="str">
        <f>IF(A79="","",IF(AND(AH79&gt;0,AH79=$AH$6,COUNTIF($AH$9:AH79,AH79)=1),1,0))</f>
        <v/>
      </c>
    </row>
    <row r="80">
      <c r="A80" s="96" t="n"/>
      <c r="B80" s="96" t="n"/>
      <c r="C80" s="96" t="n"/>
      <c r="D80" s="97" t="n"/>
      <c r="E80" s="98" t="n"/>
      <c r="F80" s="99" t="n"/>
      <c r="G80" s="100" t="n"/>
      <c r="H80" s="104" t="str">
        <f>IF(A80="","",IF(AND(p_ModoCot="Automático",ISNUMBER(Z80)),Z80,IF(N(G80)&gt;0,G80,0)))</f>
        <v/>
      </c>
      <c r="I80" s="105" t="str">
        <f>IF(A80="","",IF(W80=0,"Sem câmbio",IF(AND(p_ModoCot="Automático",ISNUMBER(Z80)),"Auto",IF(N(G80)&gt;0,"Manual","Sem cotação"))))</f>
        <v/>
      </c>
      <c r="J80" s="106" t="str">
        <f>IF(A80="","",N(E80)*H80)</f>
        <v/>
      </c>
      <c r="K80" s="107" t="str">
        <f>IF(A80="","",J80*W80)</f>
        <v/>
      </c>
      <c r="L80" s="108" t="str">
        <f>IF(A80="","",IF($K$6&gt;0,K80/$K$6,0))</f>
        <v/>
      </c>
      <c r="M80" s="109" t="str">
        <f>IF(A80="","",N(F80)-L80)</f>
        <v/>
      </c>
      <c r="N80" s="108" t="str">
        <f>IF(A80="","",IF($AB$6&gt;0,AB80/$AB$6,0))</f>
        <v/>
      </c>
      <c r="O80" s="110" t="str">
        <f>IF(A80="","",IF(AB80&lt;=0,"",COUNTIF($AB$9:$AB$208,"&gt;"&amp;AB80)+COUNTIF($AB$9:AB80,AB80)))</f>
        <v/>
      </c>
      <c r="P80" s="105" t="str">
        <f>IF(A80="","",IF(Q80&gt;0,"BUY","HOLD"))</f>
        <v/>
      </c>
      <c r="Q80" s="107" t="str">
        <f>IF(A80="","",IF($W$7&lt;=0,0,IF($AC$6&gt;0,$W$7*AC80/$AC$6,IF($F$6&gt;0,$W$7*N(F80)/$F$6,0))))</f>
        <v/>
      </c>
      <c r="R80" s="111" t="str">
        <f>IF(A80="","",N(AD80)+IF(AI80=1,N(AG80),0))</f>
        <v/>
      </c>
      <c r="S80" s="111" t="str">
        <f>IF(A80="","",N(E80)+N(R80))</f>
        <v/>
      </c>
      <c r="T80" s="107" t="str">
        <f>IF(A80="","",IF(N(R80)&gt;0,R80*H80*W80*$W$6+p_CorrFixa,0))</f>
        <v/>
      </c>
      <c r="V80" s="85" t="str">
        <f>IF(A80="","",IF(D80="",$W$1,D80))</f>
        <v/>
      </c>
      <c r="W80" s="85" t="str">
        <f>IF(A80="","",IFERROR(INDEX(moeda_fx,MATCH(V80,moeda_cod,0)),0))</f>
        <v/>
      </c>
      <c r="X80" s="85" t="str">
        <f>IF(A80="","",IF($W$2="",UPPER(TRIM(A80)),IF(RIGHT(UPPER(TRIM(A80)),LEN($W$2))=$W$2,UPPER(TRIM(A80)),UPPER(TRIM(A80))&amp;$W$2)))</f>
        <v/>
      </c>
      <c r="Y80" s="85" t="str">
        <f>IF(OR(A80="",p_ModoCot&lt;&gt;"Automático"),"",IFERROR(_xlfn.WEBSERVICE("https://query1.finance.yahoo.com/v8/finance/chart/"&amp;X80&amp;"?range=1d&amp;interval=1d"),""))</f>
        <v/>
      </c>
      <c r="Z80" s="85" t="str">
        <f>IF(Y80="","",IFERROR(_xlfn.NUMBERVALUE(MID(Y80,SEARCH("""regularMarketPrice"":",Y80)+21,SEARCH(",",Y80&amp;",",SEARCH("""regularMarketPrice"":",Y80)+21)-SEARCH("""regularMarketPrice"":",Y80)-21),".",","),""))</f>
        <v/>
      </c>
      <c r="AA80" s="85" t="str">
        <f>IF(A80="","",ROUND(MAX(0,N(F80)*($K$6+$W$7)-K80),2))</f>
        <v/>
      </c>
      <c r="AB80" s="85" t="str">
        <f>IF(A80="","",IF(AND(M80&gt;0,M80&gt;=p_DifMin),AA80,0))</f>
        <v/>
      </c>
      <c r="AC80" s="85" t="str">
        <f>IF(A80="","",IF(AND(AB80&gt;0,N(O80)&lt;=p_MaxAtivos),AB80,0))</f>
        <v/>
      </c>
      <c r="AD80" s="85" t="str">
        <f>IF(A80="","",IF(OR(Q80&lt;=0,Q80&lt;p_CompraMin,N(H80)&lt;=0,N(W80)&lt;=0),0,IF($W$3="Sim",TRUNC(ROUND(MAX(0,(Q80-p_CorrFixa)/(H80*W80*$W$6)),9),$W$4),TRUNC(ROUND(MAX(0,(Q80-p_CorrFixa)/(H80*W80*$W$6)),9)/$W$5)*$W$5)))</f>
        <v/>
      </c>
      <c r="AE80" s="85" t="str">
        <f>IF(A80="","",IF(N(AD80)&gt;0,AD80*H80*W80*$W$6+p_CorrFixa,0))</f>
        <v/>
      </c>
      <c r="AF80" s="85" t="str">
        <f>IF(A80="","",IF(OR($Y$1&lt;=0,N(H80)&lt;=0,N(W80)&lt;=0,N(AB80)&lt;=0),0,IF($W$3="Sim",TRUNC(ROUND(MAX(0,($Y$1-IF(N(AD80)&gt;0,0,p_CorrFixa))/(H80*W80*$W$6)),9),$W$4),TRUNC(ROUND(MAX(0,($Y$1-IF(N(AD80)&gt;0,0,p_CorrFixa))/(H80*W80*$W$6)),9)/$W$5)*$W$5)))</f>
        <v/>
      </c>
      <c r="AG80" s="85" t="str">
        <f>IF(A80="","",IF(AND(N(AD80)=0,N(AF80)*(H80*W80*$W$6)+p_CorrFixa&lt;p_CompraMin),0,AF80))</f>
        <v/>
      </c>
      <c r="AH80" s="85" t="str">
        <f>IF(A80="","",IF(N(AG80)&gt;0,AB80,0))</f>
        <v/>
      </c>
      <c r="AI80" s="85" t="str">
        <f>IF(A80="","",IF(AND(AH80&gt;0,AH80=$AH$6,COUNTIF($AH$9:AH80,AH80)=1),1,0))</f>
        <v/>
      </c>
    </row>
    <row r="81">
      <c r="A81" s="96" t="n"/>
      <c r="B81" s="96" t="n"/>
      <c r="C81" s="96" t="n"/>
      <c r="D81" s="97" t="n"/>
      <c r="E81" s="98" t="n"/>
      <c r="F81" s="99" t="n"/>
      <c r="G81" s="100" t="n"/>
      <c r="H81" s="101" t="str">
        <f>IF(A81="","",IF(AND(p_ModoCot="Automático",ISNUMBER(Z81)),Z81,IF(N(G81)&gt;0,G81,0)))</f>
        <v/>
      </c>
      <c r="I81" s="73" t="str">
        <f>IF(A81="","",IF(W81=0,"Sem câmbio",IF(AND(p_ModoCot="Automático",ISNUMBER(Z81)),"Auto",IF(N(G81)&gt;0,"Manual","Sem cotação"))))</f>
        <v/>
      </c>
      <c r="J81" s="102" t="str">
        <f>IF(A81="","",N(E81)*H81)</f>
        <v/>
      </c>
      <c r="K81" s="70" t="str">
        <f>IF(A81="","",J81*W81)</f>
        <v/>
      </c>
      <c r="L81" s="30" t="str">
        <f>IF(A81="","",IF($K$6&gt;0,K81/$K$6,0))</f>
        <v/>
      </c>
      <c r="M81" s="72" t="str">
        <f>IF(A81="","",N(F81)-L81)</f>
        <v/>
      </c>
      <c r="N81" s="30" t="str">
        <f>IF(A81="","",IF($AB$6&gt;0,AB81/$AB$6,0))</f>
        <v/>
      </c>
      <c r="O81" s="74" t="str">
        <f>IF(A81="","",IF(AB81&lt;=0,"",COUNTIF($AB$9:$AB$208,"&gt;"&amp;AB81)+COUNTIF($AB$9:AB81,AB81)))</f>
        <v/>
      </c>
      <c r="P81" s="73" t="str">
        <f>IF(A81="","",IF(Q81&gt;0,"BUY","HOLD"))</f>
        <v/>
      </c>
      <c r="Q81" s="70" t="str">
        <f>IF(A81="","",IF($W$7&lt;=0,0,IF($AC$6&gt;0,$W$7*AC81/$AC$6,IF($F$6&gt;0,$W$7*N(F81)/$F$6,0))))</f>
        <v/>
      </c>
      <c r="R81" s="103" t="str">
        <f>IF(A81="","",N(AD81)+IF(AI81=1,N(AG81),0))</f>
        <v/>
      </c>
      <c r="S81" s="103" t="str">
        <f>IF(A81="","",N(E81)+N(R81))</f>
        <v/>
      </c>
      <c r="T81" s="70" t="str">
        <f>IF(A81="","",IF(N(R81)&gt;0,R81*H81*W81*$W$6+p_CorrFixa,0))</f>
        <v/>
      </c>
      <c r="V81" s="85" t="str">
        <f>IF(A81="","",IF(D81="",$W$1,D81))</f>
        <v/>
      </c>
      <c r="W81" s="85" t="str">
        <f>IF(A81="","",IFERROR(INDEX(moeda_fx,MATCH(V81,moeda_cod,0)),0))</f>
        <v/>
      </c>
      <c r="X81" s="85" t="str">
        <f>IF(A81="","",IF($W$2="",UPPER(TRIM(A81)),IF(RIGHT(UPPER(TRIM(A81)),LEN($W$2))=$W$2,UPPER(TRIM(A81)),UPPER(TRIM(A81))&amp;$W$2)))</f>
        <v/>
      </c>
      <c r="Y81" s="85" t="str">
        <f>IF(OR(A81="",p_ModoCot&lt;&gt;"Automático"),"",IFERROR(_xlfn.WEBSERVICE("https://query1.finance.yahoo.com/v8/finance/chart/"&amp;X81&amp;"?range=1d&amp;interval=1d"),""))</f>
        <v/>
      </c>
      <c r="Z81" s="85" t="str">
        <f>IF(Y81="","",IFERROR(_xlfn.NUMBERVALUE(MID(Y81,SEARCH("""regularMarketPrice"":",Y81)+21,SEARCH(",",Y81&amp;",",SEARCH("""regularMarketPrice"":",Y81)+21)-SEARCH("""regularMarketPrice"":",Y81)-21),".",","),""))</f>
        <v/>
      </c>
      <c r="AA81" s="85" t="str">
        <f>IF(A81="","",ROUND(MAX(0,N(F81)*($K$6+$W$7)-K81),2))</f>
        <v/>
      </c>
      <c r="AB81" s="85" t="str">
        <f>IF(A81="","",IF(AND(M81&gt;0,M81&gt;=p_DifMin),AA81,0))</f>
        <v/>
      </c>
      <c r="AC81" s="85" t="str">
        <f>IF(A81="","",IF(AND(AB81&gt;0,N(O81)&lt;=p_MaxAtivos),AB81,0))</f>
        <v/>
      </c>
      <c r="AD81" s="85" t="str">
        <f>IF(A81="","",IF(OR(Q81&lt;=0,Q81&lt;p_CompraMin,N(H81)&lt;=0,N(W81)&lt;=0),0,IF($W$3="Sim",TRUNC(ROUND(MAX(0,(Q81-p_CorrFixa)/(H81*W81*$W$6)),9),$W$4),TRUNC(ROUND(MAX(0,(Q81-p_CorrFixa)/(H81*W81*$W$6)),9)/$W$5)*$W$5)))</f>
        <v/>
      </c>
      <c r="AE81" s="85" t="str">
        <f>IF(A81="","",IF(N(AD81)&gt;0,AD81*H81*W81*$W$6+p_CorrFixa,0))</f>
        <v/>
      </c>
      <c r="AF81" s="85" t="str">
        <f>IF(A81="","",IF(OR($Y$1&lt;=0,N(H81)&lt;=0,N(W81)&lt;=0,N(AB81)&lt;=0),0,IF($W$3="Sim",TRUNC(ROUND(MAX(0,($Y$1-IF(N(AD81)&gt;0,0,p_CorrFixa))/(H81*W81*$W$6)),9),$W$4),TRUNC(ROUND(MAX(0,($Y$1-IF(N(AD81)&gt;0,0,p_CorrFixa))/(H81*W81*$W$6)),9)/$W$5)*$W$5)))</f>
        <v/>
      </c>
      <c r="AG81" s="85" t="str">
        <f>IF(A81="","",IF(AND(N(AD81)=0,N(AF81)*(H81*W81*$W$6)+p_CorrFixa&lt;p_CompraMin),0,AF81))</f>
        <v/>
      </c>
      <c r="AH81" s="85" t="str">
        <f>IF(A81="","",IF(N(AG81)&gt;0,AB81,0))</f>
        <v/>
      </c>
      <c r="AI81" s="85" t="str">
        <f>IF(A81="","",IF(AND(AH81&gt;0,AH81=$AH$6,COUNTIF($AH$9:AH81,AH81)=1),1,0))</f>
        <v/>
      </c>
    </row>
    <row r="82">
      <c r="A82" s="96" t="n"/>
      <c r="B82" s="96" t="n"/>
      <c r="C82" s="96" t="n"/>
      <c r="D82" s="97" t="n"/>
      <c r="E82" s="98" t="n"/>
      <c r="F82" s="99" t="n"/>
      <c r="G82" s="100" t="n"/>
      <c r="H82" s="104" t="str">
        <f>IF(A82="","",IF(AND(p_ModoCot="Automático",ISNUMBER(Z82)),Z82,IF(N(G82)&gt;0,G82,0)))</f>
        <v/>
      </c>
      <c r="I82" s="105" t="str">
        <f>IF(A82="","",IF(W82=0,"Sem câmbio",IF(AND(p_ModoCot="Automático",ISNUMBER(Z82)),"Auto",IF(N(G82)&gt;0,"Manual","Sem cotação"))))</f>
        <v/>
      </c>
      <c r="J82" s="106" t="str">
        <f>IF(A82="","",N(E82)*H82)</f>
        <v/>
      </c>
      <c r="K82" s="107" t="str">
        <f>IF(A82="","",J82*W82)</f>
        <v/>
      </c>
      <c r="L82" s="108" t="str">
        <f>IF(A82="","",IF($K$6&gt;0,K82/$K$6,0))</f>
        <v/>
      </c>
      <c r="M82" s="109" t="str">
        <f>IF(A82="","",N(F82)-L82)</f>
        <v/>
      </c>
      <c r="N82" s="108" t="str">
        <f>IF(A82="","",IF($AB$6&gt;0,AB82/$AB$6,0))</f>
        <v/>
      </c>
      <c r="O82" s="110" t="str">
        <f>IF(A82="","",IF(AB82&lt;=0,"",COUNTIF($AB$9:$AB$208,"&gt;"&amp;AB82)+COUNTIF($AB$9:AB82,AB82)))</f>
        <v/>
      </c>
      <c r="P82" s="105" t="str">
        <f>IF(A82="","",IF(Q82&gt;0,"BUY","HOLD"))</f>
        <v/>
      </c>
      <c r="Q82" s="107" t="str">
        <f>IF(A82="","",IF($W$7&lt;=0,0,IF($AC$6&gt;0,$W$7*AC82/$AC$6,IF($F$6&gt;0,$W$7*N(F82)/$F$6,0))))</f>
        <v/>
      </c>
      <c r="R82" s="111" t="str">
        <f>IF(A82="","",N(AD82)+IF(AI82=1,N(AG82),0))</f>
        <v/>
      </c>
      <c r="S82" s="111" t="str">
        <f>IF(A82="","",N(E82)+N(R82))</f>
        <v/>
      </c>
      <c r="T82" s="107" t="str">
        <f>IF(A82="","",IF(N(R82)&gt;0,R82*H82*W82*$W$6+p_CorrFixa,0))</f>
        <v/>
      </c>
      <c r="V82" s="85" t="str">
        <f>IF(A82="","",IF(D82="",$W$1,D82))</f>
        <v/>
      </c>
      <c r="W82" s="85" t="str">
        <f>IF(A82="","",IFERROR(INDEX(moeda_fx,MATCH(V82,moeda_cod,0)),0))</f>
        <v/>
      </c>
      <c r="X82" s="85" t="str">
        <f>IF(A82="","",IF($W$2="",UPPER(TRIM(A82)),IF(RIGHT(UPPER(TRIM(A82)),LEN($W$2))=$W$2,UPPER(TRIM(A82)),UPPER(TRIM(A82))&amp;$W$2)))</f>
        <v/>
      </c>
      <c r="Y82" s="85" t="str">
        <f>IF(OR(A82="",p_ModoCot&lt;&gt;"Automático"),"",IFERROR(_xlfn.WEBSERVICE("https://query1.finance.yahoo.com/v8/finance/chart/"&amp;X82&amp;"?range=1d&amp;interval=1d"),""))</f>
        <v/>
      </c>
      <c r="Z82" s="85" t="str">
        <f>IF(Y82="","",IFERROR(_xlfn.NUMBERVALUE(MID(Y82,SEARCH("""regularMarketPrice"":",Y82)+21,SEARCH(",",Y82&amp;",",SEARCH("""regularMarketPrice"":",Y82)+21)-SEARCH("""regularMarketPrice"":",Y82)-21),".",","),""))</f>
        <v/>
      </c>
      <c r="AA82" s="85" t="str">
        <f>IF(A82="","",ROUND(MAX(0,N(F82)*($K$6+$W$7)-K82),2))</f>
        <v/>
      </c>
      <c r="AB82" s="85" t="str">
        <f>IF(A82="","",IF(AND(M82&gt;0,M82&gt;=p_DifMin),AA82,0))</f>
        <v/>
      </c>
      <c r="AC82" s="85" t="str">
        <f>IF(A82="","",IF(AND(AB82&gt;0,N(O82)&lt;=p_MaxAtivos),AB82,0))</f>
        <v/>
      </c>
      <c r="AD82" s="85" t="str">
        <f>IF(A82="","",IF(OR(Q82&lt;=0,Q82&lt;p_CompraMin,N(H82)&lt;=0,N(W82)&lt;=0),0,IF($W$3="Sim",TRUNC(ROUND(MAX(0,(Q82-p_CorrFixa)/(H82*W82*$W$6)),9),$W$4),TRUNC(ROUND(MAX(0,(Q82-p_CorrFixa)/(H82*W82*$W$6)),9)/$W$5)*$W$5)))</f>
        <v/>
      </c>
      <c r="AE82" s="85" t="str">
        <f>IF(A82="","",IF(N(AD82)&gt;0,AD82*H82*W82*$W$6+p_CorrFixa,0))</f>
        <v/>
      </c>
      <c r="AF82" s="85" t="str">
        <f>IF(A82="","",IF(OR($Y$1&lt;=0,N(H82)&lt;=0,N(W82)&lt;=0,N(AB82)&lt;=0),0,IF($W$3="Sim",TRUNC(ROUND(MAX(0,($Y$1-IF(N(AD82)&gt;0,0,p_CorrFixa))/(H82*W82*$W$6)),9),$W$4),TRUNC(ROUND(MAX(0,($Y$1-IF(N(AD82)&gt;0,0,p_CorrFixa))/(H82*W82*$W$6)),9)/$W$5)*$W$5)))</f>
        <v/>
      </c>
      <c r="AG82" s="85" t="str">
        <f>IF(A82="","",IF(AND(N(AD82)=0,N(AF82)*(H82*W82*$W$6)+p_CorrFixa&lt;p_CompraMin),0,AF82))</f>
        <v/>
      </c>
      <c r="AH82" s="85" t="str">
        <f>IF(A82="","",IF(N(AG82)&gt;0,AB82,0))</f>
        <v/>
      </c>
      <c r="AI82" s="85" t="str">
        <f>IF(A82="","",IF(AND(AH82&gt;0,AH82=$AH$6,COUNTIF($AH$9:AH82,AH82)=1),1,0))</f>
        <v/>
      </c>
    </row>
    <row r="83">
      <c r="A83" s="96" t="n"/>
      <c r="B83" s="96" t="n"/>
      <c r="C83" s="96" t="n"/>
      <c r="D83" s="97" t="n"/>
      <c r="E83" s="98" t="n"/>
      <c r="F83" s="99" t="n"/>
      <c r="G83" s="100" t="n"/>
      <c r="H83" s="101" t="str">
        <f>IF(A83="","",IF(AND(p_ModoCot="Automático",ISNUMBER(Z83)),Z83,IF(N(G83)&gt;0,G83,0)))</f>
        <v/>
      </c>
      <c r="I83" s="73" t="str">
        <f>IF(A83="","",IF(W83=0,"Sem câmbio",IF(AND(p_ModoCot="Automático",ISNUMBER(Z83)),"Auto",IF(N(G83)&gt;0,"Manual","Sem cotação"))))</f>
        <v/>
      </c>
      <c r="J83" s="102" t="str">
        <f>IF(A83="","",N(E83)*H83)</f>
        <v/>
      </c>
      <c r="K83" s="70" t="str">
        <f>IF(A83="","",J83*W83)</f>
        <v/>
      </c>
      <c r="L83" s="30" t="str">
        <f>IF(A83="","",IF($K$6&gt;0,K83/$K$6,0))</f>
        <v/>
      </c>
      <c r="M83" s="72" t="str">
        <f>IF(A83="","",N(F83)-L83)</f>
        <v/>
      </c>
      <c r="N83" s="30" t="str">
        <f>IF(A83="","",IF($AB$6&gt;0,AB83/$AB$6,0))</f>
        <v/>
      </c>
      <c r="O83" s="74" t="str">
        <f>IF(A83="","",IF(AB83&lt;=0,"",COUNTIF($AB$9:$AB$208,"&gt;"&amp;AB83)+COUNTIF($AB$9:AB83,AB83)))</f>
        <v/>
      </c>
      <c r="P83" s="73" t="str">
        <f>IF(A83="","",IF(Q83&gt;0,"BUY","HOLD"))</f>
        <v/>
      </c>
      <c r="Q83" s="70" t="str">
        <f>IF(A83="","",IF($W$7&lt;=0,0,IF($AC$6&gt;0,$W$7*AC83/$AC$6,IF($F$6&gt;0,$W$7*N(F83)/$F$6,0))))</f>
        <v/>
      </c>
      <c r="R83" s="103" t="str">
        <f>IF(A83="","",N(AD83)+IF(AI83=1,N(AG83),0))</f>
        <v/>
      </c>
      <c r="S83" s="103" t="str">
        <f>IF(A83="","",N(E83)+N(R83))</f>
        <v/>
      </c>
      <c r="T83" s="70" t="str">
        <f>IF(A83="","",IF(N(R83)&gt;0,R83*H83*W83*$W$6+p_CorrFixa,0))</f>
        <v/>
      </c>
      <c r="V83" s="85" t="str">
        <f>IF(A83="","",IF(D83="",$W$1,D83))</f>
        <v/>
      </c>
      <c r="W83" s="85" t="str">
        <f>IF(A83="","",IFERROR(INDEX(moeda_fx,MATCH(V83,moeda_cod,0)),0))</f>
        <v/>
      </c>
      <c r="X83" s="85" t="str">
        <f>IF(A83="","",IF($W$2="",UPPER(TRIM(A83)),IF(RIGHT(UPPER(TRIM(A83)),LEN($W$2))=$W$2,UPPER(TRIM(A83)),UPPER(TRIM(A83))&amp;$W$2)))</f>
        <v/>
      </c>
      <c r="Y83" s="85" t="str">
        <f>IF(OR(A83="",p_ModoCot&lt;&gt;"Automático"),"",IFERROR(_xlfn.WEBSERVICE("https://query1.finance.yahoo.com/v8/finance/chart/"&amp;X83&amp;"?range=1d&amp;interval=1d"),""))</f>
        <v/>
      </c>
      <c r="Z83" s="85" t="str">
        <f>IF(Y83="","",IFERROR(_xlfn.NUMBERVALUE(MID(Y83,SEARCH("""regularMarketPrice"":",Y83)+21,SEARCH(",",Y83&amp;",",SEARCH("""regularMarketPrice"":",Y83)+21)-SEARCH("""regularMarketPrice"":",Y83)-21),".",","),""))</f>
        <v/>
      </c>
      <c r="AA83" s="85" t="str">
        <f>IF(A83="","",ROUND(MAX(0,N(F83)*($K$6+$W$7)-K83),2))</f>
        <v/>
      </c>
      <c r="AB83" s="85" t="str">
        <f>IF(A83="","",IF(AND(M83&gt;0,M83&gt;=p_DifMin),AA83,0))</f>
        <v/>
      </c>
      <c r="AC83" s="85" t="str">
        <f>IF(A83="","",IF(AND(AB83&gt;0,N(O83)&lt;=p_MaxAtivos),AB83,0))</f>
        <v/>
      </c>
      <c r="AD83" s="85" t="str">
        <f>IF(A83="","",IF(OR(Q83&lt;=0,Q83&lt;p_CompraMin,N(H83)&lt;=0,N(W83)&lt;=0),0,IF($W$3="Sim",TRUNC(ROUND(MAX(0,(Q83-p_CorrFixa)/(H83*W83*$W$6)),9),$W$4),TRUNC(ROUND(MAX(0,(Q83-p_CorrFixa)/(H83*W83*$W$6)),9)/$W$5)*$W$5)))</f>
        <v/>
      </c>
      <c r="AE83" s="85" t="str">
        <f>IF(A83="","",IF(N(AD83)&gt;0,AD83*H83*W83*$W$6+p_CorrFixa,0))</f>
        <v/>
      </c>
      <c r="AF83" s="85" t="str">
        <f>IF(A83="","",IF(OR($Y$1&lt;=0,N(H83)&lt;=0,N(W83)&lt;=0,N(AB83)&lt;=0),0,IF($W$3="Sim",TRUNC(ROUND(MAX(0,($Y$1-IF(N(AD83)&gt;0,0,p_CorrFixa))/(H83*W83*$W$6)),9),$W$4),TRUNC(ROUND(MAX(0,($Y$1-IF(N(AD83)&gt;0,0,p_CorrFixa))/(H83*W83*$W$6)),9)/$W$5)*$W$5)))</f>
        <v/>
      </c>
      <c r="AG83" s="85" t="str">
        <f>IF(A83="","",IF(AND(N(AD83)=0,N(AF83)*(H83*W83*$W$6)+p_CorrFixa&lt;p_CompraMin),0,AF83))</f>
        <v/>
      </c>
      <c r="AH83" s="85" t="str">
        <f>IF(A83="","",IF(N(AG83)&gt;0,AB83,0))</f>
        <v/>
      </c>
      <c r="AI83" s="85" t="str">
        <f>IF(A83="","",IF(AND(AH83&gt;0,AH83=$AH$6,COUNTIF($AH$9:AH83,AH83)=1),1,0))</f>
        <v/>
      </c>
    </row>
    <row r="84">
      <c r="A84" s="96" t="n"/>
      <c r="B84" s="96" t="n"/>
      <c r="C84" s="96" t="n"/>
      <c r="D84" s="97" t="n"/>
      <c r="E84" s="98" t="n"/>
      <c r="F84" s="99" t="n"/>
      <c r="G84" s="100" t="n"/>
      <c r="H84" s="104" t="str">
        <f>IF(A84="","",IF(AND(p_ModoCot="Automático",ISNUMBER(Z84)),Z84,IF(N(G84)&gt;0,G84,0)))</f>
        <v/>
      </c>
      <c r="I84" s="105" t="str">
        <f>IF(A84="","",IF(W84=0,"Sem câmbio",IF(AND(p_ModoCot="Automático",ISNUMBER(Z84)),"Auto",IF(N(G84)&gt;0,"Manual","Sem cotação"))))</f>
        <v/>
      </c>
      <c r="J84" s="106" t="str">
        <f>IF(A84="","",N(E84)*H84)</f>
        <v/>
      </c>
      <c r="K84" s="107" t="str">
        <f>IF(A84="","",J84*W84)</f>
        <v/>
      </c>
      <c r="L84" s="108" t="str">
        <f>IF(A84="","",IF($K$6&gt;0,K84/$K$6,0))</f>
        <v/>
      </c>
      <c r="M84" s="109" t="str">
        <f>IF(A84="","",N(F84)-L84)</f>
        <v/>
      </c>
      <c r="N84" s="108" t="str">
        <f>IF(A84="","",IF($AB$6&gt;0,AB84/$AB$6,0))</f>
        <v/>
      </c>
      <c r="O84" s="110" t="str">
        <f>IF(A84="","",IF(AB84&lt;=0,"",COUNTIF($AB$9:$AB$208,"&gt;"&amp;AB84)+COUNTIF($AB$9:AB84,AB84)))</f>
        <v/>
      </c>
      <c r="P84" s="105" t="str">
        <f>IF(A84="","",IF(Q84&gt;0,"BUY","HOLD"))</f>
        <v/>
      </c>
      <c r="Q84" s="107" t="str">
        <f>IF(A84="","",IF($W$7&lt;=0,0,IF($AC$6&gt;0,$W$7*AC84/$AC$6,IF($F$6&gt;0,$W$7*N(F84)/$F$6,0))))</f>
        <v/>
      </c>
      <c r="R84" s="111" t="str">
        <f>IF(A84="","",N(AD84)+IF(AI84=1,N(AG84),0))</f>
        <v/>
      </c>
      <c r="S84" s="111" t="str">
        <f>IF(A84="","",N(E84)+N(R84))</f>
        <v/>
      </c>
      <c r="T84" s="107" t="str">
        <f>IF(A84="","",IF(N(R84)&gt;0,R84*H84*W84*$W$6+p_CorrFixa,0))</f>
        <v/>
      </c>
      <c r="V84" s="85" t="str">
        <f>IF(A84="","",IF(D84="",$W$1,D84))</f>
        <v/>
      </c>
      <c r="W84" s="85" t="str">
        <f>IF(A84="","",IFERROR(INDEX(moeda_fx,MATCH(V84,moeda_cod,0)),0))</f>
        <v/>
      </c>
      <c r="X84" s="85" t="str">
        <f>IF(A84="","",IF($W$2="",UPPER(TRIM(A84)),IF(RIGHT(UPPER(TRIM(A84)),LEN($W$2))=$W$2,UPPER(TRIM(A84)),UPPER(TRIM(A84))&amp;$W$2)))</f>
        <v/>
      </c>
      <c r="Y84" s="85" t="str">
        <f>IF(OR(A84="",p_ModoCot&lt;&gt;"Automático"),"",IFERROR(_xlfn.WEBSERVICE("https://query1.finance.yahoo.com/v8/finance/chart/"&amp;X84&amp;"?range=1d&amp;interval=1d"),""))</f>
        <v/>
      </c>
      <c r="Z84" s="85" t="str">
        <f>IF(Y84="","",IFERROR(_xlfn.NUMBERVALUE(MID(Y84,SEARCH("""regularMarketPrice"":",Y84)+21,SEARCH(",",Y84&amp;",",SEARCH("""regularMarketPrice"":",Y84)+21)-SEARCH("""regularMarketPrice"":",Y84)-21),".",","),""))</f>
        <v/>
      </c>
      <c r="AA84" s="85" t="str">
        <f>IF(A84="","",ROUND(MAX(0,N(F84)*($K$6+$W$7)-K84),2))</f>
        <v/>
      </c>
      <c r="AB84" s="85" t="str">
        <f>IF(A84="","",IF(AND(M84&gt;0,M84&gt;=p_DifMin),AA84,0))</f>
        <v/>
      </c>
      <c r="AC84" s="85" t="str">
        <f>IF(A84="","",IF(AND(AB84&gt;0,N(O84)&lt;=p_MaxAtivos),AB84,0))</f>
        <v/>
      </c>
      <c r="AD84" s="85" t="str">
        <f>IF(A84="","",IF(OR(Q84&lt;=0,Q84&lt;p_CompraMin,N(H84)&lt;=0,N(W84)&lt;=0),0,IF($W$3="Sim",TRUNC(ROUND(MAX(0,(Q84-p_CorrFixa)/(H84*W84*$W$6)),9),$W$4),TRUNC(ROUND(MAX(0,(Q84-p_CorrFixa)/(H84*W84*$W$6)),9)/$W$5)*$W$5)))</f>
        <v/>
      </c>
      <c r="AE84" s="85" t="str">
        <f>IF(A84="","",IF(N(AD84)&gt;0,AD84*H84*W84*$W$6+p_CorrFixa,0))</f>
        <v/>
      </c>
      <c r="AF84" s="85" t="str">
        <f>IF(A84="","",IF(OR($Y$1&lt;=0,N(H84)&lt;=0,N(W84)&lt;=0,N(AB84)&lt;=0),0,IF($W$3="Sim",TRUNC(ROUND(MAX(0,($Y$1-IF(N(AD84)&gt;0,0,p_CorrFixa))/(H84*W84*$W$6)),9),$W$4),TRUNC(ROUND(MAX(0,($Y$1-IF(N(AD84)&gt;0,0,p_CorrFixa))/(H84*W84*$W$6)),9)/$W$5)*$W$5)))</f>
        <v/>
      </c>
      <c r="AG84" s="85" t="str">
        <f>IF(A84="","",IF(AND(N(AD84)=0,N(AF84)*(H84*W84*$W$6)+p_CorrFixa&lt;p_CompraMin),0,AF84))</f>
        <v/>
      </c>
      <c r="AH84" s="85" t="str">
        <f>IF(A84="","",IF(N(AG84)&gt;0,AB84,0))</f>
        <v/>
      </c>
      <c r="AI84" s="85" t="str">
        <f>IF(A84="","",IF(AND(AH84&gt;0,AH84=$AH$6,COUNTIF($AH$9:AH84,AH84)=1),1,0))</f>
        <v/>
      </c>
    </row>
    <row r="85">
      <c r="A85" s="96" t="n"/>
      <c r="B85" s="96" t="n"/>
      <c r="C85" s="96" t="n"/>
      <c r="D85" s="97" t="n"/>
      <c r="E85" s="98" t="n"/>
      <c r="F85" s="99" t="n"/>
      <c r="G85" s="100" t="n"/>
      <c r="H85" s="101" t="str">
        <f>IF(A85="","",IF(AND(p_ModoCot="Automático",ISNUMBER(Z85)),Z85,IF(N(G85)&gt;0,G85,0)))</f>
        <v/>
      </c>
      <c r="I85" s="73" t="str">
        <f>IF(A85="","",IF(W85=0,"Sem câmbio",IF(AND(p_ModoCot="Automático",ISNUMBER(Z85)),"Auto",IF(N(G85)&gt;0,"Manual","Sem cotação"))))</f>
        <v/>
      </c>
      <c r="J85" s="102" t="str">
        <f>IF(A85="","",N(E85)*H85)</f>
        <v/>
      </c>
      <c r="K85" s="70" t="str">
        <f>IF(A85="","",J85*W85)</f>
        <v/>
      </c>
      <c r="L85" s="30" t="str">
        <f>IF(A85="","",IF($K$6&gt;0,K85/$K$6,0))</f>
        <v/>
      </c>
      <c r="M85" s="72" t="str">
        <f>IF(A85="","",N(F85)-L85)</f>
        <v/>
      </c>
      <c r="N85" s="30" t="str">
        <f>IF(A85="","",IF($AB$6&gt;0,AB85/$AB$6,0))</f>
        <v/>
      </c>
      <c r="O85" s="74" t="str">
        <f>IF(A85="","",IF(AB85&lt;=0,"",COUNTIF($AB$9:$AB$208,"&gt;"&amp;AB85)+COUNTIF($AB$9:AB85,AB85)))</f>
        <v/>
      </c>
      <c r="P85" s="73" t="str">
        <f>IF(A85="","",IF(Q85&gt;0,"BUY","HOLD"))</f>
        <v/>
      </c>
      <c r="Q85" s="70" t="str">
        <f>IF(A85="","",IF($W$7&lt;=0,0,IF($AC$6&gt;0,$W$7*AC85/$AC$6,IF($F$6&gt;0,$W$7*N(F85)/$F$6,0))))</f>
        <v/>
      </c>
      <c r="R85" s="103" t="str">
        <f>IF(A85="","",N(AD85)+IF(AI85=1,N(AG85),0))</f>
        <v/>
      </c>
      <c r="S85" s="103" t="str">
        <f>IF(A85="","",N(E85)+N(R85))</f>
        <v/>
      </c>
      <c r="T85" s="70" t="str">
        <f>IF(A85="","",IF(N(R85)&gt;0,R85*H85*W85*$W$6+p_CorrFixa,0))</f>
        <v/>
      </c>
      <c r="V85" s="85" t="str">
        <f>IF(A85="","",IF(D85="",$W$1,D85))</f>
        <v/>
      </c>
      <c r="W85" s="85" t="str">
        <f>IF(A85="","",IFERROR(INDEX(moeda_fx,MATCH(V85,moeda_cod,0)),0))</f>
        <v/>
      </c>
      <c r="X85" s="85" t="str">
        <f>IF(A85="","",IF($W$2="",UPPER(TRIM(A85)),IF(RIGHT(UPPER(TRIM(A85)),LEN($W$2))=$W$2,UPPER(TRIM(A85)),UPPER(TRIM(A85))&amp;$W$2)))</f>
        <v/>
      </c>
      <c r="Y85" s="85" t="str">
        <f>IF(OR(A85="",p_ModoCot&lt;&gt;"Automático"),"",IFERROR(_xlfn.WEBSERVICE("https://query1.finance.yahoo.com/v8/finance/chart/"&amp;X85&amp;"?range=1d&amp;interval=1d"),""))</f>
        <v/>
      </c>
      <c r="Z85" s="85" t="str">
        <f>IF(Y85="","",IFERROR(_xlfn.NUMBERVALUE(MID(Y85,SEARCH("""regularMarketPrice"":",Y85)+21,SEARCH(",",Y85&amp;",",SEARCH("""regularMarketPrice"":",Y85)+21)-SEARCH("""regularMarketPrice"":",Y85)-21),".",","),""))</f>
        <v/>
      </c>
      <c r="AA85" s="85" t="str">
        <f>IF(A85="","",ROUND(MAX(0,N(F85)*($K$6+$W$7)-K85),2))</f>
        <v/>
      </c>
      <c r="AB85" s="85" t="str">
        <f>IF(A85="","",IF(AND(M85&gt;0,M85&gt;=p_DifMin),AA85,0))</f>
        <v/>
      </c>
      <c r="AC85" s="85" t="str">
        <f>IF(A85="","",IF(AND(AB85&gt;0,N(O85)&lt;=p_MaxAtivos),AB85,0))</f>
        <v/>
      </c>
      <c r="AD85" s="85" t="str">
        <f>IF(A85="","",IF(OR(Q85&lt;=0,Q85&lt;p_CompraMin,N(H85)&lt;=0,N(W85)&lt;=0),0,IF($W$3="Sim",TRUNC(ROUND(MAX(0,(Q85-p_CorrFixa)/(H85*W85*$W$6)),9),$W$4),TRUNC(ROUND(MAX(0,(Q85-p_CorrFixa)/(H85*W85*$W$6)),9)/$W$5)*$W$5)))</f>
        <v/>
      </c>
      <c r="AE85" s="85" t="str">
        <f>IF(A85="","",IF(N(AD85)&gt;0,AD85*H85*W85*$W$6+p_CorrFixa,0))</f>
        <v/>
      </c>
      <c r="AF85" s="85" t="str">
        <f>IF(A85="","",IF(OR($Y$1&lt;=0,N(H85)&lt;=0,N(W85)&lt;=0,N(AB85)&lt;=0),0,IF($W$3="Sim",TRUNC(ROUND(MAX(0,($Y$1-IF(N(AD85)&gt;0,0,p_CorrFixa))/(H85*W85*$W$6)),9),$W$4),TRUNC(ROUND(MAX(0,($Y$1-IF(N(AD85)&gt;0,0,p_CorrFixa))/(H85*W85*$W$6)),9)/$W$5)*$W$5)))</f>
        <v/>
      </c>
      <c r="AG85" s="85" t="str">
        <f>IF(A85="","",IF(AND(N(AD85)=0,N(AF85)*(H85*W85*$W$6)+p_CorrFixa&lt;p_CompraMin),0,AF85))</f>
        <v/>
      </c>
      <c r="AH85" s="85" t="str">
        <f>IF(A85="","",IF(N(AG85)&gt;0,AB85,0))</f>
        <v/>
      </c>
      <c r="AI85" s="85" t="str">
        <f>IF(A85="","",IF(AND(AH85&gt;0,AH85=$AH$6,COUNTIF($AH$9:AH85,AH85)=1),1,0))</f>
        <v/>
      </c>
    </row>
    <row r="86">
      <c r="A86" s="96" t="n"/>
      <c r="B86" s="96" t="n"/>
      <c r="C86" s="96" t="n"/>
      <c r="D86" s="97" t="n"/>
      <c r="E86" s="98" t="n"/>
      <c r="F86" s="99" t="n"/>
      <c r="G86" s="100" t="n"/>
      <c r="H86" s="104" t="str">
        <f>IF(A86="","",IF(AND(p_ModoCot="Automático",ISNUMBER(Z86)),Z86,IF(N(G86)&gt;0,G86,0)))</f>
        <v/>
      </c>
      <c r="I86" s="105" t="str">
        <f>IF(A86="","",IF(W86=0,"Sem câmbio",IF(AND(p_ModoCot="Automático",ISNUMBER(Z86)),"Auto",IF(N(G86)&gt;0,"Manual","Sem cotação"))))</f>
        <v/>
      </c>
      <c r="J86" s="106" t="str">
        <f>IF(A86="","",N(E86)*H86)</f>
        <v/>
      </c>
      <c r="K86" s="107" t="str">
        <f>IF(A86="","",J86*W86)</f>
        <v/>
      </c>
      <c r="L86" s="108" t="str">
        <f>IF(A86="","",IF($K$6&gt;0,K86/$K$6,0))</f>
        <v/>
      </c>
      <c r="M86" s="109" t="str">
        <f>IF(A86="","",N(F86)-L86)</f>
        <v/>
      </c>
      <c r="N86" s="108" t="str">
        <f>IF(A86="","",IF($AB$6&gt;0,AB86/$AB$6,0))</f>
        <v/>
      </c>
      <c r="O86" s="110" t="str">
        <f>IF(A86="","",IF(AB86&lt;=0,"",COUNTIF($AB$9:$AB$208,"&gt;"&amp;AB86)+COUNTIF($AB$9:AB86,AB86)))</f>
        <v/>
      </c>
      <c r="P86" s="105" t="str">
        <f>IF(A86="","",IF(Q86&gt;0,"BUY","HOLD"))</f>
        <v/>
      </c>
      <c r="Q86" s="107" t="str">
        <f>IF(A86="","",IF($W$7&lt;=0,0,IF($AC$6&gt;0,$W$7*AC86/$AC$6,IF($F$6&gt;0,$W$7*N(F86)/$F$6,0))))</f>
        <v/>
      </c>
      <c r="R86" s="111" t="str">
        <f>IF(A86="","",N(AD86)+IF(AI86=1,N(AG86),0))</f>
        <v/>
      </c>
      <c r="S86" s="111" t="str">
        <f>IF(A86="","",N(E86)+N(R86))</f>
        <v/>
      </c>
      <c r="T86" s="107" t="str">
        <f>IF(A86="","",IF(N(R86)&gt;0,R86*H86*W86*$W$6+p_CorrFixa,0))</f>
        <v/>
      </c>
      <c r="V86" s="85" t="str">
        <f>IF(A86="","",IF(D86="",$W$1,D86))</f>
        <v/>
      </c>
      <c r="W86" s="85" t="str">
        <f>IF(A86="","",IFERROR(INDEX(moeda_fx,MATCH(V86,moeda_cod,0)),0))</f>
        <v/>
      </c>
      <c r="X86" s="85" t="str">
        <f>IF(A86="","",IF($W$2="",UPPER(TRIM(A86)),IF(RIGHT(UPPER(TRIM(A86)),LEN($W$2))=$W$2,UPPER(TRIM(A86)),UPPER(TRIM(A86))&amp;$W$2)))</f>
        <v/>
      </c>
      <c r="Y86" s="85" t="str">
        <f>IF(OR(A86="",p_ModoCot&lt;&gt;"Automático"),"",IFERROR(_xlfn.WEBSERVICE("https://query1.finance.yahoo.com/v8/finance/chart/"&amp;X86&amp;"?range=1d&amp;interval=1d"),""))</f>
        <v/>
      </c>
      <c r="Z86" s="85" t="str">
        <f>IF(Y86="","",IFERROR(_xlfn.NUMBERVALUE(MID(Y86,SEARCH("""regularMarketPrice"":",Y86)+21,SEARCH(",",Y86&amp;",",SEARCH("""regularMarketPrice"":",Y86)+21)-SEARCH("""regularMarketPrice"":",Y86)-21),".",","),""))</f>
        <v/>
      </c>
      <c r="AA86" s="85" t="str">
        <f>IF(A86="","",ROUND(MAX(0,N(F86)*($K$6+$W$7)-K86),2))</f>
        <v/>
      </c>
      <c r="AB86" s="85" t="str">
        <f>IF(A86="","",IF(AND(M86&gt;0,M86&gt;=p_DifMin),AA86,0))</f>
        <v/>
      </c>
      <c r="AC86" s="85" t="str">
        <f>IF(A86="","",IF(AND(AB86&gt;0,N(O86)&lt;=p_MaxAtivos),AB86,0))</f>
        <v/>
      </c>
      <c r="AD86" s="85" t="str">
        <f>IF(A86="","",IF(OR(Q86&lt;=0,Q86&lt;p_CompraMin,N(H86)&lt;=0,N(W86)&lt;=0),0,IF($W$3="Sim",TRUNC(ROUND(MAX(0,(Q86-p_CorrFixa)/(H86*W86*$W$6)),9),$W$4),TRUNC(ROUND(MAX(0,(Q86-p_CorrFixa)/(H86*W86*$W$6)),9)/$W$5)*$W$5)))</f>
        <v/>
      </c>
      <c r="AE86" s="85" t="str">
        <f>IF(A86="","",IF(N(AD86)&gt;0,AD86*H86*W86*$W$6+p_CorrFixa,0))</f>
        <v/>
      </c>
      <c r="AF86" s="85" t="str">
        <f>IF(A86="","",IF(OR($Y$1&lt;=0,N(H86)&lt;=0,N(W86)&lt;=0,N(AB86)&lt;=0),0,IF($W$3="Sim",TRUNC(ROUND(MAX(0,($Y$1-IF(N(AD86)&gt;0,0,p_CorrFixa))/(H86*W86*$W$6)),9),$W$4),TRUNC(ROUND(MAX(0,($Y$1-IF(N(AD86)&gt;0,0,p_CorrFixa))/(H86*W86*$W$6)),9)/$W$5)*$W$5)))</f>
        <v/>
      </c>
      <c r="AG86" s="85" t="str">
        <f>IF(A86="","",IF(AND(N(AD86)=0,N(AF86)*(H86*W86*$W$6)+p_CorrFixa&lt;p_CompraMin),0,AF86))</f>
        <v/>
      </c>
      <c r="AH86" s="85" t="str">
        <f>IF(A86="","",IF(N(AG86)&gt;0,AB86,0))</f>
        <v/>
      </c>
      <c r="AI86" s="85" t="str">
        <f>IF(A86="","",IF(AND(AH86&gt;0,AH86=$AH$6,COUNTIF($AH$9:AH86,AH86)=1),1,0))</f>
        <v/>
      </c>
    </row>
    <row r="87">
      <c r="A87" s="96" t="n"/>
      <c r="B87" s="96" t="n"/>
      <c r="C87" s="96" t="n"/>
      <c r="D87" s="97" t="n"/>
      <c r="E87" s="98" t="n"/>
      <c r="F87" s="99" t="n"/>
      <c r="G87" s="100" t="n"/>
      <c r="H87" s="101" t="str">
        <f>IF(A87="","",IF(AND(p_ModoCot="Automático",ISNUMBER(Z87)),Z87,IF(N(G87)&gt;0,G87,0)))</f>
        <v/>
      </c>
      <c r="I87" s="73" t="str">
        <f>IF(A87="","",IF(W87=0,"Sem câmbio",IF(AND(p_ModoCot="Automático",ISNUMBER(Z87)),"Auto",IF(N(G87)&gt;0,"Manual","Sem cotação"))))</f>
        <v/>
      </c>
      <c r="J87" s="102" t="str">
        <f>IF(A87="","",N(E87)*H87)</f>
        <v/>
      </c>
      <c r="K87" s="70" t="str">
        <f>IF(A87="","",J87*W87)</f>
        <v/>
      </c>
      <c r="L87" s="30" t="str">
        <f>IF(A87="","",IF($K$6&gt;0,K87/$K$6,0))</f>
        <v/>
      </c>
      <c r="M87" s="72" t="str">
        <f>IF(A87="","",N(F87)-L87)</f>
        <v/>
      </c>
      <c r="N87" s="30" t="str">
        <f>IF(A87="","",IF($AB$6&gt;0,AB87/$AB$6,0))</f>
        <v/>
      </c>
      <c r="O87" s="74" t="str">
        <f>IF(A87="","",IF(AB87&lt;=0,"",COUNTIF($AB$9:$AB$208,"&gt;"&amp;AB87)+COUNTIF($AB$9:AB87,AB87)))</f>
        <v/>
      </c>
      <c r="P87" s="73" t="str">
        <f>IF(A87="","",IF(Q87&gt;0,"BUY","HOLD"))</f>
        <v/>
      </c>
      <c r="Q87" s="70" t="str">
        <f>IF(A87="","",IF($W$7&lt;=0,0,IF($AC$6&gt;0,$W$7*AC87/$AC$6,IF($F$6&gt;0,$W$7*N(F87)/$F$6,0))))</f>
        <v/>
      </c>
      <c r="R87" s="103" t="str">
        <f>IF(A87="","",N(AD87)+IF(AI87=1,N(AG87),0))</f>
        <v/>
      </c>
      <c r="S87" s="103" t="str">
        <f>IF(A87="","",N(E87)+N(R87))</f>
        <v/>
      </c>
      <c r="T87" s="70" t="str">
        <f>IF(A87="","",IF(N(R87)&gt;0,R87*H87*W87*$W$6+p_CorrFixa,0))</f>
        <v/>
      </c>
      <c r="V87" s="85" t="str">
        <f>IF(A87="","",IF(D87="",$W$1,D87))</f>
        <v/>
      </c>
      <c r="W87" s="85" t="str">
        <f>IF(A87="","",IFERROR(INDEX(moeda_fx,MATCH(V87,moeda_cod,0)),0))</f>
        <v/>
      </c>
      <c r="X87" s="85" t="str">
        <f>IF(A87="","",IF($W$2="",UPPER(TRIM(A87)),IF(RIGHT(UPPER(TRIM(A87)),LEN($W$2))=$W$2,UPPER(TRIM(A87)),UPPER(TRIM(A87))&amp;$W$2)))</f>
        <v/>
      </c>
      <c r="Y87" s="85" t="str">
        <f>IF(OR(A87="",p_ModoCot&lt;&gt;"Automático"),"",IFERROR(_xlfn.WEBSERVICE("https://query1.finance.yahoo.com/v8/finance/chart/"&amp;X87&amp;"?range=1d&amp;interval=1d"),""))</f>
        <v/>
      </c>
      <c r="Z87" s="85" t="str">
        <f>IF(Y87="","",IFERROR(_xlfn.NUMBERVALUE(MID(Y87,SEARCH("""regularMarketPrice"":",Y87)+21,SEARCH(",",Y87&amp;",",SEARCH("""regularMarketPrice"":",Y87)+21)-SEARCH("""regularMarketPrice"":",Y87)-21),".",","),""))</f>
        <v/>
      </c>
      <c r="AA87" s="85" t="str">
        <f>IF(A87="","",ROUND(MAX(0,N(F87)*($K$6+$W$7)-K87),2))</f>
        <v/>
      </c>
      <c r="AB87" s="85" t="str">
        <f>IF(A87="","",IF(AND(M87&gt;0,M87&gt;=p_DifMin),AA87,0))</f>
        <v/>
      </c>
      <c r="AC87" s="85" t="str">
        <f>IF(A87="","",IF(AND(AB87&gt;0,N(O87)&lt;=p_MaxAtivos),AB87,0))</f>
        <v/>
      </c>
      <c r="AD87" s="85" t="str">
        <f>IF(A87="","",IF(OR(Q87&lt;=0,Q87&lt;p_CompraMin,N(H87)&lt;=0,N(W87)&lt;=0),0,IF($W$3="Sim",TRUNC(ROUND(MAX(0,(Q87-p_CorrFixa)/(H87*W87*$W$6)),9),$W$4),TRUNC(ROUND(MAX(0,(Q87-p_CorrFixa)/(H87*W87*$W$6)),9)/$W$5)*$W$5)))</f>
        <v/>
      </c>
      <c r="AE87" s="85" t="str">
        <f>IF(A87="","",IF(N(AD87)&gt;0,AD87*H87*W87*$W$6+p_CorrFixa,0))</f>
        <v/>
      </c>
      <c r="AF87" s="85" t="str">
        <f>IF(A87="","",IF(OR($Y$1&lt;=0,N(H87)&lt;=0,N(W87)&lt;=0,N(AB87)&lt;=0),0,IF($W$3="Sim",TRUNC(ROUND(MAX(0,($Y$1-IF(N(AD87)&gt;0,0,p_CorrFixa))/(H87*W87*$W$6)),9),$W$4),TRUNC(ROUND(MAX(0,($Y$1-IF(N(AD87)&gt;0,0,p_CorrFixa))/(H87*W87*$W$6)),9)/$W$5)*$W$5)))</f>
        <v/>
      </c>
      <c r="AG87" s="85" t="str">
        <f>IF(A87="","",IF(AND(N(AD87)=0,N(AF87)*(H87*W87*$W$6)+p_CorrFixa&lt;p_CompraMin),0,AF87))</f>
        <v/>
      </c>
      <c r="AH87" s="85" t="str">
        <f>IF(A87="","",IF(N(AG87)&gt;0,AB87,0))</f>
        <v/>
      </c>
      <c r="AI87" s="85" t="str">
        <f>IF(A87="","",IF(AND(AH87&gt;0,AH87=$AH$6,COUNTIF($AH$9:AH87,AH87)=1),1,0))</f>
        <v/>
      </c>
    </row>
    <row r="88">
      <c r="A88" s="96" t="n"/>
      <c r="B88" s="96" t="n"/>
      <c r="C88" s="96" t="n"/>
      <c r="D88" s="97" t="n"/>
      <c r="E88" s="98" t="n"/>
      <c r="F88" s="99" t="n"/>
      <c r="G88" s="100" t="n"/>
      <c r="H88" s="104" t="str">
        <f>IF(A88="","",IF(AND(p_ModoCot="Automático",ISNUMBER(Z88)),Z88,IF(N(G88)&gt;0,G88,0)))</f>
        <v/>
      </c>
      <c r="I88" s="105" t="str">
        <f>IF(A88="","",IF(W88=0,"Sem câmbio",IF(AND(p_ModoCot="Automático",ISNUMBER(Z88)),"Auto",IF(N(G88)&gt;0,"Manual","Sem cotação"))))</f>
        <v/>
      </c>
      <c r="J88" s="106" t="str">
        <f>IF(A88="","",N(E88)*H88)</f>
        <v/>
      </c>
      <c r="K88" s="107" t="str">
        <f>IF(A88="","",J88*W88)</f>
        <v/>
      </c>
      <c r="L88" s="108" t="str">
        <f>IF(A88="","",IF($K$6&gt;0,K88/$K$6,0))</f>
        <v/>
      </c>
      <c r="M88" s="109" t="str">
        <f>IF(A88="","",N(F88)-L88)</f>
        <v/>
      </c>
      <c r="N88" s="108" t="str">
        <f>IF(A88="","",IF($AB$6&gt;0,AB88/$AB$6,0))</f>
        <v/>
      </c>
      <c r="O88" s="110" t="str">
        <f>IF(A88="","",IF(AB88&lt;=0,"",COUNTIF($AB$9:$AB$208,"&gt;"&amp;AB88)+COUNTIF($AB$9:AB88,AB88)))</f>
        <v/>
      </c>
      <c r="P88" s="105" t="str">
        <f>IF(A88="","",IF(Q88&gt;0,"BUY","HOLD"))</f>
        <v/>
      </c>
      <c r="Q88" s="107" t="str">
        <f>IF(A88="","",IF($W$7&lt;=0,0,IF($AC$6&gt;0,$W$7*AC88/$AC$6,IF($F$6&gt;0,$W$7*N(F88)/$F$6,0))))</f>
        <v/>
      </c>
      <c r="R88" s="111" t="str">
        <f>IF(A88="","",N(AD88)+IF(AI88=1,N(AG88),0))</f>
        <v/>
      </c>
      <c r="S88" s="111" t="str">
        <f>IF(A88="","",N(E88)+N(R88))</f>
        <v/>
      </c>
      <c r="T88" s="107" t="str">
        <f>IF(A88="","",IF(N(R88)&gt;0,R88*H88*W88*$W$6+p_CorrFixa,0))</f>
        <v/>
      </c>
      <c r="V88" s="85" t="str">
        <f>IF(A88="","",IF(D88="",$W$1,D88))</f>
        <v/>
      </c>
      <c r="W88" s="85" t="str">
        <f>IF(A88="","",IFERROR(INDEX(moeda_fx,MATCH(V88,moeda_cod,0)),0))</f>
        <v/>
      </c>
      <c r="X88" s="85" t="str">
        <f>IF(A88="","",IF($W$2="",UPPER(TRIM(A88)),IF(RIGHT(UPPER(TRIM(A88)),LEN($W$2))=$W$2,UPPER(TRIM(A88)),UPPER(TRIM(A88))&amp;$W$2)))</f>
        <v/>
      </c>
      <c r="Y88" s="85" t="str">
        <f>IF(OR(A88="",p_ModoCot&lt;&gt;"Automático"),"",IFERROR(_xlfn.WEBSERVICE("https://query1.finance.yahoo.com/v8/finance/chart/"&amp;X88&amp;"?range=1d&amp;interval=1d"),""))</f>
        <v/>
      </c>
      <c r="Z88" s="85" t="str">
        <f>IF(Y88="","",IFERROR(_xlfn.NUMBERVALUE(MID(Y88,SEARCH("""regularMarketPrice"":",Y88)+21,SEARCH(",",Y88&amp;",",SEARCH("""regularMarketPrice"":",Y88)+21)-SEARCH("""regularMarketPrice"":",Y88)-21),".",","),""))</f>
        <v/>
      </c>
      <c r="AA88" s="85" t="str">
        <f>IF(A88="","",ROUND(MAX(0,N(F88)*($K$6+$W$7)-K88),2))</f>
        <v/>
      </c>
      <c r="AB88" s="85" t="str">
        <f>IF(A88="","",IF(AND(M88&gt;0,M88&gt;=p_DifMin),AA88,0))</f>
        <v/>
      </c>
      <c r="AC88" s="85" t="str">
        <f>IF(A88="","",IF(AND(AB88&gt;0,N(O88)&lt;=p_MaxAtivos),AB88,0))</f>
        <v/>
      </c>
      <c r="AD88" s="85" t="str">
        <f>IF(A88="","",IF(OR(Q88&lt;=0,Q88&lt;p_CompraMin,N(H88)&lt;=0,N(W88)&lt;=0),0,IF($W$3="Sim",TRUNC(ROUND(MAX(0,(Q88-p_CorrFixa)/(H88*W88*$W$6)),9),$W$4),TRUNC(ROUND(MAX(0,(Q88-p_CorrFixa)/(H88*W88*$W$6)),9)/$W$5)*$W$5)))</f>
        <v/>
      </c>
      <c r="AE88" s="85" t="str">
        <f>IF(A88="","",IF(N(AD88)&gt;0,AD88*H88*W88*$W$6+p_CorrFixa,0))</f>
        <v/>
      </c>
      <c r="AF88" s="85" t="str">
        <f>IF(A88="","",IF(OR($Y$1&lt;=0,N(H88)&lt;=0,N(W88)&lt;=0,N(AB88)&lt;=0),0,IF($W$3="Sim",TRUNC(ROUND(MAX(0,($Y$1-IF(N(AD88)&gt;0,0,p_CorrFixa))/(H88*W88*$W$6)),9),$W$4),TRUNC(ROUND(MAX(0,($Y$1-IF(N(AD88)&gt;0,0,p_CorrFixa))/(H88*W88*$W$6)),9)/$W$5)*$W$5)))</f>
        <v/>
      </c>
      <c r="AG88" s="85" t="str">
        <f>IF(A88="","",IF(AND(N(AD88)=0,N(AF88)*(H88*W88*$W$6)+p_CorrFixa&lt;p_CompraMin),0,AF88))</f>
        <v/>
      </c>
      <c r="AH88" s="85" t="str">
        <f>IF(A88="","",IF(N(AG88)&gt;0,AB88,0))</f>
        <v/>
      </c>
      <c r="AI88" s="85" t="str">
        <f>IF(A88="","",IF(AND(AH88&gt;0,AH88=$AH$6,COUNTIF($AH$9:AH88,AH88)=1),1,0))</f>
        <v/>
      </c>
    </row>
    <row r="89">
      <c r="A89" s="96" t="n"/>
      <c r="B89" s="96" t="n"/>
      <c r="C89" s="96" t="n"/>
      <c r="D89" s="97" t="n"/>
      <c r="E89" s="98" t="n"/>
      <c r="F89" s="99" t="n"/>
      <c r="G89" s="100" t="n"/>
      <c r="H89" s="101" t="str">
        <f>IF(A89="","",IF(AND(p_ModoCot="Automático",ISNUMBER(Z89)),Z89,IF(N(G89)&gt;0,G89,0)))</f>
        <v/>
      </c>
      <c r="I89" s="73" t="str">
        <f>IF(A89="","",IF(W89=0,"Sem câmbio",IF(AND(p_ModoCot="Automático",ISNUMBER(Z89)),"Auto",IF(N(G89)&gt;0,"Manual","Sem cotação"))))</f>
        <v/>
      </c>
      <c r="J89" s="102" t="str">
        <f>IF(A89="","",N(E89)*H89)</f>
        <v/>
      </c>
      <c r="K89" s="70" t="str">
        <f>IF(A89="","",J89*W89)</f>
        <v/>
      </c>
      <c r="L89" s="30" t="str">
        <f>IF(A89="","",IF($K$6&gt;0,K89/$K$6,0))</f>
        <v/>
      </c>
      <c r="M89" s="72" t="str">
        <f>IF(A89="","",N(F89)-L89)</f>
        <v/>
      </c>
      <c r="N89" s="30" t="str">
        <f>IF(A89="","",IF($AB$6&gt;0,AB89/$AB$6,0))</f>
        <v/>
      </c>
      <c r="O89" s="74" t="str">
        <f>IF(A89="","",IF(AB89&lt;=0,"",COUNTIF($AB$9:$AB$208,"&gt;"&amp;AB89)+COUNTIF($AB$9:AB89,AB89)))</f>
        <v/>
      </c>
      <c r="P89" s="73" t="str">
        <f>IF(A89="","",IF(Q89&gt;0,"BUY","HOLD"))</f>
        <v/>
      </c>
      <c r="Q89" s="70" t="str">
        <f>IF(A89="","",IF($W$7&lt;=0,0,IF($AC$6&gt;0,$W$7*AC89/$AC$6,IF($F$6&gt;0,$W$7*N(F89)/$F$6,0))))</f>
        <v/>
      </c>
      <c r="R89" s="103" t="str">
        <f>IF(A89="","",N(AD89)+IF(AI89=1,N(AG89),0))</f>
        <v/>
      </c>
      <c r="S89" s="103" t="str">
        <f>IF(A89="","",N(E89)+N(R89))</f>
        <v/>
      </c>
      <c r="T89" s="70" t="str">
        <f>IF(A89="","",IF(N(R89)&gt;0,R89*H89*W89*$W$6+p_CorrFixa,0))</f>
        <v/>
      </c>
      <c r="V89" s="85" t="str">
        <f>IF(A89="","",IF(D89="",$W$1,D89))</f>
        <v/>
      </c>
      <c r="W89" s="85" t="str">
        <f>IF(A89="","",IFERROR(INDEX(moeda_fx,MATCH(V89,moeda_cod,0)),0))</f>
        <v/>
      </c>
      <c r="X89" s="85" t="str">
        <f>IF(A89="","",IF($W$2="",UPPER(TRIM(A89)),IF(RIGHT(UPPER(TRIM(A89)),LEN($W$2))=$W$2,UPPER(TRIM(A89)),UPPER(TRIM(A89))&amp;$W$2)))</f>
        <v/>
      </c>
      <c r="Y89" s="85" t="str">
        <f>IF(OR(A89="",p_ModoCot&lt;&gt;"Automático"),"",IFERROR(_xlfn.WEBSERVICE("https://query1.finance.yahoo.com/v8/finance/chart/"&amp;X89&amp;"?range=1d&amp;interval=1d"),""))</f>
        <v/>
      </c>
      <c r="Z89" s="85" t="str">
        <f>IF(Y89="","",IFERROR(_xlfn.NUMBERVALUE(MID(Y89,SEARCH("""regularMarketPrice"":",Y89)+21,SEARCH(",",Y89&amp;",",SEARCH("""regularMarketPrice"":",Y89)+21)-SEARCH("""regularMarketPrice"":",Y89)-21),".",","),""))</f>
        <v/>
      </c>
      <c r="AA89" s="85" t="str">
        <f>IF(A89="","",ROUND(MAX(0,N(F89)*($K$6+$W$7)-K89),2))</f>
        <v/>
      </c>
      <c r="AB89" s="85" t="str">
        <f>IF(A89="","",IF(AND(M89&gt;0,M89&gt;=p_DifMin),AA89,0))</f>
        <v/>
      </c>
      <c r="AC89" s="85" t="str">
        <f>IF(A89="","",IF(AND(AB89&gt;0,N(O89)&lt;=p_MaxAtivos),AB89,0))</f>
        <v/>
      </c>
      <c r="AD89" s="85" t="str">
        <f>IF(A89="","",IF(OR(Q89&lt;=0,Q89&lt;p_CompraMin,N(H89)&lt;=0,N(W89)&lt;=0),0,IF($W$3="Sim",TRUNC(ROUND(MAX(0,(Q89-p_CorrFixa)/(H89*W89*$W$6)),9),$W$4),TRUNC(ROUND(MAX(0,(Q89-p_CorrFixa)/(H89*W89*$W$6)),9)/$W$5)*$W$5)))</f>
        <v/>
      </c>
      <c r="AE89" s="85" t="str">
        <f>IF(A89="","",IF(N(AD89)&gt;0,AD89*H89*W89*$W$6+p_CorrFixa,0))</f>
        <v/>
      </c>
      <c r="AF89" s="85" t="str">
        <f>IF(A89="","",IF(OR($Y$1&lt;=0,N(H89)&lt;=0,N(W89)&lt;=0,N(AB89)&lt;=0),0,IF($W$3="Sim",TRUNC(ROUND(MAX(0,($Y$1-IF(N(AD89)&gt;0,0,p_CorrFixa))/(H89*W89*$W$6)),9),$W$4),TRUNC(ROUND(MAX(0,($Y$1-IF(N(AD89)&gt;0,0,p_CorrFixa))/(H89*W89*$W$6)),9)/$W$5)*$W$5)))</f>
        <v/>
      </c>
      <c r="AG89" s="85" t="str">
        <f>IF(A89="","",IF(AND(N(AD89)=0,N(AF89)*(H89*W89*$W$6)+p_CorrFixa&lt;p_CompraMin),0,AF89))</f>
        <v/>
      </c>
      <c r="AH89" s="85" t="str">
        <f>IF(A89="","",IF(N(AG89)&gt;0,AB89,0))</f>
        <v/>
      </c>
      <c r="AI89" s="85" t="str">
        <f>IF(A89="","",IF(AND(AH89&gt;0,AH89=$AH$6,COUNTIF($AH$9:AH89,AH89)=1),1,0))</f>
        <v/>
      </c>
    </row>
    <row r="90">
      <c r="A90" s="96" t="n"/>
      <c r="B90" s="96" t="n"/>
      <c r="C90" s="96" t="n"/>
      <c r="D90" s="97" t="n"/>
      <c r="E90" s="98" t="n"/>
      <c r="F90" s="99" t="n"/>
      <c r="G90" s="100" t="n"/>
      <c r="H90" s="104" t="str">
        <f>IF(A90="","",IF(AND(p_ModoCot="Automático",ISNUMBER(Z90)),Z90,IF(N(G90)&gt;0,G90,0)))</f>
        <v/>
      </c>
      <c r="I90" s="105" t="str">
        <f>IF(A90="","",IF(W90=0,"Sem câmbio",IF(AND(p_ModoCot="Automático",ISNUMBER(Z90)),"Auto",IF(N(G90)&gt;0,"Manual","Sem cotação"))))</f>
        <v/>
      </c>
      <c r="J90" s="106" t="str">
        <f>IF(A90="","",N(E90)*H90)</f>
        <v/>
      </c>
      <c r="K90" s="107" t="str">
        <f>IF(A90="","",J90*W90)</f>
        <v/>
      </c>
      <c r="L90" s="108" t="str">
        <f>IF(A90="","",IF($K$6&gt;0,K90/$K$6,0))</f>
        <v/>
      </c>
      <c r="M90" s="109" t="str">
        <f>IF(A90="","",N(F90)-L90)</f>
        <v/>
      </c>
      <c r="N90" s="108" t="str">
        <f>IF(A90="","",IF($AB$6&gt;0,AB90/$AB$6,0))</f>
        <v/>
      </c>
      <c r="O90" s="110" t="str">
        <f>IF(A90="","",IF(AB90&lt;=0,"",COUNTIF($AB$9:$AB$208,"&gt;"&amp;AB90)+COUNTIF($AB$9:AB90,AB90)))</f>
        <v/>
      </c>
      <c r="P90" s="105" t="str">
        <f>IF(A90="","",IF(Q90&gt;0,"BUY","HOLD"))</f>
        <v/>
      </c>
      <c r="Q90" s="107" t="str">
        <f>IF(A90="","",IF($W$7&lt;=0,0,IF($AC$6&gt;0,$W$7*AC90/$AC$6,IF($F$6&gt;0,$W$7*N(F90)/$F$6,0))))</f>
        <v/>
      </c>
      <c r="R90" s="111" t="str">
        <f>IF(A90="","",N(AD90)+IF(AI90=1,N(AG90),0))</f>
        <v/>
      </c>
      <c r="S90" s="111" t="str">
        <f>IF(A90="","",N(E90)+N(R90))</f>
        <v/>
      </c>
      <c r="T90" s="107" t="str">
        <f>IF(A90="","",IF(N(R90)&gt;0,R90*H90*W90*$W$6+p_CorrFixa,0))</f>
        <v/>
      </c>
      <c r="V90" s="85" t="str">
        <f>IF(A90="","",IF(D90="",$W$1,D90))</f>
        <v/>
      </c>
      <c r="W90" s="85" t="str">
        <f>IF(A90="","",IFERROR(INDEX(moeda_fx,MATCH(V90,moeda_cod,0)),0))</f>
        <v/>
      </c>
      <c r="X90" s="85" t="str">
        <f>IF(A90="","",IF($W$2="",UPPER(TRIM(A90)),IF(RIGHT(UPPER(TRIM(A90)),LEN($W$2))=$W$2,UPPER(TRIM(A90)),UPPER(TRIM(A90))&amp;$W$2)))</f>
        <v/>
      </c>
      <c r="Y90" s="85" t="str">
        <f>IF(OR(A90="",p_ModoCot&lt;&gt;"Automático"),"",IFERROR(_xlfn.WEBSERVICE("https://query1.finance.yahoo.com/v8/finance/chart/"&amp;X90&amp;"?range=1d&amp;interval=1d"),""))</f>
        <v/>
      </c>
      <c r="Z90" s="85" t="str">
        <f>IF(Y90="","",IFERROR(_xlfn.NUMBERVALUE(MID(Y90,SEARCH("""regularMarketPrice"":",Y90)+21,SEARCH(",",Y90&amp;",",SEARCH("""regularMarketPrice"":",Y90)+21)-SEARCH("""regularMarketPrice"":",Y90)-21),".",","),""))</f>
        <v/>
      </c>
      <c r="AA90" s="85" t="str">
        <f>IF(A90="","",ROUND(MAX(0,N(F90)*($K$6+$W$7)-K90),2))</f>
        <v/>
      </c>
      <c r="AB90" s="85" t="str">
        <f>IF(A90="","",IF(AND(M90&gt;0,M90&gt;=p_DifMin),AA90,0))</f>
        <v/>
      </c>
      <c r="AC90" s="85" t="str">
        <f>IF(A90="","",IF(AND(AB90&gt;0,N(O90)&lt;=p_MaxAtivos),AB90,0))</f>
        <v/>
      </c>
      <c r="AD90" s="85" t="str">
        <f>IF(A90="","",IF(OR(Q90&lt;=0,Q90&lt;p_CompraMin,N(H90)&lt;=0,N(W90)&lt;=0),0,IF($W$3="Sim",TRUNC(ROUND(MAX(0,(Q90-p_CorrFixa)/(H90*W90*$W$6)),9),$W$4),TRUNC(ROUND(MAX(0,(Q90-p_CorrFixa)/(H90*W90*$W$6)),9)/$W$5)*$W$5)))</f>
        <v/>
      </c>
      <c r="AE90" s="85" t="str">
        <f>IF(A90="","",IF(N(AD90)&gt;0,AD90*H90*W90*$W$6+p_CorrFixa,0))</f>
        <v/>
      </c>
      <c r="AF90" s="85" t="str">
        <f>IF(A90="","",IF(OR($Y$1&lt;=0,N(H90)&lt;=0,N(W90)&lt;=0,N(AB90)&lt;=0),0,IF($W$3="Sim",TRUNC(ROUND(MAX(0,($Y$1-IF(N(AD90)&gt;0,0,p_CorrFixa))/(H90*W90*$W$6)),9),$W$4),TRUNC(ROUND(MAX(0,($Y$1-IF(N(AD90)&gt;0,0,p_CorrFixa))/(H90*W90*$W$6)),9)/$W$5)*$W$5)))</f>
        <v/>
      </c>
      <c r="AG90" s="85" t="str">
        <f>IF(A90="","",IF(AND(N(AD90)=0,N(AF90)*(H90*W90*$W$6)+p_CorrFixa&lt;p_CompraMin),0,AF90))</f>
        <v/>
      </c>
      <c r="AH90" s="85" t="str">
        <f>IF(A90="","",IF(N(AG90)&gt;0,AB90,0))</f>
        <v/>
      </c>
      <c r="AI90" s="85" t="str">
        <f>IF(A90="","",IF(AND(AH90&gt;0,AH90=$AH$6,COUNTIF($AH$9:AH90,AH90)=1),1,0))</f>
        <v/>
      </c>
    </row>
    <row r="91">
      <c r="A91" s="96" t="n"/>
      <c r="B91" s="96" t="n"/>
      <c r="C91" s="96" t="n"/>
      <c r="D91" s="97" t="n"/>
      <c r="E91" s="98" t="n"/>
      <c r="F91" s="99" t="n"/>
      <c r="G91" s="100" t="n"/>
      <c r="H91" s="101" t="str">
        <f>IF(A91="","",IF(AND(p_ModoCot="Automático",ISNUMBER(Z91)),Z91,IF(N(G91)&gt;0,G91,0)))</f>
        <v/>
      </c>
      <c r="I91" s="73" t="str">
        <f>IF(A91="","",IF(W91=0,"Sem câmbio",IF(AND(p_ModoCot="Automático",ISNUMBER(Z91)),"Auto",IF(N(G91)&gt;0,"Manual","Sem cotação"))))</f>
        <v/>
      </c>
      <c r="J91" s="102" t="str">
        <f>IF(A91="","",N(E91)*H91)</f>
        <v/>
      </c>
      <c r="K91" s="70" t="str">
        <f>IF(A91="","",J91*W91)</f>
        <v/>
      </c>
      <c r="L91" s="30" t="str">
        <f>IF(A91="","",IF($K$6&gt;0,K91/$K$6,0))</f>
        <v/>
      </c>
      <c r="M91" s="72" t="str">
        <f>IF(A91="","",N(F91)-L91)</f>
        <v/>
      </c>
      <c r="N91" s="30" t="str">
        <f>IF(A91="","",IF($AB$6&gt;0,AB91/$AB$6,0))</f>
        <v/>
      </c>
      <c r="O91" s="74" t="str">
        <f>IF(A91="","",IF(AB91&lt;=0,"",COUNTIF($AB$9:$AB$208,"&gt;"&amp;AB91)+COUNTIF($AB$9:AB91,AB91)))</f>
        <v/>
      </c>
      <c r="P91" s="73" t="str">
        <f>IF(A91="","",IF(Q91&gt;0,"BUY","HOLD"))</f>
        <v/>
      </c>
      <c r="Q91" s="70" t="str">
        <f>IF(A91="","",IF($W$7&lt;=0,0,IF($AC$6&gt;0,$W$7*AC91/$AC$6,IF($F$6&gt;0,$W$7*N(F91)/$F$6,0))))</f>
        <v/>
      </c>
      <c r="R91" s="103" t="str">
        <f>IF(A91="","",N(AD91)+IF(AI91=1,N(AG91),0))</f>
        <v/>
      </c>
      <c r="S91" s="103" t="str">
        <f>IF(A91="","",N(E91)+N(R91))</f>
        <v/>
      </c>
      <c r="T91" s="70" t="str">
        <f>IF(A91="","",IF(N(R91)&gt;0,R91*H91*W91*$W$6+p_CorrFixa,0))</f>
        <v/>
      </c>
      <c r="V91" s="85" t="str">
        <f>IF(A91="","",IF(D91="",$W$1,D91))</f>
        <v/>
      </c>
      <c r="W91" s="85" t="str">
        <f>IF(A91="","",IFERROR(INDEX(moeda_fx,MATCH(V91,moeda_cod,0)),0))</f>
        <v/>
      </c>
      <c r="X91" s="85" t="str">
        <f>IF(A91="","",IF($W$2="",UPPER(TRIM(A91)),IF(RIGHT(UPPER(TRIM(A91)),LEN($W$2))=$W$2,UPPER(TRIM(A91)),UPPER(TRIM(A91))&amp;$W$2)))</f>
        <v/>
      </c>
      <c r="Y91" s="85" t="str">
        <f>IF(OR(A91="",p_ModoCot&lt;&gt;"Automático"),"",IFERROR(_xlfn.WEBSERVICE("https://query1.finance.yahoo.com/v8/finance/chart/"&amp;X91&amp;"?range=1d&amp;interval=1d"),""))</f>
        <v/>
      </c>
      <c r="Z91" s="85" t="str">
        <f>IF(Y91="","",IFERROR(_xlfn.NUMBERVALUE(MID(Y91,SEARCH("""regularMarketPrice"":",Y91)+21,SEARCH(",",Y91&amp;",",SEARCH("""regularMarketPrice"":",Y91)+21)-SEARCH("""regularMarketPrice"":",Y91)-21),".",","),""))</f>
        <v/>
      </c>
      <c r="AA91" s="85" t="str">
        <f>IF(A91="","",ROUND(MAX(0,N(F91)*($K$6+$W$7)-K91),2))</f>
        <v/>
      </c>
      <c r="AB91" s="85" t="str">
        <f>IF(A91="","",IF(AND(M91&gt;0,M91&gt;=p_DifMin),AA91,0))</f>
        <v/>
      </c>
      <c r="AC91" s="85" t="str">
        <f>IF(A91="","",IF(AND(AB91&gt;0,N(O91)&lt;=p_MaxAtivos),AB91,0))</f>
        <v/>
      </c>
      <c r="AD91" s="85" t="str">
        <f>IF(A91="","",IF(OR(Q91&lt;=0,Q91&lt;p_CompraMin,N(H91)&lt;=0,N(W91)&lt;=0),0,IF($W$3="Sim",TRUNC(ROUND(MAX(0,(Q91-p_CorrFixa)/(H91*W91*$W$6)),9),$W$4),TRUNC(ROUND(MAX(0,(Q91-p_CorrFixa)/(H91*W91*$W$6)),9)/$W$5)*$W$5)))</f>
        <v/>
      </c>
      <c r="AE91" s="85" t="str">
        <f>IF(A91="","",IF(N(AD91)&gt;0,AD91*H91*W91*$W$6+p_CorrFixa,0))</f>
        <v/>
      </c>
      <c r="AF91" s="85" t="str">
        <f>IF(A91="","",IF(OR($Y$1&lt;=0,N(H91)&lt;=0,N(W91)&lt;=0,N(AB91)&lt;=0),0,IF($W$3="Sim",TRUNC(ROUND(MAX(0,($Y$1-IF(N(AD91)&gt;0,0,p_CorrFixa))/(H91*W91*$W$6)),9),$W$4),TRUNC(ROUND(MAX(0,($Y$1-IF(N(AD91)&gt;0,0,p_CorrFixa))/(H91*W91*$W$6)),9)/$W$5)*$W$5)))</f>
        <v/>
      </c>
      <c r="AG91" s="85" t="str">
        <f>IF(A91="","",IF(AND(N(AD91)=0,N(AF91)*(H91*W91*$W$6)+p_CorrFixa&lt;p_CompraMin),0,AF91))</f>
        <v/>
      </c>
      <c r="AH91" s="85" t="str">
        <f>IF(A91="","",IF(N(AG91)&gt;0,AB91,0))</f>
        <v/>
      </c>
      <c r="AI91" s="85" t="str">
        <f>IF(A91="","",IF(AND(AH91&gt;0,AH91=$AH$6,COUNTIF($AH$9:AH91,AH91)=1),1,0))</f>
        <v/>
      </c>
    </row>
    <row r="92">
      <c r="A92" s="96" t="n"/>
      <c r="B92" s="96" t="n"/>
      <c r="C92" s="96" t="n"/>
      <c r="D92" s="97" t="n"/>
      <c r="E92" s="98" t="n"/>
      <c r="F92" s="99" t="n"/>
      <c r="G92" s="100" t="n"/>
      <c r="H92" s="104" t="str">
        <f>IF(A92="","",IF(AND(p_ModoCot="Automático",ISNUMBER(Z92)),Z92,IF(N(G92)&gt;0,G92,0)))</f>
        <v/>
      </c>
      <c r="I92" s="105" t="str">
        <f>IF(A92="","",IF(W92=0,"Sem câmbio",IF(AND(p_ModoCot="Automático",ISNUMBER(Z92)),"Auto",IF(N(G92)&gt;0,"Manual","Sem cotação"))))</f>
        <v/>
      </c>
      <c r="J92" s="106" t="str">
        <f>IF(A92="","",N(E92)*H92)</f>
        <v/>
      </c>
      <c r="K92" s="107" t="str">
        <f>IF(A92="","",J92*W92)</f>
        <v/>
      </c>
      <c r="L92" s="108" t="str">
        <f>IF(A92="","",IF($K$6&gt;0,K92/$K$6,0))</f>
        <v/>
      </c>
      <c r="M92" s="109" t="str">
        <f>IF(A92="","",N(F92)-L92)</f>
        <v/>
      </c>
      <c r="N92" s="108" t="str">
        <f>IF(A92="","",IF($AB$6&gt;0,AB92/$AB$6,0))</f>
        <v/>
      </c>
      <c r="O92" s="110" t="str">
        <f>IF(A92="","",IF(AB92&lt;=0,"",COUNTIF($AB$9:$AB$208,"&gt;"&amp;AB92)+COUNTIF($AB$9:AB92,AB92)))</f>
        <v/>
      </c>
      <c r="P92" s="105" t="str">
        <f>IF(A92="","",IF(Q92&gt;0,"BUY","HOLD"))</f>
        <v/>
      </c>
      <c r="Q92" s="107" t="str">
        <f>IF(A92="","",IF($W$7&lt;=0,0,IF($AC$6&gt;0,$W$7*AC92/$AC$6,IF($F$6&gt;0,$W$7*N(F92)/$F$6,0))))</f>
        <v/>
      </c>
      <c r="R92" s="111" t="str">
        <f>IF(A92="","",N(AD92)+IF(AI92=1,N(AG92),0))</f>
        <v/>
      </c>
      <c r="S92" s="111" t="str">
        <f>IF(A92="","",N(E92)+N(R92))</f>
        <v/>
      </c>
      <c r="T92" s="107" t="str">
        <f>IF(A92="","",IF(N(R92)&gt;0,R92*H92*W92*$W$6+p_CorrFixa,0))</f>
        <v/>
      </c>
      <c r="V92" s="85" t="str">
        <f>IF(A92="","",IF(D92="",$W$1,D92))</f>
        <v/>
      </c>
      <c r="W92" s="85" t="str">
        <f>IF(A92="","",IFERROR(INDEX(moeda_fx,MATCH(V92,moeda_cod,0)),0))</f>
        <v/>
      </c>
      <c r="X92" s="85" t="str">
        <f>IF(A92="","",IF($W$2="",UPPER(TRIM(A92)),IF(RIGHT(UPPER(TRIM(A92)),LEN($W$2))=$W$2,UPPER(TRIM(A92)),UPPER(TRIM(A92))&amp;$W$2)))</f>
        <v/>
      </c>
      <c r="Y92" s="85" t="str">
        <f>IF(OR(A92="",p_ModoCot&lt;&gt;"Automático"),"",IFERROR(_xlfn.WEBSERVICE("https://query1.finance.yahoo.com/v8/finance/chart/"&amp;X92&amp;"?range=1d&amp;interval=1d"),""))</f>
        <v/>
      </c>
      <c r="Z92" s="85" t="str">
        <f>IF(Y92="","",IFERROR(_xlfn.NUMBERVALUE(MID(Y92,SEARCH("""regularMarketPrice"":",Y92)+21,SEARCH(",",Y92&amp;",",SEARCH("""regularMarketPrice"":",Y92)+21)-SEARCH("""regularMarketPrice"":",Y92)-21),".",","),""))</f>
        <v/>
      </c>
      <c r="AA92" s="85" t="str">
        <f>IF(A92="","",ROUND(MAX(0,N(F92)*($K$6+$W$7)-K92),2))</f>
        <v/>
      </c>
      <c r="AB92" s="85" t="str">
        <f>IF(A92="","",IF(AND(M92&gt;0,M92&gt;=p_DifMin),AA92,0))</f>
        <v/>
      </c>
      <c r="AC92" s="85" t="str">
        <f>IF(A92="","",IF(AND(AB92&gt;0,N(O92)&lt;=p_MaxAtivos),AB92,0))</f>
        <v/>
      </c>
      <c r="AD92" s="85" t="str">
        <f>IF(A92="","",IF(OR(Q92&lt;=0,Q92&lt;p_CompraMin,N(H92)&lt;=0,N(W92)&lt;=0),0,IF($W$3="Sim",TRUNC(ROUND(MAX(0,(Q92-p_CorrFixa)/(H92*W92*$W$6)),9),$W$4),TRUNC(ROUND(MAX(0,(Q92-p_CorrFixa)/(H92*W92*$W$6)),9)/$W$5)*$W$5)))</f>
        <v/>
      </c>
      <c r="AE92" s="85" t="str">
        <f>IF(A92="","",IF(N(AD92)&gt;0,AD92*H92*W92*$W$6+p_CorrFixa,0))</f>
        <v/>
      </c>
      <c r="AF92" s="85" t="str">
        <f>IF(A92="","",IF(OR($Y$1&lt;=0,N(H92)&lt;=0,N(W92)&lt;=0,N(AB92)&lt;=0),0,IF($W$3="Sim",TRUNC(ROUND(MAX(0,($Y$1-IF(N(AD92)&gt;0,0,p_CorrFixa))/(H92*W92*$W$6)),9),$W$4),TRUNC(ROUND(MAX(0,($Y$1-IF(N(AD92)&gt;0,0,p_CorrFixa))/(H92*W92*$W$6)),9)/$W$5)*$W$5)))</f>
        <v/>
      </c>
      <c r="AG92" s="85" t="str">
        <f>IF(A92="","",IF(AND(N(AD92)=0,N(AF92)*(H92*W92*$W$6)+p_CorrFixa&lt;p_CompraMin),0,AF92))</f>
        <v/>
      </c>
      <c r="AH92" s="85" t="str">
        <f>IF(A92="","",IF(N(AG92)&gt;0,AB92,0))</f>
        <v/>
      </c>
      <c r="AI92" s="85" t="str">
        <f>IF(A92="","",IF(AND(AH92&gt;0,AH92=$AH$6,COUNTIF($AH$9:AH92,AH92)=1),1,0))</f>
        <v/>
      </c>
    </row>
    <row r="93">
      <c r="A93" s="96" t="n"/>
      <c r="B93" s="96" t="n"/>
      <c r="C93" s="96" t="n"/>
      <c r="D93" s="97" t="n"/>
      <c r="E93" s="98" t="n"/>
      <c r="F93" s="99" t="n"/>
      <c r="G93" s="100" t="n"/>
      <c r="H93" s="101" t="str">
        <f>IF(A93="","",IF(AND(p_ModoCot="Automático",ISNUMBER(Z93)),Z93,IF(N(G93)&gt;0,G93,0)))</f>
        <v/>
      </c>
      <c r="I93" s="73" t="str">
        <f>IF(A93="","",IF(W93=0,"Sem câmbio",IF(AND(p_ModoCot="Automático",ISNUMBER(Z93)),"Auto",IF(N(G93)&gt;0,"Manual","Sem cotação"))))</f>
        <v/>
      </c>
      <c r="J93" s="102" t="str">
        <f>IF(A93="","",N(E93)*H93)</f>
        <v/>
      </c>
      <c r="K93" s="70" t="str">
        <f>IF(A93="","",J93*W93)</f>
        <v/>
      </c>
      <c r="L93" s="30" t="str">
        <f>IF(A93="","",IF($K$6&gt;0,K93/$K$6,0))</f>
        <v/>
      </c>
      <c r="M93" s="72" t="str">
        <f>IF(A93="","",N(F93)-L93)</f>
        <v/>
      </c>
      <c r="N93" s="30" t="str">
        <f>IF(A93="","",IF($AB$6&gt;0,AB93/$AB$6,0))</f>
        <v/>
      </c>
      <c r="O93" s="74" t="str">
        <f>IF(A93="","",IF(AB93&lt;=0,"",COUNTIF($AB$9:$AB$208,"&gt;"&amp;AB93)+COUNTIF($AB$9:AB93,AB93)))</f>
        <v/>
      </c>
      <c r="P93" s="73" t="str">
        <f>IF(A93="","",IF(Q93&gt;0,"BUY","HOLD"))</f>
        <v/>
      </c>
      <c r="Q93" s="70" t="str">
        <f>IF(A93="","",IF($W$7&lt;=0,0,IF($AC$6&gt;0,$W$7*AC93/$AC$6,IF($F$6&gt;0,$W$7*N(F93)/$F$6,0))))</f>
        <v/>
      </c>
      <c r="R93" s="103" t="str">
        <f>IF(A93="","",N(AD93)+IF(AI93=1,N(AG93),0))</f>
        <v/>
      </c>
      <c r="S93" s="103" t="str">
        <f>IF(A93="","",N(E93)+N(R93))</f>
        <v/>
      </c>
      <c r="T93" s="70" t="str">
        <f>IF(A93="","",IF(N(R93)&gt;0,R93*H93*W93*$W$6+p_CorrFixa,0))</f>
        <v/>
      </c>
      <c r="V93" s="85" t="str">
        <f>IF(A93="","",IF(D93="",$W$1,D93))</f>
        <v/>
      </c>
      <c r="W93" s="85" t="str">
        <f>IF(A93="","",IFERROR(INDEX(moeda_fx,MATCH(V93,moeda_cod,0)),0))</f>
        <v/>
      </c>
      <c r="X93" s="85" t="str">
        <f>IF(A93="","",IF($W$2="",UPPER(TRIM(A93)),IF(RIGHT(UPPER(TRIM(A93)),LEN($W$2))=$W$2,UPPER(TRIM(A93)),UPPER(TRIM(A93))&amp;$W$2)))</f>
        <v/>
      </c>
      <c r="Y93" s="85" t="str">
        <f>IF(OR(A93="",p_ModoCot&lt;&gt;"Automático"),"",IFERROR(_xlfn.WEBSERVICE("https://query1.finance.yahoo.com/v8/finance/chart/"&amp;X93&amp;"?range=1d&amp;interval=1d"),""))</f>
        <v/>
      </c>
      <c r="Z93" s="85" t="str">
        <f>IF(Y93="","",IFERROR(_xlfn.NUMBERVALUE(MID(Y93,SEARCH("""regularMarketPrice"":",Y93)+21,SEARCH(",",Y93&amp;",",SEARCH("""regularMarketPrice"":",Y93)+21)-SEARCH("""regularMarketPrice"":",Y93)-21),".",","),""))</f>
        <v/>
      </c>
      <c r="AA93" s="85" t="str">
        <f>IF(A93="","",ROUND(MAX(0,N(F93)*($K$6+$W$7)-K93),2))</f>
        <v/>
      </c>
      <c r="AB93" s="85" t="str">
        <f>IF(A93="","",IF(AND(M93&gt;0,M93&gt;=p_DifMin),AA93,0))</f>
        <v/>
      </c>
      <c r="AC93" s="85" t="str">
        <f>IF(A93="","",IF(AND(AB93&gt;0,N(O93)&lt;=p_MaxAtivos),AB93,0))</f>
        <v/>
      </c>
      <c r="AD93" s="85" t="str">
        <f>IF(A93="","",IF(OR(Q93&lt;=0,Q93&lt;p_CompraMin,N(H93)&lt;=0,N(W93)&lt;=0),0,IF($W$3="Sim",TRUNC(ROUND(MAX(0,(Q93-p_CorrFixa)/(H93*W93*$W$6)),9),$W$4),TRUNC(ROUND(MAX(0,(Q93-p_CorrFixa)/(H93*W93*$W$6)),9)/$W$5)*$W$5)))</f>
        <v/>
      </c>
      <c r="AE93" s="85" t="str">
        <f>IF(A93="","",IF(N(AD93)&gt;0,AD93*H93*W93*$W$6+p_CorrFixa,0))</f>
        <v/>
      </c>
      <c r="AF93" s="85" t="str">
        <f>IF(A93="","",IF(OR($Y$1&lt;=0,N(H93)&lt;=0,N(W93)&lt;=0,N(AB93)&lt;=0),0,IF($W$3="Sim",TRUNC(ROUND(MAX(0,($Y$1-IF(N(AD93)&gt;0,0,p_CorrFixa))/(H93*W93*$W$6)),9),$W$4),TRUNC(ROUND(MAX(0,($Y$1-IF(N(AD93)&gt;0,0,p_CorrFixa))/(H93*W93*$W$6)),9)/$W$5)*$W$5)))</f>
        <v/>
      </c>
      <c r="AG93" s="85" t="str">
        <f>IF(A93="","",IF(AND(N(AD93)=0,N(AF93)*(H93*W93*$W$6)+p_CorrFixa&lt;p_CompraMin),0,AF93))</f>
        <v/>
      </c>
      <c r="AH93" s="85" t="str">
        <f>IF(A93="","",IF(N(AG93)&gt;0,AB93,0))</f>
        <v/>
      </c>
      <c r="AI93" s="85" t="str">
        <f>IF(A93="","",IF(AND(AH93&gt;0,AH93=$AH$6,COUNTIF($AH$9:AH93,AH93)=1),1,0))</f>
        <v/>
      </c>
    </row>
    <row r="94">
      <c r="A94" s="96" t="n"/>
      <c r="B94" s="96" t="n"/>
      <c r="C94" s="96" t="n"/>
      <c r="D94" s="97" t="n"/>
      <c r="E94" s="98" t="n"/>
      <c r="F94" s="99" t="n"/>
      <c r="G94" s="100" t="n"/>
      <c r="H94" s="104" t="str">
        <f>IF(A94="","",IF(AND(p_ModoCot="Automático",ISNUMBER(Z94)),Z94,IF(N(G94)&gt;0,G94,0)))</f>
        <v/>
      </c>
      <c r="I94" s="105" t="str">
        <f>IF(A94="","",IF(W94=0,"Sem câmbio",IF(AND(p_ModoCot="Automático",ISNUMBER(Z94)),"Auto",IF(N(G94)&gt;0,"Manual","Sem cotação"))))</f>
        <v/>
      </c>
      <c r="J94" s="106" t="str">
        <f>IF(A94="","",N(E94)*H94)</f>
        <v/>
      </c>
      <c r="K94" s="107" t="str">
        <f>IF(A94="","",J94*W94)</f>
        <v/>
      </c>
      <c r="L94" s="108" t="str">
        <f>IF(A94="","",IF($K$6&gt;0,K94/$K$6,0))</f>
        <v/>
      </c>
      <c r="M94" s="109" t="str">
        <f>IF(A94="","",N(F94)-L94)</f>
        <v/>
      </c>
      <c r="N94" s="108" t="str">
        <f>IF(A94="","",IF($AB$6&gt;0,AB94/$AB$6,0))</f>
        <v/>
      </c>
      <c r="O94" s="110" t="str">
        <f>IF(A94="","",IF(AB94&lt;=0,"",COUNTIF($AB$9:$AB$208,"&gt;"&amp;AB94)+COUNTIF($AB$9:AB94,AB94)))</f>
        <v/>
      </c>
      <c r="P94" s="105" t="str">
        <f>IF(A94="","",IF(Q94&gt;0,"BUY","HOLD"))</f>
        <v/>
      </c>
      <c r="Q94" s="107" t="str">
        <f>IF(A94="","",IF($W$7&lt;=0,0,IF($AC$6&gt;0,$W$7*AC94/$AC$6,IF($F$6&gt;0,$W$7*N(F94)/$F$6,0))))</f>
        <v/>
      </c>
      <c r="R94" s="111" t="str">
        <f>IF(A94="","",N(AD94)+IF(AI94=1,N(AG94),0))</f>
        <v/>
      </c>
      <c r="S94" s="111" t="str">
        <f>IF(A94="","",N(E94)+N(R94))</f>
        <v/>
      </c>
      <c r="T94" s="107" t="str">
        <f>IF(A94="","",IF(N(R94)&gt;0,R94*H94*W94*$W$6+p_CorrFixa,0))</f>
        <v/>
      </c>
      <c r="V94" s="85" t="str">
        <f>IF(A94="","",IF(D94="",$W$1,D94))</f>
        <v/>
      </c>
      <c r="W94" s="85" t="str">
        <f>IF(A94="","",IFERROR(INDEX(moeda_fx,MATCH(V94,moeda_cod,0)),0))</f>
        <v/>
      </c>
      <c r="X94" s="85" t="str">
        <f>IF(A94="","",IF($W$2="",UPPER(TRIM(A94)),IF(RIGHT(UPPER(TRIM(A94)),LEN($W$2))=$W$2,UPPER(TRIM(A94)),UPPER(TRIM(A94))&amp;$W$2)))</f>
        <v/>
      </c>
      <c r="Y94" s="85" t="str">
        <f>IF(OR(A94="",p_ModoCot&lt;&gt;"Automático"),"",IFERROR(_xlfn.WEBSERVICE("https://query1.finance.yahoo.com/v8/finance/chart/"&amp;X94&amp;"?range=1d&amp;interval=1d"),""))</f>
        <v/>
      </c>
      <c r="Z94" s="85" t="str">
        <f>IF(Y94="","",IFERROR(_xlfn.NUMBERVALUE(MID(Y94,SEARCH("""regularMarketPrice"":",Y94)+21,SEARCH(",",Y94&amp;",",SEARCH("""regularMarketPrice"":",Y94)+21)-SEARCH("""regularMarketPrice"":",Y94)-21),".",","),""))</f>
        <v/>
      </c>
      <c r="AA94" s="85" t="str">
        <f>IF(A94="","",ROUND(MAX(0,N(F94)*($K$6+$W$7)-K94),2))</f>
        <v/>
      </c>
      <c r="AB94" s="85" t="str">
        <f>IF(A94="","",IF(AND(M94&gt;0,M94&gt;=p_DifMin),AA94,0))</f>
        <v/>
      </c>
      <c r="AC94" s="85" t="str">
        <f>IF(A94="","",IF(AND(AB94&gt;0,N(O94)&lt;=p_MaxAtivos),AB94,0))</f>
        <v/>
      </c>
      <c r="AD94" s="85" t="str">
        <f>IF(A94="","",IF(OR(Q94&lt;=0,Q94&lt;p_CompraMin,N(H94)&lt;=0,N(W94)&lt;=0),0,IF($W$3="Sim",TRUNC(ROUND(MAX(0,(Q94-p_CorrFixa)/(H94*W94*$W$6)),9),$W$4),TRUNC(ROUND(MAX(0,(Q94-p_CorrFixa)/(H94*W94*$W$6)),9)/$W$5)*$W$5)))</f>
        <v/>
      </c>
      <c r="AE94" s="85" t="str">
        <f>IF(A94="","",IF(N(AD94)&gt;0,AD94*H94*W94*$W$6+p_CorrFixa,0))</f>
        <v/>
      </c>
      <c r="AF94" s="85" t="str">
        <f>IF(A94="","",IF(OR($Y$1&lt;=0,N(H94)&lt;=0,N(W94)&lt;=0,N(AB94)&lt;=0),0,IF($W$3="Sim",TRUNC(ROUND(MAX(0,($Y$1-IF(N(AD94)&gt;0,0,p_CorrFixa))/(H94*W94*$W$6)),9),$W$4),TRUNC(ROUND(MAX(0,($Y$1-IF(N(AD94)&gt;0,0,p_CorrFixa))/(H94*W94*$W$6)),9)/$W$5)*$W$5)))</f>
        <v/>
      </c>
      <c r="AG94" s="85" t="str">
        <f>IF(A94="","",IF(AND(N(AD94)=0,N(AF94)*(H94*W94*$W$6)+p_CorrFixa&lt;p_CompraMin),0,AF94))</f>
        <v/>
      </c>
      <c r="AH94" s="85" t="str">
        <f>IF(A94="","",IF(N(AG94)&gt;0,AB94,0))</f>
        <v/>
      </c>
      <c r="AI94" s="85" t="str">
        <f>IF(A94="","",IF(AND(AH94&gt;0,AH94=$AH$6,COUNTIF($AH$9:AH94,AH94)=1),1,0))</f>
        <v/>
      </c>
    </row>
    <row r="95">
      <c r="A95" s="96" t="n"/>
      <c r="B95" s="96" t="n"/>
      <c r="C95" s="96" t="n"/>
      <c r="D95" s="97" t="n"/>
      <c r="E95" s="98" t="n"/>
      <c r="F95" s="99" t="n"/>
      <c r="G95" s="100" t="n"/>
      <c r="H95" s="101" t="str">
        <f>IF(A95="","",IF(AND(p_ModoCot="Automático",ISNUMBER(Z95)),Z95,IF(N(G95)&gt;0,G95,0)))</f>
        <v/>
      </c>
      <c r="I95" s="73" t="str">
        <f>IF(A95="","",IF(W95=0,"Sem câmbio",IF(AND(p_ModoCot="Automático",ISNUMBER(Z95)),"Auto",IF(N(G95)&gt;0,"Manual","Sem cotação"))))</f>
        <v/>
      </c>
      <c r="J95" s="102" t="str">
        <f>IF(A95="","",N(E95)*H95)</f>
        <v/>
      </c>
      <c r="K95" s="70" t="str">
        <f>IF(A95="","",J95*W95)</f>
        <v/>
      </c>
      <c r="L95" s="30" t="str">
        <f>IF(A95="","",IF($K$6&gt;0,K95/$K$6,0))</f>
        <v/>
      </c>
      <c r="M95" s="72" t="str">
        <f>IF(A95="","",N(F95)-L95)</f>
        <v/>
      </c>
      <c r="N95" s="30" t="str">
        <f>IF(A95="","",IF($AB$6&gt;0,AB95/$AB$6,0))</f>
        <v/>
      </c>
      <c r="O95" s="74" t="str">
        <f>IF(A95="","",IF(AB95&lt;=0,"",COUNTIF($AB$9:$AB$208,"&gt;"&amp;AB95)+COUNTIF($AB$9:AB95,AB95)))</f>
        <v/>
      </c>
      <c r="P95" s="73" t="str">
        <f>IF(A95="","",IF(Q95&gt;0,"BUY","HOLD"))</f>
        <v/>
      </c>
      <c r="Q95" s="70" t="str">
        <f>IF(A95="","",IF($W$7&lt;=0,0,IF($AC$6&gt;0,$W$7*AC95/$AC$6,IF($F$6&gt;0,$W$7*N(F95)/$F$6,0))))</f>
        <v/>
      </c>
      <c r="R95" s="103" t="str">
        <f>IF(A95="","",N(AD95)+IF(AI95=1,N(AG95),0))</f>
        <v/>
      </c>
      <c r="S95" s="103" t="str">
        <f>IF(A95="","",N(E95)+N(R95))</f>
        <v/>
      </c>
      <c r="T95" s="70" t="str">
        <f>IF(A95="","",IF(N(R95)&gt;0,R95*H95*W95*$W$6+p_CorrFixa,0))</f>
        <v/>
      </c>
      <c r="V95" s="85" t="str">
        <f>IF(A95="","",IF(D95="",$W$1,D95))</f>
        <v/>
      </c>
      <c r="W95" s="85" t="str">
        <f>IF(A95="","",IFERROR(INDEX(moeda_fx,MATCH(V95,moeda_cod,0)),0))</f>
        <v/>
      </c>
      <c r="X95" s="85" t="str">
        <f>IF(A95="","",IF($W$2="",UPPER(TRIM(A95)),IF(RIGHT(UPPER(TRIM(A95)),LEN($W$2))=$W$2,UPPER(TRIM(A95)),UPPER(TRIM(A95))&amp;$W$2)))</f>
        <v/>
      </c>
      <c r="Y95" s="85" t="str">
        <f>IF(OR(A95="",p_ModoCot&lt;&gt;"Automático"),"",IFERROR(_xlfn.WEBSERVICE("https://query1.finance.yahoo.com/v8/finance/chart/"&amp;X95&amp;"?range=1d&amp;interval=1d"),""))</f>
        <v/>
      </c>
      <c r="Z95" s="85" t="str">
        <f>IF(Y95="","",IFERROR(_xlfn.NUMBERVALUE(MID(Y95,SEARCH("""regularMarketPrice"":",Y95)+21,SEARCH(",",Y95&amp;",",SEARCH("""regularMarketPrice"":",Y95)+21)-SEARCH("""regularMarketPrice"":",Y95)-21),".",","),""))</f>
        <v/>
      </c>
      <c r="AA95" s="85" t="str">
        <f>IF(A95="","",ROUND(MAX(0,N(F95)*($K$6+$W$7)-K95),2))</f>
        <v/>
      </c>
      <c r="AB95" s="85" t="str">
        <f>IF(A95="","",IF(AND(M95&gt;0,M95&gt;=p_DifMin),AA95,0))</f>
        <v/>
      </c>
      <c r="AC95" s="85" t="str">
        <f>IF(A95="","",IF(AND(AB95&gt;0,N(O95)&lt;=p_MaxAtivos),AB95,0))</f>
        <v/>
      </c>
      <c r="AD95" s="85" t="str">
        <f>IF(A95="","",IF(OR(Q95&lt;=0,Q95&lt;p_CompraMin,N(H95)&lt;=0,N(W95)&lt;=0),0,IF($W$3="Sim",TRUNC(ROUND(MAX(0,(Q95-p_CorrFixa)/(H95*W95*$W$6)),9),$W$4),TRUNC(ROUND(MAX(0,(Q95-p_CorrFixa)/(H95*W95*$W$6)),9)/$W$5)*$W$5)))</f>
        <v/>
      </c>
      <c r="AE95" s="85" t="str">
        <f>IF(A95="","",IF(N(AD95)&gt;0,AD95*H95*W95*$W$6+p_CorrFixa,0))</f>
        <v/>
      </c>
      <c r="AF95" s="85" t="str">
        <f>IF(A95="","",IF(OR($Y$1&lt;=0,N(H95)&lt;=0,N(W95)&lt;=0,N(AB95)&lt;=0),0,IF($W$3="Sim",TRUNC(ROUND(MAX(0,($Y$1-IF(N(AD95)&gt;0,0,p_CorrFixa))/(H95*W95*$W$6)),9),$W$4),TRUNC(ROUND(MAX(0,($Y$1-IF(N(AD95)&gt;0,0,p_CorrFixa))/(H95*W95*$W$6)),9)/$W$5)*$W$5)))</f>
        <v/>
      </c>
      <c r="AG95" s="85" t="str">
        <f>IF(A95="","",IF(AND(N(AD95)=0,N(AF95)*(H95*W95*$W$6)+p_CorrFixa&lt;p_CompraMin),0,AF95))</f>
        <v/>
      </c>
      <c r="AH95" s="85" t="str">
        <f>IF(A95="","",IF(N(AG95)&gt;0,AB95,0))</f>
        <v/>
      </c>
      <c r="AI95" s="85" t="str">
        <f>IF(A95="","",IF(AND(AH95&gt;0,AH95=$AH$6,COUNTIF($AH$9:AH95,AH95)=1),1,0))</f>
        <v/>
      </c>
    </row>
    <row r="96">
      <c r="A96" s="96" t="n"/>
      <c r="B96" s="96" t="n"/>
      <c r="C96" s="96" t="n"/>
      <c r="D96" s="97" t="n"/>
      <c r="E96" s="98" t="n"/>
      <c r="F96" s="99" t="n"/>
      <c r="G96" s="100" t="n"/>
      <c r="H96" s="104" t="str">
        <f>IF(A96="","",IF(AND(p_ModoCot="Automático",ISNUMBER(Z96)),Z96,IF(N(G96)&gt;0,G96,0)))</f>
        <v/>
      </c>
      <c r="I96" s="105" t="str">
        <f>IF(A96="","",IF(W96=0,"Sem câmbio",IF(AND(p_ModoCot="Automático",ISNUMBER(Z96)),"Auto",IF(N(G96)&gt;0,"Manual","Sem cotação"))))</f>
        <v/>
      </c>
      <c r="J96" s="106" t="str">
        <f>IF(A96="","",N(E96)*H96)</f>
        <v/>
      </c>
      <c r="K96" s="107" t="str">
        <f>IF(A96="","",J96*W96)</f>
        <v/>
      </c>
      <c r="L96" s="108" t="str">
        <f>IF(A96="","",IF($K$6&gt;0,K96/$K$6,0))</f>
        <v/>
      </c>
      <c r="M96" s="109" t="str">
        <f>IF(A96="","",N(F96)-L96)</f>
        <v/>
      </c>
      <c r="N96" s="108" t="str">
        <f>IF(A96="","",IF($AB$6&gt;0,AB96/$AB$6,0))</f>
        <v/>
      </c>
      <c r="O96" s="110" t="str">
        <f>IF(A96="","",IF(AB96&lt;=0,"",COUNTIF($AB$9:$AB$208,"&gt;"&amp;AB96)+COUNTIF($AB$9:AB96,AB96)))</f>
        <v/>
      </c>
      <c r="P96" s="105" t="str">
        <f>IF(A96="","",IF(Q96&gt;0,"BUY","HOLD"))</f>
        <v/>
      </c>
      <c r="Q96" s="107" t="str">
        <f>IF(A96="","",IF($W$7&lt;=0,0,IF($AC$6&gt;0,$W$7*AC96/$AC$6,IF($F$6&gt;0,$W$7*N(F96)/$F$6,0))))</f>
        <v/>
      </c>
      <c r="R96" s="111" t="str">
        <f>IF(A96="","",N(AD96)+IF(AI96=1,N(AG96),0))</f>
        <v/>
      </c>
      <c r="S96" s="111" t="str">
        <f>IF(A96="","",N(E96)+N(R96))</f>
        <v/>
      </c>
      <c r="T96" s="107" t="str">
        <f>IF(A96="","",IF(N(R96)&gt;0,R96*H96*W96*$W$6+p_CorrFixa,0))</f>
        <v/>
      </c>
      <c r="V96" s="85" t="str">
        <f>IF(A96="","",IF(D96="",$W$1,D96))</f>
        <v/>
      </c>
      <c r="W96" s="85" t="str">
        <f>IF(A96="","",IFERROR(INDEX(moeda_fx,MATCH(V96,moeda_cod,0)),0))</f>
        <v/>
      </c>
      <c r="X96" s="85" t="str">
        <f>IF(A96="","",IF($W$2="",UPPER(TRIM(A96)),IF(RIGHT(UPPER(TRIM(A96)),LEN($W$2))=$W$2,UPPER(TRIM(A96)),UPPER(TRIM(A96))&amp;$W$2)))</f>
        <v/>
      </c>
      <c r="Y96" s="85" t="str">
        <f>IF(OR(A96="",p_ModoCot&lt;&gt;"Automático"),"",IFERROR(_xlfn.WEBSERVICE("https://query1.finance.yahoo.com/v8/finance/chart/"&amp;X96&amp;"?range=1d&amp;interval=1d"),""))</f>
        <v/>
      </c>
      <c r="Z96" s="85" t="str">
        <f>IF(Y96="","",IFERROR(_xlfn.NUMBERVALUE(MID(Y96,SEARCH("""regularMarketPrice"":",Y96)+21,SEARCH(",",Y96&amp;",",SEARCH("""regularMarketPrice"":",Y96)+21)-SEARCH("""regularMarketPrice"":",Y96)-21),".",","),""))</f>
        <v/>
      </c>
      <c r="AA96" s="85" t="str">
        <f>IF(A96="","",ROUND(MAX(0,N(F96)*($K$6+$W$7)-K96),2))</f>
        <v/>
      </c>
      <c r="AB96" s="85" t="str">
        <f>IF(A96="","",IF(AND(M96&gt;0,M96&gt;=p_DifMin),AA96,0))</f>
        <v/>
      </c>
      <c r="AC96" s="85" t="str">
        <f>IF(A96="","",IF(AND(AB96&gt;0,N(O96)&lt;=p_MaxAtivos),AB96,0))</f>
        <v/>
      </c>
      <c r="AD96" s="85" t="str">
        <f>IF(A96="","",IF(OR(Q96&lt;=0,Q96&lt;p_CompraMin,N(H96)&lt;=0,N(W96)&lt;=0),0,IF($W$3="Sim",TRUNC(ROUND(MAX(0,(Q96-p_CorrFixa)/(H96*W96*$W$6)),9),$W$4),TRUNC(ROUND(MAX(0,(Q96-p_CorrFixa)/(H96*W96*$W$6)),9)/$W$5)*$W$5)))</f>
        <v/>
      </c>
      <c r="AE96" s="85" t="str">
        <f>IF(A96="","",IF(N(AD96)&gt;0,AD96*H96*W96*$W$6+p_CorrFixa,0))</f>
        <v/>
      </c>
      <c r="AF96" s="85" t="str">
        <f>IF(A96="","",IF(OR($Y$1&lt;=0,N(H96)&lt;=0,N(W96)&lt;=0,N(AB96)&lt;=0),0,IF($W$3="Sim",TRUNC(ROUND(MAX(0,($Y$1-IF(N(AD96)&gt;0,0,p_CorrFixa))/(H96*W96*$W$6)),9),$W$4),TRUNC(ROUND(MAX(0,($Y$1-IF(N(AD96)&gt;0,0,p_CorrFixa))/(H96*W96*$W$6)),9)/$W$5)*$W$5)))</f>
        <v/>
      </c>
      <c r="AG96" s="85" t="str">
        <f>IF(A96="","",IF(AND(N(AD96)=0,N(AF96)*(H96*W96*$W$6)+p_CorrFixa&lt;p_CompraMin),0,AF96))</f>
        <v/>
      </c>
      <c r="AH96" s="85" t="str">
        <f>IF(A96="","",IF(N(AG96)&gt;0,AB96,0))</f>
        <v/>
      </c>
      <c r="AI96" s="85" t="str">
        <f>IF(A96="","",IF(AND(AH96&gt;0,AH96=$AH$6,COUNTIF($AH$9:AH96,AH96)=1),1,0))</f>
        <v/>
      </c>
    </row>
    <row r="97">
      <c r="A97" s="96" t="n"/>
      <c r="B97" s="96" t="n"/>
      <c r="C97" s="96" t="n"/>
      <c r="D97" s="97" t="n"/>
      <c r="E97" s="98" t="n"/>
      <c r="F97" s="99" t="n"/>
      <c r="G97" s="100" t="n"/>
      <c r="H97" s="101" t="str">
        <f>IF(A97="","",IF(AND(p_ModoCot="Automático",ISNUMBER(Z97)),Z97,IF(N(G97)&gt;0,G97,0)))</f>
        <v/>
      </c>
      <c r="I97" s="73" t="str">
        <f>IF(A97="","",IF(W97=0,"Sem câmbio",IF(AND(p_ModoCot="Automático",ISNUMBER(Z97)),"Auto",IF(N(G97)&gt;0,"Manual","Sem cotação"))))</f>
        <v/>
      </c>
      <c r="J97" s="102" t="str">
        <f>IF(A97="","",N(E97)*H97)</f>
        <v/>
      </c>
      <c r="K97" s="70" t="str">
        <f>IF(A97="","",J97*W97)</f>
        <v/>
      </c>
      <c r="L97" s="30" t="str">
        <f>IF(A97="","",IF($K$6&gt;0,K97/$K$6,0))</f>
        <v/>
      </c>
      <c r="M97" s="72" t="str">
        <f>IF(A97="","",N(F97)-L97)</f>
        <v/>
      </c>
      <c r="N97" s="30" t="str">
        <f>IF(A97="","",IF($AB$6&gt;0,AB97/$AB$6,0))</f>
        <v/>
      </c>
      <c r="O97" s="74" t="str">
        <f>IF(A97="","",IF(AB97&lt;=0,"",COUNTIF($AB$9:$AB$208,"&gt;"&amp;AB97)+COUNTIF($AB$9:AB97,AB97)))</f>
        <v/>
      </c>
      <c r="P97" s="73" t="str">
        <f>IF(A97="","",IF(Q97&gt;0,"BUY","HOLD"))</f>
        <v/>
      </c>
      <c r="Q97" s="70" t="str">
        <f>IF(A97="","",IF($W$7&lt;=0,0,IF($AC$6&gt;0,$W$7*AC97/$AC$6,IF($F$6&gt;0,$W$7*N(F97)/$F$6,0))))</f>
        <v/>
      </c>
      <c r="R97" s="103" t="str">
        <f>IF(A97="","",N(AD97)+IF(AI97=1,N(AG97),0))</f>
        <v/>
      </c>
      <c r="S97" s="103" t="str">
        <f>IF(A97="","",N(E97)+N(R97))</f>
        <v/>
      </c>
      <c r="T97" s="70" t="str">
        <f>IF(A97="","",IF(N(R97)&gt;0,R97*H97*W97*$W$6+p_CorrFixa,0))</f>
        <v/>
      </c>
      <c r="V97" s="85" t="str">
        <f>IF(A97="","",IF(D97="",$W$1,D97))</f>
        <v/>
      </c>
      <c r="W97" s="85" t="str">
        <f>IF(A97="","",IFERROR(INDEX(moeda_fx,MATCH(V97,moeda_cod,0)),0))</f>
        <v/>
      </c>
      <c r="X97" s="85" t="str">
        <f>IF(A97="","",IF($W$2="",UPPER(TRIM(A97)),IF(RIGHT(UPPER(TRIM(A97)),LEN($W$2))=$W$2,UPPER(TRIM(A97)),UPPER(TRIM(A97))&amp;$W$2)))</f>
        <v/>
      </c>
      <c r="Y97" s="85" t="str">
        <f>IF(OR(A97="",p_ModoCot&lt;&gt;"Automático"),"",IFERROR(_xlfn.WEBSERVICE("https://query1.finance.yahoo.com/v8/finance/chart/"&amp;X97&amp;"?range=1d&amp;interval=1d"),""))</f>
        <v/>
      </c>
      <c r="Z97" s="85" t="str">
        <f>IF(Y97="","",IFERROR(_xlfn.NUMBERVALUE(MID(Y97,SEARCH("""regularMarketPrice"":",Y97)+21,SEARCH(",",Y97&amp;",",SEARCH("""regularMarketPrice"":",Y97)+21)-SEARCH("""regularMarketPrice"":",Y97)-21),".",","),""))</f>
        <v/>
      </c>
      <c r="AA97" s="85" t="str">
        <f>IF(A97="","",ROUND(MAX(0,N(F97)*($K$6+$W$7)-K97),2))</f>
        <v/>
      </c>
      <c r="AB97" s="85" t="str">
        <f>IF(A97="","",IF(AND(M97&gt;0,M97&gt;=p_DifMin),AA97,0))</f>
        <v/>
      </c>
      <c r="AC97" s="85" t="str">
        <f>IF(A97="","",IF(AND(AB97&gt;0,N(O97)&lt;=p_MaxAtivos),AB97,0))</f>
        <v/>
      </c>
      <c r="AD97" s="85" t="str">
        <f>IF(A97="","",IF(OR(Q97&lt;=0,Q97&lt;p_CompraMin,N(H97)&lt;=0,N(W97)&lt;=0),0,IF($W$3="Sim",TRUNC(ROUND(MAX(0,(Q97-p_CorrFixa)/(H97*W97*$W$6)),9),$W$4),TRUNC(ROUND(MAX(0,(Q97-p_CorrFixa)/(H97*W97*$W$6)),9)/$W$5)*$W$5)))</f>
        <v/>
      </c>
      <c r="AE97" s="85" t="str">
        <f>IF(A97="","",IF(N(AD97)&gt;0,AD97*H97*W97*$W$6+p_CorrFixa,0))</f>
        <v/>
      </c>
      <c r="AF97" s="85" t="str">
        <f>IF(A97="","",IF(OR($Y$1&lt;=0,N(H97)&lt;=0,N(W97)&lt;=0,N(AB97)&lt;=0),0,IF($W$3="Sim",TRUNC(ROUND(MAX(0,($Y$1-IF(N(AD97)&gt;0,0,p_CorrFixa))/(H97*W97*$W$6)),9),$W$4),TRUNC(ROUND(MAX(0,($Y$1-IF(N(AD97)&gt;0,0,p_CorrFixa))/(H97*W97*$W$6)),9)/$W$5)*$W$5)))</f>
        <v/>
      </c>
      <c r="AG97" s="85" t="str">
        <f>IF(A97="","",IF(AND(N(AD97)=0,N(AF97)*(H97*W97*$W$6)+p_CorrFixa&lt;p_CompraMin),0,AF97))</f>
        <v/>
      </c>
      <c r="AH97" s="85" t="str">
        <f>IF(A97="","",IF(N(AG97)&gt;0,AB97,0))</f>
        <v/>
      </c>
      <c r="AI97" s="85" t="str">
        <f>IF(A97="","",IF(AND(AH97&gt;0,AH97=$AH$6,COUNTIF($AH$9:AH97,AH97)=1),1,0))</f>
        <v/>
      </c>
    </row>
    <row r="98">
      <c r="A98" s="96" t="n"/>
      <c r="B98" s="96" t="n"/>
      <c r="C98" s="96" t="n"/>
      <c r="D98" s="97" t="n"/>
      <c r="E98" s="98" t="n"/>
      <c r="F98" s="99" t="n"/>
      <c r="G98" s="100" t="n"/>
      <c r="H98" s="104" t="str">
        <f>IF(A98="","",IF(AND(p_ModoCot="Automático",ISNUMBER(Z98)),Z98,IF(N(G98)&gt;0,G98,0)))</f>
        <v/>
      </c>
      <c r="I98" s="105" t="str">
        <f>IF(A98="","",IF(W98=0,"Sem câmbio",IF(AND(p_ModoCot="Automático",ISNUMBER(Z98)),"Auto",IF(N(G98)&gt;0,"Manual","Sem cotação"))))</f>
        <v/>
      </c>
      <c r="J98" s="106" t="str">
        <f>IF(A98="","",N(E98)*H98)</f>
        <v/>
      </c>
      <c r="K98" s="107" t="str">
        <f>IF(A98="","",J98*W98)</f>
        <v/>
      </c>
      <c r="L98" s="108" t="str">
        <f>IF(A98="","",IF($K$6&gt;0,K98/$K$6,0))</f>
        <v/>
      </c>
      <c r="M98" s="109" t="str">
        <f>IF(A98="","",N(F98)-L98)</f>
        <v/>
      </c>
      <c r="N98" s="108" t="str">
        <f>IF(A98="","",IF($AB$6&gt;0,AB98/$AB$6,0))</f>
        <v/>
      </c>
      <c r="O98" s="110" t="str">
        <f>IF(A98="","",IF(AB98&lt;=0,"",COUNTIF($AB$9:$AB$208,"&gt;"&amp;AB98)+COUNTIF($AB$9:AB98,AB98)))</f>
        <v/>
      </c>
      <c r="P98" s="105" t="str">
        <f>IF(A98="","",IF(Q98&gt;0,"BUY","HOLD"))</f>
        <v/>
      </c>
      <c r="Q98" s="107" t="str">
        <f>IF(A98="","",IF($W$7&lt;=0,0,IF($AC$6&gt;0,$W$7*AC98/$AC$6,IF($F$6&gt;0,$W$7*N(F98)/$F$6,0))))</f>
        <v/>
      </c>
      <c r="R98" s="111" t="str">
        <f>IF(A98="","",N(AD98)+IF(AI98=1,N(AG98),0))</f>
        <v/>
      </c>
      <c r="S98" s="111" t="str">
        <f>IF(A98="","",N(E98)+N(R98))</f>
        <v/>
      </c>
      <c r="T98" s="107" t="str">
        <f>IF(A98="","",IF(N(R98)&gt;0,R98*H98*W98*$W$6+p_CorrFixa,0))</f>
        <v/>
      </c>
      <c r="V98" s="85" t="str">
        <f>IF(A98="","",IF(D98="",$W$1,D98))</f>
        <v/>
      </c>
      <c r="W98" s="85" t="str">
        <f>IF(A98="","",IFERROR(INDEX(moeda_fx,MATCH(V98,moeda_cod,0)),0))</f>
        <v/>
      </c>
      <c r="X98" s="85" t="str">
        <f>IF(A98="","",IF($W$2="",UPPER(TRIM(A98)),IF(RIGHT(UPPER(TRIM(A98)),LEN($W$2))=$W$2,UPPER(TRIM(A98)),UPPER(TRIM(A98))&amp;$W$2)))</f>
        <v/>
      </c>
      <c r="Y98" s="85" t="str">
        <f>IF(OR(A98="",p_ModoCot&lt;&gt;"Automático"),"",IFERROR(_xlfn.WEBSERVICE("https://query1.finance.yahoo.com/v8/finance/chart/"&amp;X98&amp;"?range=1d&amp;interval=1d"),""))</f>
        <v/>
      </c>
      <c r="Z98" s="85" t="str">
        <f>IF(Y98="","",IFERROR(_xlfn.NUMBERVALUE(MID(Y98,SEARCH("""regularMarketPrice"":",Y98)+21,SEARCH(",",Y98&amp;",",SEARCH("""regularMarketPrice"":",Y98)+21)-SEARCH("""regularMarketPrice"":",Y98)-21),".",","),""))</f>
        <v/>
      </c>
      <c r="AA98" s="85" t="str">
        <f>IF(A98="","",ROUND(MAX(0,N(F98)*($K$6+$W$7)-K98),2))</f>
        <v/>
      </c>
      <c r="AB98" s="85" t="str">
        <f>IF(A98="","",IF(AND(M98&gt;0,M98&gt;=p_DifMin),AA98,0))</f>
        <v/>
      </c>
      <c r="AC98" s="85" t="str">
        <f>IF(A98="","",IF(AND(AB98&gt;0,N(O98)&lt;=p_MaxAtivos),AB98,0))</f>
        <v/>
      </c>
      <c r="AD98" s="85" t="str">
        <f>IF(A98="","",IF(OR(Q98&lt;=0,Q98&lt;p_CompraMin,N(H98)&lt;=0,N(W98)&lt;=0),0,IF($W$3="Sim",TRUNC(ROUND(MAX(0,(Q98-p_CorrFixa)/(H98*W98*$W$6)),9),$W$4),TRUNC(ROUND(MAX(0,(Q98-p_CorrFixa)/(H98*W98*$W$6)),9)/$W$5)*$W$5)))</f>
        <v/>
      </c>
      <c r="AE98" s="85" t="str">
        <f>IF(A98="","",IF(N(AD98)&gt;0,AD98*H98*W98*$W$6+p_CorrFixa,0))</f>
        <v/>
      </c>
      <c r="AF98" s="85" t="str">
        <f>IF(A98="","",IF(OR($Y$1&lt;=0,N(H98)&lt;=0,N(W98)&lt;=0,N(AB98)&lt;=0),0,IF($W$3="Sim",TRUNC(ROUND(MAX(0,($Y$1-IF(N(AD98)&gt;0,0,p_CorrFixa))/(H98*W98*$W$6)),9),$W$4),TRUNC(ROUND(MAX(0,($Y$1-IF(N(AD98)&gt;0,0,p_CorrFixa))/(H98*W98*$W$6)),9)/$W$5)*$W$5)))</f>
        <v/>
      </c>
      <c r="AG98" s="85" t="str">
        <f>IF(A98="","",IF(AND(N(AD98)=0,N(AF98)*(H98*W98*$W$6)+p_CorrFixa&lt;p_CompraMin),0,AF98))</f>
        <v/>
      </c>
      <c r="AH98" s="85" t="str">
        <f>IF(A98="","",IF(N(AG98)&gt;0,AB98,0))</f>
        <v/>
      </c>
      <c r="AI98" s="85" t="str">
        <f>IF(A98="","",IF(AND(AH98&gt;0,AH98=$AH$6,COUNTIF($AH$9:AH98,AH98)=1),1,0))</f>
        <v/>
      </c>
    </row>
    <row r="99">
      <c r="A99" s="96" t="n"/>
      <c r="B99" s="96" t="n"/>
      <c r="C99" s="96" t="n"/>
      <c r="D99" s="97" t="n"/>
      <c r="E99" s="98" t="n"/>
      <c r="F99" s="99" t="n"/>
      <c r="G99" s="100" t="n"/>
      <c r="H99" s="101" t="str">
        <f>IF(A99="","",IF(AND(p_ModoCot="Automático",ISNUMBER(Z99)),Z99,IF(N(G99)&gt;0,G99,0)))</f>
        <v/>
      </c>
      <c r="I99" s="73" t="str">
        <f>IF(A99="","",IF(W99=0,"Sem câmbio",IF(AND(p_ModoCot="Automático",ISNUMBER(Z99)),"Auto",IF(N(G99)&gt;0,"Manual","Sem cotação"))))</f>
        <v/>
      </c>
      <c r="J99" s="102" t="str">
        <f>IF(A99="","",N(E99)*H99)</f>
        <v/>
      </c>
      <c r="K99" s="70" t="str">
        <f>IF(A99="","",J99*W99)</f>
        <v/>
      </c>
      <c r="L99" s="30" t="str">
        <f>IF(A99="","",IF($K$6&gt;0,K99/$K$6,0))</f>
        <v/>
      </c>
      <c r="M99" s="72" t="str">
        <f>IF(A99="","",N(F99)-L99)</f>
        <v/>
      </c>
      <c r="N99" s="30" t="str">
        <f>IF(A99="","",IF($AB$6&gt;0,AB99/$AB$6,0))</f>
        <v/>
      </c>
      <c r="O99" s="74" t="str">
        <f>IF(A99="","",IF(AB99&lt;=0,"",COUNTIF($AB$9:$AB$208,"&gt;"&amp;AB99)+COUNTIF($AB$9:AB99,AB99)))</f>
        <v/>
      </c>
      <c r="P99" s="73" t="str">
        <f>IF(A99="","",IF(Q99&gt;0,"BUY","HOLD"))</f>
        <v/>
      </c>
      <c r="Q99" s="70" t="str">
        <f>IF(A99="","",IF($W$7&lt;=0,0,IF($AC$6&gt;0,$W$7*AC99/$AC$6,IF($F$6&gt;0,$W$7*N(F99)/$F$6,0))))</f>
        <v/>
      </c>
      <c r="R99" s="103" t="str">
        <f>IF(A99="","",N(AD99)+IF(AI99=1,N(AG99),0))</f>
        <v/>
      </c>
      <c r="S99" s="103" t="str">
        <f>IF(A99="","",N(E99)+N(R99))</f>
        <v/>
      </c>
      <c r="T99" s="70" t="str">
        <f>IF(A99="","",IF(N(R99)&gt;0,R99*H99*W99*$W$6+p_CorrFixa,0))</f>
        <v/>
      </c>
      <c r="V99" s="85" t="str">
        <f>IF(A99="","",IF(D99="",$W$1,D99))</f>
        <v/>
      </c>
      <c r="W99" s="85" t="str">
        <f>IF(A99="","",IFERROR(INDEX(moeda_fx,MATCH(V99,moeda_cod,0)),0))</f>
        <v/>
      </c>
      <c r="X99" s="85" t="str">
        <f>IF(A99="","",IF($W$2="",UPPER(TRIM(A99)),IF(RIGHT(UPPER(TRIM(A99)),LEN($W$2))=$W$2,UPPER(TRIM(A99)),UPPER(TRIM(A99))&amp;$W$2)))</f>
        <v/>
      </c>
      <c r="Y99" s="85" t="str">
        <f>IF(OR(A99="",p_ModoCot&lt;&gt;"Automático"),"",IFERROR(_xlfn.WEBSERVICE("https://query1.finance.yahoo.com/v8/finance/chart/"&amp;X99&amp;"?range=1d&amp;interval=1d"),""))</f>
        <v/>
      </c>
      <c r="Z99" s="85" t="str">
        <f>IF(Y99="","",IFERROR(_xlfn.NUMBERVALUE(MID(Y99,SEARCH("""regularMarketPrice"":",Y99)+21,SEARCH(",",Y99&amp;",",SEARCH("""regularMarketPrice"":",Y99)+21)-SEARCH("""regularMarketPrice"":",Y99)-21),".",","),""))</f>
        <v/>
      </c>
      <c r="AA99" s="85" t="str">
        <f>IF(A99="","",ROUND(MAX(0,N(F99)*($K$6+$W$7)-K99),2))</f>
        <v/>
      </c>
      <c r="AB99" s="85" t="str">
        <f>IF(A99="","",IF(AND(M99&gt;0,M99&gt;=p_DifMin),AA99,0))</f>
        <v/>
      </c>
      <c r="AC99" s="85" t="str">
        <f>IF(A99="","",IF(AND(AB99&gt;0,N(O99)&lt;=p_MaxAtivos),AB99,0))</f>
        <v/>
      </c>
      <c r="AD99" s="85" t="str">
        <f>IF(A99="","",IF(OR(Q99&lt;=0,Q99&lt;p_CompraMin,N(H99)&lt;=0,N(W99)&lt;=0),0,IF($W$3="Sim",TRUNC(ROUND(MAX(0,(Q99-p_CorrFixa)/(H99*W99*$W$6)),9),$W$4),TRUNC(ROUND(MAX(0,(Q99-p_CorrFixa)/(H99*W99*$W$6)),9)/$W$5)*$W$5)))</f>
        <v/>
      </c>
      <c r="AE99" s="85" t="str">
        <f>IF(A99="","",IF(N(AD99)&gt;0,AD99*H99*W99*$W$6+p_CorrFixa,0))</f>
        <v/>
      </c>
      <c r="AF99" s="85" t="str">
        <f>IF(A99="","",IF(OR($Y$1&lt;=0,N(H99)&lt;=0,N(W99)&lt;=0,N(AB99)&lt;=0),0,IF($W$3="Sim",TRUNC(ROUND(MAX(0,($Y$1-IF(N(AD99)&gt;0,0,p_CorrFixa))/(H99*W99*$W$6)),9),$W$4),TRUNC(ROUND(MAX(0,($Y$1-IF(N(AD99)&gt;0,0,p_CorrFixa))/(H99*W99*$W$6)),9)/$W$5)*$W$5)))</f>
        <v/>
      </c>
      <c r="AG99" s="85" t="str">
        <f>IF(A99="","",IF(AND(N(AD99)=0,N(AF99)*(H99*W99*$W$6)+p_CorrFixa&lt;p_CompraMin),0,AF99))</f>
        <v/>
      </c>
      <c r="AH99" s="85" t="str">
        <f>IF(A99="","",IF(N(AG99)&gt;0,AB99,0))</f>
        <v/>
      </c>
      <c r="AI99" s="85" t="str">
        <f>IF(A99="","",IF(AND(AH99&gt;0,AH99=$AH$6,COUNTIF($AH$9:AH99,AH99)=1),1,0))</f>
        <v/>
      </c>
    </row>
    <row r="100">
      <c r="A100" s="96" t="n"/>
      <c r="B100" s="96" t="n"/>
      <c r="C100" s="96" t="n"/>
      <c r="D100" s="97" t="n"/>
      <c r="E100" s="98" t="n"/>
      <c r="F100" s="99" t="n"/>
      <c r="G100" s="100" t="n"/>
      <c r="H100" s="104" t="str">
        <f>IF(A100="","",IF(AND(p_ModoCot="Automático",ISNUMBER(Z100)),Z100,IF(N(G100)&gt;0,G100,0)))</f>
        <v/>
      </c>
      <c r="I100" s="105" t="str">
        <f>IF(A100="","",IF(W100=0,"Sem câmbio",IF(AND(p_ModoCot="Automático",ISNUMBER(Z100)),"Auto",IF(N(G100)&gt;0,"Manual","Sem cotação"))))</f>
        <v/>
      </c>
      <c r="J100" s="106" t="str">
        <f>IF(A100="","",N(E100)*H100)</f>
        <v/>
      </c>
      <c r="K100" s="107" t="str">
        <f>IF(A100="","",J100*W100)</f>
        <v/>
      </c>
      <c r="L100" s="108" t="str">
        <f>IF(A100="","",IF($K$6&gt;0,K100/$K$6,0))</f>
        <v/>
      </c>
      <c r="M100" s="109" t="str">
        <f>IF(A100="","",N(F100)-L100)</f>
        <v/>
      </c>
      <c r="N100" s="108" t="str">
        <f>IF(A100="","",IF($AB$6&gt;0,AB100/$AB$6,0))</f>
        <v/>
      </c>
      <c r="O100" s="110" t="str">
        <f>IF(A100="","",IF(AB100&lt;=0,"",COUNTIF($AB$9:$AB$208,"&gt;"&amp;AB100)+COUNTIF($AB$9:AB100,AB100)))</f>
        <v/>
      </c>
      <c r="P100" s="105" t="str">
        <f>IF(A100="","",IF(Q100&gt;0,"BUY","HOLD"))</f>
        <v/>
      </c>
      <c r="Q100" s="107" t="str">
        <f>IF(A100="","",IF($W$7&lt;=0,0,IF($AC$6&gt;0,$W$7*AC100/$AC$6,IF($F$6&gt;0,$W$7*N(F100)/$F$6,0))))</f>
        <v/>
      </c>
      <c r="R100" s="111" t="str">
        <f>IF(A100="","",N(AD100)+IF(AI100=1,N(AG100),0))</f>
        <v/>
      </c>
      <c r="S100" s="111" t="str">
        <f>IF(A100="","",N(E100)+N(R100))</f>
        <v/>
      </c>
      <c r="T100" s="107" t="str">
        <f>IF(A100="","",IF(N(R100)&gt;0,R100*H100*W100*$W$6+p_CorrFixa,0))</f>
        <v/>
      </c>
      <c r="V100" s="85" t="str">
        <f>IF(A100="","",IF(D100="",$W$1,D100))</f>
        <v/>
      </c>
      <c r="W100" s="85" t="str">
        <f>IF(A100="","",IFERROR(INDEX(moeda_fx,MATCH(V100,moeda_cod,0)),0))</f>
        <v/>
      </c>
      <c r="X100" s="85" t="str">
        <f>IF(A100="","",IF($W$2="",UPPER(TRIM(A100)),IF(RIGHT(UPPER(TRIM(A100)),LEN($W$2))=$W$2,UPPER(TRIM(A100)),UPPER(TRIM(A100))&amp;$W$2)))</f>
        <v/>
      </c>
      <c r="Y100" s="85" t="str">
        <f>IF(OR(A100="",p_ModoCot&lt;&gt;"Automático"),"",IFERROR(_xlfn.WEBSERVICE("https://query1.finance.yahoo.com/v8/finance/chart/"&amp;X100&amp;"?range=1d&amp;interval=1d"),""))</f>
        <v/>
      </c>
      <c r="Z100" s="85" t="str">
        <f>IF(Y100="","",IFERROR(_xlfn.NUMBERVALUE(MID(Y100,SEARCH("""regularMarketPrice"":",Y100)+21,SEARCH(",",Y100&amp;",",SEARCH("""regularMarketPrice"":",Y100)+21)-SEARCH("""regularMarketPrice"":",Y100)-21),".",","),""))</f>
        <v/>
      </c>
      <c r="AA100" s="85" t="str">
        <f>IF(A100="","",ROUND(MAX(0,N(F100)*($K$6+$W$7)-K100),2))</f>
        <v/>
      </c>
      <c r="AB100" s="85" t="str">
        <f>IF(A100="","",IF(AND(M100&gt;0,M100&gt;=p_DifMin),AA100,0))</f>
        <v/>
      </c>
      <c r="AC100" s="85" t="str">
        <f>IF(A100="","",IF(AND(AB100&gt;0,N(O100)&lt;=p_MaxAtivos),AB100,0))</f>
        <v/>
      </c>
      <c r="AD100" s="85" t="str">
        <f>IF(A100="","",IF(OR(Q100&lt;=0,Q100&lt;p_CompraMin,N(H100)&lt;=0,N(W100)&lt;=0),0,IF($W$3="Sim",TRUNC(ROUND(MAX(0,(Q100-p_CorrFixa)/(H100*W100*$W$6)),9),$W$4),TRUNC(ROUND(MAX(0,(Q100-p_CorrFixa)/(H100*W100*$W$6)),9)/$W$5)*$W$5)))</f>
        <v/>
      </c>
      <c r="AE100" s="85" t="str">
        <f>IF(A100="","",IF(N(AD100)&gt;0,AD100*H100*W100*$W$6+p_CorrFixa,0))</f>
        <v/>
      </c>
      <c r="AF100" s="85" t="str">
        <f>IF(A100="","",IF(OR($Y$1&lt;=0,N(H100)&lt;=0,N(W100)&lt;=0,N(AB100)&lt;=0),0,IF($W$3="Sim",TRUNC(ROUND(MAX(0,($Y$1-IF(N(AD100)&gt;0,0,p_CorrFixa))/(H100*W100*$W$6)),9),$W$4),TRUNC(ROUND(MAX(0,($Y$1-IF(N(AD100)&gt;0,0,p_CorrFixa))/(H100*W100*$W$6)),9)/$W$5)*$W$5)))</f>
        <v/>
      </c>
      <c r="AG100" s="85" t="str">
        <f>IF(A100="","",IF(AND(N(AD100)=0,N(AF100)*(H100*W100*$W$6)+p_CorrFixa&lt;p_CompraMin),0,AF100))</f>
        <v/>
      </c>
      <c r="AH100" s="85" t="str">
        <f>IF(A100="","",IF(N(AG100)&gt;0,AB100,0))</f>
        <v/>
      </c>
      <c r="AI100" s="85" t="str">
        <f>IF(A100="","",IF(AND(AH100&gt;0,AH100=$AH$6,COUNTIF($AH$9:AH100,AH100)=1),1,0))</f>
        <v/>
      </c>
    </row>
    <row r="101">
      <c r="A101" s="96" t="n"/>
      <c r="B101" s="96" t="n"/>
      <c r="C101" s="96" t="n"/>
      <c r="D101" s="97" t="n"/>
      <c r="E101" s="98" t="n"/>
      <c r="F101" s="99" t="n"/>
      <c r="G101" s="100" t="n"/>
      <c r="H101" s="101" t="str">
        <f>IF(A101="","",IF(AND(p_ModoCot="Automático",ISNUMBER(Z101)),Z101,IF(N(G101)&gt;0,G101,0)))</f>
        <v/>
      </c>
      <c r="I101" s="73" t="str">
        <f>IF(A101="","",IF(W101=0,"Sem câmbio",IF(AND(p_ModoCot="Automático",ISNUMBER(Z101)),"Auto",IF(N(G101)&gt;0,"Manual","Sem cotação"))))</f>
        <v/>
      </c>
      <c r="J101" s="102" t="str">
        <f>IF(A101="","",N(E101)*H101)</f>
        <v/>
      </c>
      <c r="K101" s="70" t="str">
        <f>IF(A101="","",J101*W101)</f>
        <v/>
      </c>
      <c r="L101" s="30" t="str">
        <f>IF(A101="","",IF($K$6&gt;0,K101/$K$6,0))</f>
        <v/>
      </c>
      <c r="M101" s="72" t="str">
        <f>IF(A101="","",N(F101)-L101)</f>
        <v/>
      </c>
      <c r="N101" s="30" t="str">
        <f>IF(A101="","",IF($AB$6&gt;0,AB101/$AB$6,0))</f>
        <v/>
      </c>
      <c r="O101" s="74" t="str">
        <f>IF(A101="","",IF(AB101&lt;=0,"",COUNTIF($AB$9:$AB$208,"&gt;"&amp;AB101)+COUNTIF($AB$9:AB101,AB101)))</f>
        <v/>
      </c>
      <c r="P101" s="73" t="str">
        <f>IF(A101="","",IF(Q101&gt;0,"BUY","HOLD"))</f>
        <v/>
      </c>
      <c r="Q101" s="70" t="str">
        <f>IF(A101="","",IF($W$7&lt;=0,0,IF($AC$6&gt;0,$W$7*AC101/$AC$6,IF($F$6&gt;0,$W$7*N(F101)/$F$6,0))))</f>
        <v/>
      </c>
      <c r="R101" s="103" t="str">
        <f>IF(A101="","",N(AD101)+IF(AI101=1,N(AG101),0))</f>
        <v/>
      </c>
      <c r="S101" s="103" t="str">
        <f>IF(A101="","",N(E101)+N(R101))</f>
        <v/>
      </c>
      <c r="T101" s="70" t="str">
        <f>IF(A101="","",IF(N(R101)&gt;0,R101*H101*W101*$W$6+p_CorrFixa,0))</f>
        <v/>
      </c>
      <c r="V101" s="85" t="str">
        <f>IF(A101="","",IF(D101="",$W$1,D101))</f>
        <v/>
      </c>
      <c r="W101" s="85" t="str">
        <f>IF(A101="","",IFERROR(INDEX(moeda_fx,MATCH(V101,moeda_cod,0)),0))</f>
        <v/>
      </c>
      <c r="X101" s="85" t="str">
        <f>IF(A101="","",IF($W$2="",UPPER(TRIM(A101)),IF(RIGHT(UPPER(TRIM(A101)),LEN($W$2))=$W$2,UPPER(TRIM(A101)),UPPER(TRIM(A101))&amp;$W$2)))</f>
        <v/>
      </c>
      <c r="Y101" s="85" t="str">
        <f>IF(OR(A101="",p_ModoCot&lt;&gt;"Automático"),"",IFERROR(_xlfn.WEBSERVICE("https://query1.finance.yahoo.com/v8/finance/chart/"&amp;X101&amp;"?range=1d&amp;interval=1d"),""))</f>
        <v/>
      </c>
      <c r="Z101" s="85" t="str">
        <f>IF(Y101="","",IFERROR(_xlfn.NUMBERVALUE(MID(Y101,SEARCH("""regularMarketPrice"":",Y101)+21,SEARCH(",",Y101&amp;",",SEARCH("""regularMarketPrice"":",Y101)+21)-SEARCH("""regularMarketPrice"":",Y101)-21),".",","),""))</f>
        <v/>
      </c>
      <c r="AA101" s="85" t="str">
        <f>IF(A101="","",ROUND(MAX(0,N(F101)*($K$6+$W$7)-K101),2))</f>
        <v/>
      </c>
      <c r="AB101" s="85" t="str">
        <f>IF(A101="","",IF(AND(M101&gt;0,M101&gt;=p_DifMin),AA101,0))</f>
        <v/>
      </c>
      <c r="AC101" s="85" t="str">
        <f>IF(A101="","",IF(AND(AB101&gt;0,N(O101)&lt;=p_MaxAtivos),AB101,0))</f>
        <v/>
      </c>
      <c r="AD101" s="85" t="str">
        <f>IF(A101="","",IF(OR(Q101&lt;=0,Q101&lt;p_CompraMin,N(H101)&lt;=0,N(W101)&lt;=0),0,IF($W$3="Sim",TRUNC(ROUND(MAX(0,(Q101-p_CorrFixa)/(H101*W101*$W$6)),9),$W$4),TRUNC(ROUND(MAX(0,(Q101-p_CorrFixa)/(H101*W101*$W$6)),9)/$W$5)*$W$5)))</f>
        <v/>
      </c>
      <c r="AE101" s="85" t="str">
        <f>IF(A101="","",IF(N(AD101)&gt;0,AD101*H101*W101*$W$6+p_CorrFixa,0))</f>
        <v/>
      </c>
      <c r="AF101" s="85" t="str">
        <f>IF(A101="","",IF(OR($Y$1&lt;=0,N(H101)&lt;=0,N(W101)&lt;=0,N(AB101)&lt;=0),0,IF($W$3="Sim",TRUNC(ROUND(MAX(0,($Y$1-IF(N(AD101)&gt;0,0,p_CorrFixa))/(H101*W101*$W$6)),9),$W$4),TRUNC(ROUND(MAX(0,($Y$1-IF(N(AD101)&gt;0,0,p_CorrFixa))/(H101*W101*$W$6)),9)/$W$5)*$W$5)))</f>
        <v/>
      </c>
      <c r="AG101" s="85" t="str">
        <f>IF(A101="","",IF(AND(N(AD101)=0,N(AF101)*(H101*W101*$W$6)+p_CorrFixa&lt;p_CompraMin),0,AF101))</f>
        <v/>
      </c>
      <c r="AH101" s="85" t="str">
        <f>IF(A101="","",IF(N(AG101)&gt;0,AB101,0))</f>
        <v/>
      </c>
      <c r="AI101" s="85" t="str">
        <f>IF(A101="","",IF(AND(AH101&gt;0,AH101=$AH$6,COUNTIF($AH$9:AH101,AH101)=1),1,0))</f>
        <v/>
      </c>
    </row>
    <row r="102">
      <c r="A102" s="96" t="n"/>
      <c r="B102" s="96" t="n"/>
      <c r="C102" s="96" t="n"/>
      <c r="D102" s="97" t="n"/>
      <c r="E102" s="98" t="n"/>
      <c r="F102" s="99" t="n"/>
      <c r="G102" s="100" t="n"/>
      <c r="H102" s="104" t="str">
        <f>IF(A102="","",IF(AND(p_ModoCot="Automático",ISNUMBER(Z102)),Z102,IF(N(G102)&gt;0,G102,0)))</f>
        <v/>
      </c>
      <c r="I102" s="105" t="str">
        <f>IF(A102="","",IF(W102=0,"Sem câmbio",IF(AND(p_ModoCot="Automático",ISNUMBER(Z102)),"Auto",IF(N(G102)&gt;0,"Manual","Sem cotação"))))</f>
        <v/>
      </c>
      <c r="J102" s="106" t="str">
        <f>IF(A102="","",N(E102)*H102)</f>
        <v/>
      </c>
      <c r="K102" s="107" t="str">
        <f>IF(A102="","",J102*W102)</f>
        <v/>
      </c>
      <c r="L102" s="108" t="str">
        <f>IF(A102="","",IF($K$6&gt;0,K102/$K$6,0))</f>
        <v/>
      </c>
      <c r="M102" s="109" t="str">
        <f>IF(A102="","",N(F102)-L102)</f>
        <v/>
      </c>
      <c r="N102" s="108" t="str">
        <f>IF(A102="","",IF($AB$6&gt;0,AB102/$AB$6,0))</f>
        <v/>
      </c>
      <c r="O102" s="110" t="str">
        <f>IF(A102="","",IF(AB102&lt;=0,"",COUNTIF($AB$9:$AB$208,"&gt;"&amp;AB102)+COUNTIF($AB$9:AB102,AB102)))</f>
        <v/>
      </c>
      <c r="P102" s="105" t="str">
        <f>IF(A102="","",IF(Q102&gt;0,"BUY","HOLD"))</f>
        <v/>
      </c>
      <c r="Q102" s="107" t="str">
        <f>IF(A102="","",IF($W$7&lt;=0,0,IF($AC$6&gt;0,$W$7*AC102/$AC$6,IF($F$6&gt;0,$W$7*N(F102)/$F$6,0))))</f>
        <v/>
      </c>
      <c r="R102" s="111" t="str">
        <f>IF(A102="","",N(AD102)+IF(AI102=1,N(AG102),0))</f>
        <v/>
      </c>
      <c r="S102" s="111" t="str">
        <f>IF(A102="","",N(E102)+N(R102))</f>
        <v/>
      </c>
      <c r="T102" s="107" t="str">
        <f>IF(A102="","",IF(N(R102)&gt;0,R102*H102*W102*$W$6+p_CorrFixa,0))</f>
        <v/>
      </c>
      <c r="V102" s="85" t="str">
        <f>IF(A102="","",IF(D102="",$W$1,D102))</f>
        <v/>
      </c>
      <c r="W102" s="85" t="str">
        <f>IF(A102="","",IFERROR(INDEX(moeda_fx,MATCH(V102,moeda_cod,0)),0))</f>
        <v/>
      </c>
      <c r="X102" s="85" t="str">
        <f>IF(A102="","",IF($W$2="",UPPER(TRIM(A102)),IF(RIGHT(UPPER(TRIM(A102)),LEN($W$2))=$W$2,UPPER(TRIM(A102)),UPPER(TRIM(A102))&amp;$W$2)))</f>
        <v/>
      </c>
      <c r="Y102" s="85" t="str">
        <f>IF(OR(A102="",p_ModoCot&lt;&gt;"Automático"),"",IFERROR(_xlfn.WEBSERVICE("https://query1.finance.yahoo.com/v8/finance/chart/"&amp;X102&amp;"?range=1d&amp;interval=1d"),""))</f>
        <v/>
      </c>
      <c r="Z102" s="85" t="str">
        <f>IF(Y102="","",IFERROR(_xlfn.NUMBERVALUE(MID(Y102,SEARCH("""regularMarketPrice"":",Y102)+21,SEARCH(",",Y102&amp;",",SEARCH("""regularMarketPrice"":",Y102)+21)-SEARCH("""regularMarketPrice"":",Y102)-21),".",","),""))</f>
        <v/>
      </c>
      <c r="AA102" s="85" t="str">
        <f>IF(A102="","",ROUND(MAX(0,N(F102)*($K$6+$W$7)-K102),2))</f>
        <v/>
      </c>
      <c r="AB102" s="85" t="str">
        <f>IF(A102="","",IF(AND(M102&gt;0,M102&gt;=p_DifMin),AA102,0))</f>
        <v/>
      </c>
      <c r="AC102" s="85" t="str">
        <f>IF(A102="","",IF(AND(AB102&gt;0,N(O102)&lt;=p_MaxAtivos),AB102,0))</f>
        <v/>
      </c>
      <c r="AD102" s="85" t="str">
        <f>IF(A102="","",IF(OR(Q102&lt;=0,Q102&lt;p_CompraMin,N(H102)&lt;=0,N(W102)&lt;=0),0,IF($W$3="Sim",TRUNC(ROUND(MAX(0,(Q102-p_CorrFixa)/(H102*W102*$W$6)),9),$W$4),TRUNC(ROUND(MAX(0,(Q102-p_CorrFixa)/(H102*W102*$W$6)),9)/$W$5)*$W$5)))</f>
        <v/>
      </c>
      <c r="AE102" s="85" t="str">
        <f>IF(A102="","",IF(N(AD102)&gt;0,AD102*H102*W102*$W$6+p_CorrFixa,0))</f>
        <v/>
      </c>
      <c r="AF102" s="85" t="str">
        <f>IF(A102="","",IF(OR($Y$1&lt;=0,N(H102)&lt;=0,N(W102)&lt;=0,N(AB102)&lt;=0),0,IF($W$3="Sim",TRUNC(ROUND(MAX(0,($Y$1-IF(N(AD102)&gt;0,0,p_CorrFixa))/(H102*W102*$W$6)),9),$W$4),TRUNC(ROUND(MAX(0,($Y$1-IF(N(AD102)&gt;0,0,p_CorrFixa))/(H102*W102*$W$6)),9)/$W$5)*$W$5)))</f>
        <v/>
      </c>
      <c r="AG102" s="85" t="str">
        <f>IF(A102="","",IF(AND(N(AD102)=0,N(AF102)*(H102*W102*$W$6)+p_CorrFixa&lt;p_CompraMin),0,AF102))</f>
        <v/>
      </c>
      <c r="AH102" s="85" t="str">
        <f>IF(A102="","",IF(N(AG102)&gt;0,AB102,0))</f>
        <v/>
      </c>
      <c r="AI102" s="85" t="str">
        <f>IF(A102="","",IF(AND(AH102&gt;0,AH102=$AH$6,COUNTIF($AH$9:AH102,AH102)=1),1,0))</f>
        <v/>
      </c>
    </row>
    <row r="103">
      <c r="A103" s="96" t="n"/>
      <c r="B103" s="96" t="n"/>
      <c r="C103" s="96" t="n"/>
      <c r="D103" s="97" t="n"/>
      <c r="E103" s="98" t="n"/>
      <c r="F103" s="99" t="n"/>
      <c r="G103" s="100" t="n"/>
      <c r="H103" s="101" t="str">
        <f>IF(A103="","",IF(AND(p_ModoCot="Automático",ISNUMBER(Z103)),Z103,IF(N(G103)&gt;0,G103,0)))</f>
        <v/>
      </c>
      <c r="I103" s="73" t="str">
        <f>IF(A103="","",IF(W103=0,"Sem câmbio",IF(AND(p_ModoCot="Automático",ISNUMBER(Z103)),"Auto",IF(N(G103)&gt;0,"Manual","Sem cotação"))))</f>
        <v/>
      </c>
      <c r="J103" s="102" t="str">
        <f>IF(A103="","",N(E103)*H103)</f>
        <v/>
      </c>
      <c r="K103" s="70" t="str">
        <f>IF(A103="","",J103*W103)</f>
        <v/>
      </c>
      <c r="L103" s="30" t="str">
        <f>IF(A103="","",IF($K$6&gt;0,K103/$K$6,0))</f>
        <v/>
      </c>
      <c r="M103" s="72" t="str">
        <f>IF(A103="","",N(F103)-L103)</f>
        <v/>
      </c>
      <c r="N103" s="30" t="str">
        <f>IF(A103="","",IF($AB$6&gt;0,AB103/$AB$6,0))</f>
        <v/>
      </c>
      <c r="O103" s="74" t="str">
        <f>IF(A103="","",IF(AB103&lt;=0,"",COUNTIF($AB$9:$AB$208,"&gt;"&amp;AB103)+COUNTIF($AB$9:AB103,AB103)))</f>
        <v/>
      </c>
      <c r="P103" s="73" t="str">
        <f>IF(A103="","",IF(Q103&gt;0,"BUY","HOLD"))</f>
        <v/>
      </c>
      <c r="Q103" s="70" t="str">
        <f>IF(A103="","",IF($W$7&lt;=0,0,IF($AC$6&gt;0,$W$7*AC103/$AC$6,IF($F$6&gt;0,$W$7*N(F103)/$F$6,0))))</f>
        <v/>
      </c>
      <c r="R103" s="103" t="str">
        <f>IF(A103="","",N(AD103)+IF(AI103=1,N(AG103),0))</f>
        <v/>
      </c>
      <c r="S103" s="103" t="str">
        <f>IF(A103="","",N(E103)+N(R103))</f>
        <v/>
      </c>
      <c r="T103" s="70" t="str">
        <f>IF(A103="","",IF(N(R103)&gt;0,R103*H103*W103*$W$6+p_CorrFixa,0))</f>
        <v/>
      </c>
      <c r="V103" s="85" t="str">
        <f>IF(A103="","",IF(D103="",$W$1,D103))</f>
        <v/>
      </c>
      <c r="W103" s="85" t="str">
        <f>IF(A103="","",IFERROR(INDEX(moeda_fx,MATCH(V103,moeda_cod,0)),0))</f>
        <v/>
      </c>
      <c r="X103" s="85" t="str">
        <f>IF(A103="","",IF($W$2="",UPPER(TRIM(A103)),IF(RIGHT(UPPER(TRIM(A103)),LEN($W$2))=$W$2,UPPER(TRIM(A103)),UPPER(TRIM(A103))&amp;$W$2)))</f>
        <v/>
      </c>
      <c r="Y103" s="85" t="str">
        <f>IF(OR(A103="",p_ModoCot&lt;&gt;"Automático"),"",IFERROR(_xlfn.WEBSERVICE("https://query1.finance.yahoo.com/v8/finance/chart/"&amp;X103&amp;"?range=1d&amp;interval=1d"),""))</f>
        <v/>
      </c>
      <c r="Z103" s="85" t="str">
        <f>IF(Y103="","",IFERROR(_xlfn.NUMBERVALUE(MID(Y103,SEARCH("""regularMarketPrice"":",Y103)+21,SEARCH(",",Y103&amp;",",SEARCH("""regularMarketPrice"":",Y103)+21)-SEARCH("""regularMarketPrice"":",Y103)-21),".",","),""))</f>
        <v/>
      </c>
      <c r="AA103" s="85" t="str">
        <f>IF(A103="","",ROUND(MAX(0,N(F103)*($K$6+$W$7)-K103),2))</f>
        <v/>
      </c>
      <c r="AB103" s="85" t="str">
        <f>IF(A103="","",IF(AND(M103&gt;0,M103&gt;=p_DifMin),AA103,0))</f>
        <v/>
      </c>
      <c r="AC103" s="85" t="str">
        <f>IF(A103="","",IF(AND(AB103&gt;0,N(O103)&lt;=p_MaxAtivos),AB103,0))</f>
        <v/>
      </c>
      <c r="AD103" s="85" t="str">
        <f>IF(A103="","",IF(OR(Q103&lt;=0,Q103&lt;p_CompraMin,N(H103)&lt;=0,N(W103)&lt;=0),0,IF($W$3="Sim",TRUNC(ROUND(MAX(0,(Q103-p_CorrFixa)/(H103*W103*$W$6)),9),$W$4),TRUNC(ROUND(MAX(0,(Q103-p_CorrFixa)/(H103*W103*$W$6)),9)/$W$5)*$W$5)))</f>
        <v/>
      </c>
      <c r="AE103" s="85" t="str">
        <f>IF(A103="","",IF(N(AD103)&gt;0,AD103*H103*W103*$W$6+p_CorrFixa,0))</f>
        <v/>
      </c>
      <c r="AF103" s="85" t="str">
        <f>IF(A103="","",IF(OR($Y$1&lt;=0,N(H103)&lt;=0,N(W103)&lt;=0,N(AB103)&lt;=0),0,IF($W$3="Sim",TRUNC(ROUND(MAX(0,($Y$1-IF(N(AD103)&gt;0,0,p_CorrFixa))/(H103*W103*$W$6)),9),$W$4),TRUNC(ROUND(MAX(0,($Y$1-IF(N(AD103)&gt;0,0,p_CorrFixa))/(H103*W103*$W$6)),9)/$W$5)*$W$5)))</f>
        <v/>
      </c>
      <c r="AG103" s="85" t="str">
        <f>IF(A103="","",IF(AND(N(AD103)=0,N(AF103)*(H103*W103*$W$6)+p_CorrFixa&lt;p_CompraMin),0,AF103))</f>
        <v/>
      </c>
      <c r="AH103" s="85" t="str">
        <f>IF(A103="","",IF(N(AG103)&gt;0,AB103,0))</f>
        <v/>
      </c>
      <c r="AI103" s="85" t="str">
        <f>IF(A103="","",IF(AND(AH103&gt;0,AH103=$AH$6,COUNTIF($AH$9:AH103,AH103)=1),1,0))</f>
        <v/>
      </c>
    </row>
    <row r="104">
      <c r="A104" s="96" t="n"/>
      <c r="B104" s="96" t="n"/>
      <c r="C104" s="96" t="n"/>
      <c r="D104" s="97" t="n"/>
      <c r="E104" s="98" t="n"/>
      <c r="F104" s="99" t="n"/>
      <c r="G104" s="100" t="n"/>
      <c r="H104" s="104" t="str">
        <f>IF(A104="","",IF(AND(p_ModoCot="Automático",ISNUMBER(Z104)),Z104,IF(N(G104)&gt;0,G104,0)))</f>
        <v/>
      </c>
      <c r="I104" s="105" t="str">
        <f>IF(A104="","",IF(W104=0,"Sem câmbio",IF(AND(p_ModoCot="Automático",ISNUMBER(Z104)),"Auto",IF(N(G104)&gt;0,"Manual","Sem cotação"))))</f>
        <v/>
      </c>
      <c r="J104" s="106" t="str">
        <f>IF(A104="","",N(E104)*H104)</f>
        <v/>
      </c>
      <c r="K104" s="107" t="str">
        <f>IF(A104="","",J104*W104)</f>
        <v/>
      </c>
      <c r="L104" s="108" t="str">
        <f>IF(A104="","",IF($K$6&gt;0,K104/$K$6,0))</f>
        <v/>
      </c>
      <c r="M104" s="109" t="str">
        <f>IF(A104="","",N(F104)-L104)</f>
        <v/>
      </c>
      <c r="N104" s="108" t="str">
        <f>IF(A104="","",IF($AB$6&gt;0,AB104/$AB$6,0))</f>
        <v/>
      </c>
      <c r="O104" s="110" t="str">
        <f>IF(A104="","",IF(AB104&lt;=0,"",COUNTIF($AB$9:$AB$208,"&gt;"&amp;AB104)+COUNTIF($AB$9:AB104,AB104)))</f>
        <v/>
      </c>
      <c r="P104" s="105" t="str">
        <f>IF(A104="","",IF(Q104&gt;0,"BUY","HOLD"))</f>
        <v/>
      </c>
      <c r="Q104" s="107" t="str">
        <f>IF(A104="","",IF($W$7&lt;=0,0,IF($AC$6&gt;0,$W$7*AC104/$AC$6,IF($F$6&gt;0,$W$7*N(F104)/$F$6,0))))</f>
        <v/>
      </c>
      <c r="R104" s="111" t="str">
        <f>IF(A104="","",N(AD104)+IF(AI104=1,N(AG104),0))</f>
        <v/>
      </c>
      <c r="S104" s="111" t="str">
        <f>IF(A104="","",N(E104)+N(R104))</f>
        <v/>
      </c>
      <c r="T104" s="107" t="str">
        <f>IF(A104="","",IF(N(R104)&gt;0,R104*H104*W104*$W$6+p_CorrFixa,0))</f>
        <v/>
      </c>
      <c r="V104" s="85" t="str">
        <f>IF(A104="","",IF(D104="",$W$1,D104))</f>
        <v/>
      </c>
      <c r="W104" s="85" t="str">
        <f>IF(A104="","",IFERROR(INDEX(moeda_fx,MATCH(V104,moeda_cod,0)),0))</f>
        <v/>
      </c>
      <c r="X104" s="85" t="str">
        <f>IF(A104="","",IF($W$2="",UPPER(TRIM(A104)),IF(RIGHT(UPPER(TRIM(A104)),LEN($W$2))=$W$2,UPPER(TRIM(A104)),UPPER(TRIM(A104))&amp;$W$2)))</f>
        <v/>
      </c>
      <c r="Y104" s="85" t="str">
        <f>IF(OR(A104="",p_ModoCot&lt;&gt;"Automático"),"",IFERROR(_xlfn.WEBSERVICE("https://query1.finance.yahoo.com/v8/finance/chart/"&amp;X104&amp;"?range=1d&amp;interval=1d"),""))</f>
        <v/>
      </c>
      <c r="Z104" s="85" t="str">
        <f>IF(Y104="","",IFERROR(_xlfn.NUMBERVALUE(MID(Y104,SEARCH("""regularMarketPrice"":",Y104)+21,SEARCH(",",Y104&amp;",",SEARCH("""regularMarketPrice"":",Y104)+21)-SEARCH("""regularMarketPrice"":",Y104)-21),".",","),""))</f>
        <v/>
      </c>
      <c r="AA104" s="85" t="str">
        <f>IF(A104="","",ROUND(MAX(0,N(F104)*($K$6+$W$7)-K104),2))</f>
        <v/>
      </c>
      <c r="AB104" s="85" t="str">
        <f>IF(A104="","",IF(AND(M104&gt;0,M104&gt;=p_DifMin),AA104,0))</f>
        <v/>
      </c>
      <c r="AC104" s="85" t="str">
        <f>IF(A104="","",IF(AND(AB104&gt;0,N(O104)&lt;=p_MaxAtivos),AB104,0))</f>
        <v/>
      </c>
      <c r="AD104" s="85" t="str">
        <f>IF(A104="","",IF(OR(Q104&lt;=0,Q104&lt;p_CompraMin,N(H104)&lt;=0,N(W104)&lt;=0),0,IF($W$3="Sim",TRUNC(ROUND(MAX(0,(Q104-p_CorrFixa)/(H104*W104*$W$6)),9),$W$4),TRUNC(ROUND(MAX(0,(Q104-p_CorrFixa)/(H104*W104*$W$6)),9)/$W$5)*$W$5)))</f>
        <v/>
      </c>
      <c r="AE104" s="85" t="str">
        <f>IF(A104="","",IF(N(AD104)&gt;0,AD104*H104*W104*$W$6+p_CorrFixa,0))</f>
        <v/>
      </c>
      <c r="AF104" s="85" t="str">
        <f>IF(A104="","",IF(OR($Y$1&lt;=0,N(H104)&lt;=0,N(W104)&lt;=0,N(AB104)&lt;=0),0,IF($W$3="Sim",TRUNC(ROUND(MAX(0,($Y$1-IF(N(AD104)&gt;0,0,p_CorrFixa))/(H104*W104*$W$6)),9),$W$4),TRUNC(ROUND(MAX(0,($Y$1-IF(N(AD104)&gt;0,0,p_CorrFixa))/(H104*W104*$W$6)),9)/$W$5)*$W$5)))</f>
        <v/>
      </c>
      <c r="AG104" s="85" t="str">
        <f>IF(A104="","",IF(AND(N(AD104)=0,N(AF104)*(H104*W104*$W$6)+p_CorrFixa&lt;p_CompraMin),0,AF104))</f>
        <v/>
      </c>
      <c r="AH104" s="85" t="str">
        <f>IF(A104="","",IF(N(AG104)&gt;0,AB104,0))</f>
        <v/>
      </c>
      <c r="AI104" s="85" t="str">
        <f>IF(A104="","",IF(AND(AH104&gt;0,AH104=$AH$6,COUNTIF($AH$9:AH104,AH104)=1),1,0))</f>
        <v/>
      </c>
    </row>
    <row r="105">
      <c r="A105" s="96" t="n"/>
      <c r="B105" s="96" t="n"/>
      <c r="C105" s="96" t="n"/>
      <c r="D105" s="97" t="n"/>
      <c r="E105" s="98" t="n"/>
      <c r="F105" s="99" t="n"/>
      <c r="G105" s="100" t="n"/>
      <c r="H105" s="101" t="str">
        <f>IF(A105="","",IF(AND(p_ModoCot="Automático",ISNUMBER(Z105)),Z105,IF(N(G105)&gt;0,G105,0)))</f>
        <v/>
      </c>
      <c r="I105" s="73" t="str">
        <f>IF(A105="","",IF(W105=0,"Sem câmbio",IF(AND(p_ModoCot="Automático",ISNUMBER(Z105)),"Auto",IF(N(G105)&gt;0,"Manual","Sem cotação"))))</f>
        <v/>
      </c>
      <c r="J105" s="102" t="str">
        <f>IF(A105="","",N(E105)*H105)</f>
        <v/>
      </c>
      <c r="K105" s="70" t="str">
        <f>IF(A105="","",J105*W105)</f>
        <v/>
      </c>
      <c r="L105" s="30" t="str">
        <f>IF(A105="","",IF($K$6&gt;0,K105/$K$6,0))</f>
        <v/>
      </c>
      <c r="M105" s="72" t="str">
        <f>IF(A105="","",N(F105)-L105)</f>
        <v/>
      </c>
      <c r="N105" s="30" t="str">
        <f>IF(A105="","",IF($AB$6&gt;0,AB105/$AB$6,0))</f>
        <v/>
      </c>
      <c r="O105" s="74" t="str">
        <f>IF(A105="","",IF(AB105&lt;=0,"",COUNTIF($AB$9:$AB$208,"&gt;"&amp;AB105)+COUNTIF($AB$9:AB105,AB105)))</f>
        <v/>
      </c>
      <c r="P105" s="73" t="str">
        <f>IF(A105="","",IF(Q105&gt;0,"BUY","HOLD"))</f>
        <v/>
      </c>
      <c r="Q105" s="70" t="str">
        <f>IF(A105="","",IF($W$7&lt;=0,0,IF($AC$6&gt;0,$W$7*AC105/$AC$6,IF($F$6&gt;0,$W$7*N(F105)/$F$6,0))))</f>
        <v/>
      </c>
      <c r="R105" s="103" t="str">
        <f>IF(A105="","",N(AD105)+IF(AI105=1,N(AG105),0))</f>
        <v/>
      </c>
      <c r="S105" s="103" t="str">
        <f>IF(A105="","",N(E105)+N(R105))</f>
        <v/>
      </c>
      <c r="T105" s="70" t="str">
        <f>IF(A105="","",IF(N(R105)&gt;0,R105*H105*W105*$W$6+p_CorrFixa,0))</f>
        <v/>
      </c>
      <c r="V105" s="85" t="str">
        <f>IF(A105="","",IF(D105="",$W$1,D105))</f>
        <v/>
      </c>
      <c r="W105" s="85" t="str">
        <f>IF(A105="","",IFERROR(INDEX(moeda_fx,MATCH(V105,moeda_cod,0)),0))</f>
        <v/>
      </c>
      <c r="X105" s="85" t="str">
        <f>IF(A105="","",IF($W$2="",UPPER(TRIM(A105)),IF(RIGHT(UPPER(TRIM(A105)),LEN($W$2))=$W$2,UPPER(TRIM(A105)),UPPER(TRIM(A105))&amp;$W$2)))</f>
        <v/>
      </c>
      <c r="Y105" s="85" t="str">
        <f>IF(OR(A105="",p_ModoCot&lt;&gt;"Automático"),"",IFERROR(_xlfn.WEBSERVICE("https://query1.finance.yahoo.com/v8/finance/chart/"&amp;X105&amp;"?range=1d&amp;interval=1d"),""))</f>
        <v/>
      </c>
      <c r="Z105" s="85" t="str">
        <f>IF(Y105="","",IFERROR(_xlfn.NUMBERVALUE(MID(Y105,SEARCH("""regularMarketPrice"":",Y105)+21,SEARCH(",",Y105&amp;",",SEARCH("""regularMarketPrice"":",Y105)+21)-SEARCH("""regularMarketPrice"":",Y105)-21),".",","),""))</f>
        <v/>
      </c>
      <c r="AA105" s="85" t="str">
        <f>IF(A105="","",ROUND(MAX(0,N(F105)*($K$6+$W$7)-K105),2))</f>
        <v/>
      </c>
      <c r="AB105" s="85" t="str">
        <f>IF(A105="","",IF(AND(M105&gt;0,M105&gt;=p_DifMin),AA105,0))</f>
        <v/>
      </c>
      <c r="AC105" s="85" t="str">
        <f>IF(A105="","",IF(AND(AB105&gt;0,N(O105)&lt;=p_MaxAtivos),AB105,0))</f>
        <v/>
      </c>
      <c r="AD105" s="85" t="str">
        <f>IF(A105="","",IF(OR(Q105&lt;=0,Q105&lt;p_CompraMin,N(H105)&lt;=0,N(W105)&lt;=0),0,IF($W$3="Sim",TRUNC(ROUND(MAX(0,(Q105-p_CorrFixa)/(H105*W105*$W$6)),9),$W$4),TRUNC(ROUND(MAX(0,(Q105-p_CorrFixa)/(H105*W105*$W$6)),9)/$W$5)*$W$5)))</f>
        <v/>
      </c>
      <c r="AE105" s="85" t="str">
        <f>IF(A105="","",IF(N(AD105)&gt;0,AD105*H105*W105*$W$6+p_CorrFixa,0))</f>
        <v/>
      </c>
      <c r="AF105" s="85" t="str">
        <f>IF(A105="","",IF(OR($Y$1&lt;=0,N(H105)&lt;=0,N(W105)&lt;=0,N(AB105)&lt;=0),0,IF($W$3="Sim",TRUNC(ROUND(MAX(0,($Y$1-IF(N(AD105)&gt;0,0,p_CorrFixa))/(H105*W105*$W$6)),9),$W$4),TRUNC(ROUND(MAX(0,($Y$1-IF(N(AD105)&gt;0,0,p_CorrFixa))/(H105*W105*$W$6)),9)/$W$5)*$W$5)))</f>
        <v/>
      </c>
      <c r="AG105" s="85" t="str">
        <f>IF(A105="","",IF(AND(N(AD105)=0,N(AF105)*(H105*W105*$W$6)+p_CorrFixa&lt;p_CompraMin),0,AF105))</f>
        <v/>
      </c>
      <c r="AH105" s="85" t="str">
        <f>IF(A105="","",IF(N(AG105)&gt;0,AB105,0))</f>
        <v/>
      </c>
      <c r="AI105" s="85" t="str">
        <f>IF(A105="","",IF(AND(AH105&gt;0,AH105=$AH$6,COUNTIF($AH$9:AH105,AH105)=1),1,0))</f>
        <v/>
      </c>
    </row>
    <row r="106">
      <c r="A106" s="96" t="n"/>
      <c r="B106" s="96" t="n"/>
      <c r="C106" s="96" t="n"/>
      <c r="D106" s="97" t="n"/>
      <c r="E106" s="98" t="n"/>
      <c r="F106" s="99" t="n"/>
      <c r="G106" s="100" t="n"/>
      <c r="H106" s="104" t="str">
        <f>IF(A106="","",IF(AND(p_ModoCot="Automático",ISNUMBER(Z106)),Z106,IF(N(G106)&gt;0,G106,0)))</f>
        <v/>
      </c>
      <c r="I106" s="105" t="str">
        <f>IF(A106="","",IF(W106=0,"Sem câmbio",IF(AND(p_ModoCot="Automático",ISNUMBER(Z106)),"Auto",IF(N(G106)&gt;0,"Manual","Sem cotação"))))</f>
        <v/>
      </c>
      <c r="J106" s="106" t="str">
        <f>IF(A106="","",N(E106)*H106)</f>
        <v/>
      </c>
      <c r="K106" s="107" t="str">
        <f>IF(A106="","",J106*W106)</f>
        <v/>
      </c>
      <c r="L106" s="108" t="str">
        <f>IF(A106="","",IF($K$6&gt;0,K106/$K$6,0))</f>
        <v/>
      </c>
      <c r="M106" s="109" t="str">
        <f>IF(A106="","",N(F106)-L106)</f>
        <v/>
      </c>
      <c r="N106" s="108" t="str">
        <f>IF(A106="","",IF($AB$6&gt;0,AB106/$AB$6,0))</f>
        <v/>
      </c>
      <c r="O106" s="110" t="str">
        <f>IF(A106="","",IF(AB106&lt;=0,"",COUNTIF($AB$9:$AB$208,"&gt;"&amp;AB106)+COUNTIF($AB$9:AB106,AB106)))</f>
        <v/>
      </c>
      <c r="P106" s="105" t="str">
        <f>IF(A106="","",IF(Q106&gt;0,"BUY","HOLD"))</f>
        <v/>
      </c>
      <c r="Q106" s="107" t="str">
        <f>IF(A106="","",IF($W$7&lt;=0,0,IF($AC$6&gt;0,$W$7*AC106/$AC$6,IF($F$6&gt;0,$W$7*N(F106)/$F$6,0))))</f>
        <v/>
      </c>
      <c r="R106" s="111" t="str">
        <f>IF(A106="","",N(AD106)+IF(AI106=1,N(AG106),0))</f>
        <v/>
      </c>
      <c r="S106" s="111" t="str">
        <f>IF(A106="","",N(E106)+N(R106))</f>
        <v/>
      </c>
      <c r="T106" s="107" t="str">
        <f>IF(A106="","",IF(N(R106)&gt;0,R106*H106*W106*$W$6+p_CorrFixa,0))</f>
        <v/>
      </c>
      <c r="V106" s="85" t="str">
        <f>IF(A106="","",IF(D106="",$W$1,D106))</f>
        <v/>
      </c>
      <c r="W106" s="85" t="str">
        <f>IF(A106="","",IFERROR(INDEX(moeda_fx,MATCH(V106,moeda_cod,0)),0))</f>
        <v/>
      </c>
      <c r="X106" s="85" t="str">
        <f>IF(A106="","",IF($W$2="",UPPER(TRIM(A106)),IF(RIGHT(UPPER(TRIM(A106)),LEN($W$2))=$W$2,UPPER(TRIM(A106)),UPPER(TRIM(A106))&amp;$W$2)))</f>
        <v/>
      </c>
      <c r="Y106" s="85" t="str">
        <f>IF(OR(A106="",p_ModoCot&lt;&gt;"Automático"),"",IFERROR(_xlfn.WEBSERVICE("https://query1.finance.yahoo.com/v8/finance/chart/"&amp;X106&amp;"?range=1d&amp;interval=1d"),""))</f>
        <v/>
      </c>
      <c r="Z106" s="85" t="str">
        <f>IF(Y106="","",IFERROR(_xlfn.NUMBERVALUE(MID(Y106,SEARCH("""regularMarketPrice"":",Y106)+21,SEARCH(",",Y106&amp;",",SEARCH("""regularMarketPrice"":",Y106)+21)-SEARCH("""regularMarketPrice"":",Y106)-21),".",","),""))</f>
        <v/>
      </c>
      <c r="AA106" s="85" t="str">
        <f>IF(A106="","",ROUND(MAX(0,N(F106)*($K$6+$W$7)-K106),2))</f>
        <v/>
      </c>
      <c r="AB106" s="85" t="str">
        <f>IF(A106="","",IF(AND(M106&gt;0,M106&gt;=p_DifMin),AA106,0))</f>
        <v/>
      </c>
      <c r="AC106" s="85" t="str">
        <f>IF(A106="","",IF(AND(AB106&gt;0,N(O106)&lt;=p_MaxAtivos),AB106,0))</f>
        <v/>
      </c>
      <c r="AD106" s="85" t="str">
        <f>IF(A106="","",IF(OR(Q106&lt;=0,Q106&lt;p_CompraMin,N(H106)&lt;=0,N(W106)&lt;=0),0,IF($W$3="Sim",TRUNC(ROUND(MAX(0,(Q106-p_CorrFixa)/(H106*W106*$W$6)),9),$W$4),TRUNC(ROUND(MAX(0,(Q106-p_CorrFixa)/(H106*W106*$W$6)),9)/$W$5)*$W$5)))</f>
        <v/>
      </c>
      <c r="AE106" s="85" t="str">
        <f>IF(A106="","",IF(N(AD106)&gt;0,AD106*H106*W106*$W$6+p_CorrFixa,0))</f>
        <v/>
      </c>
      <c r="AF106" s="85" t="str">
        <f>IF(A106="","",IF(OR($Y$1&lt;=0,N(H106)&lt;=0,N(W106)&lt;=0,N(AB106)&lt;=0),0,IF($W$3="Sim",TRUNC(ROUND(MAX(0,($Y$1-IF(N(AD106)&gt;0,0,p_CorrFixa))/(H106*W106*$W$6)),9),$W$4),TRUNC(ROUND(MAX(0,($Y$1-IF(N(AD106)&gt;0,0,p_CorrFixa))/(H106*W106*$W$6)),9)/$W$5)*$W$5)))</f>
        <v/>
      </c>
      <c r="AG106" s="85" t="str">
        <f>IF(A106="","",IF(AND(N(AD106)=0,N(AF106)*(H106*W106*$W$6)+p_CorrFixa&lt;p_CompraMin),0,AF106))</f>
        <v/>
      </c>
      <c r="AH106" s="85" t="str">
        <f>IF(A106="","",IF(N(AG106)&gt;0,AB106,0))</f>
        <v/>
      </c>
      <c r="AI106" s="85" t="str">
        <f>IF(A106="","",IF(AND(AH106&gt;0,AH106=$AH$6,COUNTIF($AH$9:AH106,AH106)=1),1,0))</f>
        <v/>
      </c>
    </row>
    <row r="107">
      <c r="A107" s="96" t="n"/>
      <c r="B107" s="96" t="n"/>
      <c r="C107" s="96" t="n"/>
      <c r="D107" s="97" t="n"/>
      <c r="E107" s="98" t="n"/>
      <c r="F107" s="99" t="n"/>
      <c r="G107" s="100" t="n"/>
      <c r="H107" s="101" t="str">
        <f>IF(A107="","",IF(AND(p_ModoCot="Automático",ISNUMBER(Z107)),Z107,IF(N(G107)&gt;0,G107,0)))</f>
        <v/>
      </c>
      <c r="I107" s="73" t="str">
        <f>IF(A107="","",IF(W107=0,"Sem câmbio",IF(AND(p_ModoCot="Automático",ISNUMBER(Z107)),"Auto",IF(N(G107)&gt;0,"Manual","Sem cotação"))))</f>
        <v/>
      </c>
      <c r="J107" s="102" t="str">
        <f>IF(A107="","",N(E107)*H107)</f>
        <v/>
      </c>
      <c r="K107" s="70" t="str">
        <f>IF(A107="","",J107*W107)</f>
        <v/>
      </c>
      <c r="L107" s="30" t="str">
        <f>IF(A107="","",IF($K$6&gt;0,K107/$K$6,0))</f>
        <v/>
      </c>
      <c r="M107" s="72" t="str">
        <f>IF(A107="","",N(F107)-L107)</f>
        <v/>
      </c>
      <c r="N107" s="30" t="str">
        <f>IF(A107="","",IF($AB$6&gt;0,AB107/$AB$6,0))</f>
        <v/>
      </c>
      <c r="O107" s="74" t="str">
        <f>IF(A107="","",IF(AB107&lt;=0,"",COUNTIF($AB$9:$AB$208,"&gt;"&amp;AB107)+COUNTIF($AB$9:AB107,AB107)))</f>
        <v/>
      </c>
      <c r="P107" s="73" t="str">
        <f>IF(A107="","",IF(Q107&gt;0,"BUY","HOLD"))</f>
        <v/>
      </c>
      <c r="Q107" s="70" t="str">
        <f>IF(A107="","",IF($W$7&lt;=0,0,IF($AC$6&gt;0,$W$7*AC107/$AC$6,IF($F$6&gt;0,$W$7*N(F107)/$F$6,0))))</f>
        <v/>
      </c>
      <c r="R107" s="103" t="str">
        <f>IF(A107="","",N(AD107)+IF(AI107=1,N(AG107),0))</f>
        <v/>
      </c>
      <c r="S107" s="103" t="str">
        <f>IF(A107="","",N(E107)+N(R107))</f>
        <v/>
      </c>
      <c r="T107" s="70" t="str">
        <f>IF(A107="","",IF(N(R107)&gt;0,R107*H107*W107*$W$6+p_CorrFixa,0))</f>
        <v/>
      </c>
      <c r="V107" s="85" t="str">
        <f>IF(A107="","",IF(D107="",$W$1,D107))</f>
        <v/>
      </c>
      <c r="W107" s="85" t="str">
        <f>IF(A107="","",IFERROR(INDEX(moeda_fx,MATCH(V107,moeda_cod,0)),0))</f>
        <v/>
      </c>
      <c r="X107" s="85" t="str">
        <f>IF(A107="","",IF($W$2="",UPPER(TRIM(A107)),IF(RIGHT(UPPER(TRIM(A107)),LEN($W$2))=$W$2,UPPER(TRIM(A107)),UPPER(TRIM(A107))&amp;$W$2)))</f>
        <v/>
      </c>
      <c r="Y107" s="85" t="str">
        <f>IF(OR(A107="",p_ModoCot&lt;&gt;"Automático"),"",IFERROR(_xlfn.WEBSERVICE("https://query1.finance.yahoo.com/v8/finance/chart/"&amp;X107&amp;"?range=1d&amp;interval=1d"),""))</f>
        <v/>
      </c>
      <c r="Z107" s="85" t="str">
        <f>IF(Y107="","",IFERROR(_xlfn.NUMBERVALUE(MID(Y107,SEARCH("""regularMarketPrice"":",Y107)+21,SEARCH(",",Y107&amp;",",SEARCH("""regularMarketPrice"":",Y107)+21)-SEARCH("""regularMarketPrice"":",Y107)-21),".",","),""))</f>
        <v/>
      </c>
      <c r="AA107" s="85" t="str">
        <f>IF(A107="","",ROUND(MAX(0,N(F107)*($K$6+$W$7)-K107),2))</f>
        <v/>
      </c>
      <c r="AB107" s="85" t="str">
        <f>IF(A107="","",IF(AND(M107&gt;0,M107&gt;=p_DifMin),AA107,0))</f>
        <v/>
      </c>
      <c r="AC107" s="85" t="str">
        <f>IF(A107="","",IF(AND(AB107&gt;0,N(O107)&lt;=p_MaxAtivos),AB107,0))</f>
        <v/>
      </c>
      <c r="AD107" s="85" t="str">
        <f>IF(A107="","",IF(OR(Q107&lt;=0,Q107&lt;p_CompraMin,N(H107)&lt;=0,N(W107)&lt;=0),0,IF($W$3="Sim",TRUNC(ROUND(MAX(0,(Q107-p_CorrFixa)/(H107*W107*$W$6)),9),$W$4),TRUNC(ROUND(MAX(0,(Q107-p_CorrFixa)/(H107*W107*$W$6)),9)/$W$5)*$W$5)))</f>
        <v/>
      </c>
      <c r="AE107" s="85" t="str">
        <f>IF(A107="","",IF(N(AD107)&gt;0,AD107*H107*W107*$W$6+p_CorrFixa,0))</f>
        <v/>
      </c>
      <c r="AF107" s="85" t="str">
        <f>IF(A107="","",IF(OR($Y$1&lt;=0,N(H107)&lt;=0,N(W107)&lt;=0,N(AB107)&lt;=0),0,IF($W$3="Sim",TRUNC(ROUND(MAX(0,($Y$1-IF(N(AD107)&gt;0,0,p_CorrFixa))/(H107*W107*$W$6)),9),$W$4),TRUNC(ROUND(MAX(0,($Y$1-IF(N(AD107)&gt;0,0,p_CorrFixa))/(H107*W107*$W$6)),9)/$W$5)*$W$5)))</f>
        <v/>
      </c>
      <c r="AG107" s="85" t="str">
        <f>IF(A107="","",IF(AND(N(AD107)=0,N(AF107)*(H107*W107*$W$6)+p_CorrFixa&lt;p_CompraMin),0,AF107))</f>
        <v/>
      </c>
      <c r="AH107" s="85" t="str">
        <f>IF(A107="","",IF(N(AG107)&gt;0,AB107,0))</f>
        <v/>
      </c>
      <c r="AI107" s="85" t="str">
        <f>IF(A107="","",IF(AND(AH107&gt;0,AH107=$AH$6,COUNTIF($AH$9:AH107,AH107)=1),1,0))</f>
        <v/>
      </c>
    </row>
    <row r="108">
      <c r="A108" s="96" t="n"/>
      <c r="B108" s="96" t="n"/>
      <c r="C108" s="96" t="n"/>
      <c r="D108" s="97" t="n"/>
      <c r="E108" s="98" t="n"/>
      <c r="F108" s="99" t="n"/>
      <c r="G108" s="100" t="n"/>
      <c r="H108" s="104" t="str">
        <f>IF(A108="","",IF(AND(p_ModoCot="Automático",ISNUMBER(Z108)),Z108,IF(N(G108)&gt;0,G108,0)))</f>
        <v/>
      </c>
      <c r="I108" s="105" t="str">
        <f>IF(A108="","",IF(W108=0,"Sem câmbio",IF(AND(p_ModoCot="Automático",ISNUMBER(Z108)),"Auto",IF(N(G108)&gt;0,"Manual","Sem cotação"))))</f>
        <v/>
      </c>
      <c r="J108" s="106" t="str">
        <f>IF(A108="","",N(E108)*H108)</f>
        <v/>
      </c>
      <c r="K108" s="107" t="str">
        <f>IF(A108="","",J108*W108)</f>
        <v/>
      </c>
      <c r="L108" s="108" t="str">
        <f>IF(A108="","",IF($K$6&gt;0,K108/$K$6,0))</f>
        <v/>
      </c>
      <c r="M108" s="109" t="str">
        <f>IF(A108="","",N(F108)-L108)</f>
        <v/>
      </c>
      <c r="N108" s="108" t="str">
        <f>IF(A108="","",IF($AB$6&gt;0,AB108/$AB$6,0))</f>
        <v/>
      </c>
      <c r="O108" s="110" t="str">
        <f>IF(A108="","",IF(AB108&lt;=0,"",COUNTIF($AB$9:$AB$208,"&gt;"&amp;AB108)+COUNTIF($AB$9:AB108,AB108)))</f>
        <v/>
      </c>
      <c r="P108" s="105" t="str">
        <f>IF(A108="","",IF(Q108&gt;0,"BUY","HOLD"))</f>
        <v/>
      </c>
      <c r="Q108" s="107" t="str">
        <f>IF(A108="","",IF($W$7&lt;=0,0,IF($AC$6&gt;0,$W$7*AC108/$AC$6,IF($F$6&gt;0,$W$7*N(F108)/$F$6,0))))</f>
        <v/>
      </c>
      <c r="R108" s="111" t="str">
        <f>IF(A108="","",N(AD108)+IF(AI108=1,N(AG108),0))</f>
        <v/>
      </c>
      <c r="S108" s="111" t="str">
        <f>IF(A108="","",N(E108)+N(R108))</f>
        <v/>
      </c>
      <c r="T108" s="107" t="str">
        <f>IF(A108="","",IF(N(R108)&gt;0,R108*H108*W108*$W$6+p_CorrFixa,0))</f>
        <v/>
      </c>
      <c r="V108" s="85" t="str">
        <f>IF(A108="","",IF(D108="",$W$1,D108))</f>
        <v/>
      </c>
      <c r="W108" s="85" t="str">
        <f>IF(A108="","",IFERROR(INDEX(moeda_fx,MATCH(V108,moeda_cod,0)),0))</f>
        <v/>
      </c>
      <c r="X108" s="85" t="str">
        <f>IF(A108="","",IF($W$2="",UPPER(TRIM(A108)),IF(RIGHT(UPPER(TRIM(A108)),LEN($W$2))=$W$2,UPPER(TRIM(A108)),UPPER(TRIM(A108))&amp;$W$2)))</f>
        <v/>
      </c>
      <c r="Y108" s="85" t="str">
        <f>IF(OR(A108="",p_ModoCot&lt;&gt;"Automático"),"",IFERROR(_xlfn.WEBSERVICE("https://query1.finance.yahoo.com/v8/finance/chart/"&amp;X108&amp;"?range=1d&amp;interval=1d"),""))</f>
        <v/>
      </c>
      <c r="Z108" s="85" t="str">
        <f>IF(Y108="","",IFERROR(_xlfn.NUMBERVALUE(MID(Y108,SEARCH("""regularMarketPrice"":",Y108)+21,SEARCH(",",Y108&amp;",",SEARCH("""regularMarketPrice"":",Y108)+21)-SEARCH("""regularMarketPrice"":",Y108)-21),".",","),""))</f>
        <v/>
      </c>
      <c r="AA108" s="85" t="str">
        <f>IF(A108="","",ROUND(MAX(0,N(F108)*($K$6+$W$7)-K108),2))</f>
        <v/>
      </c>
      <c r="AB108" s="85" t="str">
        <f>IF(A108="","",IF(AND(M108&gt;0,M108&gt;=p_DifMin),AA108,0))</f>
        <v/>
      </c>
      <c r="AC108" s="85" t="str">
        <f>IF(A108="","",IF(AND(AB108&gt;0,N(O108)&lt;=p_MaxAtivos),AB108,0))</f>
        <v/>
      </c>
      <c r="AD108" s="85" t="str">
        <f>IF(A108="","",IF(OR(Q108&lt;=0,Q108&lt;p_CompraMin,N(H108)&lt;=0,N(W108)&lt;=0),0,IF($W$3="Sim",TRUNC(ROUND(MAX(0,(Q108-p_CorrFixa)/(H108*W108*$W$6)),9),$W$4),TRUNC(ROUND(MAX(0,(Q108-p_CorrFixa)/(H108*W108*$W$6)),9)/$W$5)*$W$5)))</f>
        <v/>
      </c>
      <c r="AE108" s="85" t="str">
        <f>IF(A108="","",IF(N(AD108)&gt;0,AD108*H108*W108*$W$6+p_CorrFixa,0))</f>
        <v/>
      </c>
      <c r="AF108" s="85" t="str">
        <f>IF(A108="","",IF(OR($Y$1&lt;=0,N(H108)&lt;=0,N(W108)&lt;=0,N(AB108)&lt;=0),0,IF($W$3="Sim",TRUNC(ROUND(MAX(0,($Y$1-IF(N(AD108)&gt;0,0,p_CorrFixa))/(H108*W108*$W$6)),9),$W$4),TRUNC(ROUND(MAX(0,($Y$1-IF(N(AD108)&gt;0,0,p_CorrFixa))/(H108*W108*$W$6)),9)/$W$5)*$W$5)))</f>
        <v/>
      </c>
      <c r="AG108" s="85" t="str">
        <f>IF(A108="","",IF(AND(N(AD108)=0,N(AF108)*(H108*W108*$W$6)+p_CorrFixa&lt;p_CompraMin),0,AF108))</f>
        <v/>
      </c>
      <c r="AH108" s="85" t="str">
        <f>IF(A108="","",IF(N(AG108)&gt;0,AB108,0))</f>
        <v/>
      </c>
      <c r="AI108" s="85" t="str">
        <f>IF(A108="","",IF(AND(AH108&gt;0,AH108=$AH$6,COUNTIF($AH$9:AH108,AH108)=1),1,0))</f>
        <v/>
      </c>
    </row>
    <row r="109">
      <c r="A109" s="96" t="n"/>
      <c r="B109" s="96" t="n"/>
      <c r="C109" s="96" t="n"/>
      <c r="D109" s="97" t="n"/>
      <c r="E109" s="98" t="n"/>
      <c r="F109" s="99" t="n"/>
      <c r="G109" s="100" t="n"/>
      <c r="H109" s="101" t="str">
        <f>IF(A109="","",IF(AND(p_ModoCot="Automático",ISNUMBER(Z109)),Z109,IF(N(G109)&gt;0,G109,0)))</f>
        <v/>
      </c>
      <c r="I109" s="73" t="str">
        <f>IF(A109="","",IF(W109=0,"Sem câmbio",IF(AND(p_ModoCot="Automático",ISNUMBER(Z109)),"Auto",IF(N(G109)&gt;0,"Manual","Sem cotação"))))</f>
        <v/>
      </c>
      <c r="J109" s="102" t="str">
        <f>IF(A109="","",N(E109)*H109)</f>
        <v/>
      </c>
      <c r="K109" s="70" t="str">
        <f>IF(A109="","",J109*W109)</f>
        <v/>
      </c>
      <c r="L109" s="30" t="str">
        <f>IF(A109="","",IF($K$6&gt;0,K109/$K$6,0))</f>
        <v/>
      </c>
      <c r="M109" s="72" t="str">
        <f>IF(A109="","",N(F109)-L109)</f>
        <v/>
      </c>
      <c r="N109" s="30" t="str">
        <f>IF(A109="","",IF($AB$6&gt;0,AB109/$AB$6,0))</f>
        <v/>
      </c>
      <c r="O109" s="74" t="str">
        <f>IF(A109="","",IF(AB109&lt;=0,"",COUNTIF($AB$9:$AB$208,"&gt;"&amp;AB109)+COUNTIF($AB$9:AB109,AB109)))</f>
        <v/>
      </c>
      <c r="P109" s="73" t="str">
        <f>IF(A109="","",IF(Q109&gt;0,"BUY","HOLD"))</f>
        <v/>
      </c>
      <c r="Q109" s="70" t="str">
        <f>IF(A109="","",IF($W$7&lt;=0,0,IF($AC$6&gt;0,$W$7*AC109/$AC$6,IF($F$6&gt;0,$W$7*N(F109)/$F$6,0))))</f>
        <v/>
      </c>
      <c r="R109" s="103" t="str">
        <f>IF(A109="","",N(AD109)+IF(AI109=1,N(AG109),0))</f>
        <v/>
      </c>
      <c r="S109" s="103" t="str">
        <f>IF(A109="","",N(E109)+N(R109))</f>
        <v/>
      </c>
      <c r="T109" s="70" t="str">
        <f>IF(A109="","",IF(N(R109)&gt;0,R109*H109*W109*$W$6+p_CorrFixa,0))</f>
        <v/>
      </c>
      <c r="V109" s="85" t="str">
        <f>IF(A109="","",IF(D109="",$W$1,D109))</f>
        <v/>
      </c>
      <c r="W109" s="85" t="str">
        <f>IF(A109="","",IFERROR(INDEX(moeda_fx,MATCH(V109,moeda_cod,0)),0))</f>
        <v/>
      </c>
      <c r="X109" s="85" t="str">
        <f>IF(A109="","",IF($W$2="",UPPER(TRIM(A109)),IF(RIGHT(UPPER(TRIM(A109)),LEN($W$2))=$W$2,UPPER(TRIM(A109)),UPPER(TRIM(A109))&amp;$W$2)))</f>
        <v/>
      </c>
      <c r="Y109" s="85" t="str">
        <f>IF(OR(A109="",p_ModoCot&lt;&gt;"Automático"),"",IFERROR(_xlfn.WEBSERVICE("https://query1.finance.yahoo.com/v8/finance/chart/"&amp;X109&amp;"?range=1d&amp;interval=1d"),""))</f>
        <v/>
      </c>
      <c r="Z109" s="85" t="str">
        <f>IF(Y109="","",IFERROR(_xlfn.NUMBERVALUE(MID(Y109,SEARCH("""regularMarketPrice"":",Y109)+21,SEARCH(",",Y109&amp;",",SEARCH("""regularMarketPrice"":",Y109)+21)-SEARCH("""regularMarketPrice"":",Y109)-21),".",","),""))</f>
        <v/>
      </c>
      <c r="AA109" s="85" t="str">
        <f>IF(A109="","",ROUND(MAX(0,N(F109)*($K$6+$W$7)-K109),2))</f>
        <v/>
      </c>
      <c r="AB109" s="85" t="str">
        <f>IF(A109="","",IF(AND(M109&gt;0,M109&gt;=p_DifMin),AA109,0))</f>
        <v/>
      </c>
      <c r="AC109" s="85" t="str">
        <f>IF(A109="","",IF(AND(AB109&gt;0,N(O109)&lt;=p_MaxAtivos),AB109,0))</f>
        <v/>
      </c>
      <c r="AD109" s="85" t="str">
        <f>IF(A109="","",IF(OR(Q109&lt;=0,Q109&lt;p_CompraMin,N(H109)&lt;=0,N(W109)&lt;=0),0,IF($W$3="Sim",TRUNC(ROUND(MAX(0,(Q109-p_CorrFixa)/(H109*W109*$W$6)),9),$W$4),TRUNC(ROUND(MAX(0,(Q109-p_CorrFixa)/(H109*W109*$W$6)),9)/$W$5)*$W$5)))</f>
        <v/>
      </c>
      <c r="AE109" s="85" t="str">
        <f>IF(A109="","",IF(N(AD109)&gt;0,AD109*H109*W109*$W$6+p_CorrFixa,0))</f>
        <v/>
      </c>
      <c r="AF109" s="85" t="str">
        <f>IF(A109="","",IF(OR($Y$1&lt;=0,N(H109)&lt;=0,N(W109)&lt;=0,N(AB109)&lt;=0),0,IF($W$3="Sim",TRUNC(ROUND(MAX(0,($Y$1-IF(N(AD109)&gt;0,0,p_CorrFixa))/(H109*W109*$W$6)),9),$W$4),TRUNC(ROUND(MAX(0,($Y$1-IF(N(AD109)&gt;0,0,p_CorrFixa))/(H109*W109*$W$6)),9)/$W$5)*$W$5)))</f>
        <v/>
      </c>
      <c r="AG109" s="85" t="str">
        <f>IF(A109="","",IF(AND(N(AD109)=0,N(AF109)*(H109*W109*$W$6)+p_CorrFixa&lt;p_CompraMin),0,AF109))</f>
        <v/>
      </c>
      <c r="AH109" s="85" t="str">
        <f>IF(A109="","",IF(N(AG109)&gt;0,AB109,0))</f>
        <v/>
      </c>
      <c r="AI109" s="85" t="str">
        <f>IF(A109="","",IF(AND(AH109&gt;0,AH109=$AH$6,COUNTIF($AH$9:AH109,AH109)=1),1,0))</f>
        <v/>
      </c>
    </row>
    <row r="110">
      <c r="A110" s="96" t="n"/>
      <c r="B110" s="96" t="n"/>
      <c r="C110" s="96" t="n"/>
      <c r="D110" s="97" t="n"/>
      <c r="E110" s="98" t="n"/>
      <c r="F110" s="99" t="n"/>
      <c r="G110" s="100" t="n"/>
      <c r="H110" s="104" t="str">
        <f>IF(A110="","",IF(AND(p_ModoCot="Automático",ISNUMBER(Z110)),Z110,IF(N(G110)&gt;0,G110,0)))</f>
        <v/>
      </c>
      <c r="I110" s="105" t="str">
        <f>IF(A110="","",IF(W110=0,"Sem câmbio",IF(AND(p_ModoCot="Automático",ISNUMBER(Z110)),"Auto",IF(N(G110)&gt;0,"Manual","Sem cotação"))))</f>
        <v/>
      </c>
      <c r="J110" s="106" t="str">
        <f>IF(A110="","",N(E110)*H110)</f>
        <v/>
      </c>
      <c r="K110" s="107" t="str">
        <f>IF(A110="","",J110*W110)</f>
        <v/>
      </c>
      <c r="L110" s="108" t="str">
        <f>IF(A110="","",IF($K$6&gt;0,K110/$K$6,0))</f>
        <v/>
      </c>
      <c r="M110" s="109" t="str">
        <f>IF(A110="","",N(F110)-L110)</f>
        <v/>
      </c>
      <c r="N110" s="108" t="str">
        <f>IF(A110="","",IF($AB$6&gt;0,AB110/$AB$6,0))</f>
        <v/>
      </c>
      <c r="O110" s="110" t="str">
        <f>IF(A110="","",IF(AB110&lt;=0,"",COUNTIF($AB$9:$AB$208,"&gt;"&amp;AB110)+COUNTIF($AB$9:AB110,AB110)))</f>
        <v/>
      </c>
      <c r="P110" s="105" t="str">
        <f>IF(A110="","",IF(Q110&gt;0,"BUY","HOLD"))</f>
        <v/>
      </c>
      <c r="Q110" s="107" t="str">
        <f>IF(A110="","",IF($W$7&lt;=0,0,IF($AC$6&gt;0,$W$7*AC110/$AC$6,IF($F$6&gt;0,$W$7*N(F110)/$F$6,0))))</f>
        <v/>
      </c>
      <c r="R110" s="111" t="str">
        <f>IF(A110="","",N(AD110)+IF(AI110=1,N(AG110),0))</f>
        <v/>
      </c>
      <c r="S110" s="111" t="str">
        <f>IF(A110="","",N(E110)+N(R110))</f>
        <v/>
      </c>
      <c r="T110" s="107" t="str">
        <f>IF(A110="","",IF(N(R110)&gt;0,R110*H110*W110*$W$6+p_CorrFixa,0))</f>
        <v/>
      </c>
      <c r="V110" s="85" t="str">
        <f>IF(A110="","",IF(D110="",$W$1,D110))</f>
        <v/>
      </c>
      <c r="W110" s="85" t="str">
        <f>IF(A110="","",IFERROR(INDEX(moeda_fx,MATCH(V110,moeda_cod,0)),0))</f>
        <v/>
      </c>
      <c r="X110" s="85" t="str">
        <f>IF(A110="","",IF($W$2="",UPPER(TRIM(A110)),IF(RIGHT(UPPER(TRIM(A110)),LEN($W$2))=$W$2,UPPER(TRIM(A110)),UPPER(TRIM(A110))&amp;$W$2)))</f>
        <v/>
      </c>
      <c r="Y110" s="85" t="str">
        <f>IF(OR(A110="",p_ModoCot&lt;&gt;"Automático"),"",IFERROR(_xlfn.WEBSERVICE("https://query1.finance.yahoo.com/v8/finance/chart/"&amp;X110&amp;"?range=1d&amp;interval=1d"),""))</f>
        <v/>
      </c>
      <c r="Z110" s="85" t="str">
        <f>IF(Y110="","",IFERROR(_xlfn.NUMBERVALUE(MID(Y110,SEARCH("""regularMarketPrice"":",Y110)+21,SEARCH(",",Y110&amp;",",SEARCH("""regularMarketPrice"":",Y110)+21)-SEARCH("""regularMarketPrice"":",Y110)-21),".",","),""))</f>
        <v/>
      </c>
      <c r="AA110" s="85" t="str">
        <f>IF(A110="","",ROUND(MAX(0,N(F110)*($K$6+$W$7)-K110),2))</f>
        <v/>
      </c>
      <c r="AB110" s="85" t="str">
        <f>IF(A110="","",IF(AND(M110&gt;0,M110&gt;=p_DifMin),AA110,0))</f>
        <v/>
      </c>
      <c r="AC110" s="85" t="str">
        <f>IF(A110="","",IF(AND(AB110&gt;0,N(O110)&lt;=p_MaxAtivos),AB110,0))</f>
        <v/>
      </c>
      <c r="AD110" s="85" t="str">
        <f>IF(A110="","",IF(OR(Q110&lt;=0,Q110&lt;p_CompraMin,N(H110)&lt;=0,N(W110)&lt;=0),0,IF($W$3="Sim",TRUNC(ROUND(MAX(0,(Q110-p_CorrFixa)/(H110*W110*$W$6)),9),$W$4),TRUNC(ROUND(MAX(0,(Q110-p_CorrFixa)/(H110*W110*$W$6)),9)/$W$5)*$W$5)))</f>
        <v/>
      </c>
      <c r="AE110" s="85" t="str">
        <f>IF(A110="","",IF(N(AD110)&gt;0,AD110*H110*W110*$W$6+p_CorrFixa,0))</f>
        <v/>
      </c>
      <c r="AF110" s="85" t="str">
        <f>IF(A110="","",IF(OR($Y$1&lt;=0,N(H110)&lt;=0,N(W110)&lt;=0,N(AB110)&lt;=0),0,IF($W$3="Sim",TRUNC(ROUND(MAX(0,($Y$1-IF(N(AD110)&gt;0,0,p_CorrFixa))/(H110*W110*$W$6)),9),$W$4),TRUNC(ROUND(MAX(0,($Y$1-IF(N(AD110)&gt;0,0,p_CorrFixa))/(H110*W110*$W$6)),9)/$W$5)*$W$5)))</f>
        <v/>
      </c>
      <c r="AG110" s="85" t="str">
        <f>IF(A110="","",IF(AND(N(AD110)=0,N(AF110)*(H110*W110*$W$6)+p_CorrFixa&lt;p_CompraMin),0,AF110))</f>
        <v/>
      </c>
      <c r="AH110" s="85" t="str">
        <f>IF(A110="","",IF(N(AG110)&gt;0,AB110,0))</f>
        <v/>
      </c>
      <c r="AI110" s="85" t="str">
        <f>IF(A110="","",IF(AND(AH110&gt;0,AH110=$AH$6,COUNTIF($AH$9:AH110,AH110)=1),1,0))</f>
        <v/>
      </c>
    </row>
    <row r="111">
      <c r="A111" s="96" t="n"/>
      <c r="B111" s="96" t="n"/>
      <c r="C111" s="96" t="n"/>
      <c r="D111" s="97" t="n"/>
      <c r="E111" s="98" t="n"/>
      <c r="F111" s="99" t="n"/>
      <c r="G111" s="100" t="n"/>
      <c r="H111" s="101" t="str">
        <f>IF(A111="","",IF(AND(p_ModoCot="Automático",ISNUMBER(Z111)),Z111,IF(N(G111)&gt;0,G111,0)))</f>
        <v/>
      </c>
      <c r="I111" s="73" t="str">
        <f>IF(A111="","",IF(W111=0,"Sem câmbio",IF(AND(p_ModoCot="Automático",ISNUMBER(Z111)),"Auto",IF(N(G111)&gt;0,"Manual","Sem cotação"))))</f>
        <v/>
      </c>
      <c r="J111" s="102" t="str">
        <f>IF(A111="","",N(E111)*H111)</f>
        <v/>
      </c>
      <c r="K111" s="70" t="str">
        <f>IF(A111="","",J111*W111)</f>
        <v/>
      </c>
      <c r="L111" s="30" t="str">
        <f>IF(A111="","",IF($K$6&gt;0,K111/$K$6,0))</f>
        <v/>
      </c>
      <c r="M111" s="72" t="str">
        <f>IF(A111="","",N(F111)-L111)</f>
        <v/>
      </c>
      <c r="N111" s="30" t="str">
        <f>IF(A111="","",IF($AB$6&gt;0,AB111/$AB$6,0))</f>
        <v/>
      </c>
      <c r="O111" s="74" t="str">
        <f>IF(A111="","",IF(AB111&lt;=0,"",COUNTIF($AB$9:$AB$208,"&gt;"&amp;AB111)+COUNTIF($AB$9:AB111,AB111)))</f>
        <v/>
      </c>
      <c r="P111" s="73" t="str">
        <f>IF(A111="","",IF(Q111&gt;0,"BUY","HOLD"))</f>
        <v/>
      </c>
      <c r="Q111" s="70" t="str">
        <f>IF(A111="","",IF($W$7&lt;=0,0,IF($AC$6&gt;0,$W$7*AC111/$AC$6,IF($F$6&gt;0,$W$7*N(F111)/$F$6,0))))</f>
        <v/>
      </c>
      <c r="R111" s="103" t="str">
        <f>IF(A111="","",N(AD111)+IF(AI111=1,N(AG111),0))</f>
        <v/>
      </c>
      <c r="S111" s="103" t="str">
        <f>IF(A111="","",N(E111)+N(R111))</f>
        <v/>
      </c>
      <c r="T111" s="70" t="str">
        <f>IF(A111="","",IF(N(R111)&gt;0,R111*H111*W111*$W$6+p_CorrFixa,0))</f>
        <v/>
      </c>
      <c r="V111" s="85" t="str">
        <f>IF(A111="","",IF(D111="",$W$1,D111))</f>
        <v/>
      </c>
      <c r="W111" s="85" t="str">
        <f>IF(A111="","",IFERROR(INDEX(moeda_fx,MATCH(V111,moeda_cod,0)),0))</f>
        <v/>
      </c>
      <c r="X111" s="85" t="str">
        <f>IF(A111="","",IF($W$2="",UPPER(TRIM(A111)),IF(RIGHT(UPPER(TRIM(A111)),LEN($W$2))=$W$2,UPPER(TRIM(A111)),UPPER(TRIM(A111))&amp;$W$2)))</f>
        <v/>
      </c>
      <c r="Y111" s="85" t="str">
        <f>IF(OR(A111="",p_ModoCot&lt;&gt;"Automático"),"",IFERROR(_xlfn.WEBSERVICE("https://query1.finance.yahoo.com/v8/finance/chart/"&amp;X111&amp;"?range=1d&amp;interval=1d"),""))</f>
        <v/>
      </c>
      <c r="Z111" s="85" t="str">
        <f>IF(Y111="","",IFERROR(_xlfn.NUMBERVALUE(MID(Y111,SEARCH("""regularMarketPrice"":",Y111)+21,SEARCH(",",Y111&amp;",",SEARCH("""regularMarketPrice"":",Y111)+21)-SEARCH("""regularMarketPrice"":",Y111)-21),".",","),""))</f>
        <v/>
      </c>
      <c r="AA111" s="85" t="str">
        <f>IF(A111="","",ROUND(MAX(0,N(F111)*($K$6+$W$7)-K111),2))</f>
        <v/>
      </c>
      <c r="AB111" s="85" t="str">
        <f>IF(A111="","",IF(AND(M111&gt;0,M111&gt;=p_DifMin),AA111,0))</f>
        <v/>
      </c>
      <c r="AC111" s="85" t="str">
        <f>IF(A111="","",IF(AND(AB111&gt;0,N(O111)&lt;=p_MaxAtivos),AB111,0))</f>
        <v/>
      </c>
      <c r="AD111" s="85" t="str">
        <f>IF(A111="","",IF(OR(Q111&lt;=0,Q111&lt;p_CompraMin,N(H111)&lt;=0,N(W111)&lt;=0),0,IF($W$3="Sim",TRUNC(ROUND(MAX(0,(Q111-p_CorrFixa)/(H111*W111*$W$6)),9),$W$4),TRUNC(ROUND(MAX(0,(Q111-p_CorrFixa)/(H111*W111*$W$6)),9)/$W$5)*$W$5)))</f>
        <v/>
      </c>
      <c r="AE111" s="85" t="str">
        <f>IF(A111="","",IF(N(AD111)&gt;0,AD111*H111*W111*$W$6+p_CorrFixa,0))</f>
        <v/>
      </c>
      <c r="AF111" s="85" t="str">
        <f>IF(A111="","",IF(OR($Y$1&lt;=0,N(H111)&lt;=0,N(W111)&lt;=0,N(AB111)&lt;=0),0,IF($W$3="Sim",TRUNC(ROUND(MAX(0,($Y$1-IF(N(AD111)&gt;0,0,p_CorrFixa))/(H111*W111*$W$6)),9),$W$4),TRUNC(ROUND(MAX(0,($Y$1-IF(N(AD111)&gt;0,0,p_CorrFixa))/(H111*W111*$W$6)),9)/$W$5)*$W$5)))</f>
        <v/>
      </c>
      <c r="AG111" s="85" t="str">
        <f>IF(A111="","",IF(AND(N(AD111)=0,N(AF111)*(H111*W111*$W$6)+p_CorrFixa&lt;p_CompraMin),0,AF111))</f>
        <v/>
      </c>
      <c r="AH111" s="85" t="str">
        <f>IF(A111="","",IF(N(AG111)&gt;0,AB111,0))</f>
        <v/>
      </c>
      <c r="AI111" s="85" t="str">
        <f>IF(A111="","",IF(AND(AH111&gt;0,AH111=$AH$6,COUNTIF($AH$9:AH111,AH111)=1),1,0))</f>
        <v/>
      </c>
    </row>
    <row r="112">
      <c r="A112" s="96" t="n"/>
      <c r="B112" s="96" t="n"/>
      <c r="C112" s="96" t="n"/>
      <c r="D112" s="97" t="n"/>
      <c r="E112" s="98" t="n"/>
      <c r="F112" s="99" t="n"/>
      <c r="G112" s="100" t="n"/>
      <c r="H112" s="104" t="str">
        <f>IF(A112="","",IF(AND(p_ModoCot="Automático",ISNUMBER(Z112)),Z112,IF(N(G112)&gt;0,G112,0)))</f>
        <v/>
      </c>
      <c r="I112" s="105" t="str">
        <f>IF(A112="","",IF(W112=0,"Sem câmbio",IF(AND(p_ModoCot="Automático",ISNUMBER(Z112)),"Auto",IF(N(G112)&gt;0,"Manual","Sem cotação"))))</f>
        <v/>
      </c>
      <c r="J112" s="106" t="str">
        <f>IF(A112="","",N(E112)*H112)</f>
        <v/>
      </c>
      <c r="K112" s="107" t="str">
        <f>IF(A112="","",J112*W112)</f>
        <v/>
      </c>
      <c r="L112" s="108" t="str">
        <f>IF(A112="","",IF($K$6&gt;0,K112/$K$6,0))</f>
        <v/>
      </c>
      <c r="M112" s="109" t="str">
        <f>IF(A112="","",N(F112)-L112)</f>
        <v/>
      </c>
      <c r="N112" s="108" t="str">
        <f>IF(A112="","",IF($AB$6&gt;0,AB112/$AB$6,0))</f>
        <v/>
      </c>
      <c r="O112" s="110" t="str">
        <f>IF(A112="","",IF(AB112&lt;=0,"",COUNTIF($AB$9:$AB$208,"&gt;"&amp;AB112)+COUNTIF($AB$9:AB112,AB112)))</f>
        <v/>
      </c>
      <c r="P112" s="105" t="str">
        <f>IF(A112="","",IF(Q112&gt;0,"BUY","HOLD"))</f>
        <v/>
      </c>
      <c r="Q112" s="107" t="str">
        <f>IF(A112="","",IF($W$7&lt;=0,0,IF($AC$6&gt;0,$W$7*AC112/$AC$6,IF($F$6&gt;0,$W$7*N(F112)/$F$6,0))))</f>
        <v/>
      </c>
      <c r="R112" s="111" t="str">
        <f>IF(A112="","",N(AD112)+IF(AI112=1,N(AG112),0))</f>
        <v/>
      </c>
      <c r="S112" s="111" t="str">
        <f>IF(A112="","",N(E112)+N(R112))</f>
        <v/>
      </c>
      <c r="T112" s="107" t="str">
        <f>IF(A112="","",IF(N(R112)&gt;0,R112*H112*W112*$W$6+p_CorrFixa,0))</f>
        <v/>
      </c>
      <c r="V112" s="85" t="str">
        <f>IF(A112="","",IF(D112="",$W$1,D112))</f>
        <v/>
      </c>
      <c r="W112" s="85" t="str">
        <f>IF(A112="","",IFERROR(INDEX(moeda_fx,MATCH(V112,moeda_cod,0)),0))</f>
        <v/>
      </c>
      <c r="X112" s="85" t="str">
        <f>IF(A112="","",IF($W$2="",UPPER(TRIM(A112)),IF(RIGHT(UPPER(TRIM(A112)),LEN($W$2))=$W$2,UPPER(TRIM(A112)),UPPER(TRIM(A112))&amp;$W$2)))</f>
        <v/>
      </c>
      <c r="Y112" s="85" t="str">
        <f>IF(OR(A112="",p_ModoCot&lt;&gt;"Automático"),"",IFERROR(_xlfn.WEBSERVICE("https://query1.finance.yahoo.com/v8/finance/chart/"&amp;X112&amp;"?range=1d&amp;interval=1d"),""))</f>
        <v/>
      </c>
      <c r="Z112" s="85" t="str">
        <f>IF(Y112="","",IFERROR(_xlfn.NUMBERVALUE(MID(Y112,SEARCH("""regularMarketPrice"":",Y112)+21,SEARCH(",",Y112&amp;",",SEARCH("""regularMarketPrice"":",Y112)+21)-SEARCH("""regularMarketPrice"":",Y112)-21),".",","),""))</f>
        <v/>
      </c>
      <c r="AA112" s="85" t="str">
        <f>IF(A112="","",ROUND(MAX(0,N(F112)*($K$6+$W$7)-K112),2))</f>
        <v/>
      </c>
      <c r="AB112" s="85" t="str">
        <f>IF(A112="","",IF(AND(M112&gt;0,M112&gt;=p_DifMin),AA112,0))</f>
        <v/>
      </c>
      <c r="AC112" s="85" t="str">
        <f>IF(A112="","",IF(AND(AB112&gt;0,N(O112)&lt;=p_MaxAtivos),AB112,0))</f>
        <v/>
      </c>
      <c r="AD112" s="85" t="str">
        <f>IF(A112="","",IF(OR(Q112&lt;=0,Q112&lt;p_CompraMin,N(H112)&lt;=0,N(W112)&lt;=0),0,IF($W$3="Sim",TRUNC(ROUND(MAX(0,(Q112-p_CorrFixa)/(H112*W112*$W$6)),9),$W$4),TRUNC(ROUND(MAX(0,(Q112-p_CorrFixa)/(H112*W112*$W$6)),9)/$W$5)*$W$5)))</f>
        <v/>
      </c>
      <c r="AE112" s="85" t="str">
        <f>IF(A112="","",IF(N(AD112)&gt;0,AD112*H112*W112*$W$6+p_CorrFixa,0))</f>
        <v/>
      </c>
      <c r="AF112" s="85" t="str">
        <f>IF(A112="","",IF(OR($Y$1&lt;=0,N(H112)&lt;=0,N(W112)&lt;=0,N(AB112)&lt;=0),0,IF($W$3="Sim",TRUNC(ROUND(MAX(0,($Y$1-IF(N(AD112)&gt;0,0,p_CorrFixa))/(H112*W112*$W$6)),9),$W$4),TRUNC(ROUND(MAX(0,($Y$1-IF(N(AD112)&gt;0,0,p_CorrFixa))/(H112*W112*$W$6)),9)/$W$5)*$W$5)))</f>
        <v/>
      </c>
      <c r="AG112" s="85" t="str">
        <f>IF(A112="","",IF(AND(N(AD112)=0,N(AF112)*(H112*W112*$W$6)+p_CorrFixa&lt;p_CompraMin),0,AF112))</f>
        <v/>
      </c>
      <c r="AH112" s="85" t="str">
        <f>IF(A112="","",IF(N(AG112)&gt;0,AB112,0))</f>
        <v/>
      </c>
      <c r="AI112" s="85" t="str">
        <f>IF(A112="","",IF(AND(AH112&gt;0,AH112=$AH$6,COUNTIF($AH$9:AH112,AH112)=1),1,0))</f>
        <v/>
      </c>
    </row>
    <row r="113">
      <c r="A113" s="96" t="n"/>
      <c r="B113" s="96" t="n"/>
      <c r="C113" s="96" t="n"/>
      <c r="D113" s="97" t="n"/>
      <c r="E113" s="98" t="n"/>
      <c r="F113" s="99" t="n"/>
      <c r="G113" s="100" t="n"/>
      <c r="H113" s="101" t="str">
        <f>IF(A113="","",IF(AND(p_ModoCot="Automático",ISNUMBER(Z113)),Z113,IF(N(G113)&gt;0,G113,0)))</f>
        <v/>
      </c>
      <c r="I113" s="73" t="str">
        <f>IF(A113="","",IF(W113=0,"Sem câmbio",IF(AND(p_ModoCot="Automático",ISNUMBER(Z113)),"Auto",IF(N(G113)&gt;0,"Manual","Sem cotação"))))</f>
        <v/>
      </c>
      <c r="J113" s="102" t="str">
        <f>IF(A113="","",N(E113)*H113)</f>
        <v/>
      </c>
      <c r="K113" s="70" t="str">
        <f>IF(A113="","",J113*W113)</f>
        <v/>
      </c>
      <c r="L113" s="30" t="str">
        <f>IF(A113="","",IF($K$6&gt;0,K113/$K$6,0))</f>
        <v/>
      </c>
      <c r="M113" s="72" t="str">
        <f>IF(A113="","",N(F113)-L113)</f>
        <v/>
      </c>
      <c r="N113" s="30" t="str">
        <f>IF(A113="","",IF($AB$6&gt;0,AB113/$AB$6,0))</f>
        <v/>
      </c>
      <c r="O113" s="74" t="str">
        <f>IF(A113="","",IF(AB113&lt;=0,"",COUNTIF($AB$9:$AB$208,"&gt;"&amp;AB113)+COUNTIF($AB$9:AB113,AB113)))</f>
        <v/>
      </c>
      <c r="P113" s="73" t="str">
        <f>IF(A113="","",IF(Q113&gt;0,"BUY","HOLD"))</f>
        <v/>
      </c>
      <c r="Q113" s="70" t="str">
        <f>IF(A113="","",IF($W$7&lt;=0,0,IF($AC$6&gt;0,$W$7*AC113/$AC$6,IF($F$6&gt;0,$W$7*N(F113)/$F$6,0))))</f>
        <v/>
      </c>
      <c r="R113" s="103" t="str">
        <f>IF(A113="","",N(AD113)+IF(AI113=1,N(AG113),0))</f>
        <v/>
      </c>
      <c r="S113" s="103" t="str">
        <f>IF(A113="","",N(E113)+N(R113))</f>
        <v/>
      </c>
      <c r="T113" s="70" t="str">
        <f>IF(A113="","",IF(N(R113)&gt;0,R113*H113*W113*$W$6+p_CorrFixa,0))</f>
        <v/>
      </c>
      <c r="V113" s="85" t="str">
        <f>IF(A113="","",IF(D113="",$W$1,D113))</f>
        <v/>
      </c>
      <c r="W113" s="85" t="str">
        <f>IF(A113="","",IFERROR(INDEX(moeda_fx,MATCH(V113,moeda_cod,0)),0))</f>
        <v/>
      </c>
      <c r="X113" s="85" t="str">
        <f>IF(A113="","",IF($W$2="",UPPER(TRIM(A113)),IF(RIGHT(UPPER(TRIM(A113)),LEN($W$2))=$W$2,UPPER(TRIM(A113)),UPPER(TRIM(A113))&amp;$W$2)))</f>
        <v/>
      </c>
      <c r="Y113" s="85" t="str">
        <f>IF(OR(A113="",p_ModoCot&lt;&gt;"Automático"),"",IFERROR(_xlfn.WEBSERVICE("https://query1.finance.yahoo.com/v8/finance/chart/"&amp;X113&amp;"?range=1d&amp;interval=1d"),""))</f>
        <v/>
      </c>
      <c r="Z113" s="85" t="str">
        <f>IF(Y113="","",IFERROR(_xlfn.NUMBERVALUE(MID(Y113,SEARCH("""regularMarketPrice"":",Y113)+21,SEARCH(",",Y113&amp;",",SEARCH("""regularMarketPrice"":",Y113)+21)-SEARCH("""regularMarketPrice"":",Y113)-21),".",","),""))</f>
        <v/>
      </c>
      <c r="AA113" s="85" t="str">
        <f>IF(A113="","",ROUND(MAX(0,N(F113)*($K$6+$W$7)-K113),2))</f>
        <v/>
      </c>
      <c r="AB113" s="85" t="str">
        <f>IF(A113="","",IF(AND(M113&gt;0,M113&gt;=p_DifMin),AA113,0))</f>
        <v/>
      </c>
      <c r="AC113" s="85" t="str">
        <f>IF(A113="","",IF(AND(AB113&gt;0,N(O113)&lt;=p_MaxAtivos),AB113,0))</f>
        <v/>
      </c>
      <c r="AD113" s="85" t="str">
        <f>IF(A113="","",IF(OR(Q113&lt;=0,Q113&lt;p_CompraMin,N(H113)&lt;=0,N(W113)&lt;=0),0,IF($W$3="Sim",TRUNC(ROUND(MAX(0,(Q113-p_CorrFixa)/(H113*W113*$W$6)),9),$W$4),TRUNC(ROUND(MAX(0,(Q113-p_CorrFixa)/(H113*W113*$W$6)),9)/$W$5)*$W$5)))</f>
        <v/>
      </c>
      <c r="AE113" s="85" t="str">
        <f>IF(A113="","",IF(N(AD113)&gt;0,AD113*H113*W113*$W$6+p_CorrFixa,0))</f>
        <v/>
      </c>
      <c r="AF113" s="85" t="str">
        <f>IF(A113="","",IF(OR($Y$1&lt;=0,N(H113)&lt;=0,N(W113)&lt;=0,N(AB113)&lt;=0),0,IF($W$3="Sim",TRUNC(ROUND(MAX(0,($Y$1-IF(N(AD113)&gt;0,0,p_CorrFixa))/(H113*W113*$W$6)),9),$W$4),TRUNC(ROUND(MAX(0,($Y$1-IF(N(AD113)&gt;0,0,p_CorrFixa))/(H113*W113*$W$6)),9)/$W$5)*$W$5)))</f>
        <v/>
      </c>
      <c r="AG113" s="85" t="str">
        <f>IF(A113="","",IF(AND(N(AD113)=0,N(AF113)*(H113*W113*$W$6)+p_CorrFixa&lt;p_CompraMin),0,AF113))</f>
        <v/>
      </c>
      <c r="AH113" s="85" t="str">
        <f>IF(A113="","",IF(N(AG113)&gt;0,AB113,0))</f>
        <v/>
      </c>
      <c r="AI113" s="85" t="str">
        <f>IF(A113="","",IF(AND(AH113&gt;0,AH113=$AH$6,COUNTIF($AH$9:AH113,AH113)=1),1,0))</f>
        <v/>
      </c>
    </row>
    <row r="114">
      <c r="A114" s="96" t="n"/>
      <c r="B114" s="96" t="n"/>
      <c r="C114" s="96" t="n"/>
      <c r="D114" s="97" t="n"/>
      <c r="E114" s="98" t="n"/>
      <c r="F114" s="99" t="n"/>
      <c r="G114" s="100" t="n"/>
      <c r="H114" s="104" t="str">
        <f>IF(A114="","",IF(AND(p_ModoCot="Automático",ISNUMBER(Z114)),Z114,IF(N(G114)&gt;0,G114,0)))</f>
        <v/>
      </c>
      <c r="I114" s="105" t="str">
        <f>IF(A114="","",IF(W114=0,"Sem câmbio",IF(AND(p_ModoCot="Automático",ISNUMBER(Z114)),"Auto",IF(N(G114)&gt;0,"Manual","Sem cotação"))))</f>
        <v/>
      </c>
      <c r="J114" s="106" t="str">
        <f>IF(A114="","",N(E114)*H114)</f>
        <v/>
      </c>
      <c r="K114" s="107" t="str">
        <f>IF(A114="","",J114*W114)</f>
        <v/>
      </c>
      <c r="L114" s="108" t="str">
        <f>IF(A114="","",IF($K$6&gt;0,K114/$K$6,0))</f>
        <v/>
      </c>
      <c r="M114" s="109" t="str">
        <f>IF(A114="","",N(F114)-L114)</f>
        <v/>
      </c>
      <c r="N114" s="108" t="str">
        <f>IF(A114="","",IF($AB$6&gt;0,AB114/$AB$6,0))</f>
        <v/>
      </c>
      <c r="O114" s="110" t="str">
        <f>IF(A114="","",IF(AB114&lt;=0,"",COUNTIF($AB$9:$AB$208,"&gt;"&amp;AB114)+COUNTIF($AB$9:AB114,AB114)))</f>
        <v/>
      </c>
      <c r="P114" s="105" t="str">
        <f>IF(A114="","",IF(Q114&gt;0,"BUY","HOLD"))</f>
        <v/>
      </c>
      <c r="Q114" s="107" t="str">
        <f>IF(A114="","",IF($W$7&lt;=0,0,IF($AC$6&gt;0,$W$7*AC114/$AC$6,IF($F$6&gt;0,$W$7*N(F114)/$F$6,0))))</f>
        <v/>
      </c>
      <c r="R114" s="111" t="str">
        <f>IF(A114="","",N(AD114)+IF(AI114=1,N(AG114),0))</f>
        <v/>
      </c>
      <c r="S114" s="111" t="str">
        <f>IF(A114="","",N(E114)+N(R114))</f>
        <v/>
      </c>
      <c r="T114" s="107" t="str">
        <f>IF(A114="","",IF(N(R114)&gt;0,R114*H114*W114*$W$6+p_CorrFixa,0))</f>
        <v/>
      </c>
      <c r="V114" s="85" t="str">
        <f>IF(A114="","",IF(D114="",$W$1,D114))</f>
        <v/>
      </c>
      <c r="W114" s="85" t="str">
        <f>IF(A114="","",IFERROR(INDEX(moeda_fx,MATCH(V114,moeda_cod,0)),0))</f>
        <v/>
      </c>
      <c r="X114" s="85" t="str">
        <f>IF(A114="","",IF($W$2="",UPPER(TRIM(A114)),IF(RIGHT(UPPER(TRIM(A114)),LEN($W$2))=$W$2,UPPER(TRIM(A114)),UPPER(TRIM(A114))&amp;$W$2)))</f>
        <v/>
      </c>
      <c r="Y114" s="85" t="str">
        <f>IF(OR(A114="",p_ModoCot&lt;&gt;"Automático"),"",IFERROR(_xlfn.WEBSERVICE("https://query1.finance.yahoo.com/v8/finance/chart/"&amp;X114&amp;"?range=1d&amp;interval=1d"),""))</f>
        <v/>
      </c>
      <c r="Z114" s="85" t="str">
        <f>IF(Y114="","",IFERROR(_xlfn.NUMBERVALUE(MID(Y114,SEARCH("""regularMarketPrice"":",Y114)+21,SEARCH(",",Y114&amp;",",SEARCH("""regularMarketPrice"":",Y114)+21)-SEARCH("""regularMarketPrice"":",Y114)-21),".",","),""))</f>
        <v/>
      </c>
      <c r="AA114" s="85" t="str">
        <f>IF(A114="","",ROUND(MAX(0,N(F114)*($K$6+$W$7)-K114),2))</f>
        <v/>
      </c>
      <c r="AB114" s="85" t="str">
        <f>IF(A114="","",IF(AND(M114&gt;0,M114&gt;=p_DifMin),AA114,0))</f>
        <v/>
      </c>
      <c r="AC114" s="85" t="str">
        <f>IF(A114="","",IF(AND(AB114&gt;0,N(O114)&lt;=p_MaxAtivos),AB114,0))</f>
        <v/>
      </c>
      <c r="AD114" s="85" t="str">
        <f>IF(A114="","",IF(OR(Q114&lt;=0,Q114&lt;p_CompraMin,N(H114)&lt;=0,N(W114)&lt;=0),0,IF($W$3="Sim",TRUNC(ROUND(MAX(0,(Q114-p_CorrFixa)/(H114*W114*$W$6)),9),$W$4),TRUNC(ROUND(MAX(0,(Q114-p_CorrFixa)/(H114*W114*$W$6)),9)/$W$5)*$W$5)))</f>
        <v/>
      </c>
      <c r="AE114" s="85" t="str">
        <f>IF(A114="","",IF(N(AD114)&gt;0,AD114*H114*W114*$W$6+p_CorrFixa,0))</f>
        <v/>
      </c>
      <c r="AF114" s="85" t="str">
        <f>IF(A114="","",IF(OR($Y$1&lt;=0,N(H114)&lt;=0,N(W114)&lt;=0,N(AB114)&lt;=0),0,IF($W$3="Sim",TRUNC(ROUND(MAX(0,($Y$1-IF(N(AD114)&gt;0,0,p_CorrFixa))/(H114*W114*$W$6)),9),$W$4),TRUNC(ROUND(MAX(0,($Y$1-IF(N(AD114)&gt;0,0,p_CorrFixa))/(H114*W114*$W$6)),9)/$W$5)*$W$5)))</f>
        <v/>
      </c>
      <c r="AG114" s="85" t="str">
        <f>IF(A114="","",IF(AND(N(AD114)=0,N(AF114)*(H114*W114*$W$6)+p_CorrFixa&lt;p_CompraMin),0,AF114))</f>
        <v/>
      </c>
      <c r="AH114" s="85" t="str">
        <f>IF(A114="","",IF(N(AG114)&gt;0,AB114,0))</f>
        <v/>
      </c>
      <c r="AI114" s="85" t="str">
        <f>IF(A114="","",IF(AND(AH114&gt;0,AH114=$AH$6,COUNTIF($AH$9:AH114,AH114)=1),1,0))</f>
        <v/>
      </c>
    </row>
    <row r="115">
      <c r="A115" s="96" t="n"/>
      <c r="B115" s="96" t="n"/>
      <c r="C115" s="96" t="n"/>
      <c r="D115" s="97" t="n"/>
      <c r="E115" s="98" t="n"/>
      <c r="F115" s="99" t="n"/>
      <c r="G115" s="100" t="n"/>
      <c r="H115" s="101" t="str">
        <f>IF(A115="","",IF(AND(p_ModoCot="Automático",ISNUMBER(Z115)),Z115,IF(N(G115)&gt;0,G115,0)))</f>
        <v/>
      </c>
      <c r="I115" s="73" t="str">
        <f>IF(A115="","",IF(W115=0,"Sem câmbio",IF(AND(p_ModoCot="Automático",ISNUMBER(Z115)),"Auto",IF(N(G115)&gt;0,"Manual","Sem cotação"))))</f>
        <v/>
      </c>
      <c r="J115" s="102" t="str">
        <f>IF(A115="","",N(E115)*H115)</f>
        <v/>
      </c>
      <c r="K115" s="70" t="str">
        <f>IF(A115="","",J115*W115)</f>
        <v/>
      </c>
      <c r="L115" s="30" t="str">
        <f>IF(A115="","",IF($K$6&gt;0,K115/$K$6,0))</f>
        <v/>
      </c>
      <c r="M115" s="72" t="str">
        <f>IF(A115="","",N(F115)-L115)</f>
        <v/>
      </c>
      <c r="N115" s="30" t="str">
        <f>IF(A115="","",IF($AB$6&gt;0,AB115/$AB$6,0))</f>
        <v/>
      </c>
      <c r="O115" s="74" t="str">
        <f>IF(A115="","",IF(AB115&lt;=0,"",COUNTIF($AB$9:$AB$208,"&gt;"&amp;AB115)+COUNTIF($AB$9:AB115,AB115)))</f>
        <v/>
      </c>
      <c r="P115" s="73" t="str">
        <f>IF(A115="","",IF(Q115&gt;0,"BUY","HOLD"))</f>
        <v/>
      </c>
      <c r="Q115" s="70" t="str">
        <f>IF(A115="","",IF($W$7&lt;=0,0,IF($AC$6&gt;0,$W$7*AC115/$AC$6,IF($F$6&gt;0,$W$7*N(F115)/$F$6,0))))</f>
        <v/>
      </c>
      <c r="R115" s="103" t="str">
        <f>IF(A115="","",N(AD115)+IF(AI115=1,N(AG115),0))</f>
        <v/>
      </c>
      <c r="S115" s="103" t="str">
        <f>IF(A115="","",N(E115)+N(R115))</f>
        <v/>
      </c>
      <c r="T115" s="70" t="str">
        <f>IF(A115="","",IF(N(R115)&gt;0,R115*H115*W115*$W$6+p_CorrFixa,0))</f>
        <v/>
      </c>
      <c r="V115" s="85" t="str">
        <f>IF(A115="","",IF(D115="",$W$1,D115))</f>
        <v/>
      </c>
      <c r="W115" s="85" t="str">
        <f>IF(A115="","",IFERROR(INDEX(moeda_fx,MATCH(V115,moeda_cod,0)),0))</f>
        <v/>
      </c>
      <c r="X115" s="85" t="str">
        <f>IF(A115="","",IF($W$2="",UPPER(TRIM(A115)),IF(RIGHT(UPPER(TRIM(A115)),LEN($W$2))=$W$2,UPPER(TRIM(A115)),UPPER(TRIM(A115))&amp;$W$2)))</f>
        <v/>
      </c>
      <c r="Y115" s="85" t="str">
        <f>IF(OR(A115="",p_ModoCot&lt;&gt;"Automático"),"",IFERROR(_xlfn.WEBSERVICE("https://query1.finance.yahoo.com/v8/finance/chart/"&amp;X115&amp;"?range=1d&amp;interval=1d"),""))</f>
        <v/>
      </c>
      <c r="Z115" s="85" t="str">
        <f>IF(Y115="","",IFERROR(_xlfn.NUMBERVALUE(MID(Y115,SEARCH("""regularMarketPrice"":",Y115)+21,SEARCH(",",Y115&amp;",",SEARCH("""regularMarketPrice"":",Y115)+21)-SEARCH("""regularMarketPrice"":",Y115)-21),".",","),""))</f>
        <v/>
      </c>
      <c r="AA115" s="85" t="str">
        <f>IF(A115="","",ROUND(MAX(0,N(F115)*($K$6+$W$7)-K115),2))</f>
        <v/>
      </c>
      <c r="AB115" s="85" t="str">
        <f>IF(A115="","",IF(AND(M115&gt;0,M115&gt;=p_DifMin),AA115,0))</f>
        <v/>
      </c>
      <c r="AC115" s="85" t="str">
        <f>IF(A115="","",IF(AND(AB115&gt;0,N(O115)&lt;=p_MaxAtivos),AB115,0))</f>
        <v/>
      </c>
      <c r="AD115" s="85" t="str">
        <f>IF(A115="","",IF(OR(Q115&lt;=0,Q115&lt;p_CompraMin,N(H115)&lt;=0,N(W115)&lt;=0),0,IF($W$3="Sim",TRUNC(ROUND(MAX(0,(Q115-p_CorrFixa)/(H115*W115*$W$6)),9),$W$4),TRUNC(ROUND(MAX(0,(Q115-p_CorrFixa)/(H115*W115*$W$6)),9)/$W$5)*$W$5)))</f>
        <v/>
      </c>
      <c r="AE115" s="85" t="str">
        <f>IF(A115="","",IF(N(AD115)&gt;0,AD115*H115*W115*$W$6+p_CorrFixa,0))</f>
        <v/>
      </c>
      <c r="AF115" s="85" t="str">
        <f>IF(A115="","",IF(OR($Y$1&lt;=0,N(H115)&lt;=0,N(W115)&lt;=0,N(AB115)&lt;=0),0,IF($W$3="Sim",TRUNC(ROUND(MAX(0,($Y$1-IF(N(AD115)&gt;0,0,p_CorrFixa))/(H115*W115*$W$6)),9),$W$4),TRUNC(ROUND(MAX(0,($Y$1-IF(N(AD115)&gt;0,0,p_CorrFixa))/(H115*W115*$W$6)),9)/$W$5)*$W$5)))</f>
        <v/>
      </c>
      <c r="AG115" s="85" t="str">
        <f>IF(A115="","",IF(AND(N(AD115)=0,N(AF115)*(H115*W115*$W$6)+p_CorrFixa&lt;p_CompraMin),0,AF115))</f>
        <v/>
      </c>
      <c r="AH115" s="85" t="str">
        <f>IF(A115="","",IF(N(AG115)&gt;0,AB115,0))</f>
        <v/>
      </c>
      <c r="AI115" s="85" t="str">
        <f>IF(A115="","",IF(AND(AH115&gt;0,AH115=$AH$6,COUNTIF($AH$9:AH115,AH115)=1),1,0))</f>
        <v/>
      </c>
    </row>
    <row r="116">
      <c r="A116" s="96" t="n"/>
      <c r="B116" s="96" t="n"/>
      <c r="C116" s="96" t="n"/>
      <c r="D116" s="97" t="n"/>
      <c r="E116" s="98" t="n"/>
      <c r="F116" s="99" t="n"/>
      <c r="G116" s="100" t="n"/>
      <c r="H116" s="104" t="str">
        <f>IF(A116="","",IF(AND(p_ModoCot="Automático",ISNUMBER(Z116)),Z116,IF(N(G116)&gt;0,G116,0)))</f>
        <v/>
      </c>
      <c r="I116" s="105" t="str">
        <f>IF(A116="","",IF(W116=0,"Sem câmbio",IF(AND(p_ModoCot="Automático",ISNUMBER(Z116)),"Auto",IF(N(G116)&gt;0,"Manual","Sem cotação"))))</f>
        <v/>
      </c>
      <c r="J116" s="106" t="str">
        <f>IF(A116="","",N(E116)*H116)</f>
        <v/>
      </c>
      <c r="K116" s="107" t="str">
        <f>IF(A116="","",J116*W116)</f>
        <v/>
      </c>
      <c r="L116" s="108" t="str">
        <f>IF(A116="","",IF($K$6&gt;0,K116/$K$6,0))</f>
        <v/>
      </c>
      <c r="M116" s="109" t="str">
        <f>IF(A116="","",N(F116)-L116)</f>
        <v/>
      </c>
      <c r="N116" s="108" t="str">
        <f>IF(A116="","",IF($AB$6&gt;0,AB116/$AB$6,0))</f>
        <v/>
      </c>
      <c r="O116" s="110" t="str">
        <f>IF(A116="","",IF(AB116&lt;=0,"",COUNTIF($AB$9:$AB$208,"&gt;"&amp;AB116)+COUNTIF($AB$9:AB116,AB116)))</f>
        <v/>
      </c>
      <c r="P116" s="105" t="str">
        <f>IF(A116="","",IF(Q116&gt;0,"BUY","HOLD"))</f>
        <v/>
      </c>
      <c r="Q116" s="107" t="str">
        <f>IF(A116="","",IF($W$7&lt;=0,0,IF($AC$6&gt;0,$W$7*AC116/$AC$6,IF($F$6&gt;0,$W$7*N(F116)/$F$6,0))))</f>
        <v/>
      </c>
      <c r="R116" s="111" t="str">
        <f>IF(A116="","",N(AD116)+IF(AI116=1,N(AG116),0))</f>
        <v/>
      </c>
      <c r="S116" s="111" t="str">
        <f>IF(A116="","",N(E116)+N(R116))</f>
        <v/>
      </c>
      <c r="T116" s="107" t="str">
        <f>IF(A116="","",IF(N(R116)&gt;0,R116*H116*W116*$W$6+p_CorrFixa,0))</f>
        <v/>
      </c>
      <c r="V116" s="85" t="str">
        <f>IF(A116="","",IF(D116="",$W$1,D116))</f>
        <v/>
      </c>
      <c r="W116" s="85" t="str">
        <f>IF(A116="","",IFERROR(INDEX(moeda_fx,MATCH(V116,moeda_cod,0)),0))</f>
        <v/>
      </c>
      <c r="X116" s="85" t="str">
        <f>IF(A116="","",IF($W$2="",UPPER(TRIM(A116)),IF(RIGHT(UPPER(TRIM(A116)),LEN($W$2))=$W$2,UPPER(TRIM(A116)),UPPER(TRIM(A116))&amp;$W$2)))</f>
        <v/>
      </c>
      <c r="Y116" s="85" t="str">
        <f>IF(OR(A116="",p_ModoCot&lt;&gt;"Automático"),"",IFERROR(_xlfn.WEBSERVICE("https://query1.finance.yahoo.com/v8/finance/chart/"&amp;X116&amp;"?range=1d&amp;interval=1d"),""))</f>
        <v/>
      </c>
      <c r="Z116" s="85" t="str">
        <f>IF(Y116="","",IFERROR(_xlfn.NUMBERVALUE(MID(Y116,SEARCH("""regularMarketPrice"":",Y116)+21,SEARCH(",",Y116&amp;",",SEARCH("""regularMarketPrice"":",Y116)+21)-SEARCH("""regularMarketPrice"":",Y116)-21),".",","),""))</f>
        <v/>
      </c>
      <c r="AA116" s="85" t="str">
        <f>IF(A116="","",ROUND(MAX(0,N(F116)*($K$6+$W$7)-K116),2))</f>
        <v/>
      </c>
      <c r="AB116" s="85" t="str">
        <f>IF(A116="","",IF(AND(M116&gt;0,M116&gt;=p_DifMin),AA116,0))</f>
        <v/>
      </c>
      <c r="AC116" s="85" t="str">
        <f>IF(A116="","",IF(AND(AB116&gt;0,N(O116)&lt;=p_MaxAtivos),AB116,0))</f>
        <v/>
      </c>
      <c r="AD116" s="85" t="str">
        <f>IF(A116="","",IF(OR(Q116&lt;=0,Q116&lt;p_CompraMin,N(H116)&lt;=0,N(W116)&lt;=0),0,IF($W$3="Sim",TRUNC(ROUND(MAX(0,(Q116-p_CorrFixa)/(H116*W116*$W$6)),9),$W$4),TRUNC(ROUND(MAX(0,(Q116-p_CorrFixa)/(H116*W116*$W$6)),9)/$W$5)*$W$5)))</f>
        <v/>
      </c>
      <c r="AE116" s="85" t="str">
        <f>IF(A116="","",IF(N(AD116)&gt;0,AD116*H116*W116*$W$6+p_CorrFixa,0))</f>
        <v/>
      </c>
      <c r="AF116" s="85" t="str">
        <f>IF(A116="","",IF(OR($Y$1&lt;=0,N(H116)&lt;=0,N(W116)&lt;=0,N(AB116)&lt;=0),0,IF($W$3="Sim",TRUNC(ROUND(MAX(0,($Y$1-IF(N(AD116)&gt;0,0,p_CorrFixa))/(H116*W116*$W$6)),9),$W$4),TRUNC(ROUND(MAX(0,($Y$1-IF(N(AD116)&gt;0,0,p_CorrFixa))/(H116*W116*$W$6)),9)/$W$5)*$W$5)))</f>
        <v/>
      </c>
      <c r="AG116" s="85" t="str">
        <f>IF(A116="","",IF(AND(N(AD116)=0,N(AF116)*(H116*W116*$W$6)+p_CorrFixa&lt;p_CompraMin),0,AF116))</f>
        <v/>
      </c>
      <c r="AH116" s="85" t="str">
        <f>IF(A116="","",IF(N(AG116)&gt;0,AB116,0))</f>
        <v/>
      </c>
      <c r="AI116" s="85" t="str">
        <f>IF(A116="","",IF(AND(AH116&gt;0,AH116=$AH$6,COUNTIF($AH$9:AH116,AH116)=1),1,0))</f>
        <v/>
      </c>
    </row>
    <row r="117">
      <c r="A117" s="96" t="n"/>
      <c r="B117" s="96" t="n"/>
      <c r="C117" s="96" t="n"/>
      <c r="D117" s="97" t="n"/>
      <c r="E117" s="98" t="n"/>
      <c r="F117" s="99" t="n"/>
      <c r="G117" s="100" t="n"/>
      <c r="H117" s="101" t="str">
        <f>IF(A117="","",IF(AND(p_ModoCot="Automático",ISNUMBER(Z117)),Z117,IF(N(G117)&gt;0,G117,0)))</f>
        <v/>
      </c>
      <c r="I117" s="73" t="str">
        <f>IF(A117="","",IF(W117=0,"Sem câmbio",IF(AND(p_ModoCot="Automático",ISNUMBER(Z117)),"Auto",IF(N(G117)&gt;0,"Manual","Sem cotação"))))</f>
        <v/>
      </c>
      <c r="J117" s="102" t="str">
        <f>IF(A117="","",N(E117)*H117)</f>
        <v/>
      </c>
      <c r="K117" s="70" t="str">
        <f>IF(A117="","",J117*W117)</f>
        <v/>
      </c>
      <c r="L117" s="30" t="str">
        <f>IF(A117="","",IF($K$6&gt;0,K117/$K$6,0))</f>
        <v/>
      </c>
      <c r="M117" s="72" t="str">
        <f>IF(A117="","",N(F117)-L117)</f>
        <v/>
      </c>
      <c r="N117" s="30" t="str">
        <f>IF(A117="","",IF($AB$6&gt;0,AB117/$AB$6,0))</f>
        <v/>
      </c>
      <c r="O117" s="74" t="str">
        <f>IF(A117="","",IF(AB117&lt;=0,"",COUNTIF($AB$9:$AB$208,"&gt;"&amp;AB117)+COUNTIF($AB$9:AB117,AB117)))</f>
        <v/>
      </c>
      <c r="P117" s="73" t="str">
        <f>IF(A117="","",IF(Q117&gt;0,"BUY","HOLD"))</f>
        <v/>
      </c>
      <c r="Q117" s="70" t="str">
        <f>IF(A117="","",IF($W$7&lt;=0,0,IF($AC$6&gt;0,$W$7*AC117/$AC$6,IF($F$6&gt;0,$W$7*N(F117)/$F$6,0))))</f>
        <v/>
      </c>
      <c r="R117" s="103" t="str">
        <f>IF(A117="","",N(AD117)+IF(AI117=1,N(AG117),0))</f>
        <v/>
      </c>
      <c r="S117" s="103" t="str">
        <f>IF(A117="","",N(E117)+N(R117))</f>
        <v/>
      </c>
      <c r="T117" s="70" t="str">
        <f>IF(A117="","",IF(N(R117)&gt;0,R117*H117*W117*$W$6+p_CorrFixa,0))</f>
        <v/>
      </c>
      <c r="V117" s="85" t="str">
        <f>IF(A117="","",IF(D117="",$W$1,D117))</f>
        <v/>
      </c>
      <c r="W117" s="85" t="str">
        <f>IF(A117="","",IFERROR(INDEX(moeda_fx,MATCH(V117,moeda_cod,0)),0))</f>
        <v/>
      </c>
      <c r="X117" s="85" t="str">
        <f>IF(A117="","",IF($W$2="",UPPER(TRIM(A117)),IF(RIGHT(UPPER(TRIM(A117)),LEN($W$2))=$W$2,UPPER(TRIM(A117)),UPPER(TRIM(A117))&amp;$W$2)))</f>
        <v/>
      </c>
      <c r="Y117" s="85" t="str">
        <f>IF(OR(A117="",p_ModoCot&lt;&gt;"Automático"),"",IFERROR(_xlfn.WEBSERVICE("https://query1.finance.yahoo.com/v8/finance/chart/"&amp;X117&amp;"?range=1d&amp;interval=1d"),""))</f>
        <v/>
      </c>
      <c r="Z117" s="85" t="str">
        <f>IF(Y117="","",IFERROR(_xlfn.NUMBERVALUE(MID(Y117,SEARCH("""regularMarketPrice"":",Y117)+21,SEARCH(",",Y117&amp;",",SEARCH("""regularMarketPrice"":",Y117)+21)-SEARCH("""regularMarketPrice"":",Y117)-21),".",","),""))</f>
        <v/>
      </c>
      <c r="AA117" s="85" t="str">
        <f>IF(A117="","",ROUND(MAX(0,N(F117)*($K$6+$W$7)-K117),2))</f>
        <v/>
      </c>
      <c r="AB117" s="85" t="str">
        <f>IF(A117="","",IF(AND(M117&gt;0,M117&gt;=p_DifMin),AA117,0))</f>
        <v/>
      </c>
      <c r="AC117" s="85" t="str">
        <f>IF(A117="","",IF(AND(AB117&gt;0,N(O117)&lt;=p_MaxAtivos),AB117,0))</f>
        <v/>
      </c>
      <c r="AD117" s="85" t="str">
        <f>IF(A117="","",IF(OR(Q117&lt;=0,Q117&lt;p_CompraMin,N(H117)&lt;=0,N(W117)&lt;=0),0,IF($W$3="Sim",TRUNC(ROUND(MAX(0,(Q117-p_CorrFixa)/(H117*W117*$W$6)),9),$W$4),TRUNC(ROUND(MAX(0,(Q117-p_CorrFixa)/(H117*W117*$W$6)),9)/$W$5)*$W$5)))</f>
        <v/>
      </c>
      <c r="AE117" s="85" t="str">
        <f>IF(A117="","",IF(N(AD117)&gt;0,AD117*H117*W117*$W$6+p_CorrFixa,0))</f>
        <v/>
      </c>
      <c r="AF117" s="85" t="str">
        <f>IF(A117="","",IF(OR($Y$1&lt;=0,N(H117)&lt;=0,N(W117)&lt;=0,N(AB117)&lt;=0),0,IF($W$3="Sim",TRUNC(ROUND(MAX(0,($Y$1-IF(N(AD117)&gt;0,0,p_CorrFixa))/(H117*W117*$W$6)),9),$W$4),TRUNC(ROUND(MAX(0,($Y$1-IF(N(AD117)&gt;0,0,p_CorrFixa))/(H117*W117*$W$6)),9)/$W$5)*$W$5)))</f>
        <v/>
      </c>
      <c r="AG117" s="85" t="str">
        <f>IF(A117="","",IF(AND(N(AD117)=0,N(AF117)*(H117*W117*$W$6)+p_CorrFixa&lt;p_CompraMin),0,AF117))</f>
        <v/>
      </c>
      <c r="AH117" s="85" t="str">
        <f>IF(A117="","",IF(N(AG117)&gt;0,AB117,0))</f>
        <v/>
      </c>
      <c r="AI117" s="85" t="str">
        <f>IF(A117="","",IF(AND(AH117&gt;0,AH117=$AH$6,COUNTIF($AH$9:AH117,AH117)=1),1,0))</f>
        <v/>
      </c>
    </row>
    <row r="118">
      <c r="A118" s="96" t="n"/>
      <c r="B118" s="96" t="n"/>
      <c r="C118" s="96" t="n"/>
      <c r="D118" s="97" t="n"/>
      <c r="E118" s="98" t="n"/>
      <c r="F118" s="99" t="n"/>
      <c r="G118" s="100" t="n"/>
      <c r="H118" s="104" t="str">
        <f>IF(A118="","",IF(AND(p_ModoCot="Automático",ISNUMBER(Z118)),Z118,IF(N(G118)&gt;0,G118,0)))</f>
        <v/>
      </c>
      <c r="I118" s="105" t="str">
        <f>IF(A118="","",IF(W118=0,"Sem câmbio",IF(AND(p_ModoCot="Automático",ISNUMBER(Z118)),"Auto",IF(N(G118)&gt;0,"Manual","Sem cotação"))))</f>
        <v/>
      </c>
      <c r="J118" s="106" t="str">
        <f>IF(A118="","",N(E118)*H118)</f>
        <v/>
      </c>
      <c r="K118" s="107" t="str">
        <f>IF(A118="","",J118*W118)</f>
        <v/>
      </c>
      <c r="L118" s="108" t="str">
        <f>IF(A118="","",IF($K$6&gt;0,K118/$K$6,0))</f>
        <v/>
      </c>
      <c r="M118" s="109" t="str">
        <f>IF(A118="","",N(F118)-L118)</f>
        <v/>
      </c>
      <c r="N118" s="108" t="str">
        <f>IF(A118="","",IF($AB$6&gt;0,AB118/$AB$6,0))</f>
        <v/>
      </c>
      <c r="O118" s="110" t="str">
        <f>IF(A118="","",IF(AB118&lt;=0,"",COUNTIF($AB$9:$AB$208,"&gt;"&amp;AB118)+COUNTIF($AB$9:AB118,AB118)))</f>
        <v/>
      </c>
      <c r="P118" s="105" t="str">
        <f>IF(A118="","",IF(Q118&gt;0,"BUY","HOLD"))</f>
        <v/>
      </c>
      <c r="Q118" s="107" t="str">
        <f>IF(A118="","",IF($W$7&lt;=0,0,IF($AC$6&gt;0,$W$7*AC118/$AC$6,IF($F$6&gt;0,$W$7*N(F118)/$F$6,0))))</f>
        <v/>
      </c>
      <c r="R118" s="111" t="str">
        <f>IF(A118="","",N(AD118)+IF(AI118=1,N(AG118),0))</f>
        <v/>
      </c>
      <c r="S118" s="111" t="str">
        <f>IF(A118="","",N(E118)+N(R118))</f>
        <v/>
      </c>
      <c r="T118" s="107" t="str">
        <f>IF(A118="","",IF(N(R118)&gt;0,R118*H118*W118*$W$6+p_CorrFixa,0))</f>
        <v/>
      </c>
      <c r="V118" s="85" t="str">
        <f>IF(A118="","",IF(D118="",$W$1,D118))</f>
        <v/>
      </c>
      <c r="W118" s="85" t="str">
        <f>IF(A118="","",IFERROR(INDEX(moeda_fx,MATCH(V118,moeda_cod,0)),0))</f>
        <v/>
      </c>
      <c r="X118" s="85" t="str">
        <f>IF(A118="","",IF($W$2="",UPPER(TRIM(A118)),IF(RIGHT(UPPER(TRIM(A118)),LEN($W$2))=$W$2,UPPER(TRIM(A118)),UPPER(TRIM(A118))&amp;$W$2)))</f>
        <v/>
      </c>
      <c r="Y118" s="85" t="str">
        <f>IF(OR(A118="",p_ModoCot&lt;&gt;"Automático"),"",IFERROR(_xlfn.WEBSERVICE("https://query1.finance.yahoo.com/v8/finance/chart/"&amp;X118&amp;"?range=1d&amp;interval=1d"),""))</f>
        <v/>
      </c>
      <c r="Z118" s="85" t="str">
        <f>IF(Y118="","",IFERROR(_xlfn.NUMBERVALUE(MID(Y118,SEARCH("""regularMarketPrice"":",Y118)+21,SEARCH(",",Y118&amp;",",SEARCH("""regularMarketPrice"":",Y118)+21)-SEARCH("""regularMarketPrice"":",Y118)-21),".",","),""))</f>
        <v/>
      </c>
      <c r="AA118" s="85" t="str">
        <f>IF(A118="","",ROUND(MAX(0,N(F118)*($K$6+$W$7)-K118),2))</f>
        <v/>
      </c>
      <c r="AB118" s="85" t="str">
        <f>IF(A118="","",IF(AND(M118&gt;0,M118&gt;=p_DifMin),AA118,0))</f>
        <v/>
      </c>
      <c r="AC118" s="85" t="str">
        <f>IF(A118="","",IF(AND(AB118&gt;0,N(O118)&lt;=p_MaxAtivos),AB118,0))</f>
        <v/>
      </c>
      <c r="AD118" s="85" t="str">
        <f>IF(A118="","",IF(OR(Q118&lt;=0,Q118&lt;p_CompraMin,N(H118)&lt;=0,N(W118)&lt;=0),0,IF($W$3="Sim",TRUNC(ROUND(MAX(0,(Q118-p_CorrFixa)/(H118*W118*$W$6)),9),$W$4),TRUNC(ROUND(MAX(0,(Q118-p_CorrFixa)/(H118*W118*$W$6)),9)/$W$5)*$W$5)))</f>
        <v/>
      </c>
      <c r="AE118" s="85" t="str">
        <f>IF(A118="","",IF(N(AD118)&gt;0,AD118*H118*W118*$W$6+p_CorrFixa,0))</f>
        <v/>
      </c>
      <c r="AF118" s="85" t="str">
        <f>IF(A118="","",IF(OR($Y$1&lt;=0,N(H118)&lt;=0,N(W118)&lt;=0,N(AB118)&lt;=0),0,IF($W$3="Sim",TRUNC(ROUND(MAX(0,($Y$1-IF(N(AD118)&gt;0,0,p_CorrFixa))/(H118*W118*$W$6)),9),$W$4),TRUNC(ROUND(MAX(0,($Y$1-IF(N(AD118)&gt;0,0,p_CorrFixa))/(H118*W118*$W$6)),9)/$W$5)*$W$5)))</f>
        <v/>
      </c>
      <c r="AG118" s="85" t="str">
        <f>IF(A118="","",IF(AND(N(AD118)=0,N(AF118)*(H118*W118*$W$6)+p_CorrFixa&lt;p_CompraMin),0,AF118))</f>
        <v/>
      </c>
      <c r="AH118" s="85" t="str">
        <f>IF(A118="","",IF(N(AG118)&gt;0,AB118,0))</f>
        <v/>
      </c>
      <c r="AI118" s="85" t="str">
        <f>IF(A118="","",IF(AND(AH118&gt;0,AH118=$AH$6,COUNTIF($AH$9:AH118,AH118)=1),1,0))</f>
        <v/>
      </c>
    </row>
    <row r="119">
      <c r="A119" s="96" t="n"/>
      <c r="B119" s="96" t="n"/>
      <c r="C119" s="96" t="n"/>
      <c r="D119" s="97" t="n"/>
      <c r="E119" s="98" t="n"/>
      <c r="F119" s="99" t="n"/>
      <c r="G119" s="100" t="n"/>
      <c r="H119" s="101" t="str">
        <f>IF(A119="","",IF(AND(p_ModoCot="Automático",ISNUMBER(Z119)),Z119,IF(N(G119)&gt;0,G119,0)))</f>
        <v/>
      </c>
      <c r="I119" s="73" t="str">
        <f>IF(A119="","",IF(W119=0,"Sem câmbio",IF(AND(p_ModoCot="Automático",ISNUMBER(Z119)),"Auto",IF(N(G119)&gt;0,"Manual","Sem cotação"))))</f>
        <v/>
      </c>
      <c r="J119" s="102" t="str">
        <f>IF(A119="","",N(E119)*H119)</f>
        <v/>
      </c>
      <c r="K119" s="70" t="str">
        <f>IF(A119="","",J119*W119)</f>
        <v/>
      </c>
      <c r="L119" s="30" t="str">
        <f>IF(A119="","",IF($K$6&gt;0,K119/$K$6,0))</f>
        <v/>
      </c>
      <c r="M119" s="72" t="str">
        <f>IF(A119="","",N(F119)-L119)</f>
        <v/>
      </c>
      <c r="N119" s="30" t="str">
        <f>IF(A119="","",IF($AB$6&gt;0,AB119/$AB$6,0))</f>
        <v/>
      </c>
      <c r="O119" s="74" t="str">
        <f>IF(A119="","",IF(AB119&lt;=0,"",COUNTIF($AB$9:$AB$208,"&gt;"&amp;AB119)+COUNTIF($AB$9:AB119,AB119)))</f>
        <v/>
      </c>
      <c r="P119" s="73" t="str">
        <f>IF(A119="","",IF(Q119&gt;0,"BUY","HOLD"))</f>
        <v/>
      </c>
      <c r="Q119" s="70" t="str">
        <f>IF(A119="","",IF($W$7&lt;=0,0,IF($AC$6&gt;0,$W$7*AC119/$AC$6,IF($F$6&gt;0,$W$7*N(F119)/$F$6,0))))</f>
        <v/>
      </c>
      <c r="R119" s="103" t="str">
        <f>IF(A119="","",N(AD119)+IF(AI119=1,N(AG119),0))</f>
        <v/>
      </c>
      <c r="S119" s="103" t="str">
        <f>IF(A119="","",N(E119)+N(R119))</f>
        <v/>
      </c>
      <c r="T119" s="70" t="str">
        <f>IF(A119="","",IF(N(R119)&gt;0,R119*H119*W119*$W$6+p_CorrFixa,0))</f>
        <v/>
      </c>
      <c r="V119" s="85" t="str">
        <f>IF(A119="","",IF(D119="",$W$1,D119))</f>
        <v/>
      </c>
      <c r="W119" s="85" t="str">
        <f>IF(A119="","",IFERROR(INDEX(moeda_fx,MATCH(V119,moeda_cod,0)),0))</f>
        <v/>
      </c>
      <c r="X119" s="85" t="str">
        <f>IF(A119="","",IF($W$2="",UPPER(TRIM(A119)),IF(RIGHT(UPPER(TRIM(A119)),LEN($W$2))=$W$2,UPPER(TRIM(A119)),UPPER(TRIM(A119))&amp;$W$2)))</f>
        <v/>
      </c>
      <c r="Y119" s="85" t="str">
        <f>IF(OR(A119="",p_ModoCot&lt;&gt;"Automático"),"",IFERROR(_xlfn.WEBSERVICE("https://query1.finance.yahoo.com/v8/finance/chart/"&amp;X119&amp;"?range=1d&amp;interval=1d"),""))</f>
        <v/>
      </c>
      <c r="Z119" s="85" t="str">
        <f>IF(Y119="","",IFERROR(_xlfn.NUMBERVALUE(MID(Y119,SEARCH("""regularMarketPrice"":",Y119)+21,SEARCH(",",Y119&amp;",",SEARCH("""regularMarketPrice"":",Y119)+21)-SEARCH("""regularMarketPrice"":",Y119)-21),".",","),""))</f>
        <v/>
      </c>
      <c r="AA119" s="85" t="str">
        <f>IF(A119="","",ROUND(MAX(0,N(F119)*($K$6+$W$7)-K119),2))</f>
        <v/>
      </c>
      <c r="AB119" s="85" t="str">
        <f>IF(A119="","",IF(AND(M119&gt;0,M119&gt;=p_DifMin),AA119,0))</f>
        <v/>
      </c>
      <c r="AC119" s="85" t="str">
        <f>IF(A119="","",IF(AND(AB119&gt;0,N(O119)&lt;=p_MaxAtivos),AB119,0))</f>
        <v/>
      </c>
      <c r="AD119" s="85" t="str">
        <f>IF(A119="","",IF(OR(Q119&lt;=0,Q119&lt;p_CompraMin,N(H119)&lt;=0,N(W119)&lt;=0),0,IF($W$3="Sim",TRUNC(ROUND(MAX(0,(Q119-p_CorrFixa)/(H119*W119*$W$6)),9),$W$4),TRUNC(ROUND(MAX(0,(Q119-p_CorrFixa)/(H119*W119*$W$6)),9)/$W$5)*$W$5)))</f>
        <v/>
      </c>
      <c r="AE119" s="85" t="str">
        <f>IF(A119="","",IF(N(AD119)&gt;0,AD119*H119*W119*$W$6+p_CorrFixa,0))</f>
        <v/>
      </c>
      <c r="AF119" s="85" t="str">
        <f>IF(A119="","",IF(OR($Y$1&lt;=0,N(H119)&lt;=0,N(W119)&lt;=0,N(AB119)&lt;=0),0,IF($W$3="Sim",TRUNC(ROUND(MAX(0,($Y$1-IF(N(AD119)&gt;0,0,p_CorrFixa))/(H119*W119*$W$6)),9),$W$4),TRUNC(ROUND(MAX(0,($Y$1-IF(N(AD119)&gt;0,0,p_CorrFixa))/(H119*W119*$W$6)),9)/$W$5)*$W$5)))</f>
        <v/>
      </c>
      <c r="AG119" s="85" t="str">
        <f>IF(A119="","",IF(AND(N(AD119)=0,N(AF119)*(H119*W119*$W$6)+p_CorrFixa&lt;p_CompraMin),0,AF119))</f>
        <v/>
      </c>
      <c r="AH119" s="85" t="str">
        <f>IF(A119="","",IF(N(AG119)&gt;0,AB119,0))</f>
        <v/>
      </c>
      <c r="AI119" s="85" t="str">
        <f>IF(A119="","",IF(AND(AH119&gt;0,AH119=$AH$6,COUNTIF($AH$9:AH119,AH119)=1),1,0))</f>
        <v/>
      </c>
    </row>
    <row r="120">
      <c r="A120" s="96" t="n"/>
      <c r="B120" s="96" t="n"/>
      <c r="C120" s="96" t="n"/>
      <c r="D120" s="97" t="n"/>
      <c r="E120" s="98" t="n"/>
      <c r="F120" s="99" t="n"/>
      <c r="G120" s="100" t="n"/>
      <c r="H120" s="104" t="str">
        <f>IF(A120="","",IF(AND(p_ModoCot="Automático",ISNUMBER(Z120)),Z120,IF(N(G120)&gt;0,G120,0)))</f>
        <v/>
      </c>
      <c r="I120" s="105" t="str">
        <f>IF(A120="","",IF(W120=0,"Sem câmbio",IF(AND(p_ModoCot="Automático",ISNUMBER(Z120)),"Auto",IF(N(G120)&gt;0,"Manual","Sem cotação"))))</f>
        <v/>
      </c>
      <c r="J120" s="106" t="str">
        <f>IF(A120="","",N(E120)*H120)</f>
        <v/>
      </c>
      <c r="K120" s="107" t="str">
        <f>IF(A120="","",J120*W120)</f>
        <v/>
      </c>
      <c r="L120" s="108" t="str">
        <f>IF(A120="","",IF($K$6&gt;0,K120/$K$6,0))</f>
        <v/>
      </c>
      <c r="M120" s="109" t="str">
        <f>IF(A120="","",N(F120)-L120)</f>
        <v/>
      </c>
      <c r="N120" s="108" t="str">
        <f>IF(A120="","",IF($AB$6&gt;0,AB120/$AB$6,0))</f>
        <v/>
      </c>
      <c r="O120" s="110" t="str">
        <f>IF(A120="","",IF(AB120&lt;=0,"",COUNTIF($AB$9:$AB$208,"&gt;"&amp;AB120)+COUNTIF($AB$9:AB120,AB120)))</f>
        <v/>
      </c>
      <c r="P120" s="105" t="str">
        <f>IF(A120="","",IF(Q120&gt;0,"BUY","HOLD"))</f>
        <v/>
      </c>
      <c r="Q120" s="107" t="str">
        <f>IF(A120="","",IF($W$7&lt;=0,0,IF($AC$6&gt;0,$W$7*AC120/$AC$6,IF($F$6&gt;0,$W$7*N(F120)/$F$6,0))))</f>
        <v/>
      </c>
      <c r="R120" s="111" t="str">
        <f>IF(A120="","",N(AD120)+IF(AI120=1,N(AG120),0))</f>
        <v/>
      </c>
      <c r="S120" s="111" t="str">
        <f>IF(A120="","",N(E120)+N(R120))</f>
        <v/>
      </c>
      <c r="T120" s="107" t="str">
        <f>IF(A120="","",IF(N(R120)&gt;0,R120*H120*W120*$W$6+p_CorrFixa,0))</f>
        <v/>
      </c>
      <c r="V120" s="85" t="str">
        <f>IF(A120="","",IF(D120="",$W$1,D120))</f>
        <v/>
      </c>
      <c r="W120" s="85" t="str">
        <f>IF(A120="","",IFERROR(INDEX(moeda_fx,MATCH(V120,moeda_cod,0)),0))</f>
        <v/>
      </c>
      <c r="X120" s="85" t="str">
        <f>IF(A120="","",IF($W$2="",UPPER(TRIM(A120)),IF(RIGHT(UPPER(TRIM(A120)),LEN($W$2))=$W$2,UPPER(TRIM(A120)),UPPER(TRIM(A120))&amp;$W$2)))</f>
        <v/>
      </c>
      <c r="Y120" s="85" t="str">
        <f>IF(OR(A120="",p_ModoCot&lt;&gt;"Automático"),"",IFERROR(_xlfn.WEBSERVICE("https://query1.finance.yahoo.com/v8/finance/chart/"&amp;X120&amp;"?range=1d&amp;interval=1d"),""))</f>
        <v/>
      </c>
      <c r="Z120" s="85" t="str">
        <f>IF(Y120="","",IFERROR(_xlfn.NUMBERVALUE(MID(Y120,SEARCH("""regularMarketPrice"":",Y120)+21,SEARCH(",",Y120&amp;",",SEARCH("""regularMarketPrice"":",Y120)+21)-SEARCH("""regularMarketPrice"":",Y120)-21),".",","),""))</f>
        <v/>
      </c>
      <c r="AA120" s="85" t="str">
        <f>IF(A120="","",ROUND(MAX(0,N(F120)*($K$6+$W$7)-K120),2))</f>
        <v/>
      </c>
      <c r="AB120" s="85" t="str">
        <f>IF(A120="","",IF(AND(M120&gt;0,M120&gt;=p_DifMin),AA120,0))</f>
        <v/>
      </c>
      <c r="AC120" s="85" t="str">
        <f>IF(A120="","",IF(AND(AB120&gt;0,N(O120)&lt;=p_MaxAtivos),AB120,0))</f>
        <v/>
      </c>
      <c r="AD120" s="85" t="str">
        <f>IF(A120="","",IF(OR(Q120&lt;=0,Q120&lt;p_CompraMin,N(H120)&lt;=0,N(W120)&lt;=0),0,IF($W$3="Sim",TRUNC(ROUND(MAX(0,(Q120-p_CorrFixa)/(H120*W120*$W$6)),9),$W$4),TRUNC(ROUND(MAX(0,(Q120-p_CorrFixa)/(H120*W120*$W$6)),9)/$W$5)*$W$5)))</f>
        <v/>
      </c>
      <c r="AE120" s="85" t="str">
        <f>IF(A120="","",IF(N(AD120)&gt;0,AD120*H120*W120*$W$6+p_CorrFixa,0))</f>
        <v/>
      </c>
      <c r="AF120" s="85" t="str">
        <f>IF(A120="","",IF(OR($Y$1&lt;=0,N(H120)&lt;=0,N(W120)&lt;=0,N(AB120)&lt;=0),0,IF($W$3="Sim",TRUNC(ROUND(MAX(0,($Y$1-IF(N(AD120)&gt;0,0,p_CorrFixa))/(H120*W120*$W$6)),9),$W$4),TRUNC(ROUND(MAX(0,($Y$1-IF(N(AD120)&gt;0,0,p_CorrFixa))/(H120*W120*$W$6)),9)/$W$5)*$W$5)))</f>
        <v/>
      </c>
      <c r="AG120" s="85" t="str">
        <f>IF(A120="","",IF(AND(N(AD120)=0,N(AF120)*(H120*W120*$W$6)+p_CorrFixa&lt;p_CompraMin),0,AF120))</f>
        <v/>
      </c>
      <c r="AH120" s="85" t="str">
        <f>IF(A120="","",IF(N(AG120)&gt;0,AB120,0))</f>
        <v/>
      </c>
      <c r="AI120" s="85" t="str">
        <f>IF(A120="","",IF(AND(AH120&gt;0,AH120=$AH$6,COUNTIF($AH$9:AH120,AH120)=1),1,0))</f>
        <v/>
      </c>
    </row>
    <row r="121">
      <c r="A121" s="96" t="n"/>
      <c r="B121" s="96" t="n"/>
      <c r="C121" s="96" t="n"/>
      <c r="D121" s="97" t="n"/>
      <c r="E121" s="98" t="n"/>
      <c r="F121" s="99" t="n"/>
      <c r="G121" s="100" t="n"/>
      <c r="H121" s="101" t="str">
        <f>IF(A121="","",IF(AND(p_ModoCot="Automático",ISNUMBER(Z121)),Z121,IF(N(G121)&gt;0,G121,0)))</f>
        <v/>
      </c>
      <c r="I121" s="73" t="str">
        <f>IF(A121="","",IF(W121=0,"Sem câmbio",IF(AND(p_ModoCot="Automático",ISNUMBER(Z121)),"Auto",IF(N(G121)&gt;0,"Manual","Sem cotação"))))</f>
        <v/>
      </c>
      <c r="J121" s="102" t="str">
        <f>IF(A121="","",N(E121)*H121)</f>
        <v/>
      </c>
      <c r="K121" s="70" t="str">
        <f>IF(A121="","",J121*W121)</f>
        <v/>
      </c>
      <c r="L121" s="30" t="str">
        <f>IF(A121="","",IF($K$6&gt;0,K121/$K$6,0))</f>
        <v/>
      </c>
      <c r="M121" s="72" t="str">
        <f>IF(A121="","",N(F121)-L121)</f>
        <v/>
      </c>
      <c r="N121" s="30" t="str">
        <f>IF(A121="","",IF($AB$6&gt;0,AB121/$AB$6,0))</f>
        <v/>
      </c>
      <c r="O121" s="74" t="str">
        <f>IF(A121="","",IF(AB121&lt;=0,"",COUNTIF($AB$9:$AB$208,"&gt;"&amp;AB121)+COUNTIF($AB$9:AB121,AB121)))</f>
        <v/>
      </c>
      <c r="P121" s="73" t="str">
        <f>IF(A121="","",IF(Q121&gt;0,"BUY","HOLD"))</f>
        <v/>
      </c>
      <c r="Q121" s="70" t="str">
        <f>IF(A121="","",IF($W$7&lt;=0,0,IF($AC$6&gt;0,$W$7*AC121/$AC$6,IF($F$6&gt;0,$W$7*N(F121)/$F$6,0))))</f>
        <v/>
      </c>
      <c r="R121" s="103" t="str">
        <f>IF(A121="","",N(AD121)+IF(AI121=1,N(AG121),0))</f>
        <v/>
      </c>
      <c r="S121" s="103" t="str">
        <f>IF(A121="","",N(E121)+N(R121))</f>
        <v/>
      </c>
      <c r="T121" s="70" t="str">
        <f>IF(A121="","",IF(N(R121)&gt;0,R121*H121*W121*$W$6+p_CorrFixa,0))</f>
        <v/>
      </c>
      <c r="V121" s="85" t="str">
        <f>IF(A121="","",IF(D121="",$W$1,D121))</f>
        <v/>
      </c>
      <c r="W121" s="85" t="str">
        <f>IF(A121="","",IFERROR(INDEX(moeda_fx,MATCH(V121,moeda_cod,0)),0))</f>
        <v/>
      </c>
      <c r="X121" s="85" t="str">
        <f>IF(A121="","",IF($W$2="",UPPER(TRIM(A121)),IF(RIGHT(UPPER(TRIM(A121)),LEN($W$2))=$W$2,UPPER(TRIM(A121)),UPPER(TRIM(A121))&amp;$W$2)))</f>
        <v/>
      </c>
      <c r="Y121" s="85" t="str">
        <f>IF(OR(A121="",p_ModoCot&lt;&gt;"Automático"),"",IFERROR(_xlfn.WEBSERVICE("https://query1.finance.yahoo.com/v8/finance/chart/"&amp;X121&amp;"?range=1d&amp;interval=1d"),""))</f>
        <v/>
      </c>
      <c r="Z121" s="85" t="str">
        <f>IF(Y121="","",IFERROR(_xlfn.NUMBERVALUE(MID(Y121,SEARCH("""regularMarketPrice"":",Y121)+21,SEARCH(",",Y121&amp;",",SEARCH("""regularMarketPrice"":",Y121)+21)-SEARCH("""regularMarketPrice"":",Y121)-21),".",","),""))</f>
        <v/>
      </c>
      <c r="AA121" s="85" t="str">
        <f>IF(A121="","",ROUND(MAX(0,N(F121)*($K$6+$W$7)-K121),2))</f>
        <v/>
      </c>
      <c r="AB121" s="85" t="str">
        <f>IF(A121="","",IF(AND(M121&gt;0,M121&gt;=p_DifMin),AA121,0))</f>
        <v/>
      </c>
      <c r="AC121" s="85" t="str">
        <f>IF(A121="","",IF(AND(AB121&gt;0,N(O121)&lt;=p_MaxAtivos),AB121,0))</f>
        <v/>
      </c>
      <c r="AD121" s="85" t="str">
        <f>IF(A121="","",IF(OR(Q121&lt;=0,Q121&lt;p_CompraMin,N(H121)&lt;=0,N(W121)&lt;=0),0,IF($W$3="Sim",TRUNC(ROUND(MAX(0,(Q121-p_CorrFixa)/(H121*W121*$W$6)),9),$W$4),TRUNC(ROUND(MAX(0,(Q121-p_CorrFixa)/(H121*W121*$W$6)),9)/$W$5)*$W$5)))</f>
        <v/>
      </c>
      <c r="AE121" s="85" t="str">
        <f>IF(A121="","",IF(N(AD121)&gt;0,AD121*H121*W121*$W$6+p_CorrFixa,0))</f>
        <v/>
      </c>
      <c r="AF121" s="85" t="str">
        <f>IF(A121="","",IF(OR($Y$1&lt;=0,N(H121)&lt;=0,N(W121)&lt;=0,N(AB121)&lt;=0),0,IF($W$3="Sim",TRUNC(ROUND(MAX(0,($Y$1-IF(N(AD121)&gt;0,0,p_CorrFixa))/(H121*W121*$W$6)),9),$W$4),TRUNC(ROUND(MAX(0,($Y$1-IF(N(AD121)&gt;0,0,p_CorrFixa))/(H121*W121*$W$6)),9)/$W$5)*$W$5)))</f>
        <v/>
      </c>
      <c r="AG121" s="85" t="str">
        <f>IF(A121="","",IF(AND(N(AD121)=0,N(AF121)*(H121*W121*$W$6)+p_CorrFixa&lt;p_CompraMin),0,AF121))</f>
        <v/>
      </c>
      <c r="AH121" s="85" t="str">
        <f>IF(A121="","",IF(N(AG121)&gt;0,AB121,0))</f>
        <v/>
      </c>
      <c r="AI121" s="85" t="str">
        <f>IF(A121="","",IF(AND(AH121&gt;0,AH121=$AH$6,COUNTIF($AH$9:AH121,AH121)=1),1,0))</f>
        <v/>
      </c>
    </row>
    <row r="122">
      <c r="A122" s="96" t="n"/>
      <c r="B122" s="96" t="n"/>
      <c r="C122" s="96" t="n"/>
      <c r="D122" s="97" t="n"/>
      <c r="E122" s="98" t="n"/>
      <c r="F122" s="99" t="n"/>
      <c r="G122" s="100" t="n"/>
      <c r="H122" s="104" t="str">
        <f>IF(A122="","",IF(AND(p_ModoCot="Automático",ISNUMBER(Z122)),Z122,IF(N(G122)&gt;0,G122,0)))</f>
        <v/>
      </c>
      <c r="I122" s="105" t="str">
        <f>IF(A122="","",IF(W122=0,"Sem câmbio",IF(AND(p_ModoCot="Automático",ISNUMBER(Z122)),"Auto",IF(N(G122)&gt;0,"Manual","Sem cotação"))))</f>
        <v/>
      </c>
      <c r="J122" s="106" t="str">
        <f>IF(A122="","",N(E122)*H122)</f>
        <v/>
      </c>
      <c r="K122" s="107" t="str">
        <f>IF(A122="","",J122*W122)</f>
        <v/>
      </c>
      <c r="L122" s="108" t="str">
        <f>IF(A122="","",IF($K$6&gt;0,K122/$K$6,0))</f>
        <v/>
      </c>
      <c r="M122" s="109" t="str">
        <f>IF(A122="","",N(F122)-L122)</f>
        <v/>
      </c>
      <c r="N122" s="108" t="str">
        <f>IF(A122="","",IF($AB$6&gt;0,AB122/$AB$6,0))</f>
        <v/>
      </c>
      <c r="O122" s="110" t="str">
        <f>IF(A122="","",IF(AB122&lt;=0,"",COUNTIF($AB$9:$AB$208,"&gt;"&amp;AB122)+COUNTIF($AB$9:AB122,AB122)))</f>
        <v/>
      </c>
      <c r="P122" s="105" t="str">
        <f>IF(A122="","",IF(Q122&gt;0,"BUY","HOLD"))</f>
        <v/>
      </c>
      <c r="Q122" s="107" t="str">
        <f>IF(A122="","",IF($W$7&lt;=0,0,IF($AC$6&gt;0,$W$7*AC122/$AC$6,IF($F$6&gt;0,$W$7*N(F122)/$F$6,0))))</f>
        <v/>
      </c>
      <c r="R122" s="111" t="str">
        <f>IF(A122="","",N(AD122)+IF(AI122=1,N(AG122),0))</f>
        <v/>
      </c>
      <c r="S122" s="111" t="str">
        <f>IF(A122="","",N(E122)+N(R122))</f>
        <v/>
      </c>
      <c r="T122" s="107" t="str">
        <f>IF(A122="","",IF(N(R122)&gt;0,R122*H122*W122*$W$6+p_CorrFixa,0))</f>
        <v/>
      </c>
      <c r="V122" s="85" t="str">
        <f>IF(A122="","",IF(D122="",$W$1,D122))</f>
        <v/>
      </c>
      <c r="W122" s="85" t="str">
        <f>IF(A122="","",IFERROR(INDEX(moeda_fx,MATCH(V122,moeda_cod,0)),0))</f>
        <v/>
      </c>
      <c r="X122" s="85" t="str">
        <f>IF(A122="","",IF($W$2="",UPPER(TRIM(A122)),IF(RIGHT(UPPER(TRIM(A122)),LEN($W$2))=$W$2,UPPER(TRIM(A122)),UPPER(TRIM(A122))&amp;$W$2)))</f>
        <v/>
      </c>
      <c r="Y122" s="85" t="str">
        <f>IF(OR(A122="",p_ModoCot&lt;&gt;"Automático"),"",IFERROR(_xlfn.WEBSERVICE("https://query1.finance.yahoo.com/v8/finance/chart/"&amp;X122&amp;"?range=1d&amp;interval=1d"),""))</f>
        <v/>
      </c>
      <c r="Z122" s="85" t="str">
        <f>IF(Y122="","",IFERROR(_xlfn.NUMBERVALUE(MID(Y122,SEARCH("""regularMarketPrice"":",Y122)+21,SEARCH(",",Y122&amp;",",SEARCH("""regularMarketPrice"":",Y122)+21)-SEARCH("""regularMarketPrice"":",Y122)-21),".",","),""))</f>
        <v/>
      </c>
      <c r="AA122" s="85" t="str">
        <f>IF(A122="","",ROUND(MAX(0,N(F122)*($K$6+$W$7)-K122),2))</f>
        <v/>
      </c>
      <c r="AB122" s="85" t="str">
        <f>IF(A122="","",IF(AND(M122&gt;0,M122&gt;=p_DifMin),AA122,0))</f>
        <v/>
      </c>
      <c r="AC122" s="85" t="str">
        <f>IF(A122="","",IF(AND(AB122&gt;0,N(O122)&lt;=p_MaxAtivos),AB122,0))</f>
        <v/>
      </c>
      <c r="AD122" s="85" t="str">
        <f>IF(A122="","",IF(OR(Q122&lt;=0,Q122&lt;p_CompraMin,N(H122)&lt;=0,N(W122)&lt;=0),0,IF($W$3="Sim",TRUNC(ROUND(MAX(0,(Q122-p_CorrFixa)/(H122*W122*$W$6)),9),$W$4),TRUNC(ROUND(MAX(0,(Q122-p_CorrFixa)/(H122*W122*$W$6)),9)/$W$5)*$W$5)))</f>
        <v/>
      </c>
      <c r="AE122" s="85" t="str">
        <f>IF(A122="","",IF(N(AD122)&gt;0,AD122*H122*W122*$W$6+p_CorrFixa,0))</f>
        <v/>
      </c>
      <c r="AF122" s="85" t="str">
        <f>IF(A122="","",IF(OR($Y$1&lt;=0,N(H122)&lt;=0,N(W122)&lt;=0,N(AB122)&lt;=0),0,IF($W$3="Sim",TRUNC(ROUND(MAX(0,($Y$1-IF(N(AD122)&gt;0,0,p_CorrFixa))/(H122*W122*$W$6)),9),$W$4),TRUNC(ROUND(MAX(0,($Y$1-IF(N(AD122)&gt;0,0,p_CorrFixa))/(H122*W122*$W$6)),9)/$W$5)*$W$5)))</f>
        <v/>
      </c>
      <c r="AG122" s="85" t="str">
        <f>IF(A122="","",IF(AND(N(AD122)=0,N(AF122)*(H122*W122*$W$6)+p_CorrFixa&lt;p_CompraMin),0,AF122))</f>
        <v/>
      </c>
      <c r="AH122" s="85" t="str">
        <f>IF(A122="","",IF(N(AG122)&gt;0,AB122,0))</f>
        <v/>
      </c>
      <c r="AI122" s="85" t="str">
        <f>IF(A122="","",IF(AND(AH122&gt;0,AH122=$AH$6,COUNTIF($AH$9:AH122,AH122)=1),1,0))</f>
        <v/>
      </c>
    </row>
    <row r="123">
      <c r="A123" s="96" t="n"/>
      <c r="B123" s="96" t="n"/>
      <c r="C123" s="96" t="n"/>
      <c r="D123" s="97" t="n"/>
      <c r="E123" s="98" t="n"/>
      <c r="F123" s="99" t="n"/>
      <c r="G123" s="100" t="n"/>
      <c r="H123" s="101" t="str">
        <f>IF(A123="","",IF(AND(p_ModoCot="Automático",ISNUMBER(Z123)),Z123,IF(N(G123)&gt;0,G123,0)))</f>
        <v/>
      </c>
      <c r="I123" s="73" t="str">
        <f>IF(A123="","",IF(W123=0,"Sem câmbio",IF(AND(p_ModoCot="Automático",ISNUMBER(Z123)),"Auto",IF(N(G123)&gt;0,"Manual","Sem cotação"))))</f>
        <v/>
      </c>
      <c r="J123" s="102" t="str">
        <f>IF(A123="","",N(E123)*H123)</f>
        <v/>
      </c>
      <c r="K123" s="70" t="str">
        <f>IF(A123="","",J123*W123)</f>
        <v/>
      </c>
      <c r="L123" s="30" t="str">
        <f>IF(A123="","",IF($K$6&gt;0,K123/$K$6,0))</f>
        <v/>
      </c>
      <c r="M123" s="72" t="str">
        <f>IF(A123="","",N(F123)-L123)</f>
        <v/>
      </c>
      <c r="N123" s="30" t="str">
        <f>IF(A123="","",IF($AB$6&gt;0,AB123/$AB$6,0))</f>
        <v/>
      </c>
      <c r="O123" s="74" t="str">
        <f>IF(A123="","",IF(AB123&lt;=0,"",COUNTIF($AB$9:$AB$208,"&gt;"&amp;AB123)+COUNTIF($AB$9:AB123,AB123)))</f>
        <v/>
      </c>
      <c r="P123" s="73" t="str">
        <f>IF(A123="","",IF(Q123&gt;0,"BUY","HOLD"))</f>
        <v/>
      </c>
      <c r="Q123" s="70" t="str">
        <f>IF(A123="","",IF($W$7&lt;=0,0,IF($AC$6&gt;0,$W$7*AC123/$AC$6,IF($F$6&gt;0,$W$7*N(F123)/$F$6,0))))</f>
        <v/>
      </c>
      <c r="R123" s="103" t="str">
        <f>IF(A123="","",N(AD123)+IF(AI123=1,N(AG123),0))</f>
        <v/>
      </c>
      <c r="S123" s="103" t="str">
        <f>IF(A123="","",N(E123)+N(R123))</f>
        <v/>
      </c>
      <c r="T123" s="70" t="str">
        <f>IF(A123="","",IF(N(R123)&gt;0,R123*H123*W123*$W$6+p_CorrFixa,0))</f>
        <v/>
      </c>
      <c r="V123" s="85" t="str">
        <f>IF(A123="","",IF(D123="",$W$1,D123))</f>
        <v/>
      </c>
      <c r="W123" s="85" t="str">
        <f>IF(A123="","",IFERROR(INDEX(moeda_fx,MATCH(V123,moeda_cod,0)),0))</f>
        <v/>
      </c>
      <c r="X123" s="85" t="str">
        <f>IF(A123="","",IF($W$2="",UPPER(TRIM(A123)),IF(RIGHT(UPPER(TRIM(A123)),LEN($W$2))=$W$2,UPPER(TRIM(A123)),UPPER(TRIM(A123))&amp;$W$2)))</f>
        <v/>
      </c>
      <c r="Y123" s="85" t="str">
        <f>IF(OR(A123="",p_ModoCot&lt;&gt;"Automático"),"",IFERROR(_xlfn.WEBSERVICE("https://query1.finance.yahoo.com/v8/finance/chart/"&amp;X123&amp;"?range=1d&amp;interval=1d"),""))</f>
        <v/>
      </c>
      <c r="Z123" s="85" t="str">
        <f>IF(Y123="","",IFERROR(_xlfn.NUMBERVALUE(MID(Y123,SEARCH("""regularMarketPrice"":",Y123)+21,SEARCH(",",Y123&amp;",",SEARCH("""regularMarketPrice"":",Y123)+21)-SEARCH("""regularMarketPrice"":",Y123)-21),".",","),""))</f>
        <v/>
      </c>
      <c r="AA123" s="85" t="str">
        <f>IF(A123="","",ROUND(MAX(0,N(F123)*($K$6+$W$7)-K123),2))</f>
        <v/>
      </c>
      <c r="AB123" s="85" t="str">
        <f>IF(A123="","",IF(AND(M123&gt;0,M123&gt;=p_DifMin),AA123,0))</f>
        <v/>
      </c>
      <c r="AC123" s="85" t="str">
        <f>IF(A123="","",IF(AND(AB123&gt;0,N(O123)&lt;=p_MaxAtivos),AB123,0))</f>
        <v/>
      </c>
      <c r="AD123" s="85" t="str">
        <f>IF(A123="","",IF(OR(Q123&lt;=0,Q123&lt;p_CompraMin,N(H123)&lt;=0,N(W123)&lt;=0),0,IF($W$3="Sim",TRUNC(ROUND(MAX(0,(Q123-p_CorrFixa)/(H123*W123*$W$6)),9),$W$4),TRUNC(ROUND(MAX(0,(Q123-p_CorrFixa)/(H123*W123*$W$6)),9)/$W$5)*$W$5)))</f>
        <v/>
      </c>
      <c r="AE123" s="85" t="str">
        <f>IF(A123="","",IF(N(AD123)&gt;0,AD123*H123*W123*$W$6+p_CorrFixa,0))</f>
        <v/>
      </c>
      <c r="AF123" s="85" t="str">
        <f>IF(A123="","",IF(OR($Y$1&lt;=0,N(H123)&lt;=0,N(W123)&lt;=0,N(AB123)&lt;=0),0,IF($W$3="Sim",TRUNC(ROUND(MAX(0,($Y$1-IF(N(AD123)&gt;0,0,p_CorrFixa))/(H123*W123*$W$6)),9),$W$4),TRUNC(ROUND(MAX(0,($Y$1-IF(N(AD123)&gt;0,0,p_CorrFixa))/(H123*W123*$W$6)),9)/$W$5)*$W$5)))</f>
        <v/>
      </c>
      <c r="AG123" s="85" t="str">
        <f>IF(A123="","",IF(AND(N(AD123)=0,N(AF123)*(H123*W123*$W$6)+p_CorrFixa&lt;p_CompraMin),0,AF123))</f>
        <v/>
      </c>
      <c r="AH123" s="85" t="str">
        <f>IF(A123="","",IF(N(AG123)&gt;0,AB123,0))</f>
        <v/>
      </c>
      <c r="AI123" s="85" t="str">
        <f>IF(A123="","",IF(AND(AH123&gt;0,AH123=$AH$6,COUNTIF($AH$9:AH123,AH123)=1),1,0))</f>
        <v/>
      </c>
    </row>
    <row r="124">
      <c r="A124" s="96" t="n"/>
      <c r="B124" s="96" t="n"/>
      <c r="C124" s="96" t="n"/>
      <c r="D124" s="97" t="n"/>
      <c r="E124" s="98" t="n"/>
      <c r="F124" s="99" t="n"/>
      <c r="G124" s="100" t="n"/>
      <c r="H124" s="104" t="str">
        <f>IF(A124="","",IF(AND(p_ModoCot="Automático",ISNUMBER(Z124)),Z124,IF(N(G124)&gt;0,G124,0)))</f>
        <v/>
      </c>
      <c r="I124" s="105" t="str">
        <f>IF(A124="","",IF(W124=0,"Sem câmbio",IF(AND(p_ModoCot="Automático",ISNUMBER(Z124)),"Auto",IF(N(G124)&gt;0,"Manual","Sem cotação"))))</f>
        <v/>
      </c>
      <c r="J124" s="106" t="str">
        <f>IF(A124="","",N(E124)*H124)</f>
        <v/>
      </c>
      <c r="K124" s="107" t="str">
        <f>IF(A124="","",J124*W124)</f>
        <v/>
      </c>
      <c r="L124" s="108" t="str">
        <f>IF(A124="","",IF($K$6&gt;0,K124/$K$6,0))</f>
        <v/>
      </c>
      <c r="M124" s="109" t="str">
        <f>IF(A124="","",N(F124)-L124)</f>
        <v/>
      </c>
      <c r="N124" s="108" t="str">
        <f>IF(A124="","",IF($AB$6&gt;0,AB124/$AB$6,0))</f>
        <v/>
      </c>
      <c r="O124" s="110" t="str">
        <f>IF(A124="","",IF(AB124&lt;=0,"",COUNTIF($AB$9:$AB$208,"&gt;"&amp;AB124)+COUNTIF($AB$9:AB124,AB124)))</f>
        <v/>
      </c>
      <c r="P124" s="105" t="str">
        <f>IF(A124="","",IF(Q124&gt;0,"BUY","HOLD"))</f>
        <v/>
      </c>
      <c r="Q124" s="107" t="str">
        <f>IF(A124="","",IF($W$7&lt;=0,0,IF($AC$6&gt;0,$W$7*AC124/$AC$6,IF($F$6&gt;0,$W$7*N(F124)/$F$6,0))))</f>
        <v/>
      </c>
      <c r="R124" s="111" t="str">
        <f>IF(A124="","",N(AD124)+IF(AI124=1,N(AG124),0))</f>
        <v/>
      </c>
      <c r="S124" s="111" t="str">
        <f>IF(A124="","",N(E124)+N(R124))</f>
        <v/>
      </c>
      <c r="T124" s="107" t="str">
        <f>IF(A124="","",IF(N(R124)&gt;0,R124*H124*W124*$W$6+p_CorrFixa,0))</f>
        <v/>
      </c>
      <c r="V124" s="85" t="str">
        <f>IF(A124="","",IF(D124="",$W$1,D124))</f>
        <v/>
      </c>
      <c r="W124" s="85" t="str">
        <f>IF(A124="","",IFERROR(INDEX(moeda_fx,MATCH(V124,moeda_cod,0)),0))</f>
        <v/>
      </c>
      <c r="X124" s="85" t="str">
        <f>IF(A124="","",IF($W$2="",UPPER(TRIM(A124)),IF(RIGHT(UPPER(TRIM(A124)),LEN($W$2))=$W$2,UPPER(TRIM(A124)),UPPER(TRIM(A124))&amp;$W$2)))</f>
        <v/>
      </c>
      <c r="Y124" s="85" t="str">
        <f>IF(OR(A124="",p_ModoCot&lt;&gt;"Automático"),"",IFERROR(_xlfn.WEBSERVICE("https://query1.finance.yahoo.com/v8/finance/chart/"&amp;X124&amp;"?range=1d&amp;interval=1d"),""))</f>
        <v/>
      </c>
      <c r="Z124" s="85" t="str">
        <f>IF(Y124="","",IFERROR(_xlfn.NUMBERVALUE(MID(Y124,SEARCH("""regularMarketPrice"":",Y124)+21,SEARCH(",",Y124&amp;",",SEARCH("""regularMarketPrice"":",Y124)+21)-SEARCH("""regularMarketPrice"":",Y124)-21),".",","),""))</f>
        <v/>
      </c>
      <c r="AA124" s="85" t="str">
        <f>IF(A124="","",ROUND(MAX(0,N(F124)*($K$6+$W$7)-K124),2))</f>
        <v/>
      </c>
      <c r="AB124" s="85" t="str">
        <f>IF(A124="","",IF(AND(M124&gt;0,M124&gt;=p_DifMin),AA124,0))</f>
        <v/>
      </c>
      <c r="AC124" s="85" t="str">
        <f>IF(A124="","",IF(AND(AB124&gt;0,N(O124)&lt;=p_MaxAtivos),AB124,0))</f>
        <v/>
      </c>
      <c r="AD124" s="85" t="str">
        <f>IF(A124="","",IF(OR(Q124&lt;=0,Q124&lt;p_CompraMin,N(H124)&lt;=0,N(W124)&lt;=0),0,IF($W$3="Sim",TRUNC(ROUND(MAX(0,(Q124-p_CorrFixa)/(H124*W124*$W$6)),9),$W$4),TRUNC(ROUND(MAX(0,(Q124-p_CorrFixa)/(H124*W124*$W$6)),9)/$W$5)*$W$5)))</f>
        <v/>
      </c>
      <c r="AE124" s="85" t="str">
        <f>IF(A124="","",IF(N(AD124)&gt;0,AD124*H124*W124*$W$6+p_CorrFixa,0))</f>
        <v/>
      </c>
      <c r="AF124" s="85" t="str">
        <f>IF(A124="","",IF(OR($Y$1&lt;=0,N(H124)&lt;=0,N(W124)&lt;=0,N(AB124)&lt;=0),0,IF($W$3="Sim",TRUNC(ROUND(MAX(0,($Y$1-IF(N(AD124)&gt;0,0,p_CorrFixa))/(H124*W124*$W$6)),9),$W$4),TRUNC(ROUND(MAX(0,($Y$1-IF(N(AD124)&gt;0,0,p_CorrFixa))/(H124*W124*$W$6)),9)/$W$5)*$W$5)))</f>
        <v/>
      </c>
      <c r="AG124" s="85" t="str">
        <f>IF(A124="","",IF(AND(N(AD124)=0,N(AF124)*(H124*W124*$W$6)+p_CorrFixa&lt;p_CompraMin),0,AF124))</f>
        <v/>
      </c>
      <c r="AH124" s="85" t="str">
        <f>IF(A124="","",IF(N(AG124)&gt;0,AB124,0))</f>
        <v/>
      </c>
      <c r="AI124" s="85" t="str">
        <f>IF(A124="","",IF(AND(AH124&gt;0,AH124=$AH$6,COUNTIF($AH$9:AH124,AH124)=1),1,0))</f>
        <v/>
      </c>
    </row>
    <row r="125">
      <c r="A125" s="96" t="n"/>
      <c r="B125" s="96" t="n"/>
      <c r="C125" s="96" t="n"/>
      <c r="D125" s="97" t="n"/>
      <c r="E125" s="98" t="n"/>
      <c r="F125" s="99" t="n"/>
      <c r="G125" s="100" t="n"/>
      <c r="H125" s="101" t="str">
        <f>IF(A125="","",IF(AND(p_ModoCot="Automático",ISNUMBER(Z125)),Z125,IF(N(G125)&gt;0,G125,0)))</f>
        <v/>
      </c>
      <c r="I125" s="73" t="str">
        <f>IF(A125="","",IF(W125=0,"Sem câmbio",IF(AND(p_ModoCot="Automático",ISNUMBER(Z125)),"Auto",IF(N(G125)&gt;0,"Manual","Sem cotação"))))</f>
        <v/>
      </c>
      <c r="J125" s="102" t="str">
        <f>IF(A125="","",N(E125)*H125)</f>
        <v/>
      </c>
      <c r="K125" s="70" t="str">
        <f>IF(A125="","",J125*W125)</f>
        <v/>
      </c>
      <c r="L125" s="30" t="str">
        <f>IF(A125="","",IF($K$6&gt;0,K125/$K$6,0))</f>
        <v/>
      </c>
      <c r="M125" s="72" t="str">
        <f>IF(A125="","",N(F125)-L125)</f>
        <v/>
      </c>
      <c r="N125" s="30" t="str">
        <f>IF(A125="","",IF($AB$6&gt;0,AB125/$AB$6,0))</f>
        <v/>
      </c>
      <c r="O125" s="74" t="str">
        <f>IF(A125="","",IF(AB125&lt;=0,"",COUNTIF($AB$9:$AB$208,"&gt;"&amp;AB125)+COUNTIF($AB$9:AB125,AB125)))</f>
        <v/>
      </c>
      <c r="P125" s="73" t="str">
        <f>IF(A125="","",IF(Q125&gt;0,"BUY","HOLD"))</f>
        <v/>
      </c>
      <c r="Q125" s="70" t="str">
        <f>IF(A125="","",IF($W$7&lt;=0,0,IF($AC$6&gt;0,$W$7*AC125/$AC$6,IF($F$6&gt;0,$W$7*N(F125)/$F$6,0))))</f>
        <v/>
      </c>
      <c r="R125" s="103" t="str">
        <f>IF(A125="","",N(AD125)+IF(AI125=1,N(AG125),0))</f>
        <v/>
      </c>
      <c r="S125" s="103" t="str">
        <f>IF(A125="","",N(E125)+N(R125))</f>
        <v/>
      </c>
      <c r="T125" s="70" t="str">
        <f>IF(A125="","",IF(N(R125)&gt;0,R125*H125*W125*$W$6+p_CorrFixa,0))</f>
        <v/>
      </c>
      <c r="V125" s="85" t="str">
        <f>IF(A125="","",IF(D125="",$W$1,D125))</f>
        <v/>
      </c>
      <c r="W125" s="85" t="str">
        <f>IF(A125="","",IFERROR(INDEX(moeda_fx,MATCH(V125,moeda_cod,0)),0))</f>
        <v/>
      </c>
      <c r="X125" s="85" t="str">
        <f>IF(A125="","",IF($W$2="",UPPER(TRIM(A125)),IF(RIGHT(UPPER(TRIM(A125)),LEN($W$2))=$W$2,UPPER(TRIM(A125)),UPPER(TRIM(A125))&amp;$W$2)))</f>
        <v/>
      </c>
      <c r="Y125" s="85" t="str">
        <f>IF(OR(A125="",p_ModoCot&lt;&gt;"Automático"),"",IFERROR(_xlfn.WEBSERVICE("https://query1.finance.yahoo.com/v8/finance/chart/"&amp;X125&amp;"?range=1d&amp;interval=1d"),""))</f>
        <v/>
      </c>
      <c r="Z125" s="85" t="str">
        <f>IF(Y125="","",IFERROR(_xlfn.NUMBERVALUE(MID(Y125,SEARCH("""regularMarketPrice"":",Y125)+21,SEARCH(",",Y125&amp;",",SEARCH("""regularMarketPrice"":",Y125)+21)-SEARCH("""regularMarketPrice"":",Y125)-21),".",","),""))</f>
        <v/>
      </c>
      <c r="AA125" s="85" t="str">
        <f>IF(A125="","",ROUND(MAX(0,N(F125)*($K$6+$W$7)-K125),2))</f>
        <v/>
      </c>
      <c r="AB125" s="85" t="str">
        <f>IF(A125="","",IF(AND(M125&gt;0,M125&gt;=p_DifMin),AA125,0))</f>
        <v/>
      </c>
      <c r="AC125" s="85" t="str">
        <f>IF(A125="","",IF(AND(AB125&gt;0,N(O125)&lt;=p_MaxAtivos),AB125,0))</f>
        <v/>
      </c>
      <c r="AD125" s="85" t="str">
        <f>IF(A125="","",IF(OR(Q125&lt;=0,Q125&lt;p_CompraMin,N(H125)&lt;=0,N(W125)&lt;=0),0,IF($W$3="Sim",TRUNC(ROUND(MAX(0,(Q125-p_CorrFixa)/(H125*W125*$W$6)),9),$W$4),TRUNC(ROUND(MAX(0,(Q125-p_CorrFixa)/(H125*W125*$W$6)),9)/$W$5)*$W$5)))</f>
        <v/>
      </c>
      <c r="AE125" s="85" t="str">
        <f>IF(A125="","",IF(N(AD125)&gt;0,AD125*H125*W125*$W$6+p_CorrFixa,0))</f>
        <v/>
      </c>
      <c r="AF125" s="85" t="str">
        <f>IF(A125="","",IF(OR($Y$1&lt;=0,N(H125)&lt;=0,N(W125)&lt;=0,N(AB125)&lt;=0),0,IF($W$3="Sim",TRUNC(ROUND(MAX(0,($Y$1-IF(N(AD125)&gt;0,0,p_CorrFixa))/(H125*W125*$W$6)),9),$W$4),TRUNC(ROUND(MAX(0,($Y$1-IF(N(AD125)&gt;0,0,p_CorrFixa))/(H125*W125*$W$6)),9)/$W$5)*$W$5)))</f>
        <v/>
      </c>
      <c r="AG125" s="85" t="str">
        <f>IF(A125="","",IF(AND(N(AD125)=0,N(AF125)*(H125*W125*$W$6)+p_CorrFixa&lt;p_CompraMin),0,AF125))</f>
        <v/>
      </c>
      <c r="AH125" s="85" t="str">
        <f>IF(A125="","",IF(N(AG125)&gt;0,AB125,0))</f>
        <v/>
      </c>
      <c r="AI125" s="85" t="str">
        <f>IF(A125="","",IF(AND(AH125&gt;0,AH125=$AH$6,COUNTIF($AH$9:AH125,AH125)=1),1,0))</f>
        <v/>
      </c>
    </row>
    <row r="126">
      <c r="A126" s="96" t="n"/>
      <c r="B126" s="96" t="n"/>
      <c r="C126" s="96" t="n"/>
      <c r="D126" s="97" t="n"/>
      <c r="E126" s="98" t="n"/>
      <c r="F126" s="99" t="n"/>
      <c r="G126" s="100" t="n"/>
      <c r="H126" s="104" t="str">
        <f>IF(A126="","",IF(AND(p_ModoCot="Automático",ISNUMBER(Z126)),Z126,IF(N(G126)&gt;0,G126,0)))</f>
        <v/>
      </c>
      <c r="I126" s="105" t="str">
        <f>IF(A126="","",IF(W126=0,"Sem câmbio",IF(AND(p_ModoCot="Automático",ISNUMBER(Z126)),"Auto",IF(N(G126)&gt;0,"Manual","Sem cotação"))))</f>
        <v/>
      </c>
      <c r="J126" s="106" t="str">
        <f>IF(A126="","",N(E126)*H126)</f>
        <v/>
      </c>
      <c r="K126" s="107" t="str">
        <f>IF(A126="","",J126*W126)</f>
        <v/>
      </c>
      <c r="L126" s="108" t="str">
        <f>IF(A126="","",IF($K$6&gt;0,K126/$K$6,0))</f>
        <v/>
      </c>
      <c r="M126" s="109" t="str">
        <f>IF(A126="","",N(F126)-L126)</f>
        <v/>
      </c>
      <c r="N126" s="108" t="str">
        <f>IF(A126="","",IF($AB$6&gt;0,AB126/$AB$6,0))</f>
        <v/>
      </c>
      <c r="O126" s="110" t="str">
        <f>IF(A126="","",IF(AB126&lt;=0,"",COUNTIF($AB$9:$AB$208,"&gt;"&amp;AB126)+COUNTIF($AB$9:AB126,AB126)))</f>
        <v/>
      </c>
      <c r="P126" s="105" t="str">
        <f>IF(A126="","",IF(Q126&gt;0,"BUY","HOLD"))</f>
        <v/>
      </c>
      <c r="Q126" s="107" t="str">
        <f>IF(A126="","",IF($W$7&lt;=0,0,IF($AC$6&gt;0,$W$7*AC126/$AC$6,IF($F$6&gt;0,$W$7*N(F126)/$F$6,0))))</f>
        <v/>
      </c>
      <c r="R126" s="111" t="str">
        <f>IF(A126="","",N(AD126)+IF(AI126=1,N(AG126),0))</f>
        <v/>
      </c>
      <c r="S126" s="111" t="str">
        <f>IF(A126="","",N(E126)+N(R126))</f>
        <v/>
      </c>
      <c r="T126" s="107" t="str">
        <f>IF(A126="","",IF(N(R126)&gt;0,R126*H126*W126*$W$6+p_CorrFixa,0))</f>
        <v/>
      </c>
      <c r="V126" s="85" t="str">
        <f>IF(A126="","",IF(D126="",$W$1,D126))</f>
        <v/>
      </c>
      <c r="W126" s="85" t="str">
        <f>IF(A126="","",IFERROR(INDEX(moeda_fx,MATCH(V126,moeda_cod,0)),0))</f>
        <v/>
      </c>
      <c r="X126" s="85" t="str">
        <f>IF(A126="","",IF($W$2="",UPPER(TRIM(A126)),IF(RIGHT(UPPER(TRIM(A126)),LEN($W$2))=$W$2,UPPER(TRIM(A126)),UPPER(TRIM(A126))&amp;$W$2)))</f>
        <v/>
      </c>
      <c r="Y126" s="85" t="str">
        <f>IF(OR(A126="",p_ModoCot&lt;&gt;"Automático"),"",IFERROR(_xlfn.WEBSERVICE("https://query1.finance.yahoo.com/v8/finance/chart/"&amp;X126&amp;"?range=1d&amp;interval=1d"),""))</f>
        <v/>
      </c>
      <c r="Z126" s="85" t="str">
        <f>IF(Y126="","",IFERROR(_xlfn.NUMBERVALUE(MID(Y126,SEARCH("""regularMarketPrice"":",Y126)+21,SEARCH(",",Y126&amp;",",SEARCH("""regularMarketPrice"":",Y126)+21)-SEARCH("""regularMarketPrice"":",Y126)-21),".",","),""))</f>
        <v/>
      </c>
      <c r="AA126" s="85" t="str">
        <f>IF(A126="","",ROUND(MAX(0,N(F126)*($K$6+$W$7)-K126),2))</f>
        <v/>
      </c>
      <c r="AB126" s="85" t="str">
        <f>IF(A126="","",IF(AND(M126&gt;0,M126&gt;=p_DifMin),AA126,0))</f>
        <v/>
      </c>
      <c r="AC126" s="85" t="str">
        <f>IF(A126="","",IF(AND(AB126&gt;0,N(O126)&lt;=p_MaxAtivos),AB126,0))</f>
        <v/>
      </c>
      <c r="AD126" s="85" t="str">
        <f>IF(A126="","",IF(OR(Q126&lt;=0,Q126&lt;p_CompraMin,N(H126)&lt;=0,N(W126)&lt;=0),0,IF($W$3="Sim",TRUNC(ROUND(MAX(0,(Q126-p_CorrFixa)/(H126*W126*$W$6)),9),$W$4),TRUNC(ROUND(MAX(0,(Q126-p_CorrFixa)/(H126*W126*$W$6)),9)/$W$5)*$W$5)))</f>
        <v/>
      </c>
      <c r="AE126" s="85" t="str">
        <f>IF(A126="","",IF(N(AD126)&gt;0,AD126*H126*W126*$W$6+p_CorrFixa,0))</f>
        <v/>
      </c>
      <c r="AF126" s="85" t="str">
        <f>IF(A126="","",IF(OR($Y$1&lt;=0,N(H126)&lt;=0,N(W126)&lt;=0,N(AB126)&lt;=0),0,IF($W$3="Sim",TRUNC(ROUND(MAX(0,($Y$1-IF(N(AD126)&gt;0,0,p_CorrFixa))/(H126*W126*$W$6)),9),$W$4),TRUNC(ROUND(MAX(0,($Y$1-IF(N(AD126)&gt;0,0,p_CorrFixa))/(H126*W126*$W$6)),9)/$W$5)*$W$5)))</f>
        <v/>
      </c>
      <c r="AG126" s="85" t="str">
        <f>IF(A126="","",IF(AND(N(AD126)=0,N(AF126)*(H126*W126*$W$6)+p_CorrFixa&lt;p_CompraMin),0,AF126))</f>
        <v/>
      </c>
      <c r="AH126" s="85" t="str">
        <f>IF(A126="","",IF(N(AG126)&gt;0,AB126,0))</f>
        <v/>
      </c>
      <c r="AI126" s="85" t="str">
        <f>IF(A126="","",IF(AND(AH126&gt;0,AH126=$AH$6,COUNTIF($AH$9:AH126,AH126)=1),1,0))</f>
        <v/>
      </c>
    </row>
    <row r="127">
      <c r="A127" s="96" t="n"/>
      <c r="B127" s="96" t="n"/>
      <c r="C127" s="96" t="n"/>
      <c r="D127" s="97" t="n"/>
      <c r="E127" s="98" t="n"/>
      <c r="F127" s="99" t="n"/>
      <c r="G127" s="100" t="n"/>
      <c r="H127" s="101" t="str">
        <f>IF(A127="","",IF(AND(p_ModoCot="Automático",ISNUMBER(Z127)),Z127,IF(N(G127)&gt;0,G127,0)))</f>
        <v/>
      </c>
      <c r="I127" s="73" t="str">
        <f>IF(A127="","",IF(W127=0,"Sem câmbio",IF(AND(p_ModoCot="Automático",ISNUMBER(Z127)),"Auto",IF(N(G127)&gt;0,"Manual","Sem cotação"))))</f>
        <v/>
      </c>
      <c r="J127" s="102" t="str">
        <f>IF(A127="","",N(E127)*H127)</f>
        <v/>
      </c>
      <c r="K127" s="70" t="str">
        <f>IF(A127="","",J127*W127)</f>
        <v/>
      </c>
      <c r="L127" s="30" t="str">
        <f>IF(A127="","",IF($K$6&gt;0,K127/$K$6,0))</f>
        <v/>
      </c>
      <c r="M127" s="72" t="str">
        <f>IF(A127="","",N(F127)-L127)</f>
        <v/>
      </c>
      <c r="N127" s="30" t="str">
        <f>IF(A127="","",IF($AB$6&gt;0,AB127/$AB$6,0))</f>
        <v/>
      </c>
      <c r="O127" s="74" t="str">
        <f>IF(A127="","",IF(AB127&lt;=0,"",COUNTIF($AB$9:$AB$208,"&gt;"&amp;AB127)+COUNTIF($AB$9:AB127,AB127)))</f>
        <v/>
      </c>
      <c r="P127" s="73" t="str">
        <f>IF(A127="","",IF(Q127&gt;0,"BUY","HOLD"))</f>
        <v/>
      </c>
      <c r="Q127" s="70" t="str">
        <f>IF(A127="","",IF($W$7&lt;=0,0,IF($AC$6&gt;0,$W$7*AC127/$AC$6,IF($F$6&gt;0,$W$7*N(F127)/$F$6,0))))</f>
        <v/>
      </c>
      <c r="R127" s="103" t="str">
        <f>IF(A127="","",N(AD127)+IF(AI127=1,N(AG127),0))</f>
        <v/>
      </c>
      <c r="S127" s="103" t="str">
        <f>IF(A127="","",N(E127)+N(R127))</f>
        <v/>
      </c>
      <c r="T127" s="70" t="str">
        <f>IF(A127="","",IF(N(R127)&gt;0,R127*H127*W127*$W$6+p_CorrFixa,0))</f>
        <v/>
      </c>
      <c r="V127" s="85" t="str">
        <f>IF(A127="","",IF(D127="",$W$1,D127))</f>
        <v/>
      </c>
      <c r="W127" s="85" t="str">
        <f>IF(A127="","",IFERROR(INDEX(moeda_fx,MATCH(V127,moeda_cod,0)),0))</f>
        <v/>
      </c>
      <c r="X127" s="85" t="str">
        <f>IF(A127="","",IF($W$2="",UPPER(TRIM(A127)),IF(RIGHT(UPPER(TRIM(A127)),LEN($W$2))=$W$2,UPPER(TRIM(A127)),UPPER(TRIM(A127))&amp;$W$2)))</f>
        <v/>
      </c>
      <c r="Y127" s="85" t="str">
        <f>IF(OR(A127="",p_ModoCot&lt;&gt;"Automático"),"",IFERROR(_xlfn.WEBSERVICE("https://query1.finance.yahoo.com/v8/finance/chart/"&amp;X127&amp;"?range=1d&amp;interval=1d"),""))</f>
        <v/>
      </c>
      <c r="Z127" s="85" t="str">
        <f>IF(Y127="","",IFERROR(_xlfn.NUMBERVALUE(MID(Y127,SEARCH("""regularMarketPrice"":",Y127)+21,SEARCH(",",Y127&amp;",",SEARCH("""regularMarketPrice"":",Y127)+21)-SEARCH("""regularMarketPrice"":",Y127)-21),".",","),""))</f>
        <v/>
      </c>
      <c r="AA127" s="85" t="str">
        <f>IF(A127="","",ROUND(MAX(0,N(F127)*($K$6+$W$7)-K127),2))</f>
        <v/>
      </c>
      <c r="AB127" s="85" t="str">
        <f>IF(A127="","",IF(AND(M127&gt;0,M127&gt;=p_DifMin),AA127,0))</f>
        <v/>
      </c>
      <c r="AC127" s="85" t="str">
        <f>IF(A127="","",IF(AND(AB127&gt;0,N(O127)&lt;=p_MaxAtivos),AB127,0))</f>
        <v/>
      </c>
      <c r="AD127" s="85" t="str">
        <f>IF(A127="","",IF(OR(Q127&lt;=0,Q127&lt;p_CompraMin,N(H127)&lt;=0,N(W127)&lt;=0),0,IF($W$3="Sim",TRUNC(ROUND(MAX(0,(Q127-p_CorrFixa)/(H127*W127*$W$6)),9),$W$4),TRUNC(ROUND(MAX(0,(Q127-p_CorrFixa)/(H127*W127*$W$6)),9)/$W$5)*$W$5)))</f>
        <v/>
      </c>
      <c r="AE127" s="85" t="str">
        <f>IF(A127="","",IF(N(AD127)&gt;0,AD127*H127*W127*$W$6+p_CorrFixa,0))</f>
        <v/>
      </c>
      <c r="AF127" s="85" t="str">
        <f>IF(A127="","",IF(OR($Y$1&lt;=0,N(H127)&lt;=0,N(W127)&lt;=0,N(AB127)&lt;=0),0,IF($W$3="Sim",TRUNC(ROUND(MAX(0,($Y$1-IF(N(AD127)&gt;0,0,p_CorrFixa))/(H127*W127*$W$6)),9),$W$4),TRUNC(ROUND(MAX(0,($Y$1-IF(N(AD127)&gt;0,0,p_CorrFixa))/(H127*W127*$W$6)),9)/$W$5)*$W$5)))</f>
        <v/>
      </c>
      <c r="AG127" s="85" t="str">
        <f>IF(A127="","",IF(AND(N(AD127)=0,N(AF127)*(H127*W127*$W$6)+p_CorrFixa&lt;p_CompraMin),0,AF127))</f>
        <v/>
      </c>
      <c r="AH127" s="85" t="str">
        <f>IF(A127="","",IF(N(AG127)&gt;0,AB127,0))</f>
        <v/>
      </c>
      <c r="AI127" s="85" t="str">
        <f>IF(A127="","",IF(AND(AH127&gt;0,AH127=$AH$6,COUNTIF($AH$9:AH127,AH127)=1),1,0))</f>
        <v/>
      </c>
    </row>
    <row r="128">
      <c r="A128" s="96" t="n"/>
      <c r="B128" s="96" t="n"/>
      <c r="C128" s="96" t="n"/>
      <c r="D128" s="97" t="n"/>
      <c r="E128" s="98" t="n"/>
      <c r="F128" s="99" t="n"/>
      <c r="G128" s="100" t="n"/>
      <c r="H128" s="104" t="str">
        <f>IF(A128="","",IF(AND(p_ModoCot="Automático",ISNUMBER(Z128)),Z128,IF(N(G128)&gt;0,G128,0)))</f>
        <v/>
      </c>
      <c r="I128" s="105" t="str">
        <f>IF(A128="","",IF(W128=0,"Sem câmbio",IF(AND(p_ModoCot="Automático",ISNUMBER(Z128)),"Auto",IF(N(G128)&gt;0,"Manual","Sem cotação"))))</f>
        <v/>
      </c>
      <c r="J128" s="106" t="str">
        <f>IF(A128="","",N(E128)*H128)</f>
        <v/>
      </c>
      <c r="K128" s="107" t="str">
        <f>IF(A128="","",J128*W128)</f>
        <v/>
      </c>
      <c r="L128" s="108" t="str">
        <f>IF(A128="","",IF($K$6&gt;0,K128/$K$6,0))</f>
        <v/>
      </c>
      <c r="M128" s="109" t="str">
        <f>IF(A128="","",N(F128)-L128)</f>
        <v/>
      </c>
      <c r="N128" s="108" t="str">
        <f>IF(A128="","",IF($AB$6&gt;0,AB128/$AB$6,0))</f>
        <v/>
      </c>
      <c r="O128" s="110" t="str">
        <f>IF(A128="","",IF(AB128&lt;=0,"",COUNTIF($AB$9:$AB$208,"&gt;"&amp;AB128)+COUNTIF($AB$9:AB128,AB128)))</f>
        <v/>
      </c>
      <c r="P128" s="105" t="str">
        <f>IF(A128="","",IF(Q128&gt;0,"BUY","HOLD"))</f>
        <v/>
      </c>
      <c r="Q128" s="107" t="str">
        <f>IF(A128="","",IF($W$7&lt;=0,0,IF($AC$6&gt;0,$W$7*AC128/$AC$6,IF($F$6&gt;0,$W$7*N(F128)/$F$6,0))))</f>
        <v/>
      </c>
      <c r="R128" s="111" t="str">
        <f>IF(A128="","",N(AD128)+IF(AI128=1,N(AG128),0))</f>
        <v/>
      </c>
      <c r="S128" s="111" t="str">
        <f>IF(A128="","",N(E128)+N(R128))</f>
        <v/>
      </c>
      <c r="T128" s="107" t="str">
        <f>IF(A128="","",IF(N(R128)&gt;0,R128*H128*W128*$W$6+p_CorrFixa,0))</f>
        <v/>
      </c>
      <c r="V128" s="85" t="str">
        <f>IF(A128="","",IF(D128="",$W$1,D128))</f>
        <v/>
      </c>
      <c r="W128" s="85" t="str">
        <f>IF(A128="","",IFERROR(INDEX(moeda_fx,MATCH(V128,moeda_cod,0)),0))</f>
        <v/>
      </c>
      <c r="X128" s="85" t="str">
        <f>IF(A128="","",IF($W$2="",UPPER(TRIM(A128)),IF(RIGHT(UPPER(TRIM(A128)),LEN($W$2))=$W$2,UPPER(TRIM(A128)),UPPER(TRIM(A128))&amp;$W$2)))</f>
        <v/>
      </c>
      <c r="Y128" s="85" t="str">
        <f>IF(OR(A128="",p_ModoCot&lt;&gt;"Automático"),"",IFERROR(_xlfn.WEBSERVICE("https://query1.finance.yahoo.com/v8/finance/chart/"&amp;X128&amp;"?range=1d&amp;interval=1d"),""))</f>
        <v/>
      </c>
      <c r="Z128" s="85" t="str">
        <f>IF(Y128="","",IFERROR(_xlfn.NUMBERVALUE(MID(Y128,SEARCH("""regularMarketPrice"":",Y128)+21,SEARCH(",",Y128&amp;",",SEARCH("""regularMarketPrice"":",Y128)+21)-SEARCH("""regularMarketPrice"":",Y128)-21),".",","),""))</f>
        <v/>
      </c>
      <c r="AA128" s="85" t="str">
        <f>IF(A128="","",ROUND(MAX(0,N(F128)*($K$6+$W$7)-K128),2))</f>
        <v/>
      </c>
      <c r="AB128" s="85" t="str">
        <f>IF(A128="","",IF(AND(M128&gt;0,M128&gt;=p_DifMin),AA128,0))</f>
        <v/>
      </c>
      <c r="AC128" s="85" t="str">
        <f>IF(A128="","",IF(AND(AB128&gt;0,N(O128)&lt;=p_MaxAtivos),AB128,0))</f>
        <v/>
      </c>
      <c r="AD128" s="85" t="str">
        <f>IF(A128="","",IF(OR(Q128&lt;=0,Q128&lt;p_CompraMin,N(H128)&lt;=0,N(W128)&lt;=0),0,IF($W$3="Sim",TRUNC(ROUND(MAX(0,(Q128-p_CorrFixa)/(H128*W128*$W$6)),9),$W$4),TRUNC(ROUND(MAX(0,(Q128-p_CorrFixa)/(H128*W128*$W$6)),9)/$W$5)*$W$5)))</f>
        <v/>
      </c>
      <c r="AE128" s="85" t="str">
        <f>IF(A128="","",IF(N(AD128)&gt;0,AD128*H128*W128*$W$6+p_CorrFixa,0))</f>
        <v/>
      </c>
      <c r="AF128" s="85" t="str">
        <f>IF(A128="","",IF(OR($Y$1&lt;=0,N(H128)&lt;=0,N(W128)&lt;=0,N(AB128)&lt;=0),0,IF($W$3="Sim",TRUNC(ROUND(MAX(0,($Y$1-IF(N(AD128)&gt;0,0,p_CorrFixa))/(H128*W128*$W$6)),9),$W$4),TRUNC(ROUND(MAX(0,($Y$1-IF(N(AD128)&gt;0,0,p_CorrFixa))/(H128*W128*$W$6)),9)/$W$5)*$W$5)))</f>
        <v/>
      </c>
      <c r="AG128" s="85" t="str">
        <f>IF(A128="","",IF(AND(N(AD128)=0,N(AF128)*(H128*W128*$W$6)+p_CorrFixa&lt;p_CompraMin),0,AF128))</f>
        <v/>
      </c>
      <c r="AH128" s="85" t="str">
        <f>IF(A128="","",IF(N(AG128)&gt;0,AB128,0))</f>
        <v/>
      </c>
      <c r="AI128" s="85" t="str">
        <f>IF(A128="","",IF(AND(AH128&gt;0,AH128=$AH$6,COUNTIF($AH$9:AH128,AH128)=1),1,0))</f>
        <v/>
      </c>
    </row>
    <row r="129">
      <c r="A129" s="96" t="n"/>
      <c r="B129" s="96" t="n"/>
      <c r="C129" s="96" t="n"/>
      <c r="D129" s="97" t="n"/>
      <c r="E129" s="98" t="n"/>
      <c r="F129" s="99" t="n"/>
      <c r="G129" s="100" t="n"/>
      <c r="H129" s="101" t="str">
        <f>IF(A129="","",IF(AND(p_ModoCot="Automático",ISNUMBER(Z129)),Z129,IF(N(G129)&gt;0,G129,0)))</f>
        <v/>
      </c>
      <c r="I129" s="73" t="str">
        <f>IF(A129="","",IF(W129=0,"Sem câmbio",IF(AND(p_ModoCot="Automático",ISNUMBER(Z129)),"Auto",IF(N(G129)&gt;0,"Manual","Sem cotação"))))</f>
        <v/>
      </c>
      <c r="J129" s="102" t="str">
        <f>IF(A129="","",N(E129)*H129)</f>
        <v/>
      </c>
      <c r="K129" s="70" t="str">
        <f>IF(A129="","",J129*W129)</f>
        <v/>
      </c>
      <c r="L129" s="30" t="str">
        <f>IF(A129="","",IF($K$6&gt;0,K129/$K$6,0))</f>
        <v/>
      </c>
      <c r="M129" s="72" t="str">
        <f>IF(A129="","",N(F129)-L129)</f>
        <v/>
      </c>
      <c r="N129" s="30" t="str">
        <f>IF(A129="","",IF($AB$6&gt;0,AB129/$AB$6,0))</f>
        <v/>
      </c>
      <c r="O129" s="74" t="str">
        <f>IF(A129="","",IF(AB129&lt;=0,"",COUNTIF($AB$9:$AB$208,"&gt;"&amp;AB129)+COUNTIF($AB$9:AB129,AB129)))</f>
        <v/>
      </c>
      <c r="P129" s="73" t="str">
        <f>IF(A129="","",IF(Q129&gt;0,"BUY","HOLD"))</f>
        <v/>
      </c>
      <c r="Q129" s="70" t="str">
        <f>IF(A129="","",IF($W$7&lt;=0,0,IF($AC$6&gt;0,$W$7*AC129/$AC$6,IF($F$6&gt;0,$W$7*N(F129)/$F$6,0))))</f>
        <v/>
      </c>
      <c r="R129" s="103" t="str">
        <f>IF(A129="","",N(AD129)+IF(AI129=1,N(AG129),0))</f>
        <v/>
      </c>
      <c r="S129" s="103" t="str">
        <f>IF(A129="","",N(E129)+N(R129))</f>
        <v/>
      </c>
      <c r="T129" s="70" t="str">
        <f>IF(A129="","",IF(N(R129)&gt;0,R129*H129*W129*$W$6+p_CorrFixa,0))</f>
        <v/>
      </c>
      <c r="V129" s="85" t="str">
        <f>IF(A129="","",IF(D129="",$W$1,D129))</f>
        <v/>
      </c>
      <c r="W129" s="85" t="str">
        <f>IF(A129="","",IFERROR(INDEX(moeda_fx,MATCH(V129,moeda_cod,0)),0))</f>
        <v/>
      </c>
      <c r="X129" s="85" t="str">
        <f>IF(A129="","",IF($W$2="",UPPER(TRIM(A129)),IF(RIGHT(UPPER(TRIM(A129)),LEN($W$2))=$W$2,UPPER(TRIM(A129)),UPPER(TRIM(A129))&amp;$W$2)))</f>
        <v/>
      </c>
      <c r="Y129" s="85" t="str">
        <f>IF(OR(A129="",p_ModoCot&lt;&gt;"Automático"),"",IFERROR(_xlfn.WEBSERVICE("https://query1.finance.yahoo.com/v8/finance/chart/"&amp;X129&amp;"?range=1d&amp;interval=1d"),""))</f>
        <v/>
      </c>
      <c r="Z129" s="85" t="str">
        <f>IF(Y129="","",IFERROR(_xlfn.NUMBERVALUE(MID(Y129,SEARCH("""regularMarketPrice"":",Y129)+21,SEARCH(",",Y129&amp;",",SEARCH("""regularMarketPrice"":",Y129)+21)-SEARCH("""regularMarketPrice"":",Y129)-21),".",","),""))</f>
        <v/>
      </c>
      <c r="AA129" s="85" t="str">
        <f>IF(A129="","",ROUND(MAX(0,N(F129)*($K$6+$W$7)-K129),2))</f>
        <v/>
      </c>
      <c r="AB129" s="85" t="str">
        <f>IF(A129="","",IF(AND(M129&gt;0,M129&gt;=p_DifMin),AA129,0))</f>
        <v/>
      </c>
      <c r="AC129" s="85" t="str">
        <f>IF(A129="","",IF(AND(AB129&gt;0,N(O129)&lt;=p_MaxAtivos),AB129,0))</f>
        <v/>
      </c>
      <c r="AD129" s="85" t="str">
        <f>IF(A129="","",IF(OR(Q129&lt;=0,Q129&lt;p_CompraMin,N(H129)&lt;=0,N(W129)&lt;=0),0,IF($W$3="Sim",TRUNC(ROUND(MAX(0,(Q129-p_CorrFixa)/(H129*W129*$W$6)),9),$W$4),TRUNC(ROUND(MAX(0,(Q129-p_CorrFixa)/(H129*W129*$W$6)),9)/$W$5)*$W$5)))</f>
        <v/>
      </c>
      <c r="AE129" s="85" t="str">
        <f>IF(A129="","",IF(N(AD129)&gt;0,AD129*H129*W129*$W$6+p_CorrFixa,0))</f>
        <v/>
      </c>
      <c r="AF129" s="85" t="str">
        <f>IF(A129="","",IF(OR($Y$1&lt;=0,N(H129)&lt;=0,N(W129)&lt;=0,N(AB129)&lt;=0),0,IF($W$3="Sim",TRUNC(ROUND(MAX(0,($Y$1-IF(N(AD129)&gt;0,0,p_CorrFixa))/(H129*W129*$W$6)),9),$W$4),TRUNC(ROUND(MAX(0,($Y$1-IF(N(AD129)&gt;0,0,p_CorrFixa))/(H129*W129*$W$6)),9)/$W$5)*$W$5)))</f>
        <v/>
      </c>
      <c r="AG129" s="85" t="str">
        <f>IF(A129="","",IF(AND(N(AD129)=0,N(AF129)*(H129*W129*$W$6)+p_CorrFixa&lt;p_CompraMin),0,AF129))</f>
        <v/>
      </c>
      <c r="AH129" s="85" t="str">
        <f>IF(A129="","",IF(N(AG129)&gt;0,AB129,0))</f>
        <v/>
      </c>
      <c r="AI129" s="85" t="str">
        <f>IF(A129="","",IF(AND(AH129&gt;0,AH129=$AH$6,COUNTIF($AH$9:AH129,AH129)=1),1,0))</f>
        <v/>
      </c>
    </row>
    <row r="130">
      <c r="A130" s="96" t="n"/>
      <c r="B130" s="96" t="n"/>
      <c r="C130" s="96" t="n"/>
      <c r="D130" s="97" t="n"/>
      <c r="E130" s="98" t="n"/>
      <c r="F130" s="99" t="n"/>
      <c r="G130" s="100" t="n"/>
      <c r="H130" s="104" t="str">
        <f>IF(A130="","",IF(AND(p_ModoCot="Automático",ISNUMBER(Z130)),Z130,IF(N(G130)&gt;0,G130,0)))</f>
        <v/>
      </c>
      <c r="I130" s="105" t="str">
        <f>IF(A130="","",IF(W130=0,"Sem câmbio",IF(AND(p_ModoCot="Automático",ISNUMBER(Z130)),"Auto",IF(N(G130)&gt;0,"Manual","Sem cotação"))))</f>
        <v/>
      </c>
      <c r="J130" s="106" t="str">
        <f>IF(A130="","",N(E130)*H130)</f>
        <v/>
      </c>
      <c r="K130" s="107" t="str">
        <f>IF(A130="","",J130*W130)</f>
        <v/>
      </c>
      <c r="L130" s="108" t="str">
        <f>IF(A130="","",IF($K$6&gt;0,K130/$K$6,0))</f>
        <v/>
      </c>
      <c r="M130" s="109" t="str">
        <f>IF(A130="","",N(F130)-L130)</f>
        <v/>
      </c>
      <c r="N130" s="108" t="str">
        <f>IF(A130="","",IF($AB$6&gt;0,AB130/$AB$6,0))</f>
        <v/>
      </c>
      <c r="O130" s="110" t="str">
        <f>IF(A130="","",IF(AB130&lt;=0,"",COUNTIF($AB$9:$AB$208,"&gt;"&amp;AB130)+COUNTIF($AB$9:AB130,AB130)))</f>
        <v/>
      </c>
      <c r="P130" s="105" t="str">
        <f>IF(A130="","",IF(Q130&gt;0,"BUY","HOLD"))</f>
        <v/>
      </c>
      <c r="Q130" s="107" t="str">
        <f>IF(A130="","",IF($W$7&lt;=0,0,IF($AC$6&gt;0,$W$7*AC130/$AC$6,IF($F$6&gt;0,$W$7*N(F130)/$F$6,0))))</f>
        <v/>
      </c>
      <c r="R130" s="111" t="str">
        <f>IF(A130="","",N(AD130)+IF(AI130=1,N(AG130),0))</f>
        <v/>
      </c>
      <c r="S130" s="111" t="str">
        <f>IF(A130="","",N(E130)+N(R130))</f>
        <v/>
      </c>
      <c r="T130" s="107" t="str">
        <f>IF(A130="","",IF(N(R130)&gt;0,R130*H130*W130*$W$6+p_CorrFixa,0))</f>
        <v/>
      </c>
      <c r="V130" s="85" t="str">
        <f>IF(A130="","",IF(D130="",$W$1,D130))</f>
        <v/>
      </c>
      <c r="W130" s="85" t="str">
        <f>IF(A130="","",IFERROR(INDEX(moeda_fx,MATCH(V130,moeda_cod,0)),0))</f>
        <v/>
      </c>
      <c r="X130" s="85" t="str">
        <f>IF(A130="","",IF($W$2="",UPPER(TRIM(A130)),IF(RIGHT(UPPER(TRIM(A130)),LEN($W$2))=$W$2,UPPER(TRIM(A130)),UPPER(TRIM(A130))&amp;$W$2)))</f>
        <v/>
      </c>
      <c r="Y130" s="85" t="str">
        <f>IF(OR(A130="",p_ModoCot&lt;&gt;"Automático"),"",IFERROR(_xlfn.WEBSERVICE("https://query1.finance.yahoo.com/v8/finance/chart/"&amp;X130&amp;"?range=1d&amp;interval=1d"),""))</f>
        <v/>
      </c>
      <c r="Z130" s="85" t="str">
        <f>IF(Y130="","",IFERROR(_xlfn.NUMBERVALUE(MID(Y130,SEARCH("""regularMarketPrice"":",Y130)+21,SEARCH(",",Y130&amp;",",SEARCH("""regularMarketPrice"":",Y130)+21)-SEARCH("""regularMarketPrice"":",Y130)-21),".",","),""))</f>
        <v/>
      </c>
      <c r="AA130" s="85" t="str">
        <f>IF(A130="","",ROUND(MAX(0,N(F130)*($K$6+$W$7)-K130),2))</f>
        <v/>
      </c>
      <c r="AB130" s="85" t="str">
        <f>IF(A130="","",IF(AND(M130&gt;0,M130&gt;=p_DifMin),AA130,0))</f>
        <v/>
      </c>
      <c r="AC130" s="85" t="str">
        <f>IF(A130="","",IF(AND(AB130&gt;0,N(O130)&lt;=p_MaxAtivos),AB130,0))</f>
        <v/>
      </c>
      <c r="AD130" s="85" t="str">
        <f>IF(A130="","",IF(OR(Q130&lt;=0,Q130&lt;p_CompraMin,N(H130)&lt;=0,N(W130)&lt;=0),0,IF($W$3="Sim",TRUNC(ROUND(MAX(0,(Q130-p_CorrFixa)/(H130*W130*$W$6)),9),$W$4),TRUNC(ROUND(MAX(0,(Q130-p_CorrFixa)/(H130*W130*$W$6)),9)/$W$5)*$W$5)))</f>
        <v/>
      </c>
      <c r="AE130" s="85" t="str">
        <f>IF(A130="","",IF(N(AD130)&gt;0,AD130*H130*W130*$W$6+p_CorrFixa,0))</f>
        <v/>
      </c>
      <c r="AF130" s="85" t="str">
        <f>IF(A130="","",IF(OR($Y$1&lt;=0,N(H130)&lt;=0,N(W130)&lt;=0,N(AB130)&lt;=0),0,IF($W$3="Sim",TRUNC(ROUND(MAX(0,($Y$1-IF(N(AD130)&gt;0,0,p_CorrFixa))/(H130*W130*$W$6)),9),$W$4),TRUNC(ROUND(MAX(0,($Y$1-IF(N(AD130)&gt;0,0,p_CorrFixa))/(H130*W130*$W$6)),9)/$W$5)*$W$5)))</f>
        <v/>
      </c>
      <c r="AG130" s="85" t="str">
        <f>IF(A130="","",IF(AND(N(AD130)=0,N(AF130)*(H130*W130*$W$6)+p_CorrFixa&lt;p_CompraMin),0,AF130))</f>
        <v/>
      </c>
      <c r="AH130" s="85" t="str">
        <f>IF(A130="","",IF(N(AG130)&gt;0,AB130,0))</f>
        <v/>
      </c>
      <c r="AI130" s="85" t="str">
        <f>IF(A130="","",IF(AND(AH130&gt;0,AH130=$AH$6,COUNTIF($AH$9:AH130,AH130)=1),1,0))</f>
        <v/>
      </c>
    </row>
    <row r="131">
      <c r="A131" s="96" t="n"/>
      <c r="B131" s="96" t="n"/>
      <c r="C131" s="96" t="n"/>
      <c r="D131" s="97" t="n"/>
      <c r="E131" s="98" t="n"/>
      <c r="F131" s="99" t="n"/>
      <c r="G131" s="100" t="n"/>
      <c r="H131" s="101" t="str">
        <f>IF(A131="","",IF(AND(p_ModoCot="Automático",ISNUMBER(Z131)),Z131,IF(N(G131)&gt;0,G131,0)))</f>
        <v/>
      </c>
      <c r="I131" s="73" t="str">
        <f>IF(A131="","",IF(W131=0,"Sem câmbio",IF(AND(p_ModoCot="Automático",ISNUMBER(Z131)),"Auto",IF(N(G131)&gt;0,"Manual","Sem cotação"))))</f>
        <v/>
      </c>
      <c r="J131" s="102" t="str">
        <f>IF(A131="","",N(E131)*H131)</f>
        <v/>
      </c>
      <c r="K131" s="70" t="str">
        <f>IF(A131="","",J131*W131)</f>
        <v/>
      </c>
      <c r="L131" s="30" t="str">
        <f>IF(A131="","",IF($K$6&gt;0,K131/$K$6,0))</f>
        <v/>
      </c>
      <c r="M131" s="72" t="str">
        <f>IF(A131="","",N(F131)-L131)</f>
        <v/>
      </c>
      <c r="N131" s="30" t="str">
        <f>IF(A131="","",IF($AB$6&gt;0,AB131/$AB$6,0))</f>
        <v/>
      </c>
      <c r="O131" s="74" t="str">
        <f>IF(A131="","",IF(AB131&lt;=0,"",COUNTIF($AB$9:$AB$208,"&gt;"&amp;AB131)+COUNTIF($AB$9:AB131,AB131)))</f>
        <v/>
      </c>
      <c r="P131" s="73" t="str">
        <f>IF(A131="","",IF(Q131&gt;0,"BUY","HOLD"))</f>
        <v/>
      </c>
      <c r="Q131" s="70" t="str">
        <f>IF(A131="","",IF($W$7&lt;=0,0,IF($AC$6&gt;0,$W$7*AC131/$AC$6,IF($F$6&gt;0,$W$7*N(F131)/$F$6,0))))</f>
        <v/>
      </c>
      <c r="R131" s="103" t="str">
        <f>IF(A131="","",N(AD131)+IF(AI131=1,N(AG131),0))</f>
        <v/>
      </c>
      <c r="S131" s="103" t="str">
        <f>IF(A131="","",N(E131)+N(R131))</f>
        <v/>
      </c>
      <c r="T131" s="70" t="str">
        <f>IF(A131="","",IF(N(R131)&gt;0,R131*H131*W131*$W$6+p_CorrFixa,0))</f>
        <v/>
      </c>
      <c r="V131" s="85" t="str">
        <f>IF(A131="","",IF(D131="",$W$1,D131))</f>
        <v/>
      </c>
      <c r="W131" s="85" t="str">
        <f>IF(A131="","",IFERROR(INDEX(moeda_fx,MATCH(V131,moeda_cod,0)),0))</f>
        <v/>
      </c>
      <c r="X131" s="85" t="str">
        <f>IF(A131="","",IF($W$2="",UPPER(TRIM(A131)),IF(RIGHT(UPPER(TRIM(A131)),LEN($W$2))=$W$2,UPPER(TRIM(A131)),UPPER(TRIM(A131))&amp;$W$2)))</f>
        <v/>
      </c>
      <c r="Y131" s="85" t="str">
        <f>IF(OR(A131="",p_ModoCot&lt;&gt;"Automático"),"",IFERROR(_xlfn.WEBSERVICE("https://query1.finance.yahoo.com/v8/finance/chart/"&amp;X131&amp;"?range=1d&amp;interval=1d"),""))</f>
        <v/>
      </c>
      <c r="Z131" s="85" t="str">
        <f>IF(Y131="","",IFERROR(_xlfn.NUMBERVALUE(MID(Y131,SEARCH("""regularMarketPrice"":",Y131)+21,SEARCH(",",Y131&amp;",",SEARCH("""regularMarketPrice"":",Y131)+21)-SEARCH("""regularMarketPrice"":",Y131)-21),".",","),""))</f>
        <v/>
      </c>
      <c r="AA131" s="85" t="str">
        <f>IF(A131="","",ROUND(MAX(0,N(F131)*($K$6+$W$7)-K131),2))</f>
        <v/>
      </c>
      <c r="AB131" s="85" t="str">
        <f>IF(A131="","",IF(AND(M131&gt;0,M131&gt;=p_DifMin),AA131,0))</f>
        <v/>
      </c>
      <c r="AC131" s="85" t="str">
        <f>IF(A131="","",IF(AND(AB131&gt;0,N(O131)&lt;=p_MaxAtivos),AB131,0))</f>
        <v/>
      </c>
      <c r="AD131" s="85" t="str">
        <f>IF(A131="","",IF(OR(Q131&lt;=0,Q131&lt;p_CompraMin,N(H131)&lt;=0,N(W131)&lt;=0),0,IF($W$3="Sim",TRUNC(ROUND(MAX(0,(Q131-p_CorrFixa)/(H131*W131*$W$6)),9),$W$4),TRUNC(ROUND(MAX(0,(Q131-p_CorrFixa)/(H131*W131*$W$6)),9)/$W$5)*$W$5)))</f>
        <v/>
      </c>
      <c r="AE131" s="85" t="str">
        <f>IF(A131="","",IF(N(AD131)&gt;0,AD131*H131*W131*$W$6+p_CorrFixa,0))</f>
        <v/>
      </c>
      <c r="AF131" s="85" t="str">
        <f>IF(A131="","",IF(OR($Y$1&lt;=0,N(H131)&lt;=0,N(W131)&lt;=0,N(AB131)&lt;=0),0,IF($W$3="Sim",TRUNC(ROUND(MAX(0,($Y$1-IF(N(AD131)&gt;0,0,p_CorrFixa))/(H131*W131*$W$6)),9),$W$4),TRUNC(ROUND(MAX(0,($Y$1-IF(N(AD131)&gt;0,0,p_CorrFixa))/(H131*W131*$W$6)),9)/$W$5)*$W$5)))</f>
        <v/>
      </c>
      <c r="AG131" s="85" t="str">
        <f>IF(A131="","",IF(AND(N(AD131)=0,N(AF131)*(H131*W131*$W$6)+p_CorrFixa&lt;p_CompraMin),0,AF131))</f>
        <v/>
      </c>
      <c r="AH131" s="85" t="str">
        <f>IF(A131="","",IF(N(AG131)&gt;0,AB131,0))</f>
        <v/>
      </c>
      <c r="AI131" s="85" t="str">
        <f>IF(A131="","",IF(AND(AH131&gt;0,AH131=$AH$6,COUNTIF($AH$9:AH131,AH131)=1),1,0))</f>
        <v/>
      </c>
    </row>
    <row r="132">
      <c r="A132" s="96" t="n"/>
      <c r="B132" s="96" t="n"/>
      <c r="C132" s="96" t="n"/>
      <c r="D132" s="97" t="n"/>
      <c r="E132" s="98" t="n"/>
      <c r="F132" s="99" t="n"/>
      <c r="G132" s="100" t="n"/>
      <c r="H132" s="104" t="str">
        <f>IF(A132="","",IF(AND(p_ModoCot="Automático",ISNUMBER(Z132)),Z132,IF(N(G132)&gt;0,G132,0)))</f>
        <v/>
      </c>
      <c r="I132" s="105" t="str">
        <f>IF(A132="","",IF(W132=0,"Sem câmbio",IF(AND(p_ModoCot="Automático",ISNUMBER(Z132)),"Auto",IF(N(G132)&gt;0,"Manual","Sem cotação"))))</f>
        <v/>
      </c>
      <c r="J132" s="106" t="str">
        <f>IF(A132="","",N(E132)*H132)</f>
        <v/>
      </c>
      <c r="K132" s="107" t="str">
        <f>IF(A132="","",J132*W132)</f>
        <v/>
      </c>
      <c r="L132" s="108" t="str">
        <f>IF(A132="","",IF($K$6&gt;0,K132/$K$6,0))</f>
        <v/>
      </c>
      <c r="M132" s="109" t="str">
        <f>IF(A132="","",N(F132)-L132)</f>
        <v/>
      </c>
      <c r="N132" s="108" t="str">
        <f>IF(A132="","",IF($AB$6&gt;0,AB132/$AB$6,0))</f>
        <v/>
      </c>
      <c r="O132" s="110" t="str">
        <f>IF(A132="","",IF(AB132&lt;=0,"",COUNTIF($AB$9:$AB$208,"&gt;"&amp;AB132)+COUNTIF($AB$9:AB132,AB132)))</f>
        <v/>
      </c>
      <c r="P132" s="105" t="str">
        <f>IF(A132="","",IF(Q132&gt;0,"BUY","HOLD"))</f>
        <v/>
      </c>
      <c r="Q132" s="107" t="str">
        <f>IF(A132="","",IF($W$7&lt;=0,0,IF($AC$6&gt;0,$W$7*AC132/$AC$6,IF($F$6&gt;0,$W$7*N(F132)/$F$6,0))))</f>
        <v/>
      </c>
      <c r="R132" s="111" t="str">
        <f>IF(A132="","",N(AD132)+IF(AI132=1,N(AG132),0))</f>
        <v/>
      </c>
      <c r="S132" s="111" t="str">
        <f>IF(A132="","",N(E132)+N(R132))</f>
        <v/>
      </c>
      <c r="T132" s="107" t="str">
        <f>IF(A132="","",IF(N(R132)&gt;0,R132*H132*W132*$W$6+p_CorrFixa,0))</f>
        <v/>
      </c>
      <c r="V132" s="85" t="str">
        <f>IF(A132="","",IF(D132="",$W$1,D132))</f>
        <v/>
      </c>
      <c r="W132" s="85" t="str">
        <f>IF(A132="","",IFERROR(INDEX(moeda_fx,MATCH(V132,moeda_cod,0)),0))</f>
        <v/>
      </c>
      <c r="X132" s="85" t="str">
        <f>IF(A132="","",IF($W$2="",UPPER(TRIM(A132)),IF(RIGHT(UPPER(TRIM(A132)),LEN($W$2))=$W$2,UPPER(TRIM(A132)),UPPER(TRIM(A132))&amp;$W$2)))</f>
        <v/>
      </c>
      <c r="Y132" s="85" t="str">
        <f>IF(OR(A132="",p_ModoCot&lt;&gt;"Automático"),"",IFERROR(_xlfn.WEBSERVICE("https://query1.finance.yahoo.com/v8/finance/chart/"&amp;X132&amp;"?range=1d&amp;interval=1d"),""))</f>
        <v/>
      </c>
      <c r="Z132" s="85" t="str">
        <f>IF(Y132="","",IFERROR(_xlfn.NUMBERVALUE(MID(Y132,SEARCH("""regularMarketPrice"":",Y132)+21,SEARCH(",",Y132&amp;",",SEARCH("""regularMarketPrice"":",Y132)+21)-SEARCH("""regularMarketPrice"":",Y132)-21),".",","),""))</f>
        <v/>
      </c>
      <c r="AA132" s="85" t="str">
        <f>IF(A132="","",ROUND(MAX(0,N(F132)*($K$6+$W$7)-K132),2))</f>
        <v/>
      </c>
      <c r="AB132" s="85" t="str">
        <f>IF(A132="","",IF(AND(M132&gt;0,M132&gt;=p_DifMin),AA132,0))</f>
        <v/>
      </c>
      <c r="AC132" s="85" t="str">
        <f>IF(A132="","",IF(AND(AB132&gt;0,N(O132)&lt;=p_MaxAtivos),AB132,0))</f>
        <v/>
      </c>
      <c r="AD132" s="85" t="str">
        <f>IF(A132="","",IF(OR(Q132&lt;=0,Q132&lt;p_CompraMin,N(H132)&lt;=0,N(W132)&lt;=0),0,IF($W$3="Sim",TRUNC(ROUND(MAX(0,(Q132-p_CorrFixa)/(H132*W132*$W$6)),9),$W$4),TRUNC(ROUND(MAX(0,(Q132-p_CorrFixa)/(H132*W132*$W$6)),9)/$W$5)*$W$5)))</f>
        <v/>
      </c>
      <c r="AE132" s="85" t="str">
        <f>IF(A132="","",IF(N(AD132)&gt;0,AD132*H132*W132*$W$6+p_CorrFixa,0))</f>
        <v/>
      </c>
      <c r="AF132" s="85" t="str">
        <f>IF(A132="","",IF(OR($Y$1&lt;=0,N(H132)&lt;=0,N(W132)&lt;=0,N(AB132)&lt;=0),0,IF($W$3="Sim",TRUNC(ROUND(MAX(0,($Y$1-IF(N(AD132)&gt;0,0,p_CorrFixa))/(H132*W132*$W$6)),9),$W$4),TRUNC(ROUND(MAX(0,($Y$1-IF(N(AD132)&gt;0,0,p_CorrFixa))/(H132*W132*$W$6)),9)/$W$5)*$W$5)))</f>
        <v/>
      </c>
      <c r="AG132" s="85" t="str">
        <f>IF(A132="","",IF(AND(N(AD132)=0,N(AF132)*(H132*W132*$W$6)+p_CorrFixa&lt;p_CompraMin),0,AF132))</f>
        <v/>
      </c>
      <c r="AH132" s="85" t="str">
        <f>IF(A132="","",IF(N(AG132)&gt;0,AB132,0))</f>
        <v/>
      </c>
      <c r="AI132" s="85" t="str">
        <f>IF(A132="","",IF(AND(AH132&gt;0,AH132=$AH$6,COUNTIF($AH$9:AH132,AH132)=1),1,0))</f>
        <v/>
      </c>
    </row>
    <row r="133">
      <c r="A133" s="96" t="n"/>
      <c r="B133" s="96" t="n"/>
      <c r="C133" s="96" t="n"/>
      <c r="D133" s="97" t="n"/>
      <c r="E133" s="98" t="n"/>
      <c r="F133" s="99" t="n"/>
      <c r="G133" s="100" t="n"/>
      <c r="H133" s="101" t="str">
        <f>IF(A133="","",IF(AND(p_ModoCot="Automático",ISNUMBER(Z133)),Z133,IF(N(G133)&gt;0,G133,0)))</f>
        <v/>
      </c>
      <c r="I133" s="73" t="str">
        <f>IF(A133="","",IF(W133=0,"Sem câmbio",IF(AND(p_ModoCot="Automático",ISNUMBER(Z133)),"Auto",IF(N(G133)&gt;0,"Manual","Sem cotação"))))</f>
        <v/>
      </c>
      <c r="J133" s="102" t="str">
        <f>IF(A133="","",N(E133)*H133)</f>
        <v/>
      </c>
      <c r="K133" s="70" t="str">
        <f>IF(A133="","",J133*W133)</f>
        <v/>
      </c>
      <c r="L133" s="30" t="str">
        <f>IF(A133="","",IF($K$6&gt;0,K133/$K$6,0))</f>
        <v/>
      </c>
      <c r="M133" s="72" t="str">
        <f>IF(A133="","",N(F133)-L133)</f>
        <v/>
      </c>
      <c r="N133" s="30" t="str">
        <f>IF(A133="","",IF($AB$6&gt;0,AB133/$AB$6,0))</f>
        <v/>
      </c>
      <c r="O133" s="74" t="str">
        <f>IF(A133="","",IF(AB133&lt;=0,"",COUNTIF($AB$9:$AB$208,"&gt;"&amp;AB133)+COUNTIF($AB$9:AB133,AB133)))</f>
        <v/>
      </c>
      <c r="P133" s="73" t="str">
        <f>IF(A133="","",IF(Q133&gt;0,"BUY","HOLD"))</f>
        <v/>
      </c>
      <c r="Q133" s="70" t="str">
        <f>IF(A133="","",IF($W$7&lt;=0,0,IF($AC$6&gt;0,$W$7*AC133/$AC$6,IF($F$6&gt;0,$W$7*N(F133)/$F$6,0))))</f>
        <v/>
      </c>
      <c r="R133" s="103" t="str">
        <f>IF(A133="","",N(AD133)+IF(AI133=1,N(AG133),0))</f>
        <v/>
      </c>
      <c r="S133" s="103" t="str">
        <f>IF(A133="","",N(E133)+N(R133))</f>
        <v/>
      </c>
      <c r="T133" s="70" t="str">
        <f>IF(A133="","",IF(N(R133)&gt;0,R133*H133*W133*$W$6+p_CorrFixa,0))</f>
        <v/>
      </c>
      <c r="V133" s="85" t="str">
        <f>IF(A133="","",IF(D133="",$W$1,D133))</f>
        <v/>
      </c>
      <c r="W133" s="85" t="str">
        <f>IF(A133="","",IFERROR(INDEX(moeda_fx,MATCH(V133,moeda_cod,0)),0))</f>
        <v/>
      </c>
      <c r="X133" s="85" t="str">
        <f>IF(A133="","",IF($W$2="",UPPER(TRIM(A133)),IF(RIGHT(UPPER(TRIM(A133)),LEN($W$2))=$W$2,UPPER(TRIM(A133)),UPPER(TRIM(A133))&amp;$W$2)))</f>
        <v/>
      </c>
      <c r="Y133" s="85" t="str">
        <f>IF(OR(A133="",p_ModoCot&lt;&gt;"Automático"),"",IFERROR(_xlfn.WEBSERVICE("https://query1.finance.yahoo.com/v8/finance/chart/"&amp;X133&amp;"?range=1d&amp;interval=1d"),""))</f>
        <v/>
      </c>
      <c r="Z133" s="85" t="str">
        <f>IF(Y133="","",IFERROR(_xlfn.NUMBERVALUE(MID(Y133,SEARCH("""regularMarketPrice"":",Y133)+21,SEARCH(",",Y133&amp;",",SEARCH("""regularMarketPrice"":",Y133)+21)-SEARCH("""regularMarketPrice"":",Y133)-21),".",","),""))</f>
        <v/>
      </c>
      <c r="AA133" s="85" t="str">
        <f>IF(A133="","",ROUND(MAX(0,N(F133)*($K$6+$W$7)-K133),2))</f>
        <v/>
      </c>
      <c r="AB133" s="85" t="str">
        <f>IF(A133="","",IF(AND(M133&gt;0,M133&gt;=p_DifMin),AA133,0))</f>
        <v/>
      </c>
      <c r="AC133" s="85" t="str">
        <f>IF(A133="","",IF(AND(AB133&gt;0,N(O133)&lt;=p_MaxAtivos),AB133,0))</f>
        <v/>
      </c>
      <c r="AD133" s="85" t="str">
        <f>IF(A133="","",IF(OR(Q133&lt;=0,Q133&lt;p_CompraMin,N(H133)&lt;=0,N(W133)&lt;=0),0,IF($W$3="Sim",TRUNC(ROUND(MAX(0,(Q133-p_CorrFixa)/(H133*W133*$W$6)),9),$W$4),TRUNC(ROUND(MAX(0,(Q133-p_CorrFixa)/(H133*W133*$W$6)),9)/$W$5)*$W$5)))</f>
        <v/>
      </c>
      <c r="AE133" s="85" t="str">
        <f>IF(A133="","",IF(N(AD133)&gt;0,AD133*H133*W133*$W$6+p_CorrFixa,0))</f>
        <v/>
      </c>
      <c r="AF133" s="85" t="str">
        <f>IF(A133="","",IF(OR($Y$1&lt;=0,N(H133)&lt;=0,N(W133)&lt;=0,N(AB133)&lt;=0),0,IF($W$3="Sim",TRUNC(ROUND(MAX(0,($Y$1-IF(N(AD133)&gt;0,0,p_CorrFixa))/(H133*W133*$W$6)),9),$W$4),TRUNC(ROUND(MAX(0,($Y$1-IF(N(AD133)&gt;0,0,p_CorrFixa))/(H133*W133*$W$6)),9)/$W$5)*$W$5)))</f>
        <v/>
      </c>
      <c r="AG133" s="85" t="str">
        <f>IF(A133="","",IF(AND(N(AD133)=0,N(AF133)*(H133*W133*$W$6)+p_CorrFixa&lt;p_CompraMin),0,AF133))</f>
        <v/>
      </c>
      <c r="AH133" s="85" t="str">
        <f>IF(A133="","",IF(N(AG133)&gt;0,AB133,0))</f>
        <v/>
      </c>
      <c r="AI133" s="85" t="str">
        <f>IF(A133="","",IF(AND(AH133&gt;0,AH133=$AH$6,COUNTIF($AH$9:AH133,AH133)=1),1,0))</f>
        <v/>
      </c>
    </row>
    <row r="134">
      <c r="A134" s="96" t="n"/>
      <c r="B134" s="96" t="n"/>
      <c r="C134" s="96" t="n"/>
      <c r="D134" s="97" t="n"/>
      <c r="E134" s="98" t="n"/>
      <c r="F134" s="99" t="n"/>
      <c r="G134" s="100" t="n"/>
      <c r="H134" s="104" t="str">
        <f>IF(A134="","",IF(AND(p_ModoCot="Automático",ISNUMBER(Z134)),Z134,IF(N(G134)&gt;0,G134,0)))</f>
        <v/>
      </c>
      <c r="I134" s="105" t="str">
        <f>IF(A134="","",IF(W134=0,"Sem câmbio",IF(AND(p_ModoCot="Automático",ISNUMBER(Z134)),"Auto",IF(N(G134)&gt;0,"Manual","Sem cotação"))))</f>
        <v/>
      </c>
      <c r="J134" s="106" t="str">
        <f>IF(A134="","",N(E134)*H134)</f>
        <v/>
      </c>
      <c r="K134" s="107" t="str">
        <f>IF(A134="","",J134*W134)</f>
        <v/>
      </c>
      <c r="L134" s="108" t="str">
        <f>IF(A134="","",IF($K$6&gt;0,K134/$K$6,0))</f>
        <v/>
      </c>
      <c r="M134" s="109" t="str">
        <f>IF(A134="","",N(F134)-L134)</f>
        <v/>
      </c>
      <c r="N134" s="108" t="str">
        <f>IF(A134="","",IF($AB$6&gt;0,AB134/$AB$6,0))</f>
        <v/>
      </c>
      <c r="O134" s="110" t="str">
        <f>IF(A134="","",IF(AB134&lt;=0,"",COUNTIF($AB$9:$AB$208,"&gt;"&amp;AB134)+COUNTIF($AB$9:AB134,AB134)))</f>
        <v/>
      </c>
      <c r="P134" s="105" t="str">
        <f>IF(A134="","",IF(Q134&gt;0,"BUY","HOLD"))</f>
        <v/>
      </c>
      <c r="Q134" s="107" t="str">
        <f>IF(A134="","",IF($W$7&lt;=0,0,IF($AC$6&gt;0,$W$7*AC134/$AC$6,IF($F$6&gt;0,$W$7*N(F134)/$F$6,0))))</f>
        <v/>
      </c>
      <c r="R134" s="111" t="str">
        <f>IF(A134="","",N(AD134)+IF(AI134=1,N(AG134),0))</f>
        <v/>
      </c>
      <c r="S134" s="111" t="str">
        <f>IF(A134="","",N(E134)+N(R134))</f>
        <v/>
      </c>
      <c r="T134" s="107" t="str">
        <f>IF(A134="","",IF(N(R134)&gt;0,R134*H134*W134*$W$6+p_CorrFixa,0))</f>
        <v/>
      </c>
      <c r="V134" s="85" t="str">
        <f>IF(A134="","",IF(D134="",$W$1,D134))</f>
        <v/>
      </c>
      <c r="W134" s="85" t="str">
        <f>IF(A134="","",IFERROR(INDEX(moeda_fx,MATCH(V134,moeda_cod,0)),0))</f>
        <v/>
      </c>
      <c r="X134" s="85" t="str">
        <f>IF(A134="","",IF($W$2="",UPPER(TRIM(A134)),IF(RIGHT(UPPER(TRIM(A134)),LEN($W$2))=$W$2,UPPER(TRIM(A134)),UPPER(TRIM(A134))&amp;$W$2)))</f>
        <v/>
      </c>
      <c r="Y134" s="85" t="str">
        <f>IF(OR(A134="",p_ModoCot&lt;&gt;"Automático"),"",IFERROR(_xlfn.WEBSERVICE("https://query1.finance.yahoo.com/v8/finance/chart/"&amp;X134&amp;"?range=1d&amp;interval=1d"),""))</f>
        <v/>
      </c>
      <c r="Z134" s="85" t="str">
        <f>IF(Y134="","",IFERROR(_xlfn.NUMBERVALUE(MID(Y134,SEARCH("""regularMarketPrice"":",Y134)+21,SEARCH(",",Y134&amp;",",SEARCH("""regularMarketPrice"":",Y134)+21)-SEARCH("""regularMarketPrice"":",Y134)-21),".",","),""))</f>
        <v/>
      </c>
      <c r="AA134" s="85" t="str">
        <f>IF(A134="","",ROUND(MAX(0,N(F134)*($K$6+$W$7)-K134),2))</f>
        <v/>
      </c>
      <c r="AB134" s="85" t="str">
        <f>IF(A134="","",IF(AND(M134&gt;0,M134&gt;=p_DifMin),AA134,0))</f>
        <v/>
      </c>
      <c r="AC134" s="85" t="str">
        <f>IF(A134="","",IF(AND(AB134&gt;0,N(O134)&lt;=p_MaxAtivos),AB134,0))</f>
        <v/>
      </c>
      <c r="AD134" s="85" t="str">
        <f>IF(A134="","",IF(OR(Q134&lt;=0,Q134&lt;p_CompraMin,N(H134)&lt;=0,N(W134)&lt;=0),0,IF($W$3="Sim",TRUNC(ROUND(MAX(0,(Q134-p_CorrFixa)/(H134*W134*$W$6)),9),$W$4),TRUNC(ROUND(MAX(0,(Q134-p_CorrFixa)/(H134*W134*$W$6)),9)/$W$5)*$W$5)))</f>
        <v/>
      </c>
      <c r="AE134" s="85" t="str">
        <f>IF(A134="","",IF(N(AD134)&gt;0,AD134*H134*W134*$W$6+p_CorrFixa,0))</f>
        <v/>
      </c>
      <c r="AF134" s="85" t="str">
        <f>IF(A134="","",IF(OR($Y$1&lt;=0,N(H134)&lt;=0,N(W134)&lt;=0,N(AB134)&lt;=0),0,IF($W$3="Sim",TRUNC(ROUND(MAX(0,($Y$1-IF(N(AD134)&gt;0,0,p_CorrFixa))/(H134*W134*$W$6)),9),$W$4),TRUNC(ROUND(MAX(0,($Y$1-IF(N(AD134)&gt;0,0,p_CorrFixa))/(H134*W134*$W$6)),9)/$W$5)*$W$5)))</f>
        <v/>
      </c>
      <c r="AG134" s="85" t="str">
        <f>IF(A134="","",IF(AND(N(AD134)=0,N(AF134)*(H134*W134*$W$6)+p_CorrFixa&lt;p_CompraMin),0,AF134))</f>
        <v/>
      </c>
      <c r="AH134" s="85" t="str">
        <f>IF(A134="","",IF(N(AG134)&gt;0,AB134,0))</f>
        <v/>
      </c>
      <c r="AI134" s="85" t="str">
        <f>IF(A134="","",IF(AND(AH134&gt;0,AH134=$AH$6,COUNTIF($AH$9:AH134,AH134)=1),1,0))</f>
        <v/>
      </c>
    </row>
    <row r="135">
      <c r="A135" s="96" t="n"/>
      <c r="B135" s="96" t="n"/>
      <c r="C135" s="96" t="n"/>
      <c r="D135" s="97" t="n"/>
      <c r="E135" s="98" t="n"/>
      <c r="F135" s="99" t="n"/>
      <c r="G135" s="100" t="n"/>
      <c r="H135" s="101" t="str">
        <f>IF(A135="","",IF(AND(p_ModoCot="Automático",ISNUMBER(Z135)),Z135,IF(N(G135)&gt;0,G135,0)))</f>
        <v/>
      </c>
      <c r="I135" s="73" t="str">
        <f>IF(A135="","",IF(W135=0,"Sem câmbio",IF(AND(p_ModoCot="Automático",ISNUMBER(Z135)),"Auto",IF(N(G135)&gt;0,"Manual","Sem cotação"))))</f>
        <v/>
      </c>
      <c r="J135" s="102" t="str">
        <f>IF(A135="","",N(E135)*H135)</f>
        <v/>
      </c>
      <c r="K135" s="70" t="str">
        <f>IF(A135="","",J135*W135)</f>
        <v/>
      </c>
      <c r="L135" s="30" t="str">
        <f>IF(A135="","",IF($K$6&gt;0,K135/$K$6,0))</f>
        <v/>
      </c>
      <c r="M135" s="72" t="str">
        <f>IF(A135="","",N(F135)-L135)</f>
        <v/>
      </c>
      <c r="N135" s="30" t="str">
        <f>IF(A135="","",IF($AB$6&gt;0,AB135/$AB$6,0))</f>
        <v/>
      </c>
      <c r="O135" s="74" t="str">
        <f>IF(A135="","",IF(AB135&lt;=0,"",COUNTIF($AB$9:$AB$208,"&gt;"&amp;AB135)+COUNTIF($AB$9:AB135,AB135)))</f>
        <v/>
      </c>
      <c r="P135" s="73" t="str">
        <f>IF(A135="","",IF(Q135&gt;0,"BUY","HOLD"))</f>
        <v/>
      </c>
      <c r="Q135" s="70" t="str">
        <f>IF(A135="","",IF($W$7&lt;=0,0,IF($AC$6&gt;0,$W$7*AC135/$AC$6,IF($F$6&gt;0,$W$7*N(F135)/$F$6,0))))</f>
        <v/>
      </c>
      <c r="R135" s="103" t="str">
        <f>IF(A135="","",N(AD135)+IF(AI135=1,N(AG135),0))</f>
        <v/>
      </c>
      <c r="S135" s="103" t="str">
        <f>IF(A135="","",N(E135)+N(R135))</f>
        <v/>
      </c>
      <c r="T135" s="70" t="str">
        <f>IF(A135="","",IF(N(R135)&gt;0,R135*H135*W135*$W$6+p_CorrFixa,0))</f>
        <v/>
      </c>
      <c r="V135" s="85" t="str">
        <f>IF(A135="","",IF(D135="",$W$1,D135))</f>
        <v/>
      </c>
      <c r="W135" s="85" t="str">
        <f>IF(A135="","",IFERROR(INDEX(moeda_fx,MATCH(V135,moeda_cod,0)),0))</f>
        <v/>
      </c>
      <c r="X135" s="85" t="str">
        <f>IF(A135="","",IF($W$2="",UPPER(TRIM(A135)),IF(RIGHT(UPPER(TRIM(A135)),LEN($W$2))=$W$2,UPPER(TRIM(A135)),UPPER(TRIM(A135))&amp;$W$2)))</f>
        <v/>
      </c>
      <c r="Y135" s="85" t="str">
        <f>IF(OR(A135="",p_ModoCot&lt;&gt;"Automático"),"",IFERROR(_xlfn.WEBSERVICE("https://query1.finance.yahoo.com/v8/finance/chart/"&amp;X135&amp;"?range=1d&amp;interval=1d"),""))</f>
        <v/>
      </c>
      <c r="Z135" s="85" t="str">
        <f>IF(Y135="","",IFERROR(_xlfn.NUMBERVALUE(MID(Y135,SEARCH("""regularMarketPrice"":",Y135)+21,SEARCH(",",Y135&amp;",",SEARCH("""regularMarketPrice"":",Y135)+21)-SEARCH("""regularMarketPrice"":",Y135)-21),".",","),""))</f>
        <v/>
      </c>
      <c r="AA135" s="85" t="str">
        <f>IF(A135="","",ROUND(MAX(0,N(F135)*($K$6+$W$7)-K135),2))</f>
        <v/>
      </c>
      <c r="AB135" s="85" t="str">
        <f>IF(A135="","",IF(AND(M135&gt;0,M135&gt;=p_DifMin),AA135,0))</f>
        <v/>
      </c>
      <c r="AC135" s="85" t="str">
        <f>IF(A135="","",IF(AND(AB135&gt;0,N(O135)&lt;=p_MaxAtivos),AB135,0))</f>
        <v/>
      </c>
      <c r="AD135" s="85" t="str">
        <f>IF(A135="","",IF(OR(Q135&lt;=0,Q135&lt;p_CompraMin,N(H135)&lt;=0,N(W135)&lt;=0),0,IF($W$3="Sim",TRUNC(ROUND(MAX(0,(Q135-p_CorrFixa)/(H135*W135*$W$6)),9),$W$4),TRUNC(ROUND(MAX(0,(Q135-p_CorrFixa)/(H135*W135*$W$6)),9)/$W$5)*$W$5)))</f>
        <v/>
      </c>
      <c r="AE135" s="85" t="str">
        <f>IF(A135="","",IF(N(AD135)&gt;0,AD135*H135*W135*$W$6+p_CorrFixa,0))</f>
        <v/>
      </c>
      <c r="AF135" s="85" t="str">
        <f>IF(A135="","",IF(OR($Y$1&lt;=0,N(H135)&lt;=0,N(W135)&lt;=0,N(AB135)&lt;=0),0,IF($W$3="Sim",TRUNC(ROUND(MAX(0,($Y$1-IF(N(AD135)&gt;0,0,p_CorrFixa))/(H135*W135*$W$6)),9),$W$4),TRUNC(ROUND(MAX(0,($Y$1-IF(N(AD135)&gt;0,0,p_CorrFixa))/(H135*W135*$W$6)),9)/$W$5)*$W$5)))</f>
        <v/>
      </c>
      <c r="AG135" s="85" t="str">
        <f>IF(A135="","",IF(AND(N(AD135)=0,N(AF135)*(H135*W135*$W$6)+p_CorrFixa&lt;p_CompraMin),0,AF135))</f>
        <v/>
      </c>
      <c r="AH135" s="85" t="str">
        <f>IF(A135="","",IF(N(AG135)&gt;0,AB135,0))</f>
        <v/>
      </c>
      <c r="AI135" s="85" t="str">
        <f>IF(A135="","",IF(AND(AH135&gt;0,AH135=$AH$6,COUNTIF($AH$9:AH135,AH135)=1),1,0))</f>
        <v/>
      </c>
    </row>
    <row r="136">
      <c r="A136" s="96" t="n"/>
      <c r="B136" s="96" t="n"/>
      <c r="C136" s="96" t="n"/>
      <c r="D136" s="97" t="n"/>
      <c r="E136" s="98" t="n"/>
      <c r="F136" s="99" t="n"/>
      <c r="G136" s="100" t="n"/>
      <c r="H136" s="104" t="str">
        <f>IF(A136="","",IF(AND(p_ModoCot="Automático",ISNUMBER(Z136)),Z136,IF(N(G136)&gt;0,G136,0)))</f>
        <v/>
      </c>
      <c r="I136" s="105" t="str">
        <f>IF(A136="","",IF(W136=0,"Sem câmbio",IF(AND(p_ModoCot="Automático",ISNUMBER(Z136)),"Auto",IF(N(G136)&gt;0,"Manual","Sem cotação"))))</f>
        <v/>
      </c>
      <c r="J136" s="106" t="str">
        <f>IF(A136="","",N(E136)*H136)</f>
        <v/>
      </c>
      <c r="K136" s="107" t="str">
        <f>IF(A136="","",J136*W136)</f>
        <v/>
      </c>
      <c r="L136" s="108" t="str">
        <f>IF(A136="","",IF($K$6&gt;0,K136/$K$6,0))</f>
        <v/>
      </c>
      <c r="M136" s="109" t="str">
        <f>IF(A136="","",N(F136)-L136)</f>
        <v/>
      </c>
      <c r="N136" s="108" t="str">
        <f>IF(A136="","",IF($AB$6&gt;0,AB136/$AB$6,0))</f>
        <v/>
      </c>
      <c r="O136" s="110" t="str">
        <f>IF(A136="","",IF(AB136&lt;=0,"",COUNTIF($AB$9:$AB$208,"&gt;"&amp;AB136)+COUNTIF($AB$9:AB136,AB136)))</f>
        <v/>
      </c>
      <c r="P136" s="105" t="str">
        <f>IF(A136="","",IF(Q136&gt;0,"BUY","HOLD"))</f>
        <v/>
      </c>
      <c r="Q136" s="107" t="str">
        <f>IF(A136="","",IF($W$7&lt;=0,0,IF($AC$6&gt;0,$W$7*AC136/$AC$6,IF($F$6&gt;0,$W$7*N(F136)/$F$6,0))))</f>
        <v/>
      </c>
      <c r="R136" s="111" t="str">
        <f>IF(A136="","",N(AD136)+IF(AI136=1,N(AG136),0))</f>
        <v/>
      </c>
      <c r="S136" s="111" t="str">
        <f>IF(A136="","",N(E136)+N(R136))</f>
        <v/>
      </c>
      <c r="T136" s="107" t="str">
        <f>IF(A136="","",IF(N(R136)&gt;0,R136*H136*W136*$W$6+p_CorrFixa,0))</f>
        <v/>
      </c>
      <c r="V136" s="85" t="str">
        <f>IF(A136="","",IF(D136="",$W$1,D136))</f>
        <v/>
      </c>
      <c r="W136" s="85" t="str">
        <f>IF(A136="","",IFERROR(INDEX(moeda_fx,MATCH(V136,moeda_cod,0)),0))</f>
        <v/>
      </c>
      <c r="X136" s="85" t="str">
        <f>IF(A136="","",IF($W$2="",UPPER(TRIM(A136)),IF(RIGHT(UPPER(TRIM(A136)),LEN($W$2))=$W$2,UPPER(TRIM(A136)),UPPER(TRIM(A136))&amp;$W$2)))</f>
        <v/>
      </c>
      <c r="Y136" s="85" t="str">
        <f>IF(OR(A136="",p_ModoCot&lt;&gt;"Automático"),"",IFERROR(_xlfn.WEBSERVICE("https://query1.finance.yahoo.com/v8/finance/chart/"&amp;X136&amp;"?range=1d&amp;interval=1d"),""))</f>
        <v/>
      </c>
      <c r="Z136" s="85" t="str">
        <f>IF(Y136="","",IFERROR(_xlfn.NUMBERVALUE(MID(Y136,SEARCH("""regularMarketPrice"":",Y136)+21,SEARCH(",",Y136&amp;",",SEARCH("""regularMarketPrice"":",Y136)+21)-SEARCH("""regularMarketPrice"":",Y136)-21),".",","),""))</f>
        <v/>
      </c>
      <c r="AA136" s="85" t="str">
        <f>IF(A136="","",ROUND(MAX(0,N(F136)*($K$6+$W$7)-K136),2))</f>
        <v/>
      </c>
      <c r="AB136" s="85" t="str">
        <f>IF(A136="","",IF(AND(M136&gt;0,M136&gt;=p_DifMin),AA136,0))</f>
        <v/>
      </c>
      <c r="AC136" s="85" t="str">
        <f>IF(A136="","",IF(AND(AB136&gt;0,N(O136)&lt;=p_MaxAtivos),AB136,0))</f>
        <v/>
      </c>
      <c r="AD136" s="85" t="str">
        <f>IF(A136="","",IF(OR(Q136&lt;=0,Q136&lt;p_CompraMin,N(H136)&lt;=0,N(W136)&lt;=0),0,IF($W$3="Sim",TRUNC(ROUND(MAX(0,(Q136-p_CorrFixa)/(H136*W136*$W$6)),9),$W$4),TRUNC(ROUND(MAX(0,(Q136-p_CorrFixa)/(H136*W136*$W$6)),9)/$W$5)*$W$5)))</f>
        <v/>
      </c>
      <c r="AE136" s="85" t="str">
        <f>IF(A136="","",IF(N(AD136)&gt;0,AD136*H136*W136*$W$6+p_CorrFixa,0))</f>
        <v/>
      </c>
      <c r="AF136" s="85" t="str">
        <f>IF(A136="","",IF(OR($Y$1&lt;=0,N(H136)&lt;=0,N(W136)&lt;=0,N(AB136)&lt;=0),0,IF($W$3="Sim",TRUNC(ROUND(MAX(0,($Y$1-IF(N(AD136)&gt;0,0,p_CorrFixa))/(H136*W136*$W$6)),9),$W$4),TRUNC(ROUND(MAX(0,($Y$1-IF(N(AD136)&gt;0,0,p_CorrFixa))/(H136*W136*$W$6)),9)/$W$5)*$W$5)))</f>
        <v/>
      </c>
      <c r="AG136" s="85" t="str">
        <f>IF(A136="","",IF(AND(N(AD136)=0,N(AF136)*(H136*W136*$W$6)+p_CorrFixa&lt;p_CompraMin),0,AF136))</f>
        <v/>
      </c>
      <c r="AH136" s="85" t="str">
        <f>IF(A136="","",IF(N(AG136)&gt;0,AB136,0))</f>
        <v/>
      </c>
      <c r="AI136" s="85" t="str">
        <f>IF(A136="","",IF(AND(AH136&gt;0,AH136=$AH$6,COUNTIF($AH$9:AH136,AH136)=1),1,0))</f>
        <v/>
      </c>
    </row>
    <row r="137">
      <c r="A137" s="96" t="n"/>
      <c r="B137" s="96" t="n"/>
      <c r="C137" s="96" t="n"/>
      <c r="D137" s="97" t="n"/>
      <c r="E137" s="98" t="n"/>
      <c r="F137" s="99" t="n"/>
      <c r="G137" s="100" t="n"/>
      <c r="H137" s="101" t="str">
        <f>IF(A137="","",IF(AND(p_ModoCot="Automático",ISNUMBER(Z137)),Z137,IF(N(G137)&gt;0,G137,0)))</f>
        <v/>
      </c>
      <c r="I137" s="73" t="str">
        <f>IF(A137="","",IF(W137=0,"Sem câmbio",IF(AND(p_ModoCot="Automático",ISNUMBER(Z137)),"Auto",IF(N(G137)&gt;0,"Manual","Sem cotação"))))</f>
        <v/>
      </c>
      <c r="J137" s="102" t="str">
        <f>IF(A137="","",N(E137)*H137)</f>
        <v/>
      </c>
      <c r="K137" s="70" t="str">
        <f>IF(A137="","",J137*W137)</f>
        <v/>
      </c>
      <c r="L137" s="30" t="str">
        <f>IF(A137="","",IF($K$6&gt;0,K137/$K$6,0))</f>
        <v/>
      </c>
      <c r="M137" s="72" t="str">
        <f>IF(A137="","",N(F137)-L137)</f>
        <v/>
      </c>
      <c r="N137" s="30" t="str">
        <f>IF(A137="","",IF($AB$6&gt;0,AB137/$AB$6,0))</f>
        <v/>
      </c>
      <c r="O137" s="74" t="str">
        <f>IF(A137="","",IF(AB137&lt;=0,"",COUNTIF($AB$9:$AB$208,"&gt;"&amp;AB137)+COUNTIF($AB$9:AB137,AB137)))</f>
        <v/>
      </c>
      <c r="P137" s="73" t="str">
        <f>IF(A137="","",IF(Q137&gt;0,"BUY","HOLD"))</f>
        <v/>
      </c>
      <c r="Q137" s="70" t="str">
        <f>IF(A137="","",IF($W$7&lt;=0,0,IF($AC$6&gt;0,$W$7*AC137/$AC$6,IF($F$6&gt;0,$W$7*N(F137)/$F$6,0))))</f>
        <v/>
      </c>
      <c r="R137" s="103" t="str">
        <f>IF(A137="","",N(AD137)+IF(AI137=1,N(AG137),0))</f>
        <v/>
      </c>
      <c r="S137" s="103" t="str">
        <f>IF(A137="","",N(E137)+N(R137))</f>
        <v/>
      </c>
      <c r="T137" s="70" t="str">
        <f>IF(A137="","",IF(N(R137)&gt;0,R137*H137*W137*$W$6+p_CorrFixa,0))</f>
        <v/>
      </c>
      <c r="V137" s="85" t="str">
        <f>IF(A137="","",IF(D137="",$W$1,D137))</f>
        <v/>
      </c>
      <c r="W137" s="85" t="str">
        <f>IF(A137="","",IFERROR(INDEX(moeda_fx,MATCH(V137,moeda_cod,0)),0))</f>
        <v/>
      </c>
      <c r="X137" s="85" t="str">
        <f>IF(A137="","",IF($W$2="",UPPER(TRIM(A137)),IF(RIGHT(UPPER(TRIM(A137)),LEN($W$2))=$W$2,UPPER(TRIM(A137)),UPPER(TRIM(A137))&amp;$W$2)))</f>
        <v/>
      </c>
      <c r="Y137" s="85" t="str">
        <f>IF(OR(A137="",p_ModoCot&lt;&gt;"Automático"),"",IFERROR(_xlfn.WEBSERVICE("https://query1.finance.yahoo.com/v8/finance/chart/"&amp;X137&amp;"?range=1d&amp;interval=1d"),""))</f>
        <v/>
      </c>
      <c r="Z137" s="85" t="str">
        <f>IF(Y137="","",IFERROR(_xlfn.NUMBERVALUE(MID(Y137,SEARCH("""regularMarketPrice"":",Y137)+21,SEARCH(",",Y137&amp;",",SEARCH("""regularMarketPrice"":",Y137)+21)-SEARCH("""regularMarketPrice"":",Y137)-21),".",","),""))</f>
        <v/>
      </c>
      <c r="AA137" s="85" t="str">
        <f>IF(A137="","",ROUND(MAX(0,N(F137)*($K$6+$W$7)-K137),2))</f>
        <v/>
      </c>
      <c r="AB137" s="85" t="str">
        <f>IF(A137="","",IF(AND(M137&gt;0,M137&gt;=p_DifMin),AA137,0))</f>
        <v/>
      </c>
      <c r="AC137" s="85" t="str">
        <f>IF(A137="","",IF(AND(AB137&gt;0,N(O137)&lt;=p_MaxAtivos),AB137,0))</f>
        <v/>
      </c>
      <c r="AD137" s="85" t="str">
        <f>IF(A137="","",IF(OR(Q137&lt;=0,Q137&lt;p_CompraMin,N(H137)&lt;=0,N(W137)&lt;=0),0,IF($W$3="Sim",TRUNC(ROUND(MAX(0,(Q137-p_CorrFixa)/(H137*W137*$W$6)),9),$W$4),TRUNC(ROUND(MAX(0,(Q137-p_CorrFixa)/(H137*W137*$W$6)),9)/$W$5)*$W$5)))</f>
        <v/>
      </c>
      <c r="AE137" s="85" t="str">
        <f>IF(A137="","",IF(N(AD137)&gt;0,AD137*H137*W137*$W$6+p_CorrFixa,0))</f>
        <v/>
      </c>
      <c r="AF137" s="85" t="str">
        <f>IF(A137="","",IF(OR($Y$1&lt;=0,N(H137)&lt;=0,N(W137)&lt;=0,N(AB137)&lt;=0),0,IF($W$3="Sim",TRUNC(ROUND(MAX(0,($Y$1-IF(N(AD137)&gt;0,0,p_CorrFixa))/(H137*W137*$W$6)),9),$W$4),TRUNC(ROUND(MAX(0,($Y$1-IF(N(AD137)&gt;0,0,p_CorrFixa))/(H137*W137*$W$6)),9)/$W$5)*$W$5)))</f>
        <v/>
      </c>
      <c r="AG137" s="85" t="str">
        <f>IF(A137="","",IF(AND(N(AD137)=0,N(AF137)*(H137*W137*$W$6)+p_CorrFixa&lt;p_CompraMin),0,AF137))</f>
        <v/>
      </c>
      <c r="AH137" s="85" t="str">
        <f>IF(A137="","",IF(N(AG137)&gt;0,AB137,0))</f>
        <v/>
      </c>
      <c r="AI137" s="85" t="str">
        <f>IF(A137="","",IF(AND(AH137&gt;0,AH137=$AH$6,COUNTIF($AH$9:AH137,AH137)=1),1,0))</f>
        <v/>
      </c>
    </row>
    <row r="138">
      <c r="A138" s="96" t="n"/>
      <c r="B138" s="96" t="n"/>
      <c r="C138" s="96" t="n"/>
      <c r="D138" s="97" t="n"/>
      <c r="E138" s="98" t="n"/>
      <c r="F138" s="99" t="n"/>
      <c r="G138" s="100" t="n"/>
      <c r="H138" s="104" t="str">
        <f>IF(A138="","",IF(AND(p_ModoCot="Automático",ISNUMBER(Z138)),Z138,IF(N(G138)&gt;0,G138,0)))</f>
        <v/>
      </c>
      <c r="I138" s="105" t="str">
        <f>IF(A138="","",IF(W138=0,"Sem câmbio",IF(AND(p_ModoCot="Automático",ISNUMBER(Z138)),"Auto",IF(N(G138)&gt;0,"Manual","Sem cotação"))))</f>
        <v/>
      </c>
      <c r="J138" s="106" t="str">
        <f>IF(A138="","",N(E138)*H138)</f>
        <v/>
      </c>
      <c r="K138" s="107" t="str">
        <f>IF(A138="","",J138*W138)</f>
        <v/>
      </c>
      <c r="L138" s="108" t="str">
        <f>IF(A138="","",IF($K$6&gt;0,K138/$K$6,0))</f>
        <v/>
      </c>
      <c r="M138" s="109" t="str">
        <f>IF(A138="","",N(F138)-L138)</f>
        <v/>
      </c>
      <c r="N138" s="108" t="str">
        <f>IF(A138="","",IF($AB$6&gt;0,AB138/$AB$6,0))</f>
        <v/>
      </c>
      <c r="O138" s="110" t="str">
        <f>IF(A138="","",IF(AB138&lt;=0,"",COUNTIF($AB$9:$AB$208,"&gt;"&amp;AB138)+COUNTIF($AB$9:AB138,AB138)))</f>
        <v/>
      </c>
      <c r="P138" s="105" t="str">
        <f>IF(A138="","",IF(Q138&gt;0,"BUY","HOLD"))</f>
        <v/>
      </c>
      <c r="Q138" s="107" t="str">
        <f>IF(A138="","",IF($W$7&lt;=0,0,IF($AC$6&gt;0,$W$7*AC138/$AC$6,IF($F$6&gt;0,$W$7*N(F138)/$F$6,0))))</f>
        <v/>
      </c>
      <c r="R138" s="111" t="str">
        <f>IF(A138="","",N(AD138)+IF(AI138=1,N(AG138),0))</f>
        <v/>
      </c>
      <c r="S138" s="111" t="str">
        <f>IF(A138="","",N(E138)+N(R138))</f>
        <v/>
      </c>
      <c r="T138" s="107" t="str">
        <f>IF(A138="","",IF(N(R138)&gt;0,R138*H138*W138*$W$6+p_CorrFixa,0))</f>
        <v/>
      </c>
      <c r="V138" s="85" t="str">
        <f>IF(A138="","",IF(D138="",$W$1,D138))</f>
        <v/>
      </c>
      <c r="W138" s="85" t="str">
        <f>IF(A138="","",IFERROR(INDEX(moeda_fx,MATCH(V138,moeda_cod,0)),0))</f>
        <v/>
      </c>
      <c r="X138" s="85" t="str">
        <f>IF(A138="","",IF($W$2="",UPPER(TRIM(A138)),IF(RIGHT(UPPER(TRIM(A138)),LEN($W$2))=$W$2,UPPER(TRIM(A138)),UPPER(TRIM(A138))&amp;$W$2)))</f>
        <v/>
      </c>
      <c r="Y138" s="85" t="str">
        <f>IF(OR(A138="",p_ModoCot&lt;&gt;"Automático"),"",IFERROR(_xlfn.WEBSERVICE("https://query1.finance.yahoo.com/v8/finance/chart/"&amp;X138&amp;"?range=1d&amp;interval=1d"),""))</f>
        <v/>
      </c>
      <c r="Z138" s="85" t="str">
        <f>IF(Y138="","",IFERROR(_xlfn.NUMBERVALUE(MID(Y138,SEARCH("""regularMarketPrice"":",Y138)+21,SEARCH(",",Y138&amp;",",SEARCH("""regularMarketPrice"":",Y138)+21)-SEARCH("""regularMarketPrice"":",Y138)-21),".",","),""))</f>
        <v/>
      </c>
      <c r="AA138" s="85" t="str">
        <f>IF(A138="","",ROUND(MAX(0,N(F138)*($K$6+$W$7)-K138),2))</f>
        <v/>
      </c>
      <c r="AB138" s="85" t="str">
        <f>IF(A138="","",IF(AND(M138&gt;0,M138&gt;=p_DifMin),AA138,0))</f>
        <v/>
      </c>
      <c r="AC138" s="85" t="str">
        <f>IF(A138="","",IF(AND(AB138&gt;0,N(O138)&lt;=p_MaxAtivos),AB138,0))</f>
        <v/>
      </c>
      <c r="AD138" s="85" t="str">
        <f>IF(A138="","",IF(OR(Q138&lt;=0,Q138&lt;p_CompraMin,N(H138)&lt;=0,N(W138)&lt;=0),0,IF($W$3="Sim",TRUNC(ROUND(MAX(0,(Q138-p_CorrFixa)/(H138*W138*$W$6)),9),$W$4),TRUNC(ROUND(MAX(0,(Q138-p_CorrFixa)/(H138*W138*$W$6)),9)/$W$5)*$W$5)))</f>
        <v/>
      </c>
      <c r="AE138" s="85" t="str">
        <f>IF(A138="","",IF(N(AD138)&gt;0,AD138*H138*W138*$W$6+p_CorrFixa,0))</f>
        <v/>
      </c>
      <c r="AF138" s="85" t="str">
        <f>IF(A138="","",IF(OR($Y$1&lt;=0,N(H138)&lt;=0,N(W138)&lt;=0,N(AB138)&lt;=0),0,IF($W$3="Sim",TRUNC(ROUND(MAX(0,($Y$1-IF(N(AD138)&gt;0,0,p_CorrFixa))/(H138*W138*$W$6)),9),$W$4),TRUNC(ROUND(MAX(0,($Y$1-IF(N(AD138)&gt;0,0,p_CorrFixa))/(H138*W138*$W$6)),9)/$W$5)*$W$5)))</f>
        <v/>
      </c>
      <c r="AG138" s="85" t="str">
        <f>IF(A138="","",IF(AND(N(AD138)=0,N(AF138)*(H138*W138*$W$6)+p_CorrFixa&lt;p_CompraMin),0,AF138))</f>
        <v/>
      </c>
      <c r="AH138" s="85" t="str">
        <f>IF(A138="","",IF(N(AG138)&gt;0,AB138,0))</f>
        <v/>
      </c>
      <c r="AI138" s="85" t="str">
        <f>IF(A138="","",IF(AND(AH138&gt;0,AH138=$AH$6,COUNTIF($AH$9:AH138,AH138)=1),1,0))</f>
        <v/>
      </c>
    </row>
    <row r="139">
      <c r="A139" s="96" t="n"/>
      <c r="B139" s="96" t="n"/>
      <c r="C139" s="96" t="n"/>
      <c r="D139" s="97" t="n"/>
      <c r="E139" s="98" t="n"/>
      <c r="F139" s="99" t="n"/>
      <c r="G139" s="100" t="n"/>
      <c r="H139" s="101" t="str">
        <f>IF(A139="","",IF(AND(p_ModoCot="Automático",ISNUMBER(Z139)),Z139,IF(N(G139)&gt;0,G139,0)))</f>
        <v/>
      </c>
      <c r="I139" s="73" t="str">
        <f>IF(A139="","",IF(W139=0,"Sem câmbio",IF(AND(p_ModoCot="Automático",ISNUMBER(Z139)),"Auto",IF(N(G139)&gt;0,"Manual","Sem cotação"))))</f>
        <v/>
      </c>
      <c r="J139" s="102" t="str">
        <f>IF(A139="","",N(E139)*H139)</f>
        <v/>
      </c>
      <c r="K139" s="70" t="str">
        <f>IF(A139="","",J139*W139)</f>
        <v/>
      </c>
      <c r="L139" s="30" t="str">
        <f>IF(A139="","",IF($K$6&gt;0,K139/$K$6,0))</f>
        <v/>
      </c>
      <c r="M139" s="72" t="str">
        <f>IF(A139="","",N(F139)-L139)</f>
        <v/>
      </c>
      <c r="N139" s="30" t="str">
        <f>IF(A139="","",IF($AB$6&gt;0,AB139/$AB$6,0))</f>
        <v/>
      </c>
      <c r="O139" s="74" t="str">
        <f>IF(A139="","",IF(AB139&lt;=0,"",COUNTIF($AB$9:$AB$208,"&gt;"&amp;AB139)+COUNTIF($AB$9:AB139,AB139)))</f>
        <v/>
      </c>
      <c r="P139" s="73" t="str">
        <f>IF(A139="","",IF(Q139&gt;0,"BUY","HOLD"))</f>
        <v/>
      </c>
      <c r="Q139" s="70" t="str">
        <f>IF(A139="","",IF($W$7&lt;=0,0,IF($AC$6&gt;0,$W$7*AC139/$AC$6,IF($F$6&gt;0,$W$7*N(F139)/$F$6,0))))</f>
        <v/>
      </c>
      <c r="R139" s="103" t="str">
        <f>IF(A139="","",N(AD139)+IF(AI139=1,N(AG139),0))</f>
        <v/>
      </c>
      <c r="S139" s="103" t="str">
        <f>IF(A139="","",N(E139)+N(R139))</f>
        <v/>
      </c>
      <c r="T139" s="70" t="str">
        <f>IF(A139="","",IF(N(R139)&gt;0,R139*H139*W139*$W$6+p_CorrFixa,0))</f>
        <v/>
      </c>
      <c r="V139" s="85" t="str">
        <f>IF(A139="","",IF(D139="",$W$1,D139))</f>
        <v/>
      </c>
      <c r="W139" s="85" t="str">
        <f>IF(A139="","",IFERROR(INDEX(moeda_fx,MATCH(V139,moeda_cod,0)),0))</f>
        <v/>
      </c>
      <c r="X139" s="85" t="str">
        <f>IF(A139="","",IF($W$2="",UPPER(TRIM(A139)),IF(RIGHT(UPPER(TRIM(A139)),LEN($W$2))=$W$2,UPPER(TRIM(A139)),UPPER(TRIM(A139))&amp;$W$2)))</f>
        <v/>
      </c>
      <c r="Y139" s="85" t="str">
        <f>IF(OR(A139="",p_ModoCot&lt;&gt;"Automático"),"",IFERROR(_xlfn.WEBSERVICE("https://query1.finance.yahoo.com/v8/finance/chart/"&amp;X139&amp;"?range=1d&amp;interval=1d"),""))</f>
        <v/>
      </c>
      <c r="Z139" s="85" t="str">
        <f>IF(Y139="","",IFERROR(_xlfn.NUMBERVALUE(MID(Y139,SEARCH("""regularMarketPrice"":",Y139)+21,SEARCH(",",Y139&amp;",",SEARCH("""regularMarketPrice"":",Y139)+21)-SEARCH("""regularMarketPrice"":",Y139)-21),".",","),""))</f>
        <v/>
      </c>
      <c r="AA139" s="85" t="str">
        <f>IF(A139="","",ROUND(MAX(0,N(F139)*($K$6+$W$7)-K139),2))</f>
        <v/>
      </c>
      <c r="AB139" s="85" t="str">
        <f>IF(A139="","",IF(AND(M139&gt;0,M139&gt;=p_DifMin),AA139,0))</f>
        <v/>
      </c>
      <c r="AC139" s="85" t="str">
        <f>IF(A139="","",IF(AND(AB139&gt;0,N(O139)&lt;=p_MaxAtivos),AB139,0))</f>
        <v/>
      </c>
      <c r="AD139" s="85" t="str">
        <f>IF(A139="","",IF(OR(Q139&lt;=0,Q139&lt;p_CompraMin,N(H139)&lt;=0,N(W139)&lt;=0),0,IF($W$3="Sim",TRUNC(ROUND(MAX(0,(Q139-p_CorrFixa)/(H139*W139*$W$6)),9),$W$4),TRUNC(ROUND(MAX(0,(Q139-p_CorrFixa)/(H139*W139*$W$6)),9)/$W$5)*$W$5)))</f>
        <v/>
      </c>
      <c r="AE139" s="85" t="str">
        <f>IF(A139="","",IF(N(AD139)&gt;0,AD139*H139*W139*$W$6+p_CorrFixa,0))</f>
        <v/>
      </c>
      <c r="AF139" s="85" t="str">
        <f>IF(A139="","",IF(OR($Y$1&lt;=0,N(H139)&lt;=0,N(W139)&lt;=0,N(AB139)&lt;=0),0,IF($W$3="Sim",TRUNC(ROUND(MAX(0,($Y$1-IF(N(AD139)&gt;0,0,p_CorrFixa))/(H139*W139*$W$6)),9),$W$4),TRUNC(ROUND(MAX(0,($Y$1-IF(N(AD139)&gt;0,0,p_CorrFixa))/(H139*W139*$W$6)),9)/$W$5)*$W$5)))</f>
        <v/>
      </c>
      <c r="AG139" s="85" t="str">
        <f>IF(A139="","",IF(AND(N(AD139)=0,N(AF139)*(H139*W139*$W$6)+p_CorrFixa&lt;p_CompraMin),0,AF139))</f>
        <v/>
      </c>
      <c r="AH139" s="85" t="str">
        <f>IF(A139="","",IF(N(AG139)&gt;0,AB139,0))</f>
        <v/>
      </c>
      <c r="AI139" s="85" t="str">
        <f>IF(A139="","",IF(AND(AH139&gt;0,AH139=$AH$6,COUNTIF($AH$9:AH139,AH139)=1),1,0))</f>
        <v/>
      </c>
    </row>
    <row r="140">
      <c r="A140" s="96" t="n"/>
      <c r="B140" s="96" t="n"/>
      <c r="C140" s="96" t="n"/>
      <c r="D140" s="97" t="n"/>
      <c r="E140" s="98" t="n"/>
      <c r="F140" s="99" t="n"/>
      <c r="G140" s="100" t="n"/>
      <c r="H140" s="104" t="str">
        <f>IF(A140="","",IF(AND(p_ModoCot="Automático",ISNUMBER(Z140)),Z140,IF(N(G140)&gt;0,G140,0)))</f>
        <v/>
      </c>
      <c r="I140" s="105" t="str">
        <f>IF(A140="","",IF(W140=0,"Sem câmbio",IF(AND(p_ModoCot="Automático",ISNUMBER(Z140)),"Auto",IF(N(G140)&gt;0,"Manual","Sem cotação"))))</f>
        <v/>
      </c>
      <c r="J140" s="106" t="str">
        <f>IF(A140="","",N(E140)*H140)</f>
        <v/>
      </c>
      <c r="K140" s="107" t="str">
        <f>IF(A140="","",J140*W140)</f>
        <v/>
      </c>
      <c r="L140" s="108" t="str">
        <f>IF(A140="","",IF($K$6&gt;0,K140/$K$6,0))</f>
        <v/>
      </c>
      <c r="M140" s="109" t="str">
        <f>IF(A140="","",N(F140)-L140)</f>
        <v/>
      </c>
      <c r="N140" s="108" t="str">
        <f>IF(A140="","",IF($AB$6&gt;0,AB140/$AB$6,0))</f>
        <v/>
      </c>
      <c r="O140" s="110" t="str">
        <f>IF(A140="","",IF(AB140&lt;=0,"",COUNTIF($AB$9:$AB$208,"&gt;"&amp;AB140)+COUNTIF($AB$9:AB140,AB140)))</f>
        <v/>
      </c>
      <c r="P140" s="105" t="str">
        <f>IF(A140="","",IF(Q140&gt;0,"BUY","HOLD"))</f>
        <v/>
      </c>
      <c r="Q140" s="107" t="str">
        <f>IF(A140="","",IF($W$7&lt;=0,0,IF($AC$6&gt;0,$W$7*AC140/$AC$6,IF($F$6&gt;0,$W$7*N(F140)/$F$6,0))))</f>
        <v/>
      </c>
      <c r="R140" s="111" t="str">
        <f>IF(A140="","",N(AD140)+IF(AI140=1,N(AG140),0))</f>
        <v/>
      </c>
      <c r="S140" s="111" t="str">
        <f>IF(A140="","",N(E140)+N(R140))</f>
        <v/>
      </c>
      <c r="T140" s="107" t="str">
        <f>IF(A140="","",IF(N(R140)&gt;0,R140*H140*W140*$W$6+p_CorrFixa,0))</f>
        <v/>
      </c>
      <c r="V140" s="85" t="str">
        <f>IF(A140="","",IF(D140="",$W$1,D140))</f>
        <v/>
      </c>
      <c r="W140" s="85" t="str">
        <f>IF(A140="","",IFERROR(INDEX(moeda_fx,MATCH(V140,moeda_cod,0)),0))</f>
        <v/>
      </c>
      <c r="X140" s="85" t="str">
        <f>IF(A140="","",IF($W$2="",UPPER(TRIM(A140)),IF(RIGHT(UPPER(TRIM(A140)),LEN($W$2))=$W$2,UPPER(TRIM(A140)),UPPER(TRIM(A140))&amp;$W$2)))</f>
        <v/>
      </c>
      <c r="Y140" s="85" t="str">
        <f>IF(OR(A140="",p_ModoCot&lt;&gt;"Automático"),"",IFERROR(_xlfn.WEBSERVICE("https://query1.finance.yahoo.com/v8/finance/chart/"&amp;X140&amp;"?range=1d&amp;interval=1d"),""))</f>
        <v/>
      </c>
      <c r="Z140" s="85" t="str">
        <f>IF(Y140="","",IFERROR(_xlfn.NUMBERVALUE(MID(Y140,SEARCH("""regularMarketPrice"":",Y140)+21,SEARCH(",",Y140&amp;",",SEARCH("""regularMarketPrice"":",Y140)+21)-SEARCH("""regularMarketPrice"":",Y140)-21),".",","),""))</f>
        <v/>
      </c>
      <c r="AA140" s="85" t="str">
        <f>IF(A140="","",ROUND(MAX(0,N(F140)*($K$6+$W$7)-K140),2))</f>
        <v/>
      </c>
      <c r="AB140" s="85" t="str">
        <f>IF(A140="","",IF(AND(M140&gt;0,M140&gt;=p_DifMin),AA140,0))</f>
        <v/>
      </c>
      <c r="AC140" s="85" t="str">
        <f>IF(A140="","",IF(AND(AB140&gt;0,N(O140)&lt;=p_MaxAtivos),AB140,0))</f>
        <v/>
      </c>
      <c r="AD140" s="85" t="str">
        <f>IF(A140="","",IF(OR(Q140&lt;=0,Q140&lt;p_CompraMin,N(H140)&lt;=0,N(W140)&lt;=0),0,IF($W$3="Sim",TRUNC(ROUND(MAX(0,(Q140-p_CorrFixa)/(H140*W140*$W$6)),9),$W$4),TRUNC(ROUND(MAX(0,(Q140-p_CorrFixa)/(H140*W140*$W$6)),9)/$W$5)*$W$5)))</f>
        <v/>
      </c>
      <c r="AE140" s="85" t="str">
        <f>IF(A140="","",IF(N(AD140)&gt;0,AD140*H140*W140*$W$6+p_CorrFixa,0))</f>
        <v/>
      </c>
      <c r="AF140" s="85" t="str">
        <f>IF(A140="","",IF(OR($Y$1&lt;=0,N(H140)&lt;=0,N(W140)&lt;=0,N(AB140)&lt;=0),0,IF($W$3="Sim",TRUNC(ROUND(MAX(0,($Y$1-IF(N(AD140)&gt;0,0,p_CorrFixa))/(H140*W140*$W$6)),9),$W$4),TRUNC(ROUND(MAX(0,($Y$1-IF(N(AD140)&gt;0,0,p_CorrFixa))/(H140*W140*$W$6)),9)/$W$5)*$W$5)))</f>
        <v/>
      </c>
      <c r="AG140" s="85" t="str">
        <f>IF(A140="","",IF(AND(N(AD140)=0,N(AF140)*(H140*W140*$W$6)+p_CorrFixa&lt;p_CompraMin),0,AF140))</f>
        <v/>
      </c>
      <c r="AH140" s="85" t="str">
        <f>IF(A140="","",IF(N(AG140)&gt;0,AB140,0))</f>
        <v/>
      </c>
      <c r="AI140" s="85" t="str">
        <f>IF(A140="","",IF(AND(AH140&gt;0,AH140=$AH$6,COUNTIF($AH$9:AH140,AH140)=1),1,0))</f>
        <v/>
      </c>
    </row>
    <row r="141">
      <c r="A141" s="96" t="n"/>
      <c r="B141" s="96" t="n"/>
      <c r="C141" s="96" t="n"/>
      <c r="D141" s="97" t="n"/>
      <c r="E141" s="98" t="n"/>
      <c r="F141" s="99" t="n"/>
      <c r="G141" s="100" t="n"/>
      <c r="H141" s="101" t="str">
        <f>IF(A141="","",IF(AND(p_ModoCot="Automático",ISNUMBER(Z141)),Z141,IF(N(G141)&gt;0,G141,0)))</f>
        <v/>
      </c>
      <c r="I141" s="73" t="str">
        <f>IF(A141="","",IF(W141=0,"Sem câmbio",IF(AND(p_ModoCot="Automático",ISNUMBER(Z141)),"Auto",IF(N(G141)&gt;0,"Manual","Sem cotação"))))</f>
        <v/>
      </c>
      <c r="J141" s="102" t="str">
        <f>IF(A141="","",N(E141)*H141)</f>
        <v/>
      </c>
      <c r="K141" s="70" t="str">
        <f>IF(A141="","",J141*W141)</f>
        <v/>
      </c>
      <c r="L141" s="30" t="str">
        <f>IF(A141="","",IF($K$6&gt;0,K141/$K$6,0))</f>
        <v/>
      </c>
      <c r="M141" s="72" t="str">
        <f>IF(A141="","",N(F141)-L141)</f>
        <v/>
      </c>
      <c r="N141" s="30" t="str">
        <f>IF(A141="","",IF($AB$6&gt;0,AB141/$AB$6,0))</f>
        <v/>
      </c>
      <c r="O141" s="74" t="str">
        <f>IF(A141="","",IF(AB141&lt;=0,"",COUNTIF($AB$9:$AB$208,"&gt;"&amp;AB141)+COUNTIF($AB$9:AB141,AB141)))</f>
        <v/>
      </c>
      <c r="P141" s="73" t="str">
        <f>IF(A141="","",IF(Q141&gt;0,"BUY","HOLD"))</f>
        <v/>
      </c>
      <c r="Q141" s="70" t="str">
        <f>IF(A141="","",IF($W$7&lt;=0,0,IF($AC$6&gt;0,$W$7*AC141/$AC$6,IF($F$6&gt;0,$W$7*N(F141)/$F$6,0))))</f>
        <v/>
      </c>
      <c r="R141" s="103" t="str">
        <f>IF(A141="","",N(AD141)+IF(AI141=1,N(AG141),0))</f>
        <v/>
      </c>
      <c r="S141" s="103" t="str">
        <f>IF(A141="","",N(E141)+N(R141))</f>
        <v/>
      </c>
      <c r="T141" s="70" t="str">
        <f>IF(A141="","",IF(N(R141)&gt;0,R141*H141*W141*$W$6+p_CorrFixa,0))</f>
        <v/>
      </c>
      <c r="V141" s="85" t="str">
        <f>IF(A141="","",IF(D141="",$W$1,D141))</f>
        <v/>
      </c>
      <c r="W141" s="85" t="str">
        <f>IF(A141="","",IFERROR(INDEX(moeda_fx,MATCH(V141,moeda_cod,0)),0))</f>
        <v/>
      </c>
      <c r="X141" s="85" t="str">
        <f>IF(A141="","",IF($W$2="",UPPER(TRIM(A141)),IF(RIGHT(UPPER(TRIM(A141)),LEN($W$2))=$W$2,UPPER(TRIM(A141)),UPPER(TRIM(A141))&amp;$W$2)))</f>
        <v/>
      </c>
      <c r="Y141" s="85" t="str">
        <f>IF(OR(A141="",p_ModoCot&lt;&gt;"Automático"),"",IFERROR(_xlfn.WEBSERVICE("https://query1.finance.yahoo.com/v8/finance/chart/"&amp;X141&amp;"?range=1d&amp;interval=1d"),""))</f>
        <v/>
      </c>
      <c r="Z141" s="85" t="str">
        <f>IF(Y141="","",IFERROR(_xlfn.NUMBERVALUE(MID(Y141,SEARCH("""regularMarketPrice"":",Y141)+21,SEARCH(",",Y141&amp;",",SEARCH("""regularMarketPrice"":",Y141)+21)-SEARCH("""regularMarketPrice"":",Y141)-21),".",","),""))</f>
        <v/>
      </c>
      <c r="AA141" s="85" t="str">
        <f>IF(A141="","",ROUND(MAX(0,N(F141)*($K$6+$W$7)-K141),2))</f>
        <v/>
      </c>
      <c r="AB141" s="85" t="str">
        <f>IF(A141="","",IF(AND(M141&gt;0,M141&gt;=p_DifMin),AA141,0))</f>
        <v/>
      </c>
      <c r="AC141" s="85" t="str">
        <f>IF(A141="","",IF(AND(AB141&gt;0,N(O141)&lt;=p_MaxAtivos),AB141,0))</f>
        <v/>
      </c>
      <c r="AD141" s="85" t="str">
        <f>IF(A141="","",IF(OR(Q141&lt;=0,Q141&lt;p_CompraMin,N(H141)&lt;=0,N(W141)&lt;=0),0,IF($W$3="Sim",TRUNC(ROUND(MAX(0,(Q141-p_CorrFixa)/(H141*W141*$W$6)),9),$W$4),TRUNC(ROUND(MAX(0,(Q141-p_CorrFixa)/(H141*W141*$W$6)),9)/$W$5)*$W$5)))</f>
        <v/>
      </c>
      <c r="AE141" s="85" t="str">
        <f>IF(A141="","",IF(N(AD141)&gt;0,AD141*H141*W141*$W$6+p_CorrFixa,0))</f>
        <v/>
      </c>
      <c r="AF141" s="85" t="str">
        <f>IF(A141="","",IF(OR($Y$1&lt;=0,N(H141)&lt;=0,N(W141)&lt;=0,N(AB141)&lt;=0),0,IF($W$3="Sim",TRUNC(ROUND(MAX(0,($Y$1-IF(N(AD141)&gt;0,0,p_CorrFixa))/(H141*W141*$W$6)),9),$W$4),TRUNC(ROUND(MAX(0,($Y$1-IF(N(AD141)&gt;0,0,p_CorrFixa))/(H141*W141*$W$6)),9)/$W$5)*$W$5)))</f>
        <v/>
      </c>
      <c r="AG141" s="85" t="str">
        <f>IF(A141="","",IF(AND(N(AD141)=0,N(AF141)*(H141*W141*$W$6)+p_CorrFixa&lt;p_CompraMin),0,AF141))</f>
        <v/>
      </c>
      <c r="AH141" s="85" t="str">
        <f>IF(A141="","",IF(N(AG141)&gt;0,AB141,0))</f>
        <v/>
      </c>
      <c r="AI141" s="85" t="str">
        <f>IF(A141="","",IF(AND(AH141&gt;0,AH141=$AH$6,COUNTIF($AH$9:AH141,AH141)=1),1,0))</f>
        <v/>
      </c>
    </row>
    <row r="142">
      <c r="A142" s="96" t="n"/>
      <c r="B142" s="96" t="n"/>
      <c r="C142" s="96" t="n"/>
      <c r="D142" s="97" t="n"/>
      <c r="E142" s="98" t="n"/>
      <c r="F142" s="99" t="n"/>
      <c r="G142" s="100" t="n"/>
      <c r="H142" s="104" t="str">
        <f>IF(A142="","",IF(AND(p_ModoCot="Automático",ISNUMBER(Z142)),Z142,IF(N(G142)&gt;0,G142,0)))</f>
        <v/>
      </c>
      <c r="I142" s="105" t="str">
        <f>IF(A142="","",IF(W142=0,"Sem câmbio",IF(AND(p_ModoCot="Automático",ISNUMBER(Z142)),"Auto",IF(N(G142)&gt;0,"Manual","Sem cotação"))))</f>
        <v/>
      </c>
      <c r="J142" s="106" t="str">
        <f>IF(A142="","",N(E142)*H142)</f>
        <v/>
      </c>
      <c r="K142" s="107" t="str">
        <f>IF(A142="","",J142*W142)</f>
        <v/>
      </c>
      <c r="L142" s="108" t="str">
        <f>IF(A142="","",IF($K$6&gt;0,K142/$K$6,0))</f>
        <v/>
      </c>
      <c r="M142" s="109" t="str">
        <f>IF(A142="","",N(F142)-L142)</f>
        <v/>
      </c>
      <c r="N142" s="108" t="str">
        <f>IF(A142="","",IF($AB$6&gt;0,AB142/$AB$6,0))</f>
        <v/>
      </c>
      <c r="O142" s="110" t="str">
        <f>IF(A142="","",IF(AB142&lt;=0,"",COUNTIF($AB$9:$AB$208,"&gt;"&amp;AB142)+COUNTIF($AB$9:AB142,AB142)))</f>
        <v/>
      </c>
      <c r="P142" s="105" t="str">
        <f>IF(A142="","",IF(Q142&gt;0,"BUY","HOLD"))</f>
        <v/>
      </c>
      <c r="Q142" s="107" t="str">
        <f>IF(A142="","",IF($W$7&lt;=0,0,IF($AC$6&gt;0,$W$7*AC142/$AC$6,IF($F$6&gt;0,$W$7*N(F142)/$F$6,0))))</f>
        <v/>
      </c>
      <c r="R142" s="111" t="str">
        <f>IF(A142="","",N(AD142)+IF(AI142=1,N(AG142),0))</f>
        <v/>
      </c>
      <c r="S142" s="111" t="str">
        <f>IF(A142="","",N(E142)+N(R142))</f>
        <v/>
      </c>
      <c r="T142" s="107" t="str">
        <f>IF(A142="","",IF(N(R142)&gt;0,R142*H142*W142*$W$6+p_CorrFixa,0))</f>
        <v/>
      </c>
      <c r="V142" s="85" t="str">
        <f>IF(A142="","",IF(D142="",$W$1,D142))</f>
        <v/>
      </c>
      <c r="W142" s="85" t="str">
        <f>IF(A142="","",IFERROR(INDEX(moeda_fx,MATCH(V142,moeda_cod,0)),0))</f>
        <v/>
      </c>
      <c r="X142" s="85" t="str">
        <f>IF(A142="","",IF($W$2="",UPPER(TRIM(A142)),IF(RIGHT(UPPER(TRIM(A142)),LEN($W$2))=$W$2,UPPER(TRIM(A142)),UPPER(TRIM(A142))&amp;$W$2)))</f>
        <v/>
      </c>
      <c r="Y142" s="85" t="str">
        <f>IF(OR(A142="",p_ModoCot&lt;&gt;"Automático"),"",IFERROR(_xlfn.WEBSERVICE("https://query1.finance.yahoo.com/v8/finance/chart/"&amp;X142&amp;"?range=1d&amp;interval=1d"),""))</f>
        <v/>
      </c>
      <c r="Z142" s="85" t="str">
        <f>IF(Y142="","",IFERROR(_xlfn.NUMBERVALUE(MID(Y142,SEARCH("""regularMarketPrice"":",Y142)+21,SEARCH(",",Y142&amp;",",SEARCH("""regularMarketPrice"":",Y142)+21)-SEARCH("""regularMarketPrice"":",Y142)-21),".",","),""))</f>
        <v/>
      </c>
      <c r="AA142" s="85" t="str">
        <f>IF(A142="","",ROUND(MAX(0,N(F142)*($K$6+$W$7)-K142),2))</f>
        <v/>
      </c>
      <c r="AB142" s="85" t="str">
        <f>IF(A142="","",IF(AND(M142&gt;0,M142&gt;=p_DifMin),AA142,0))</f>
        <v/>
      </c>
      <c r="AC142" s="85" t="str">
        <f>IF(A142="","",IF(AND(AB142&gt;0,N(O142)&lt;=p_MaxAtivos),AB142,0))</f>
        <v/>
      </c>
      <c r="AD142" s="85" t="str">
        <f>IF(A142="","",IF(OR(Q142&lt;=0,Q142&lt;p_CompraMin,N(H142)&lt;=0,N(W142)&lt;=0),0,IF($W$3="Sim",TRUNC(ROUND(MAX(0,(Q142-p_CorrFixa)/(H142*W142*$W$6)),9),$W$4),TRUNC(ROUND(MAX(0,(Q142-p_CorrFixa)/(H142*W142*$W$6)),9)/$W$5)*$W$5)))</f>
        <v/>
      </c>
      <c r="AE142" s="85" t="str">
        <f>IF(A142="","",IF(N(AD142)&gt;0,AD142*H142*W142*$W$6+p_CorrFixa,0))</f>
        <v/>
      </c>
      <c r="AF142" s="85" t="str">
        <f>IF(A142="","",IF(OR($Y$1&lt;=0,N(H142)&lt;=0,N(W142)&lt;=0,N(AB142)&lt;=0),0,IF($W$3="Sim",TRUNC(ROUND(MAX(0,($Y$1-IF(N(AD142)&gt;0,0,p_CorrFixa))/(H142*W142*$W$6)),9),$W$4),TRUNC(ROUND(MAX(0,($Y$1-IF(N(AD142)&gt;0,0,p_CorrFixa))/(H142*W142*$W$6)),9)/$W$5)*$W$5)))</f>
        <v/>
      </c>
      <c r="AG142" s="85" t="str">
        <f>IF(A142="","",IF(AND(N(AD142)=0,N(AF142)*(H142*W142*$W$6)+p_CorrFixa&lt;p_CompraMin),0,AF142))</f>
        <v/>
      </c>
      <c r="AH142" s="85" t="str">
        <f>IF(A142="","",IF(N(AG142)&gt;0,AB142,0))</f>
        <v/>
      </c>
      <c r="AI142" s="85" t="str">
        <f>IF(A142="","",IF(AND(AH142&gt;0,AH142=$AH$6,COUNTIF($AH$9:AH142,AH142)=1),1,0))</f>
        <v/>
      </c>
    </row>
    <row r="143">
      <c r="A143" s="96" t="n"/>
      <c r="B143" s="96" t="n"/>
      <c r="C143" s="96" t="n"/>
      <c r="D143" s="97" t="n"/>
      <c r="E143" s="98" t="n"/>
      <c r="F143" s="99" t="n"/>
      <c r="G143" s="100" t="n"/>
      <c r="H143" s="101" t="str">
        <f>IF(A143="","",IF(AND(p_ModoCot="Automático",ISNUMBER(Z143)),Z143,IF(N(G143)&gt;0,G143,0)))</f>
        <v/>
      </c>
      <c r="I143" s="73" t="str">
        <f>IF(A143="","",IF(W143=0,"Sem câmbio",IF(AND(p_ModoCot="Automático",ISNUMBER(Z143)),"Auto",IF(N(G143)&gt;0,"Manual","Sem cotação"))))</f>
        <v/>
      </c>
      <c r="J143" s="102" t="str">
        <f>IF(A143="","",N(E143)*H143)</f>
        <v/>
      </c>
      <c r="K143" s="70" t="str">
        <f>IF(A143="","",J143*W143)</f>
        <v/>
      </c>
      <c r="L143" s="30" t="str">
        <f>IF(A143="","",IF($K$6&gt;0,K143/$K$6,0))</f>
        <v/>
      </c>
      <c r="M143" s="72" t="str">
        <f>IF(A143="","",N(F143)-L143)</f>
        <v/>
      </c>
      <c r="N143" s="30" t="str">
        <f>IF(A143="","",IF($AB$6&gt;0,AB143/$AB$6,0))</f>
        <v/>
      </c>
      <c r="O143" s="74" t="str">
        <f>IF(A143="","",IF(AB143&lt;=0,"",COUNTIF($AB$9:$AB$208,"&gt;"&amp;AB143)+COUNTIF($AB$9:AB143,AB143)))</f>
        <v/>
      </c>
      <c r="P143" s="73" t="str">
        <f>IF(A143="","",IF(Q143&gt;0,"BUY","HOLD"))</f>
        <v/>
      </c>
      <c r="Q143" s="70" t="str">
        <f>IF(A143="","",IF($W$7&lt;=0,0,IF($AC$6&gt;0,$W$7*AC143/$AC$6,IF($F$6&gt;0,$W$7*N(F143)/$F$6,0))))</f>
        <v/>
      </c>
      <c r="R143" s="103" t="str">
        <f>IF(A143="","",N(AD143)+IF(AI143=1,N(AG143),0))</f>
        <v/>
      </c>
      <c r="S143" s="103" t="str">
        <f>IF(A143="","",N(E143)+N(R143))</f>
        <v/>
      </c>
      <c r="T143" s="70" t="str">
        <f>IF(A143="","",IF(N(R143)&gt;0,R143*H143*W143*$W$6+p_CorrFixa,0))</f>
        <v/>
      </c>
      <c r="V143" s="85" t="str">
        <f>IF(A143="","",IF(D143="",$W$1,D143))</f>
        <v/>
      </c>
      <c r="W143" s="85" t="str">
        <f>IF(A143="","",IFERROR(INDEX(moeda_fx,MATCH(V143,moeda_cod,0)),0))</f>
        <v/>
      </c>
      <c r="X143" s="85" t="str">
        <f>IF(A143="","",IF($W$2="",UPPER(TRIM(A143)),IF(RIGHT(UPPER(TRIM(A143)),LEN($W$2))=$W$2,UPPER(TRIM(A143)),UPPER(TRIM(A143))&amp;$W$2)))</f>
        <v/>
      </c>
      <c r="Y143" s="85" t="str">
        <f>IF(OR(A143="",p_ModoCot&lt;&gt;"Automático"),"",IFERROR(_xlfn.WEBSERVICE("https://query1.finance.yahoo.com/v8/finance/chart/"&amp;X143&amp;"?range=1d&amp;interval=1d"),""))</f>
        <v/>
      </c>
      <c r="Z143" s="85" t="str">
        <f>IF(Y143="","",IFERROR(_xlfn.NUMBERVALUE(MID(Y143,SEARCH("""regularMarketPrice"":",Y143)+21,SEARCH(",",Y143&amp;",",SEARCH("""regularMarketPrice"":",Y143)+21)-SEARCH("""regularMarketPrice"":",Y143)-21),".",","),""))</f>
        <v/>
      </c>
      <c r="AA143" s="85" t="str">
        <f>IF(A143="","",ROUND(MAX(0,N(F143)*($K$6+$W$7)-K143),2))</f>
        <v/>
      </c>
      <c r="AB143" s="85" t="str">
        <f>IF(A143="","",IF(AND(M143&gt;0,M143&gt;=p_DifMin),AA143,0))</f>
        <v/>
      </c>
      <c r="AC143" s="85" t="str">
        <f>IF(A143="","",IF(AND(AB143&gt;0,N(O143)&lt;=p_MaxAtivos),AB143,0))</f>
        <v/>
      </c>
      <c r="AD143" s="85" t="str">
        <f>IF(A143="","",IF(OR(Q143&lt;=0,Q143&lt;p_CompraMin,N(H143)&lt;=0,N(W143)&lt;=0),0,IF($W$3="Sim",TRUNC(ROUND(MAX(0,(Q143-p_CorrFixa)/(H143*W143*$W$6)),9),$W$4),TRUNC(ROUND(MAX(0,(Q143-p_CorrFixa)/(H143*W143*$W$6)),9)/$W$5)*$W$5)))</f>
        <v/>
      </c>
      <c r="AE143" s="85" t="str">
        <f>IF(A143="","",IF(N(AD143)&gt;0,AD143*H143*W143*$W$6+p_CorrFixa,0))</f>
        <v/>
      </c>
      <c r="AF143" s="85" t="str">
        <f>IF(A143="","",IF(OR($Y$1&lt;=0,N(H143)&lt;=0,N(W143)&lt;=0,N(AB143)&lt;=0),0,IF($W$3="Sim",TRUNC(ROUND(MAX(0,($Y$1-IF(N(AD143)&gt;0,0,p_CorrFixa))/(H143*W143*$W$6)),9),$W$4),TRUNC(ROUND(MAX(0,($Y$1-IF(N(AD143)&gt;0,0,p_CorrFixa))/(H143*W143*$W$6)),9)/$W$5)*$W$5)))</f>
        <v/>
      </c>
      <c r="AG143" s="85" t="str">
        <f>IF(A143="","",IF(AND(N(AD143)=0,N(AF143)*(H143*W143*$W$6)+p_CorrFixa&lt;p_CompraMin),0,AF143))</f>
        <v/>
      </c>
      <c r="AH143" s="85" t="str">
        <f>IF(A143="","",IF(N(AG143)&gt;0,AB143,0))</f>
        <v/>
      </c>
      <c r="AI143" s="85" t="str">
        <f>IF(A143="","",IF(AND(AH143&gt;0,AH143=$AH$6,COUNTIF($AH$9:AH143,AH143)=1),1,0))</f>
        <v/>
      </c>
    </row>
    <row r="144">
      <c r="A144" s="96" t="n"/>
      <c r="B144" s="96" t="n"/>
      <c r="C144" s="96" t="n"/>
      <c r="D144" s="97" t="n"/>
      <c r="E144" s="98" t="n"/>
      <c r="F144" s="99" t="n"/>
      <c r="G144" s="100" t="n"/>
      <c r="H144" s="104" t="str">
        <f>IF(A144="","",IF(AND(p_ModoCot="Automático",ISNUMBER(Z144)),Z144,IF(N(G144)&gt;0,G144,0)))</f>
        <v/>
      </c>
      <c r="I144" s="105" t="str">
        <f>IF(A144="","",IF(W144=0,"Sem câmbio",IF(AND(p_ModoCot="Automático",ISNUMBER(Z144)),"Auto",IF(N(G144)&gt;0,"Manual","Sem cotação"))))</f>
        <v/>
      </c>
      <c r="J144" s="106" t="str">
        <f>IF(A144="","",N(E144)*H144)</f>
        <v/>
      </c>
      <c r="K144" s="107" t="str">
        <f>IF(A144="","",J144*W144)</f>
        <v/>
      </c>
      <c r="L144" s="108" t="str">
        <f>IF(A144="","",IF($K$6&gt;0,K144/$K$6,0))</f>
        <v/>
      </c>
      <c r="M144" s="109" t="str">
        <f>IF(A144="","",N(F144)-L144)</f>
        <v/>
      </c>
      <c r="N144" s="108" t="str">
        <f>IF(A144="","",IF($AB$6&gt;0,AB144/$AB$6,0))</f>
        <v/>
      </c>
      <c r="O144" s="110" t="str">
        <f>IF(A144="","",IF(AB144&lt;=0,"",COUNTIF($AB$9:$AB$208,"&gt;"&amp;AB144)+COUNTIF($AB$9:AB144,AB144)))</f>
        <v/>
      </c>
      <c r="P144" s="105" t="str">
        <f>IF(A144="","",IF(Q144&gt;0,"BUY","HOLD"))</f>
        <v/>
      </c>
      <c r="Q144" s="107" t="str">
        <f>IF(A144="","",IF($W$7&lt;=0,0,IF($AC$6&gt;0,$W$7*AC144/$AC$6,IF($F$6&gt;0,$W$7*N(F144)/$F$6,0))))</f>
        <v/>
      </c>
      <c r="R144" s="111" t="str">
        <f>IF(A144="","",N(AD144)+IF(AI144=1,N(AG144),0))</f>
        <v/>
      </c>
      <c r="S144" s="111" t="str">
        <f>IF(A144="","",N(E144)+N(R144))</f>
        <v/>
      </c>
      <c r="T144" s="107" t="str">
        <f>IF(A144="","",IF(N(R144)&gt;0,R144*H144*W144*$W$6+p_CorrFixa,0))</f>
        <v/>
      </c>
      <c r="V144" s="85" t="str">
        <f>IF(A144="","",IF(D144="",$W$1,D144))</f>
        <v/>
      </c>
      <c r="W144" s="85" t="str">
        <f>IF(A144="","",IFERROR(INDEX(moeda_fx,MATCH(V144,moeda_cod,0)),0))</f>
        <v/>
      </c>
      <c r="X144" s="85" t="str">
        <f>IF(A144="","",IF($W$2="",UPPER(TRIM(A144)),IF(RIGHT(UPPER(TRIM(A144)),LEN($W$2))=$W$2,UPPER(TRIM(A144)),UPPER(TRIM(A144))&amp;$W$2)))</f>
        <v/>
      </c>
      <c r="Y144" s="85" t="str">
        <f>IF(OR(A144="",p_ModoCot&lt;&gt;"Automático"),"",IFERROR(_xlfn.WEBSERVICE("https://query1.finance.yahoo.com/v8/finance/chart/"&amp;X144&amp;"?range=1d&amp;interval=1d"),""))</f>
        <v/>
      </c>
      <c r="Z144" s="85" t="str">
        <f>IF(Y144="","",IFERROR(_xlfn.NUMBERVALUE(MID(Y144,SEARCH("""regularMarketPrice"":",Y144)+21,SEARCH(",",Y144&amp;",",SEARCH("""regularMarketPrice"":",Y144)+21)-SEARCH("""regularMarketPrice"":",Y144)-21),".",","),""))</f>
        <v/>
      </c>
      <c r="AA144" s="85" t="str">
        <f>IF(A144="","",ROUND(MAX(0,N(F144)*($K$6+$W$7)-K144),2))</f>
        <v/>
      </c>
      <c r="AB144" s="85" t="str">
        <f>IF(A144="","",IF(AND(M144&gt;0,M144&gt;=p_DifMin),AA144,0))</f>
        <v/>
      </c>
      <c r="AC144" s="85" t="str">
        <f>IF(A144="","",IF(AND(AB144&gt;0,N(O144)&lt;=p_MaxAtivos),AB144,0))</f>
        <v/>
      </c>
      <c r="AD144" s="85" t="str">
        <f>IF(A144="","",IF(OR(Q144&lt;=0,Q144&lt;p_CompraMin,N(H144)&lt;=0,N(W144)&lt;=0),0,IF($W$3="Sim",TRUNC(ROUND(MAX(0,(Q144-p_CorrFixa)/(H144*W144*$W$6)),9),$W$4),TRUNC(ROUND(MAX(0,(Q144-p_CorrFixa)/(H144*W144*$W$6)),9)/$W$5)*$W$5)))</f>
        <v/>
      </c>
      <c r="AE144" s="85" t="str">
        <f>IF(A144="","",IF(N(AD144)&gt;0,AD144*H144*W144*$W$6+p_CorrFixa,0))</f>
        <v/>
      </c>
      <c r="AF144" s="85" t="str">
        <f>IF(A144="","",IF(OR($Y$1&lt;=0,N(H144)&lt;=0,N(W144)&lt;=0,N(AB144)&lt;=0),0,IF($W$3="Sim",TRUNC(ROUND(MAX(0,($Y$1-IF(N(AD144)&gt;0,0,p_CorrFixa))/(H144*W144*$W$6)),9),$W$4),TRUNC(ROUND(MAX(0,($Y$1-IF(N(AD144)&gt;0,0,p_CorrFixa))/(H144*W144*$W$6)),9)/$W$5)*$W$5)))</f>
        <v/>
      </c>
      <c r="AG144" s="85" t="str">
        <f>IF(A144="","",IF(AND(N(AD144)=0,N(AF144)*(H144*W144*$W$6)+p_CorrFixa&lt;p_CompraMin),0,AF144))</f>
        <v/>
      </c>
      <c r="AH144" s="85" t="str">
        <f>IF(A144="","",IF(N(AG144)&gt;0,AB144,0))</f>
        <v/>
      </c>
      <c r="AI144" s="85" t="str">
        <f>IF(A144="","",IF(AND(AH144&gt;0,AH144=$AH$6,COUNTIF($AH$9:AH144,AH144)=1),1,0))</f>
        <v/>
      </c>
    </row>
    <row r="145">
      <c r="A145" s="96" t="n"/>
      <c r="B145" s="96" t="n"/>
      <c r="C145" s="96" t="n"/>
      <c r="D145" s="97" t="n"/>
      <c r="E145" s="98" t="n"/>
      <c r="F145" s="99" t="n"/>
      <c r="G145" s="100" t="n"/>
      <c r="H145" s="101" t="str">
        <f>IF(A145="","",IF(AND(p_ModoCot="Automático",ISNUMBER(Z145)),Z145,IF(N(G145)&gt;0,G145,0)))</f>
        <v/>
      </c>
      <c r="I145" s="73" t="str">
        <f>IF(A145="","",IF(W145=0,"Sem câmbio",IF(AND(p_ModoCot="Automático",ISNUMBER(Z145)),"Auto",IF(N(G145)&gt;0,"Manual","Sem cotação"))))</f>
        <v/>
      </c>
      <c r="J145" s="102" t="str">
        <f>IF(A145="","",N(E145)*H145)</f>
        <v/>
      </c>
      <c r="K145" s="70" t="str">
        <f>IF(A145="","",J145*W145)</f>
        <v/>
      </c>
      <c r="L145" s="30" t="str">
        <f>IF(A145="","",IF($K$6&gt;0,K145/$K$6,0))</f>
        <v/>
      </c>
      <c r="M145" s="72" t="str">
        <f>IF(A145="","",N(F145)-L145)</f>
        <v/>
      </c>
      <c r="N145" s="30" t="str">
        <f>IF(A145="","",IF($AB$6&gt;0,AB145/$AB$6,0))</f>
        <v/>
      </c>
      <c r="O145" s="74" t="str">
        <f>IF(A145="","",IF(AB145&lt;=0,"",COUNTIF($AB$9:$AB$208,"&gt;"&amp;AB145)+COUNTIF($AB$9:AB145,AB145)))</f>
        <v/>
      </c>
      <c r="P145" s="73" t="str">
        <f>IF(A145="","",IF(Q145&gt;0,"BUY","HOLD"))</f>
        <v/>
      </c>
      <c r="Q145" s="70" t="str">
        <f>IF(A145="","",IF($W$7&lt;=0,0,IF($AC$6&gt;0,$W$7*AC145/$AC$6,IF($F$6&gt;0,$W$7*N(F145)/$F$6,0))))</f>
        <v/>
      </c>
      <c r="R145" s="103" t="str">
        <f>IF(A145="","",N(AD145)+IF(AI145=1,N(AG145),0))</f>
        <v/>
      </c>
      <c r="S145" s="103" t="str">
        <f>IF(A145="","",N(E145)+N(R145))</f>
        <v/>
      </c>
      <c r="T145" s="70" t="str">
        <f>IF(A145="","",IF(N(R145)&gt;0,R145*H145*W145*$W$6+p_CorrFixa,0))</f>
        <v/>
      </c>
      <c r="V145" s="85" t="str">
        <f>IF(A145="","",IF(D145="",$W$1,D145))</f>
        <v/>
      </c>
      <c r="W145" s="85" t="str">
        <f>IF(A145="","",IFERROR(INDEX(moeda_fx,MATCH(V145,moeda_cod,0)),0))</f>
        <v/>
      </c>
      <c r="X145" s="85" t="str">
        <f>IF(A145="","",IF($W$2="",UPPER(TRIM(A145)),IF(RIGHT(UPPER(TRIM(A145)),LEN($W$2))=$W$2,UPPER(TRIM(A145)),UPPER(TRIM(A145))&amp;$W$2)))</f>
        <v/>
      </c>
      <c r="Y145" s="85" t="str">
        <f>IF(OR(A145="",p_ModoCot&lt;&gt;"Automático"),"",IFERROR(_xlfn.WEBSERVICE("https://query1.finance.yahoo.com/v8/finance/chart/"&amp;X145&amp;"?range=1d&amp;interval=1d"),""))</f>
        <v/>
      </c>
      <c r="Z145" s="85" t="str">
        <f>IF(Y145="","",IFERROR(_xlfn.NUMBERVALUE(MID(Y145,SEARCH("""regularMarketPrice"":",Y145)+21,SEARCH(",",Y145&amp;",",SEARCH("""regularMarketPrice"":",Y145)+21)-SEARCH("""regularMarketPrice"":",Y145)-21),".",","),""))</f>
        <v/>
      </c>
      <c r="AA145" s="85" t="str">
        <f>IF(A145="","",ROUND(MAX(0,N(F145)*($K$6+$W$7)-K145),2))</f>
        <v/>
      </c>
      <c r="AB145" s="85" t="str">
        <f>IF(A145="","",IF(AND(M145&gt;0,M145&gt;=p_DifMin),AA145,0))</f>
        <v/>
      </c>
      <c r="AC145" s="85" t="str">
        <f>IF(A145="","",IF(AND(AB145&gt;0,N(O145)&lt;=p_MaxAtivos),AB145,0))</f>
        <v/>
      </c>
      <c r="AD145" s="85" t="str">
        <f>IF(A145="","",IF(OR(Q145&lt;=0,Q145&lt;p_CompraMin,N(H145)&lt;=0,N(W145)&lt;=0),0,IF($W$3="Sim",TRUNC(ROUND(MAX(0,(Q145-p_CorrFixa)/(H145*W145*$W$6)),9),$W$4),TRUNC(ROUND(MAX(0,(Q145-p_CorrFixa)/(H145*W145*$W$6)),9)/$W$5)*$W$5)))</f>
        <v/>
      </c>
      <c r="AE145" s="85" t="str">
        <f>IF(A145="","",IF(N(AD145)&gt;0,AD145*H145*W145*$W$6+p_CorrFixa,0))</f>
        <v/>
      </c>
      <c r="AF145" s="85" t="str">
        <f>IF(A145="","",IF(OR($Y$1&lt;=0,N(H145)&lt;=0,N(W145)&lt;=0,N(AB145)&lt;=0),0,IF($W$3="Sim",TRUNC(ROUND(MAX(0,($Y$1-IF(N(AD145)&gt;0,0,p_CorrFixa))/(H145*W145*$W$6)),9),$W$4),TRUNC(ROUND(MAX(0,($Y$1-IF(N(AD145)&gt;0,0,p_CorrFixa))/(H145*W145*$W$6)),9)/$W$5)*$W$5)))</f>
        <v/>
      </c>
      <c r="AG145" s="85" t="str">
        <f>IF(A145="","",IF(AND(N(AD145)=0,N(AF145)*(H145*W145*$W$6)+p_CorrFixa&lt;p_CompraMin),0,AF145))</f>
        <v/>
      </c>
      <c r="AH145" s="85" t="str">
        <f>IF(A145="","",IF(N(AG145)&gt;0,AB145,0))</f>
        <v/>
      </c>
      <c r="AI145" s="85" t="str">
        <f>IF(A145="","",IF(AND(AH145&gt;0,AH145=$AH$6,COUNTIF($AH$9:AH145,AH145)=1),1,0))</f>
        <v/>
      </c>
    </row>
    <row r="146">
      <c r="A146" s="96" t="n"/>
      <c r="B146" s="96" t="n"/>
      <c r="C146" s="96" t="n"/>
      <c r="D146" s="97" t="n"/>
      <c r="E146" s="98" t="n"/>
      <c r="F146" s="99" t="n"/>
      <c r="G146" s="100" t="n"/>
      <c r="H146" s="104" t="str">
        <f>IF(A146="","",IF(AND(p_ModoCot="Automático",ISNUMBER(Z146)),Z146,IF(N(G146)&gt;0,G146,0)))</f>
        <v/>
      </c>
      <c r="I146" s="105" t="str">
        <f>IF(A146="","",IF(W146=0,"Sem câmbio",IF(AND(p_ModoCot="Automático",ISNUMBER(Z146)),"Auto",IF(N(G146)&gt;0,"Manual","Sem cotação"))))</f>
        <v/>
      </c>
      <c r="J146" s="106" t="str">
        <f>IF(A146="","",N(E146)*H146)</f>
        <v/>
      </c>
      <c r="K146" s="107" t="str">
        <f>IF(A146="","",J146*W146)</f>
        <v/>
      </c>
      <c r="L146" s="108" t="str">
        <f>IF(A146="","",IF($K$6&gt;0,K146/$K$6,0))</f>
        <v/>
      </c>
      <c r="M146" s="109" t="str">
        <f>IF(A146="","",N(F146)-L146)</f>
        <v/>
      </c>
      <c r="N146" s="108" t="str">
        <f>IF(A146="","",IF($AB$6&gt;0,AB146/$AB$6,0))</f>
        <v/>
      </c>
      <c r="O146" s="110" t="str">
        <f>IF(A146="","",IF(AB146&lt;=0,"",COUNTIF($AB$9:$AB$208,"&gt;"&amp;AB146)+COUNTIF($AB$9:AB146,AB146)))</f>
        <v/>
      </c>
      <c r="P146" s="105" t="str">
        <f>IF(A146="","",IF(Q146&gt;0,"BUY","HOLD"))</f>
        <v/>
      </c>
      <c r="Q146" s="107" t="str">
        <f>IF(A146="","",IF($W$7&lt;=0,0,IF($AC$6&gt;0,$W$7*AC146/$AC$6,IF($F$6&gt;0,$W$7*N(F146)/$F$6,0))))</f>
        <v/>
      </c>
      <c r="R146" s="111" t="str">
        <f>IF(A146="","",N(AD146)+IF(AI146=1,N(AG146),0))</f>
        <v/>
      </c>
      <c r="S146" s="111" t="str">
        <f>IF(A146="","",N(E146)+N(R146))</f>
        <v/>
      </c>
      <c r="T146" s="107" t="str">
        <f>IF(A146="","",IF(N(R146)&gt;0,R146*H146*W146*$W$6+p_CorrFixa,0))</f>
        <v/>
      </c>
      <c r="V146" s="85" t="str">
        <f>IF(A146="","",IF(D146="",$W$1,D146))</f>
        <v/>
      </c>
      <c r="W146" s="85" t="str">
        <f>IF(A146="","",IFERROR(INDEX(moeda_fx,MATCH(V146,moeda_cod,0)),0))</f>
        <v/>
      </c>
      <c r="X146" s="85" t="str">
        <f>IF(A146="","",IF($W$2="",UPPER(TRIM(A146)),IF(RIGHT(UPPER(TRIM(A146)),LEN($W$2))=$W$2,UPPER(TRIM(A146)),UPPER(TRIM(A146))&amp;$W$2)))</f>
        <v/>
      </c>
      <c r="Y146" s="85" t="str">
        <f>IF(OR(A146="",p_ModoCot&lt;&gt;"Automático"),"",IFERROR(_xlfn.WEBSERVICE("https://query1.finance.yahoo.com/v8/finance/chart/"&amp;X146&amp;"?range=1d&amp;interval=1d"),""))</f>
        <v/>
      </c>
      <c r="Z146" s="85" t="str">
        <f>IF(Y146="","",IFERROR(_xlfn.NUMBERVALUE(MID(Y146,SEARCH("""regularMarketPrice"":",Y146)+21,SEARCH(",",Y146&amp;",",SEARCH("""regularMarketPrice"":",Y146)+21)-SEARCH("""regularMarketPrice"":",Y146)-21),".",","),""))</f>
        <v/>
      </c>
      <c r="AA146" s="85" t="str">
        <f>IF(A146="","",ROUND(MAX(0,N(F146)*($K$6+$W$7)-K146),2))</f>
        <v/>
      </c>
      <c r="AB146" s="85" t="str">
        <f>IF(A146="","",IF(AND(M146&gt;0,M146&gt;=p_DifMin),AA146,0))</f>
        <v/>
      </c>
      <c r="AC146" s="85" t="str">
        <f>IF(A146="","",IF(AND(AB146&gt;0,N(O146)&lt;=p_MaxAtivos),AB146,0))</f>
        <v/>
      </c>
      <c r="AD146" s="85" t="str">
        <f>IF(A146="","",IF(OR(Q146&lt;=0,Q146&lt;p_CompraMin,N(H146)&lt;=0,N(W146)&lt;=0),0,IF($W$3="Sim",TRUNC(ROUND(MAX(0,(Q146-p_CorrFixa)/(H146*W146*$W$6)),9),$W$4),TRUNC(ROUND(MAX(0,(Q146-p_CorrFixa)/(H146*W146*$W$6)),9)/$W$5)*$W$5)))</f>
        <v/>
      </c>
      <c r="AE146" s="85" t="str">
        <f>IF(A146="","",IF(N(AD146)&gt;0,AD146*H146*W146*$W$6+p_CorrFixa,0))</f>
        <v/>
      </c>
      <c r="AF146" s="85" t="str">
        <f>IF(A146="","",IF(OR($Y$1&lt;=0,N(H146)&lt;=0,N(W146)&lt;=0,N(AB146)&lt;=0),0,IF($W$3="Sim",TRUNC(ROUND(MAX(0,($Y$1-IF(N(AD146)&gt;0,0,p_CorrFixa))/(H146*W146*$W$6)),9),$W$4),TRUNC(ROUND(MAX(0,($Y$1-IF(N(AD146)&gt;0,0,p_CorrFixa))/(H146*W146*$W$6)),9)/$W$5)*$W$5)))</f>
        <v/>
      </c>
      <c r="AG146" s="85" t="str">
        <f>IF(A146="","",IF(AND(N(AD146)=0,N(AF146)*(H146*W146*$W$6)+p_CorrFixa&lt;p_CompraMin),0,AF146))</f>
        <v/>
      </c>
      <c r="AH146" s="85" t="str">
        <f>IF(A146="","",IF(N(AG146)&gt;0,AB146,0))</f>
        <v/>
      </c>
      <c r="AI146" s="85" t="str">
        <f>IF(A146="","",IF(AND(AH146&gt;0,AH146=$AH$6,COUNTIF($AH$9:AH146,AH146)=1),1,0))</f>
        <v/>
      </c>
    </row>
    <row r="147">
      <c r="A147" s="96" t="n"/>
      <c r="B147" s="96" t="n"/>
      <c r="C147" s="96" t="n"/>
      <c r="D147" s="97" t="n"/>
      <c r="E147" s="98" t="n"/>
      <c r="F147" s="99" t="n"/>
      <c r="G147" s="100" t="n"/>
      <c r="H147" s="101" t="str">
        <f>IF(A147="","",IF(AND(p_ModoCot="Automático",ISNUMBER(Z147)),Z147,IF(N(G147)&gt;0,G147,0)))</f>
        <v/>
      </c>
      <c r="I147" s="73" t="str">
        <f>IF(A147="","",IF(W147=0,"Sem câmbio",IF(AND(p_ModoCot="Automático",ISNUMBER(Z147)),"Auto",IF(N(G147)&gt;0,"Manual","Sem cotação"))))</f>
        <v/>
      </c>
      <c r="J147" s="102" t="str">
        <f>IF(A147="","",N(E147)*H147)</f>
        <v/>
      </c>
      <c r="K147" s="70" t="str">
        <f>IF(A147="","",J147*W147)</f>
        <v/>
      </c>
      <c r="L147" s="30" t="str">
        <f>IF(A147="","",IF($K$6&gt;0,K147/$K$6,0))</f>
        <v/>
      </c>
      <c r="M147" s="72" t="str">
        <f>IF(A147="","",N(F147)-L147)</f>
        <v/>
      </c>
      <c r="N147" s="30" t="str">
        <f>IF(A147="","",IF($AB$6&gt;0,AB147/$AB$6,0))</f>
        <v/>
      </c>
      <c r="O147" s="74" t="str">
        <f>IF(A147="","",IF(AB147&lt;=0,"",COUNTIF($AB$9:$AB$208,"&gt;"&amp;AB147)+COUNTIF($AB$9:AB147,AB147)))</f>
        <v/>
      </c>
      <c r="P147" s="73" t="str">
        <f>IF(A147="","",IF(Q147&gt;0,"BUY","HOLD"))</f>
        <v/>
      </c>
      <c r="Q147" s="70" t="str">
        <f>IF(A147="","",IF($W$7&lt;=0,0,IF($AC$6&gt;0,$W$7*AC147/$AC$6,IF($F$6&gt;0,$W$7*N(F147)/$F$6,0))))</f>
        <v/>
      </c>
      <c r="R147" s="103" t="str">
        <f>IF(A147="","",N(AD147)+IF(AI147=1,N(AG147),0))</f>
        <v/>
      </c>
      <c r="S147" s="103" t="str">
        <f>IF(A147="","",N(E147)+N(R147))</f>
        <v/>
      </c>
      <c r="T147" s="70" t="str">
        <f>IF(A147="","",IF(N(R147)&gt;0,R147*H147*W147*$W$6+p_CorrFixa,0))</f>
        <v/>
      </c>
      <c r="V147" s="85" t="str">
        <f>IF(A147="","",IF(D147="",$W$1,D147))</f>
        <v/>
      </c>
      <c r="W147" s="85" t="str">
        <f>IF(A147="","",IFERROR(INDEX(moeda_fx,MATCH(V147,moeda_cod,0)),0))</f>
        <v/>
      </c>
      <c r="X147" s="85" t="str">
        <f>IF(A147="","",IF($W$2="",UPPER(TRIM(A147)),IF(RIGHT(UPPER(TRIM(A147)),LEN($W$2))=$W$2,UPPER(TRIM(A147)),UPPER(TRIM(A147))&amp;$W$2)))</f>
        <v/>
      </c>
      <c r="Y147" s="85" t="str">
        <f>IF(OR(A147="",p_ModoCot&lt;&gt;"Automático"),"",IFERROR(_xlfn.WEBSERVICE("https://query1.finance.yahoo.com/v8/finance/chart/"&amp;X147&amp;"?range=1d&amp;interval=1d"),""))</f>
        <v/>
      </c>
      <c r="Z147" s="85" t="str">
        <f>IF(Y147="","",IFERROR(_xlfn.NUMBERVALUE(MID(Y147,SEARCH("""regularMarketPrice"":",Y147)+21,SEARCH(",",Y147&amp;",",SEARCH("""regularMarketPrice"":",Y147)+21)-SEARCH("""regularMarketPrice"":",Y147)-21),".",","),""))</f>
        <v/>
      </c>
      <c r="AA147" s="85" t="str">
        <f>IF(A147="","",ROUND(MAX(0,N(F147)*($K$6+$W$7)-K147),2))</f>
        <v/>
      </c>
      <c r="AB147" s="85" t="str">
        <f>IF(A147="","",IF(AND(M147&gt;0,M147&gt;=p_DifMin),AA147,0))</f>
        <v/>
      </c>
      <c r="AC147" s="85" t="str">
        <f>IF(A147="","",IF(AND(AB147&gt;0,N(O147)&lt;=p_MaxAtivos),AB147,0))</f>
        <v/>
      </c>
      <c r="AD147" s="85" t="str">
        <f>IF(A147="","",IF(OR(Q147&lt;=0,Q147&lt;p_CompraMin,N(H147)&lt;=0,N(W147)&lt;=0),0,IF($W$3="Sim",TRUNC(ROUND(MAX(0,(Q147-p_CorrFixa)/(H147*W147*$W$6)),9),$W$4),TRUNC(ROUND(MAX(0,(Q147-p_CorrFixa)/(H147*W147*$W$6)),9)/$W$5)*$W$5)))</f>
        <v/>
      </c>
      <c r="AE147" s="85" t="str">
        <f>IF(A147="","",IF(N(AD147)&gt;0,AD147*H147*W147*$W$6+p_CorrFixa,0))</f>
        <v/>
      </c>
      <c r="AF147" s="85" t="str">
        <f>IF(A147="","",IF(OR($Y$1&lt;=0,N(H147)&lt;=0,N(W147)&lt;=0,N(AB147)&lt;=0),0,IF($W$3="Sim",TRUNC(ROUND(MAX(0,($Y$1-IF(N(AD147)&gt;0,0,p_CorrFixa))/(H147*W147*$W$6)),9),$W$4),TRUNC(ROUND(MAX(0,($Y$1-IF(N(AD147)&gt;0,0,p_CorrFixa))/(H147*W147*$W$6)),9)/$W$5)*$W$5)))</f>
        <v/>
      </c>
      <c r="AG147" s="85" t="str">
        <f>IF(A147="","",IF(AND(N(AD147)=0,N(AF147)*(H147*W147*$W$6)+p_CorrFixa&lt;p_CompraMin),0,AF147))</f>
        <v/>
      </c>
      <c r="AH147" s="85" t="str">
        <f>IF(A147="","",IF(N(AG147)&gt;0,AB147,0))</f>
        <v/>
      </c>
      <c r="AI147" s="85" t="str">
        <f>IF(A147="","",IF(AND(AH147&gt;0,AH147=$AH$6,COUNTIF($AH$9:AH147,AH147)=1),1,0))</f>
        <v/>
      </c>
    </row>
    <row r="148">
      <c r="A148" s="96" t="n"/>
      <c r="B148" s="96" t="n"/>
      <c r="C148" s="96" t="n"/>
      <c r="D148" s="97" t="n"/>
      <c r="E148" s="98" t="n"/>
      <c r="F148" s="99" t="n"/>
      <c r="G148" s="100" t="n"/>
      <c r="H148" s="104" t="str">
        <f>IF(A148="","",IF(AND(p_ModoCot="Automático",ISNUMBER(Z148)),Z148,IF(N(G148)&gt;0,G148,0)))</f>
        <v/>
      </c>
      <c r="I148" s="105" t="str">
        <f>IF(A148="","",IF(W148=0,"Sem câmbio",IF(AND(p_ModoCot="Automático",ISNUMBER(Z148)),"Auto",IF(N(G148)&gt;0,"Manual","Sem cotação"))))</f>
        <v/>
      </c>
      <c r="J148" s="106" t="str">
        <f>IF(A148="","",N(E148)*H148)</f>
        <v/>
      </c>
      <c r="K148" s="107" t="str">
        <f>IF(A148="","",J148*W148)</f>
        <v/>
      </c>
      <c r="L148" s="108" t="str">
        <f>IF(A148="","",IF($K$6&gt;0,K148/$K$6,0))</f>
        <v/>
      </c>
      <c r="M148" s="109" t="str">
        <f>IF(A148="","",N(F148)-L148)</f>
        <v/>
      </c>
      <c r="N148" s="108" t="str">
        <f>IF(A148="","",IF($AB$6&gt;0,AB148/$AB$6,0))</f>
        <v/>
      </c>
      <c r="O148" s="110" t="str">
        <f>IF(A148="","",IF(AB148&lt;=0,"",COUNTIF($AB$9:$AB$208,"&gt;"&amp;AB148)+COUNTIF($AB$9:AB148,AB148)))</f>
        <v/>
      </c>
      <c r="P148" s="105" t="str">
        <f>IF(A148="","",IF(Q148&gt;0,"BUY","HOLD"))</f>
        <v/>
      </c>
      <c r="Q148" s="107" t="str">
        <f>IF(A148="","",IF($W$7&lt;=0,0,IF($AC$6&gt;0,$W$7*AC148/$AC$6,IF($F$6&gt;0,$W$7*N(F148)/$F$6,0))))</f>
        <v/>
      </c>
      <c r="R148" s="111" t="str">
        <f>IF(A148="","",N(AD148)+IF(AI148=1,N(AG148),0))</f>
        <v/>
      </c>
      <c r="S148" s="111" t="str">
        <f>IF(A148="","",N(E148)+N(R148))</f>
        <v/>
      </c>
      <c r="T148" s="107" t="str">
        <f>IF(A148="","",IF(N(R148)&gt;0,R148*H148*W148*$W$6+p_CorrFixa,0))</f>
        <v/>
      </c>
      <c r="V148" s="85" t="str">
        <f>IF(A148="","",IF(D148="",$W$1,D148))</f>
        <v/>
      </c>
      <c r="W148" s="85" t="str">
        <f>IF(A148="","",IFERROR(INDEX(moeda_fx,MATCH(V148,moeda_cod,0)),0))</f>
        <v/>
      </c>
      <c r="X148" s="85" t="str">
        <f>IF(A148="","",IF($W$2="",UPPER(TRIM(A148)),IF(RIGHT(UPPER(TRIM(A148)),LEN($W$2))=$W$2,UPPER(TRIM(A148)),UPPER(TRIM(A148))&amp;$W$2)))</f>
        <v/>
      </c>
      <c r="Y148" s="85" t="str">
        <f>IF(OR(A148="",p_ModoCot&lt;&gt;"Automático"),"",IFERROR(_xlfn.WEBSERVICE("https://query1.finance.yahoo.com/v8/finance/chart/"&amp;X148&amp;"?range=1d&amp;interval=1d"),""))</f>
        <v/>
      </c>
      <c r="Z148" s="85" t="str">
        <f>IF(Y148="","",IFERROR(_xlfn.NUMBERVALUE(MID(Y148,SEARCH("""regularMarketPrice"":",Y148)+21,SEARCH(",",Y148&amp;",",SEARCH("""regularMarketPrice"":",Y148)+21)-SEARCH("""regularMarketPrice"":",Y148)-21),".",","),""))</f>
        <v/>
      </c>
      <c r="AA148" s="85" t="str">
        <f>IF(A148="","",ROUND(MAX(0,N(F148)*($K$6+$W$7)-K148),2))</f>
        <v/>
      </c>
      <c r="AB148" s="85" t="str">
        <f>IF(A148="","",IF(AND(M148&gt;0,M148&gt;=p_DifMin),AA148,0))</f>
        <v/>
      </c>
      <c r="AC148" s="85" t="str">
        <f>IF(A148="","",IF(AND(AB148&gt;0,N(O148)&lt;=p_MaxAtivos),AB148,0))</f>
        <v/>
      </c>
      <c r="AD148" s="85" t="str">
        <f>IF(A148="","",IF(OR(Q148&lt;=0,Q148&lt;p_CompraMin,N(H148)&lt;=0,N(W148)&lt;=0),0,IF($W$3="Sim",TRUNC(ROUND(MAX(0,(Q148-p_CorrFixa)/(H148*W148*$W$6)),9),$W$4),TRUNC(ROUND(MAX(0,(Q148-p_CorrFixa)/(H148*W148*$W$6)),9)/$W$5)*$W$5)))</f>
        <v/>
      </c>
      <c r="AE148" s="85" t="str">
        <f>IF(A148="","",IF(N(AD148)&gt;0,AD148*H148*W148*$W$6+p_CorrFixa,0))</f>
        <v/>
      </c>
      <c r="AF148" s="85" t="str">
        <f>IF(A148="","",IF(OR($Y$1&lt;=0,N(H148)&lt;=0,N(W148)&lt;=0,N(AB148)&lt;=0),0,IF($W$3="Sim",TRUNC(ROUND(MAX(0,($Y$1-IF(N(AD148)&gt;0,0,p_CorrFixa))/(H148*W148*$W$6)),9),$W$4),TRUNC(ROUND(MAX(0,($Y$1-IF(N(AD148)&gt;0,0,p_CorrFixa))/(H148*W148*$W$6)),9)/$W$5)*$W$5)))</f>
        <v/>
      </c>
      <c r="AG148" s="85" t="str">
        <f>IF(A148="","",IF(AND(N(AD148)=0,N(AF148)*(H148*W148*$W$6)+p_CorrFixa&lt;p_CompraMin),0,AF148))</f>
        <v/>
      </c>
      <c r="AH148" s="85" t="str">
        <f>IF(A148="","",IF(N(AG148)&gt;0,AB148,0))</f>
        <v/>
      </c>
      <c r="AI148" s="85" t="str">
        <f>IF(A148="","",IF(AND(AH148&gt;0,AH148=$AH$6,COUNTIF($AH$9:AH148,AH148)=1),1,0))</f>
        <v/>
      </c>
    </row>
    <row r="149">
      <c r="A149" s="96" t="n"/>
      <c r="B149" s="96" t="n"/>
      <c r="C149" s="96" t="n"/>
      <c r="D149" s="97" t="n"/>
      <c r="E149" s="98" t="n"/>
      <c r="F149" s="99" t="n"/>
      <c r="G149" s="100" t="n"/>
      <c r="H149" s="101" t="str">
        <f>IF(A149="","",IF(AND(p_ModoCot="Automático",ISNUMBER(Z149)),Z149,IF(N(G149)&gt;0,G149,0)))</f>
        <v/>
      </c>
      <c r="I149" s="73" t="str">
        <f>IF(A149="","",IF(W149=0,"Sem câmbio",IF(AND(p_ModoCot="Automático",ISNUMBER(Z149)),"Auto",IF(N(G149)&gt;0,"Manual","Sem cotação"))))</f>
        <v/>
      </c>
      <c r="J149" s="102" t="str">
        <f>IF(A149="","",N(E149)*H149)</f>
        <v/>
      </c>
      <c r="K149" s="70" t="str">
        <f>IF(A149="","",J149*W149)</f>
        <v/>
      </c>
      <c r="L149" s="30" t="str">
        <f>IF(A149="","",IF($K$6&gt;0,K149/$K$6,0))</f>
        <v/>
      </c>
      <c r="M149" s="72" t="str">
        <f>IF(A149="","",N(F149)-L149)</f>
        <v/>
      </c>
      <c r="N149" s="30" t="str">
        <f>IF(A149="","",IF($AB$6&gt;0,AB149/$AB$6,0))</f>
        <v/>
      </c>
      <c r="O149" s="74" t="str">
        <f>IF(A149="","",IF(AB149&lt;=0,"",COUNTIF($AB$9:$AB$208,"&gt;"&amp;AB149)+COUNTIF($AB$9:AB149,AB149)))</f>
        <v/>
      </c>
      <c r="P149" s="73" t="str">
        <f>IF(A149="","",IF(Q149&gt;0,"BUY","HOLD"))</f>
        <v/>
      </c>
      <c r="Q149" s="70" t="str">
        <f>IF(A149="","",IF($W$7&lt;=0,0,IF($AC$6&gt;0,$W$7*AC149/$AC$6,IF($F$6&gt;0,$W$7*N(F149)/$F$6,0))))</f>
        <v/>
      </c>
      <c r="R149" s="103" t="str">
        <f>IF(A149="","",N(AD149)+IF(AI149=1,N(AG149),0))</f>
        <v/>
      </c>
      <c r="S149" s="103" t="str">
        <f>IF(A149="","",N(E149)+N(R149))</f>
        <v/>
      </c>
      <c r="T149" s="70" t="str">
        <f>IF(A149="","",IF(N(R149)&gt;0,R149*H149*W149*$W$6+p_CorrFixa,0))</f>
        <v/>
      </c>
      <c r="V149" s="85" t="str">
        <f>IF(A149="","",IF(D149="",$W$1,D149))</f>
        <v/>
      </c>
      <c r="W149" s="85" t="str">
        <f>IF(A149="","",IFERROR(INDEX(moeda_fx,MATCH(V149,moeda_cod,0)),0))</f>
        <v/>
      </c>
      <c r="X149" s="85" t="str">
        <f>IF(A149="","",IF($W$2="",UPPER(TRIM(A149)),IF(RIGHT(UPPER(TRIM(A149)),LEN($W$2))=$W$2,UPPER(TRIM(A149)),UPPER(TRIM(A149))&amp;$W$2)))</f>
        <v/>
      </c>
      <c r="Y149" s="85" t="str">
        <f>IF(OR(A149="",p_ModoCot&lt;&gt;"Automático"),"",IFERROR(_xlfn.WEBSERVICE("https://query1.finance.yahoo.com/v8/finance/chart/"&amp;X149&amp;"?range=1d&amp;interval=1d"),""))</f>
        <v/>
      </c>
      <c r="Z149" s="85" t="str">
        <f>IF(Y149="","",IFERROR(_xlfn.NUMBERVALUE(MID(Y149,SEARCH("""regularMarketPrice"":",Y149)+21,SEARCH(",",Y149&amp;",",SEARCH("""regularMarketPrice"":",Y149)+21)-SEARCH("""regularMarketPrice"":",Y149)-21),".",","),""))</f>
        <v/>
      </c>
      <c r="AA149" s="85" t="str">
        <f>IF(A149="","",ROUND(MAX(0,N(F149)*($K$6+$W$7)-K149),2))</f>
        <v/>
      </c>
      <c r="AB149" s="85" t="str">
        <f>IF(A149="","",IF(AND(M149&gt;0,M149&gt;=p_DifMin),AA149,0))</f>
        <v/>
      </c>
      <c r="AC149" s="85" t="str">
        <f>IF(A149="","",IF(AND(AB149&gt;0,N(O149)&lt;=p_MaxAtivos),AB149,0))</f>
        <v/>
      </c>
      <c r="AD149" s="85" t="str">
        <f>IF(A149="","",IF(OR(Q149&lt;=0,Q149&lt;p_CompraMin,N(H149)&lt;=0,N(W149)&lt;=0),0,IF($W$3="Sim",TRUNC(ROUND(MAX(0,(Q149-p_CorrFixa)/(H149*W149*$W$6)),9),$W$4),TRUNC(ROUND(MAX(0,(Q149-p_CorrFixa)/(H149*W149*$W$6)),9)/$W$5)*$W$5)))</f>
        <v/>
      </c>
      <c r="AE149" s="85" t="str">
        <f>IF(A149="","",IF(N(AD149)&gt;0,AD149*H149*W149*$W$6+p_CorrFixa,0))</f>
        <v/>
      </c>
      <c r="AF149" s="85" t="str">
        <f>IF(A149="","",IF(OR($Y$1&lt;=0,N(H149)&lt;=0,N(W149)&lt;=0,N(AB149)&lt;=0),0,IF($W$3="Sim",TRUNC(ROUND(MAX(0,($Y$1-IF(N(AD149)&gt;0,0,p_CorrFixa))/(H149*W149*$W$6)),9),$W$4),TRUNC(ROUND(MAX(0,($Y$1-IF(N(AD149)&gt;0,0,p_CorrFixa))/(H149*W149*$W$6)),9)/$W$5)*$W$5)))</f>
        <v/>
      </c>
      <c r="AG149" s="85" t="str">
        <f>IF(A149="","",IF(AND(N(AD149)=0,N(AF149)*(H149*W149*$W$6)+p_CorrFixa&lt;p_CompraMin),0,AF149))</f>
        <v/>
      </c>
      <c r="AH149" s="85" t="str">
        <f>IF(A149="","",IF(N(AG149)&gt;0,AB149,0))</f>
        <v/>
      </c>
      <c r="AI149" s="85" t="str">
        <f>IF(A149="","",IF(AND(AH149&gt;0,AH149=$AH$6,COUNTIF($AH$9:AH149,AH149)=1),1,0))</f>
        <v/>
      </c>
    </row>
    <row r="150">
      <c r="A150" s="96" t="n"/>
      <c r="B150" s="96" t="n"/>
      <c r="C150" s="96" t="n"/>
      <c r="D150" s="97" t="n"/>
      <c r="E150" s="98" t="n"/>
      <c r="F150" s="99" t="n"/>
      <c r="G150" s="100" t="n"/>
      <c r="H150" s="104" t="str">
        <f>IF(A150="","",IF(AND(p_ModoCot="Automático",ISNUMBER(Z150)),Z150,IF(N(G150)&gt;0,G150,0)))</f>
        <v/>
      </c>
      <c r="I150" s="105" t="str">
        <f>IF(A150="","",IF(W150=0,"Sem câmbio",IF(AND(p_ModoCot="Automático",ISNUMBER(Z150)),"Auto",IF(N(G150)&gt;0,"Manual","Sem cotação"))))</f>
        <v/>
      </c>
      <c r="J150" s="106" t="str">
        <f>IF(A150="","",N(E150)*H150)</f>
        <v/>
      </c>
      <c r="K150" s="107" t="str">
        <f>IF(A150="","",J150*W150)</f>
        <v/>
      </c>
      <c r="L150" s="108" t="str">
        <f>IF(A150="","",IF($K$6&gt;0,K150/$K$6,0))</f>
        <v/>
      </c>
      <c r="M150" s="109" t="str">
        <f>IF(A150="","",N(F150)-L150)</f>
        <v/>
      </c>
      <c r="N150" s="108" t="str">
        <f>IF(A150="","",IF($AB$6&gt;0,AB150/$AB$6,0))</f>
        <v/>
      </c>
      <c r="O150" s="110" t="str">
        <f>IF(A150="","",IF(AB150&lt;=0,"",COUNTIF($AB$9:$AB$208,"&gt;"&amp;AB150)+COUNTIF($AB$9:AB150,AB150)))</f>
        <v/>
      </c>
      <c r="P150" s="105" t="str">
        <f>IF(A150="","",IF(Q150&gt;0,"BUY","HOLD"))</f>
        <v/>
      </c>
      <c r="Q150" s="107" t="str">
        <f>IF(A150="","",IF($W$7&lt;=0,0,IF($AC$6&gt;0,$W$7*AC150/$AC$6,IF($F$6&gt;0,$W$7*N(F150)/$F$6,0))))</f>
        <v/>
      </c>
      <c r="R150" s="111" t="str">
        <f>IF(A150="","",N(AD150)+IF(AI150=1,N(AG150),0))</f>
        <v/>
      </c>
      <c r="S150" s="111" t="str">
        <f>IF(A150="","",N(E150)+N(R150))</f>
        <v/>
      </c>
      <c r="T150" s="107" t="str">
        <f>IF(A150="","",IF(N(R150)&gt;0,R150*H150*W150*$W$6+p_CorrFixa,0))</f>
        <v/>
      </c>
      <c r="V150" s="85" t="str">
        <f>IF(A150="","",IF(D150="",$W$1,D150))</f>
        <v/>
      </c>
      <c r="W150" s="85" t="str">
        <f>IF(A150="","",IFERROR(INDEX(moeda_fx,MATCH(V150,moeda_cod,0)),0))</f>
        <v/>
      </c>
      <c r="X150" s="85" t="str">
        <f>IF(A150="","",IF($W$2="",UPPER(TRIM(A150)),IF(RIGHT(UPPER(TRIM(A150)),LEN($W$2))=$W$2,UPPER(TRIM(A150)),UPPER(TRIM(A150))&amp;$W$2)))</f>
        <v/>
      </c>
      <c r="Y150" s="85" t="str">
        <f>IF(OR(A150="",p_ModoCot&lt;&gt;"Automático"),"",IFERROR(_xlfn.WEBSERVICE("https://query1.finance.yahoo.com/v8/finance/chart/"&amp;X150&amp;"?range=1d&amp;interval=1d"),""))</f>
        <v/>
      </c>
      <c r="Z150" s="85" t="str">
        <f>IF(Y150="","",IFERROR(_xlfn.NUMBERVALUE(MID(Y150,SEARCH("""regularMarketPrice"":",Y150)+21,SEARCH(",",Y150&amp;",",SEARCH("""regularMarketPrice"":",Y150)+21)-SEARCH("""regularMarketPrice"":",Y150)-21),".",","),""))</f>
        <v/>
      </c>
      <c r="AA150" s="85" t="str">
        <f>IF(A150="","",ROUND(MAX(0,N(F150)*($K$6+$W$7)-K150),2))</f>
        <v/>
      </c>
      <c r="AB150" s="85" t="str">
        <f>IF(A150="","",IF(AND(M150&gt;0,M150&gt;=p_DifMin),AA150,0))</f>
        <v/>
      </c>
      <c r="AC150" s="85" t="str">
        <f>IF(A150="","",IF(AND(AB150&gt;0,N(O150)&lt;=p_MaxAtivos),AB150,0))</f>
        <v/>
      </c>
      <c r="AD150" s="85" t="str">
        <f>IF(A150="","",IF(OR(Q150&lt;=0,Q150&lt;p_CompraMin,N(H150)&lt;=0,N(W150)&lt;=0),0,IF($W$3="Sim",TRUNC(ROUND(MAX(0,(Q150-p_CorrFixa)/(H150*W150*$W$6)),9),$W$4),TRUNC(ROUND(MAX(0,(Q150-p_CorrFixa)/(H150*W150*$W$6)),9)/$W$5)*$W$5)))</f>
        <v/>
      </c>
      <c r="AE150" s="85" t="str">
        <f>IF(A150="","",IF(N(AD150)&gt;0,AD150*H150*W150*$W$6+p_CorrFixa,0))</f>
        <v/>
      </c>
      <c r="AF150" s="85" t="str">
        <f>IF(A150="","",IF(OR($Y$1&lt;=0,N(H150)&lt;=0,N(W150)&lt;=0,N(AB150)&lt;=0),0,IF($W$3="Sim",TRUNC(ROUND(MAX(0,($Y$1-IF(N(AD150)&gt;0,0,p_CorrFixa))/(H150*W150*$W$6)),9),$W$4),TRUNC(ROUND(MAX(0,($Y$1-IF(N(AD150)&gt;0,0,p_CorrFixa))/(H150*W150*$W$6)),9)/$W$5)*$W$5)))</f>
        <v/>
      </c>
      <c r="AG150" s="85" t="str">
        <f>IF(A150="","",IF(AND(N(AD150)=0,N(AF150)*(H150*W150*$W$6)+p_CorrFixa&lt;p_CompraMin),0,AF150))</f>
        <v/>
      </c>
      <c r="AH150" s="85" t="str">
        <f>IF(A150="","",IF(N(AG150)&gt;0,AB150,0))</f>
        <v/>
      </c>
      <c r="AI150" s="85" t="str">
        <f>IF(A150="","",IF(AND(AH150&gt;0,AH150=$AH$6,COUNTIF($AH$9:AH150,AH150)=1),1,0))</f>
        <v/>
      </c>
    </row>
    <row r="151">
      <c r="A151" s="96" t="n"/>
      <c r="B151" s="96" t="n"/>
      <c r="C151" s="96" t="n"/>
      <c r="D151" s="97" t="n"/>
      <c r="E151" s="98" t="n"/>
      <c r="F151" s="99" t="n"/>
      <c r="G151" s="100" t="n"/>
      <c r="H151" s="101" t="str">
        <f>IF(A151="","",IF(AND(p_ModoCot="Automático",ISNUMBER(Z151)),Z151,IF(N(G151)&gt;0,G151,0)))</f>
        <v/>
      </c>
      <c r="I151" s="73" t="str">
        <f>IF(A151="","",IF(W151=0,"Sem câmbio",IF(AND(p_ModoCot="Automático",ISNUMBER(Z151)),"Auto",IF(N(G151)&gt;0,"Manual","Sem cotação"))))</f>
        <v/>
      </c>
      <c r="J151" s="102" t="str">
        <f>IF(A151="","",N(E151)*H151)</f>
        <v/>
      </c>
      <c r="K151" s="70" t="str">
        <f>IF(A151="","",J151*W151)</f>
        <v/>
      </c>
      <c r="L151" s="30" t="str">
        <f>IF(A151="","",IF($K$6&gt;0,K151/$K$6,0))</f>
        <v/>
      </c>
      <c r="M151" s="72" t="str">
        <f>IF(A151="","",N(F151)-L151)</f>
        <v/>
      </c>
      <c r="N151" s="30" t="str">
        <f>IF(A151="","",IF($AB$6&gt;0,AB151/$AB$6,0))</f>
        <v/>
      </c>
      <c r="O151" s="74" t="str">
        <f>IF(A151="","",IF(AB151&lt;=0,"",COUNTIF($AB$9:$AB$208,"&gt;"&amp;AB151)+COUNTIF($AB$9:AB151,AB151)))</f>
        <v/>
      </c>
      <c r="P151" s="73" t="str">
        <f>IF(A151="","",IF(Q151&gt;0,"BUY","HOLD"))</f>
        <v/>
      </c>
      <c r="Q151" s="70" t="str">
        <f>IF(A151="","",IF($W$7&lt;=0,0,IF($AC$6&gt;0,$W$7*AC151/$AC$6,IF($F$6&gt;0,$W$7*N(F151)/$F$6,0))))</f>
        <v/>
      </c>
      <c r="R151" s="103" t="str">
        <f>IF(A151="","",N(AD151)+IF(AI151=1,N(AG151),0))</f>
        <v/>
      </c>
      <c r="S151" s="103" t="str">
        <f>IF(A151="","",N(E151)+N(R151))</f>
        <v/>
      </c>
      <c r="T151" s="70" t="str">
        <f>IF(A151="","",IF(N(R151)&gt;0,R151*H151*W151*$W$6+p_CorrFixa,0))</f>
        <v/>
      </c>
      <c r="V151" s="85" t="str">
        <f>IF(A151="","",IF(D151="",$W$1,D151))</f>
        <v/>
      </c>
      <c r="W151" s="85" t="str">
        <f>IF(A151="","",IFERROR(INDEX(moeda_fx,MATCH(V151,moeda_cod,0)),0))</f>
        <v/>
      </c>
      <c r="X151" s="85" t="str">
        <f>IF(A151="","",IF($W$2="",UPPER(TRIM(A151)),IF(RIGHT(UPPER(TRIM(A151)),LEN($W$2))=$W$2,UPPER(TRIM(A151)),UPPER(TRIM(A151))&amp;$W$2)))</f>
        <v/>
      </c>
      <c r="Y151" s="85" t="str">
        <f>IF(OR(A151="",p_ModoCot&lt;&gt;"Automático"),"",IFERROR(_xlfn.WEBSERVICE("https://query1.finance.yahoo.com/v8/finance/chart/"&amp;X151&amp;"?range=1d&amp;interval=1d"),""))</f>
        <v/>
      </c>
      <c r="Z151" s="85" t="str">
        <f>IF(Y151="","",IFERROR(_xlfn.NUMBERVALUE(MID(Y151,SEARCH("""regularMarketPrice"":",Y151)+21,SEARCH(",",Y151&amp;",",SEARCH("""regularMarketPrice"":",Y151)+21)-SEARCH("""regularMarketPrice"":",Y151)-21),".",","),""))</f>
        <v/>
      </c>
      <c r="AA151" s="85" t="str">
        <f>IF(A151="","",ROUND(MAX(0,N(F151)*($K$6+$W$7)-K151),2))</f>
        <v/>
      </c>
      <c r="AB151" s="85" t="str">
        <f>IF(A151="","",IF(AND(M151&gt;0,M151&gt;=p_DifMin),AA151,0))</f>
        <v/>
      </c>
      <c r="AC151" s="85" t="str">
        <f>IF(A151="","",IF(AND(AB151&gt;0,N(O151)&lt;=p_MaxAtivos),AB151,0))</f>
        <v/>
      </c>
      <c r="AD151" s="85" t="str">
        <f>IF(A151="","",IF(OR(Q151&lt;=0,Q151&lt;p_CompraMin,N(H151)&lt;=0,N(W151)&lt;=0),0,IF($W$3="Sim",TRUNC(ROUND(MAX(0,(Q151-p_CorrFixa)/(H151*W151*$W$6)),9),$W$4),TRUNC(ROUND(MAX(0,(Q151-p_CorrFixa)/(H151*W151*$W$6)),9)/$W$5)*$W$5)))</f>
        <v/>
      </c>
      <c r="AE151" s="85" t="str">
        <f>IF(A151="","",IF(N(AD151)&gt;0,AD151*H151*W151*$W$6+p_CorrFixa,0))</f>
        <v/>
      </c>
      <c r="AF151" s="85" t="str">
        <f>IF(A151="","",IF(OR($Y$1&lt;=0,N(H151)&lt;=0,N(W151)&lt;=0,N(AB151)&lt;=0),0,IF($W$3="Sim",TRUNC(ROUND(MAX(0,($Y$1-IF(N(AD151)&gt;0,0,p_CorrFixa))/(H151*W151*$W$6)),9),$W$4),TRUNC(ROUND(MAX(0,($Y$1-IF(N(AD151)&gt;0,0,p_CorrFixa))/(H151*W151*$W$6)),9)/$W$5)*$W$5)))</f>
        <v/>
      </c>
      <c r="AG151" s="85" t="str">
        <f>IF(A151="","",IF(AND(N(AD151)=0,N(AF151)*(H151*W151*$W$6)+p_CorrFixa&lt;p_CompraMin),0,AF151))</f>
        <v/>
      </c>
      <c r="AH151" s="85" t="str">
        <f>IF(A151="","",IF(N(AG151)&gt;0,AB151,0))</f>
        <v/>
      </c>
      <c r="AI151" s="85" t="str">
        <f>IF(A151="","",IF(AND(AH151&gt;0,AH151=$AH$6,COUNTIF($AH$9:AH151,AH151)=1),1,0))</f>
        <v/>
      </c>
    </row>
    <row r="152">
      <c r="A152" s="96" t="n"/>
      <c r="B152" s="96" t="n"/>
      <c r="C152" s="96" t="n"/>
      <c r="D152" s="97" t="n"/>
      <c r="E152" s="98" t="n"/>
      <c r="F152" s="99" t="n"/>
      <c r="G152" s="100" t="n"/>
      <c r="H152" s="104" t="str">
        <f>IF(A152="","",IF(AND(p_ModoCot="Automático",ISNUMBER(Z152)),Z152,IF(N(G152)&gt;0,G152,0)))</f>
        <v/>
      </c>
      <c r="I152" s="105" t="str">
        <f>IF(A152="","",IF(W152=0,"Sem câmbio",IF(AND(p_ModoCot="Automático",ISNUMBER(Z152)),"Auto",IF(N(G152)&gt;0,"Manual","Sem cotação"))))</f>
        <v/>
      </c>
      <c r="J152" s="106" t="str">
        <f>IF(A152="","",N(E152)*H152)</f>
        <v/>
      </c>
      <c r="K152" s="107" t="str">
        <f>IF(A152="","",J152*W152)</f>
        <v/>
      </c>
      <c r="L152" s="108" t="str">
        <f>IF(A152="","",IF($K$6&gt;0,K152/$K$6,0))</f>
        <v/>
      </c>
      <c r="M152" s="109" t="str">
        <f>IF(A152="","",N(F152)-L152)</f>
        <v/>
      </c>
      <c r="N152" s="108" t="str">
        <f>IF(A152="","",IF($AB$6&gt;0,AB152/$AB$6,0))</f>
        <v/>
      </c>
      <c r="O152" s="110" t="str">
        <f>IF(A152="","",IF(AB152&lt;=0,"",COUNTIF($AB$9:$AB$208,"&gt;"&amp;AB152)+COUNTIF($AB$9:AB152,AB152)))</f>
        <v/>
      </c>
      <c r="P152" s="105" t="str">
        <f>IF(A152="","",IF(Q152&gt;0,"BUY","HOLD"))</f>
        <v/>
      </c>
      <c r="Q152" s="107" t="str">
        <f>IF(A152="","",IF($W$7&lt;=0,0,IF($AC$6&gt;0,$W$7*AC152/$AC$6,IF($F$6&gt;0,$W$7*N(F152)/$F$6,0))))</f>
        <v/>
      </c>
      <c r="R152" s="111" t="str">
        <f>IF(A152="","",N(AD152)+IF(AI152=1,N(AG152),0))</f>
        <v/>
      </c>
      <c r="S152" s="111" t="str">
        <f>IF(A152="","",N(E152)+N(R152))</f>
        <v/>
      </c>
      <c r="T152" s="107" t="str">
        <f>IF(A152="","",IF(N(R152)&gt;0,R152*H152*W152*$W$6+p_CorrFixa,0))</f>
        <v/>
      </c>
      <c r="V152" s="85" t="str">
        <f>IF(A152="","",IF(D152="",$W$1,D152))</f>
        <v/>
      </c>
      <c r="W152" s="85" t="str">
        <f>IF(A152="","",IFERROR(INDEX(moeda_fx,MATCH(V152,moeda_cod,0)),0))</f>
        <v/>
      </c>
      <c r="X152" s="85" t="str">
        <f>IF(A152="","",IF($W$2="",UPPER(TRIM(A152)),IF(RIGHT(UPPER(TRIM(A152)),LEN($W$2))=$W$2,UPPER(TRIM(A152)),UPPER(TRIM(A152))&amp;$W$2)))</f>
        <v/>
      </c>
      <c r="Y152" s="85" t="str">
        <f>IF(OR(A152="",p_ModoCot&lt;&gt;"Automático"),"",IFERROR(_xlfn.WEBSERVICE("https://query1.finance.yahoo.com/v8/finance/chart/"&amp;X152&amp;"?range=1d&amp;interval=1d"),""))</f>
        <v/>
      </c>
      <c r="Z152" s="85" t="str">
        <f>IF(Y152="","",IFERROR(_xlfn.NUMBERVALUE(MID(Y152,SEARCH("""regularMarketPrice"":",Y152)+21,SEARCH(",",Y152&amp;",",SEARCH("""regularMarketPrice"":",Y152)+21)-SEARCH("""regularMarketPrice"":",Y152)-21),".",","),""))</f>
        <v/>
      </c>
      <c r="AA152" s="85" t="str">
        <f>IF(A152="","",ROUND(MAX(0,N(F152)*($K$6+$W$7)-K152),2))</f>
        <v/>
      </c>
      <c r="AB152" s="85" t="str">
        <f>IF(A152="","",IF(AND(M152&gt;0,M152&gt;=p_DifMin),AA152,0))</f>
        <v/>
      </c>
      <c r="AC152" s="85" t="str">
        <f>IF(A152="","",IF(AND(AB152&gt;0,N(O152)&lt;=p_MaxAtivos),AB152,0))</f>
        <v/>
      </c>
      <c r="AD152" s="85" t="str">
        <f>IF(A152="","",IF(OR(Q152&lt;=0,Q152&lt;p_CompraMin,N(H152)&lt;=0,N(W152)&lt;=0),0,IF($W$3="Sim",TRUNC(ROUND(MAX(0,(Q152-p_CorrFixa)/(H152*W152*$W$6)),9),$W$4),TRUNC(ROUND(MAX(0,(Q152-p_CorrFixa)/(H152*W152*$W$6)),9)/$W$5)*$W$5)))</f>
        <v/>
      </c>
      <c r="AE152" s="85" t="str">
        <f>IF(A152="","",IF(N(AD152)&gt;0,AD152*H152*W152*$W$6+p_CorrFixa,0))</f>
        <v/>
      </c>
      <c r="AF152" s="85" t="str">
        <f>IF(A152="","",IF(OR($Y$1&lt;=0,N(H152)&lt;=0,N(W152)&lt;=0,N(AB152)&lt;=0),0,IF($W$3="Sim",TRUNC(ROUND(MAX(0,($Y$1-IF(N(AD152)&gt;0,0,p_CorrFixa))/(H152*W152*$W$6)),9),$W$4),TRUNC(ROUND(MAX(0,($Y$1-IF(N(AD152)&gt;0,0,p_CorrFixa))/(H152*W152*$W$6)),9)/$W$5)*$W$5)))</f>
        <v/>
      </c>
      <c r="AG152" s="85" t="str">
        <f>IF(A152="","",IF(AND(N(AD152)=0,N(AF152)*(H152*W152*$W$6)+p_CorrFixa&lt;p_CompraMin),0,AF152))</f>
        <v/>
      </c>
      <c r="AH152" s="85" t="str">
        <f>IF(A152="","",IF(N(AG152)&gt;0,AB152,0))</f>
        <v/>
      </c>
      <c r="AI152" s="85" t="str">
        <f>IF(A152="","",IF(AND(AH152&gt;0,AH152=$AH$6,COUNTIF($AH$9:AH152,AH152)=1),1,0))</f>
        <v/>
      </c>
    </row>
    <row r="153">
      <c r="A153" s="96" t="n"/>
      <c r="B153" s="96" t="n"/>
      <c r="C153" s="96" t="n"/>
      <c r="D153" s="97" t="n"/>
      <c r="E153" s="98" t="n"/>
      <c r="F153" s="99" t="n"/>
      <c r="G153" s="100" t="n"/>
      <c r="H153" s="101" t="str">
        <f>IF(A153="","",IF(AND(p_ModoCot="Automático",ISNUMBER(Z153)),Z153,IF(N(G153)&gt;0,G153,0)))</f>
        <v/>
      </c>
      <c r="I153" s="73" t="str">
        <f>IF(A153="","",IF(W153=0,"Sem câmbio",IF(AND(p_ModoCot="Automático",ISNUMBER(Z153)),"Auto",IF(N(G153)&gt;0,"Manual","Sem cotação"))))</f>
        <v/>
      </c>
      <c r="J153" s="102" t="str">
        <f>IF(A153="","",N(E153)*H153)</f>
        <v/>
      </c>
      <c r="K153" s="70" t="str">
        <f>IF(A153="","",J153*W153)</f>
        <v/>
      </c>
      <c r="L153" s="30" t="str">
        <f>IF(A153="","",IF($K$6&gt;0,K153/$K$6,0))</f>
        <v/>
      </c>
      <c r="M153" s="72" t="str">
        <f>IF(A153="","",N(F153)-L153)</f>
        <v/>
      </c>
      <c r="N153" s="30" t="str">
        <f>IF(A153="","",IF($AB$6&gt;0,AB153/$AB$6,0))</f>
        <v/>
      </c>
      <c r="O153" s="74" t="str">
        <f>IF(A153="","",IF(AB153&lt;=0,"",COUNTIF($AB$9:$AB$208,"&gt;"&amp;AB153)+COUNTIF($AB$9:AB153,AB153)))</f>
        <v/>
      </c>
      <c r="P153" s="73" t="str">
        <f>IF(A153="","",IF(Q153&gt;0,"BUY","HOLD"))</f>
        <v/>
      </c>
      <c r="Q153" s="70" t="str">
        <f>IF(A153="","",IF($W$7&lt;=0,0,IF($AC$6&gt;0,$W$7*AC153/$AC$6,IF($F$6&gt;0,$W$7*N(F153)/$F$6,0))))</f>
        <v/>
      </c>
      <c r="R153" s="103" t="str">
        <f>IF(A153="","",N(AD153)+IF(AI153=1,N(AG153),0))</f>
        <v/>
      </c>
      <c r="S153" s="103" t="str">
        <f>IF(A153="","",N(E153)+N(R153))</f>
        <v/>
      </c>
      <c r="T153" s="70" t="str">
        <f>IF(A153="","",IF(N(R153)&gt;0,R153*H153*W153*$W$6+p_CorrFixa,0))</f>
        <v/>
      </c>
      <c r="V153" s="85" t="str">
        <f>IF(A153="","",IF(D153="",$W$1,D153))</f>
        <v/>
      </c>
      <c r="W153" s="85" t="str">
        <f>IF(A153="","",IFERROR(INDEX(moeda_fx,MATCH(V153,moeda_cod,0)),0))</f>
        <v/>
      </c>
      <c r="X153" s="85" t="str">
        <f>IF(A153="","",IF($W$2="",UPPER(TRIM(A153)),IF(RIGHT(UPPER(TRIM(A153)),LEN($W$2))=$W$2,UPPER(TRIM(A153)),UPPER(TRIM(A153))&amp;$W$2)))</f>
        <v/>
      </c>
      <c r="Y153" s="85" t="str">
        <f>IF(OR(A153="",p_ModoCot&lt;&gt;"Automático"),"",IFERROR(_xlfn.WEBSERVICE("https://query1.finance.yahoo.com/v8/finance/chart/"&amp;X153&amp;"?range=1d&amp;interval=1d"),""))</f>
        <v/>
      </c>
      <c r="Z153" s="85" t="str">
        <f>IF(Y153="","",IFERROR(_xlfn.NUMBERVALUE(MID(Y153,SEARCH("""regularMarketPrice"":",Y153)+21,SEARCH(",",Y153&amp;",",SEARCH("""regularMarketPrice"":",Y153)+21)-SEARCH("""regularMarketPrice"":",Y153)-21),".",","),""))</f>
        <v/>
      </c>
      <c r="AA153" s="85" t="str">
        <f>IF(A153="","",ROUND(MAX(0,N(F153)*($K$6+$W$7)-K153),2))</f>
        <v/>
      </c>
      <c r="AB153" s="85" t="str">
        <f>IF(A153="","",IF(AND(M153&gt;0,M153&gt;=p_DifMin),AA153,0))</f>
        <v/>
      </c>
      <c r="AC153" s="85" t="str">
        <f>IF(A153="","",IF(AND(AB153&gt;0,N(O153)&lt;=p_MaxAtivos),AB153,0))</f>
        <v/>
      </c>
      <c r="AD153" s="85" t="str">
        <f>IF(A153="","",IF(OR(Q153&lt;=0,Q153&lt;p_CompraMin,N(H153)&lt;=0,N(W153)&lt;=0),0,IF($W$3="Sim",TRUNC(ROUND(MAX(0,(Q153-p_CorrFixa)/(H153*W153*$W$6)),9),$W$4),TRUNC(ROUND(MAX(0,(Q153-p_CorrFixa)/(H153*W153*$W$6)),9)/$W$5)*$W$5)))</f>
        <v/>
      </c>
      <c r="AE153" s="85" t="str">
        <f>IF(A153="","",IF(N(AD153)&gt;0,AD153*H153*W153*$W$6+p_CorrFixa,0))</f>
        <v/>
      </c>
      <c r="AF153" s="85" t="str">
        <f>IF(A153="","",IF(OR($Y$1&lt;=0,N(H153)&lt;=0,N(W153)&lt;=0,N(AB153)&lt;=0),0,IF($W$3="Sim",TRUNC(ROUND(MAX(0,($Y$1-IF(N(AD153)&gt;0,0,p_CorrFixa))/(H153*W153*$W$6)),9),$W$4),TRUNC(ROUND(MAX(0,($Y$1-IF(N(AD153)&gt;0,0,p_CorrFixa))/(H153*W153*$W$6)),9)/$W$5)*$W$5)))</f>
        <v/>
      </c>
      <c r="AG153" s="85" t="str">
        <f>IF(A153="","",IF(AND(N(AD153)=0,N(AF153)*(H153*W153*$W$6)+p_CorrFixa&lt;p_CompraMin),0,AF153))</f>
        <v/>
      </c>
      <c r="AH153" s="85" t="str">
        <f>IF(A153="","",IF(N(AG153)&gt;0,AB153,0))</f>
        <v/>
      </c>
      <c r="AI153" s="85" t="str">
        <f>IF(A153="","",IF(AND(AH153&gt;0,AH153=$AH$6,COUNTIF($AH$9:AH153,AH153)=1),1,0))</f>
        <v/>
      </c>
    </row>
    <row r="154">
      <c r="A154" s="96" t="n"/>
      <c r="B154" s="96" t="n"/>
      <c r="C154" s="96" t="n"/>
      <c r="D154" s="97" t="n"/>
      <c r="E154" s="98" t="n"/>
      <c r="F154" s="99" t="n"/>
      <c r="G154" s="100" t="n"/>
      <c r="H154" s="104" t="str">
        <f>IF(A154="","",IF(AND(p_ModoCot="Automático",ISNUMBER(Z154)),Z154,IF(N(G154)&gt;0,G154,0)))</f>
        <v/>
      </c>
      <c r="I154" s="105" t="str">
        <f>IF(A154="","",IF(W154=0,"Sem câmbio",IF(AND(p_ModoCot="Automático",ISNUMBER(Z154)),"Auto",IF(N(G154)&gt;0,"Manual","Sem cotação"))))</f>
        <v/>
      </c>
      <c r="J154" s="106" t="str">
        <f>IF(A154="","",N(E154)*H154)</f>
        <v/>
      </c>
      <c r="K154" s="107" t="str">
        <f>IF(A154="","",J154*W154)</f>
        <v/>
      </c>
      <c r="L154" s="108" t="str">
        <f>IF(A154="","",IF($K$6&gt;0,K154/$K$6,0))</f>
        <v/>
      </c>
      <c r="M154" s="109" t="str">
        <f>IF(A154="","",N(F154)-L154)</f>
        <v/>
      </c>
      <c r="N154" s="108" t="str">
        <f>IF(A154="","",IF($AB$6&gt;0,AB154/$AB$6,0))</f>
        <v/>
      </c>
      <c r="O154" s="110" t="str">
        <f>IF(A154="","",IF(AB154&lt;=0,"",COUNTIF($AB$9:$AB$208,"&gt;"&amp;AB154)+COUNTIF($AB$9:AB154,AB154)))</f>
        <v/>
      </c>
      <c r="P154" s="105" t="str">
        <f>IF(A154="","",IF(Q154&gt;0,"BUY","HOLD"))</f>
        <v/>
      </c>
      <c r="Q154" s="107" t="str">
        <f>IF(A154="","",IF($W$7&lt;=0,0,IF($AC$6&gt;0,$W$7*AC154/$AC$6,IF($F$6&gt;0,$W$7*N(F154)/$F$6,0))))</f>
        <v/>
      </c>
      <c r="R154" s="111" t="str">
        <f>IF(A154="","",N(AD154)+IF(AI154=1,N(AG154),0))</f>
        <v/>
      </c>
      <c r="S154" s="111" t="str">
        <f>IF(A154="","",N(E154)+N(R154))</f>
        <v/>
      </c>
      <c r="T154" s="107" t="str">
        <f>IF(A154="","",IF(N(R154)&gt;0,R154*H154*W154*$W$6+p_CorrFixa,0))</f>
        <v/>
      </c>
      <c r="V154" s="85" t="str">
        <f>IF(A154="","",IF(D154="",$W$1,D154))</f>
        <v/>
      </c>
      <c r="W154" s="85" t="str">
        <f>IF(A154="","",IFERROR(INDEX(moeda_fx,MATCH(V154,moeda_cod,0)),0))</f>
        <v/>
      </c>
      <c r="X154" s="85" t="str">
        <f>IF(A154="","",IF($W$2="",UPPER(TRIM(A154)),IF(RIGHT(UPPER(TRIM(A154)),LEN($W$2))=$W$2,UPPER(TRIM(A154)),UPPER(TRIM(A154))&amp;$W$2)))</f>
        <v/>
      </c>
      <c r="Y154" s="85" t="str">
        <f>IF(OR(A154="",p_ModoCot&lt;&gt;"Automático"),"",IFERROR(_xlfn.WEBSERVICE("https://query1.finance.yahoo.com/v8/finance/chart/"&amp;X154&amp;"?range=1d&amp;interval=1d"),""))</f>
        <v/>
      </c>
      <c r="Z154" s="85" t="str">
        <f>IF(Y154="","",IFERROR(_xlfn.NUMBERVALUE(MID(Y154,SEARCH("""regularMarketPrice"":",Y154)+21,SEARCH(",",Y154&amp;",",SEARCH("""regularMarketPrice"":",Y154)+21)-SEARCH("""regularMarketPrice"":",Y154)-21),".",","),""))</f>
        <v/>
      </c>
      <c r="AA154" s="85" t="str">
        <f>IF(A154="","",ROUND(MAX(0,N(F154)*($K$6+$W$7)-K154),2))</f>
        <v/>
      </c>
      <c r="AB154" s="85" t="str">
        <f>IF(A154="","",IF(AND(M154&gt;0,M154&gt;=p_DifMin),AA154,0))</f>
        <v/>
      </c>
      <c r="AC154" s="85" t="str">
        <f>IF(A154="","",IF(AND(AB154&gt;0,N(O154)&lt;=p_MaxAtivos),AB154,0))</f>
        <v/>
      </c>
      <c r="AD154" s="85" t="str">
        <f>IF(A154="","",IF(OR(Q154&lt;=0,Q154&lt;p_CompraMin,N(H154)&lt;=0,N(W154)&lt;=0),0,IF($W$3="Sim",TRUNC(ROUND(MAX(0,(Q154-p_CorrFixa)/(H154*W154*$W$6)),9),$W$4),TRUNC(ROUND(MAX(0,(Q154-p_CorrFixa)/(H154*W154*$W$6)),9)/$W$5)*$W$5)))</f>
        <v/>
      </c>
      <c r="AE154" s="85" t="str">
        <f>IF(A154="","",IF(N(AD154)&gt;0,AD154*H154*W154*$W$6+p_CorrFixa,0))</f>
        <v/>
      </c>
      <c r="AF154" s="85" t="str">
        <f>IF(A154="","",IF(OR($Y$1&lt;=0,N(H154)&lt;=0,N(W154)&lt;=0,N(AB154)&lt;=0),0,IF($W$3="Sim",TRUNC(ROUND(MAX(0,($Y$1-IF(N(AD154)&gt;0,0,p_CorrFixa))/(H154*W154*$W$6)),9),$W$4),TRUNC(ROUND(MAX(0,($Y$1-IF(N(AD154)&gt;0,0,p_CorrFixa))/(H154*W154*$W$6)),9)/$W$5)*$W$5)))</f>
        <v/>
      </c>
      <c r="AG154" s="85" t="str">
        <f>IF(A154="","",IF(AND(N(AD154)=0,N(AF154)*(H154*W154*$W$6)+p_CorrFixa&lt;p_CompraMin),0,AF154))</f>
        <v/>
      </c>
      <c r="AH154" s="85" t="str">
        <f>IF(A154="","",IF(N(AG154)&gt;0,AB154,0))</f>
        <v/>
      </c>
      <c r="AI154" s="85" t="str">
        <f>IF(A154="","",IF(AND(AH154&gt;0,AH154=$AH$6,COUNTIF($AH$9:AH154,AH154)=1),1,0))</f>
        <v/>
      </c>
    </row>
    <row r="155">
      <c r="A155" s="96" t="n"/>
      <c r="B155" s="96" t="n"/>
      <c r="C155" s="96" t="n"/>
      <c r="D155" s="97" t="n"/>
      <c r="E155" s="98" t="n"/>
      <c r="F155" s="99" t="n"/>
      <c r="G155" s="100" t="n"/>
      <c r="H155" s="101" t="str">
        <f>IF(A155="","",IF(AND(p_ModoCot="Automático",ISNUMBER(Z155)),Z155,IF(N(G155)&gt;0,G155,0)))</f>
        <v/>
      </c>
      <c r="I155" s="73" t="str">
        <f>IF(A155="","",IF(W155=0,"Sem câmbio",IF(AND(p_ModoCot="Automático",ISNUMBER(Z155)),"Auto",IF(N(G155)&gt;0,"Manual","Sem cotação"))))</f>
        <v/>
      </c>
      <c r="J155" s="102" t="str">
        <f>IF(A155="","",N(E155)*H155)</f>
        <v/>
      </c>
      <c r="K155" s="70" t="str">
        <f>IF(A155="","",J155*W155)</f>
        <v/>
      </c>
      <c r="L155" s="30" t="str">
        <f>IF(A155="","",IF($K$6&gt;0,K155/$K$6,0))</f>
        <v/>
      </c>
      <c r="M155" s="72" t="str">
        <f>IF(A155="","",N(F155)-L155)</f>
        <v/>
      </c>
      <c r="N155" s="30" t="str">
        <f>IF(A155="","",IF($AB$6&gt;0,AB155/$AB$6,0))</f>
        <v/>
      </c>
      <c r="O155" s="74" t="str">
        <f>IF(A155="","",IF(AB155&lt;=0,"",COUNTIF($AB$9:$AB$208,"&gt;"&amp;AB155)+COUNTIF($AB$9:AB155,AB155)))</f>
        <v/>
      </c>
      <c r="P155" s="73" t="str">
        <f>IF(A155="","",IF(Q155&gt;0,"BUY","HOLD"))</f>
        <v/>
      </c>
      <c r="Q155" s="70" t="str">
        <f>IF(A155="","",IF($W$7&lt;=0,0,IF($AC$6&gt;0,$W$7*AC155/$AC$6,IF($F$6&gt;0,$W$7*N(F155)/$F$6,0))))</f>
        <v/>
      </c>
      <c r="R155" s="103" t="str">
        <f>IF(A155="","",N(AD155)+IF(AI155=1,N(AG155),0))</f>
        <v/>
      </c>
      <c r="S155" s="103" t="str">
        <f>IF(A155="","",N(E155)+N(R155))</f>
        <v/>
      </c>
      <c r="T155" s="70" t="str">
        <f>IF(A155="","",IF(N(R155)&gt;0,R155*H155*W155*$W$6+p_CorrFixa,0))</f>
        <v/>
      </c>
      <c r="V155" s="85" t="str">
        <f>IF(A155="","",IF(D155="",$W$1,D155))</f>
        <v/>
      </c>
      <c r="W155" s="85" t="str">
        <f>IF(A155="","",IFERROR(INDEX(moeda_fx,MATCH(V155,moeda_cod,0)),0))</f>
        <v/>
      </c>
      <c r="X155" s="85" t="str">
        <f>IF(A155="","",IF($W$2="",UPPER(TRIM(A155)),IF(RIGHT(UPPER(TRIM(A155)),LEN($W$2))=$W$2,UPPER(TRIM(A155)),UPPER(TRIM(A155))&amp;$W$2)))</f>
        <v/>
      </c>
      <c r="Y155" s="85" t="str">
        <f>IF(OR(A155="",p_ModoCot&lt;&gt;"Automático"),"",IFERROR(_xlfn.WEBSERVICE("https://query1.finance.yahoo.com/v8/finance/chart/"&amp;X155&amp;"?range=1d&amp;interval=1d"),""))</f>
        <v/>
      </c>
      <c r="Z155" s="85" t="str">
        <f>IF(Y155="","",IFERROR(_xlfn.NUMBERVALUE(MID(Y155,SEARCH("""regularMarketPrice"":",Y155)+21,SEARCH(",",Y155&amp;",",SEARCH("""regularMarketPrice"":",Y155)+21)-SEARCH("""regularMarketPrice"":",Y155)-21),".",","),""))</f>
        <v/>
      </c>
      <c r="AA155" s="85" t="str">
        <f>IF(A155="","",ROUND(MAX(0,N(F155)*($K$6+$W$7)-K155),2))</f>
        <v/>
      </c>
      <c r="AB155" s="85" t="str">
        <f>IF(A155="","",IF(AND(M155&gt;0,M155&gt;=p_DifMin),AA155,0))</f>
        <v/>
      </c>
      <c r="AC155" s="85" t="str">
        <f>IF(A155="","",IF(AND(AB155&gt;0,N(O155)&lt;=p_MaxAtivos),AB155,0))</f>
        <v/>
      </c>
      <c r="AD155" s="85" t="str">
        <f>IF(A155="","",IF(OR(Q155&lt;=0,Q155&lt;p_CompraMin,N(H155)&lt;=0,N(W155)&lt;=0),0,IF($W$3="Sim",TRUNC(ROUND(MAX(0,(Q155-p_CorrFixa)/(H155*W155*$W$6)),9),$W$4),TRUNC(ROUND(MAX(0,(Q155-p_CorrFixa)/(H155*W155*$W$6)),9)/$W$5)*$W$5)))</f>
        <v/>
      </c>
      <c r="AE155" s="85" t="str">
        <f>IF(A155="","",IF(N(AD155)&gt;0,AD155*H155*W155*$W$6+p_CorrFixa,0))</f>
        <v/>
      </c>
      <c r="AF155" s="85" t="str">
        <f>IF(A155="","",IF(OR($Y$1&lt;=0,N(H155)&lt;=0,N(W155)&lt;=0,N(AB155)&lt;=0),0,IF($W$3="Sim",TRUNC(ROUND(MAX(0,($Y$1-IF(N(AD155)&gt;0,0,p_CorrFixa))/(H155*W155*$W$6)),9),$W$4),TRUNC(ROUND(MAX(0,($Y$1-IF(N(AD155)&gt;0,0,p_CorrFixa))/(H155*W155*$W$6)),9)/$W$5)*$W$5)))</f>
        <v/>
      </c>
      <c r="AG155" s="85" t="str">
        <f>IF(A155="","",IF(AND(N(AD155)=0,N(AF155)*(H155*W155*$W$6)+p_CorrFixa&lt;p_CompraMin),0,AF155))</f>
        <v/>
      </c>
      <c r="AH155" s="85" t="str">
        <f>IF(A155="","",IF(N(AG155)&gt;0,AB155,0))</f>
        <v/>
      </c>
      <c r="AI155" s="85" t="str">
        <f>IF(A155="","",IF(AND(AH155&gt;0,AH155=$AH$6,COUNTIF($AH$9:AH155,AH155)=1),1,0))</f>
        <v/>
      </c>
    </row>
    <row r="156">
      <c r="A156" s="96" t="n"/>
      <c r="B156" s="96" t="n"/>
      <c r="C156" s="96" t="n"/>
      <c r="D156" s="97" t="n"/>
      <c r="E156" s="98" t="n"/>
      <c r="F156" s="99" t="n"/>
      <c r="G156" s="100" t="n"/>
      <c r="H156" s="104" t="str">
        <f>IF(A156="","",IF(AND(p_ModoCot="Automático",ISNUMBER(Z156)),Z156,IF(N(G156)&gt;0,G156,0)))</f>
        <v/>
      </c>
      <c r="I156" s="105" t="str">
        <f>IF(A156="","",IF(W156=0,"Sem câmbio",IF(AND(p_ModoCot="Automático",ISNUMBER(Z156)),"Auto",IF(N(G156)&gt;0,"Manual","Sem cotação"))))</f>
        <v/>
      </c>
      <c r="J156" s="106" t="str">
        <f>IF(A156="","",N(E156)*H156)</f>
        <v/>
      </c>
      <c r="K156" s="107" t="str">
        <f>IF(A156="","",J156*W156)</f>
        <v/>
      </c>
      <c r="L156" s="108" t="str">
        <f>IF(A156="","",IF($K$6&gt;0,K156/$K$6,0))</f>
        <v/>
      </c>
      <c r="M156" s="109" t="str">
        <f>IF(A156="","",N(F156)-L156)</f>
        <v/>
      </c>
      <c r="N156" s="108" t="str">
        <f>IF(A156="","",IF($AB$6&gt;0,AB156/$AB$6,0))</f>
        <v/>
      </c>
      <c r="O156" s="110" t="str">
        <f>IF(A156="","",IF(AB156&lt;=0,"",COUNTIF($AB$9:$AB$208,"&gt;"&amp;AB156)+COUNTIF($AB$9:AB156,AB156)))</f>
        <v/>
      </c>
      <c r="P156" s="105" t="str">
        <f>IF(A156="","",IF(Q156&gt;0,"BUY","HOLD"))</f>
        <v/>
      </c>
      <c r="Q156" s="107" t="str">
        <f>IF(A156="","",IF($W$7&lt;=0,0,IF($AC$6&gt;0,$W$7*AC156/$AC$6,IF($F$6&gt;0,$W$7*N(F156)/$F$6,0))))</f>
        <v/>
      </c>
      <c r="R156" s="111" t="str">
        <f>IF(A156="","",N(AD156)+IF(AI156=1,N(AG156),0))</f>
        <v/>
      </c>
      <c r="S156" s="111" t="str">
        <f>IF(A156="","",N(E156)+N(R156))</f>
        <v/>
      </c>
      <c r="T156" s="107" t="str">
        <f>IF(A156="","",IF(N(R156)&gt;0,R156*H156*W156*$W$6+p_CorrFixa,0))</f>
        <v/>
      </c>
      <c r="V156" s="85" t="str">
        <f>IF(A156="","",IF(D156="",$W$1,D156))</f>
        <v/>
      </c>
      <c r="W156" s="85" t="str">
        <f>IF(A156="","",IFERROR(INDEX(moeda_fx,MATCH(V156,moeda_cod,0)),0))</f>
        <v/>
      </c>
      <c r="X156" s="85" t="str">
        <f>IF(A156="","",IF($W$2="",UPPER(TRIM(A156)),IF(RIGHT(UPPER(TRIM(A156)),LEN($W$2))=$W$2,UPPER(TRIM(A156)),UPPER(TRIM(A156))&amp;$W$2)))</f>
        <v/>
      </c>
      <c r="Y156" s="85" t="str">
        <f>IF(OR(A156="",p_ModoCot&lt;&gt;"Automático"),"",IFERROR(_xlfn.WEBSERVICE("https://query1.finance.yahoo.com/v8/finance/chart/"&amp;X156&amp;"?range=1d&amp;interval=1d"),""))</f>
        <v/>
      </c>
      <c r="Z156" s="85" t="str">
        <f>IF(Y156="","",IFERROR(_xlfn.NUMBERVALUE(MID(Y156,SEARCH("""regularMarketPrice"":",Y156)+21,SEARCH(",",Y156&amp;",",SEARCH("""regularMarketPrice"":",Y156)+21)-SEARCH("""regularMarketPrice"":",Y156)-21),".",","),""))</f>
        <v/>
      </c>
      <c r="AA156" s="85" t="str">
        <f>IF(A156="","",ROUND(MAX(0,N(F156)*($K$6+$W$7)-K156),2))</f>
        <v/>
      </c>
      <c r="AB156" s="85" t="str">
        <f>IF(A156="","",IF(AND(M156&gt;0,M156&gt;=p_DifMin),AA156,0))</f>
        <v/>
      </c>
      <c r="AC156" s="85" t="str">
        <f>IF(A156="","",IF(AND(AB156&gt;0,N(O156)&lt;=p_MaxAtivos),AB156,0))</f>
        <v/>
      </c>
      <c r="AD156" s="85" t="str">
        <f>IF(A156="","",IF(OR(Q156&lt;=0,Q156&lt;p_CompraMin,N(H156)&lt;=0,N(W156)&lt;=0),0,IF($W$3="Sim",TRUNC(ROUND(MAX(0,(Q156-p_CorrFixa)/(H156*W156*$W$6)),9),$W$4),TRUNC(ROUND(MAX(0,(Q156-p_CorrFixa)/(H156*W156*$W$6)),9)/$W$5)*$W$5)))</f>
        <v/>
      </c>
      <c r="AE156" s="85" t="str">
        <f>IF(A156="","",IF(N(AD156)&gt;0,AD156*H156*W156*$W$6+p_CorrFixa,0))</f>
        <v/>
      </c>
      <c r="AF156" s="85" t="str">
        <f>IF(A156="","",IF(OR($Y$1&lt;=0,N(H156)&lt;=0,N(W156)&lt;=0,N(AB156)&lt;=0),0,IF($W$3="Sim",TRUNC(ROUND(MAX(0,($Y$1-IF(N(AD156)&gt;0,0,p_CorrFixa))/(H156*W156*$W$6)),9),$W$4),TRUNC(ROUND(MAX(0,($Y$1-IF(N(AD156)&gt;0,0,p_CorrFixa))/(H156*W156*$W$6)),9)/$W$5)*$W$5)))</f>
        <v/>
      </c>
      <c r="AG156" s="85" t="str">
        <f>IF(A156="","",IF(AND(N(AD156)=0,N(AF156)*(H156*W156*$W$6)+p_CorrFixa&lt;p_CompraMin),0,AF156))</f>
        <v/>
      </c>
      <c r="AH156" s="85" t="str">
        <f>IF(A156="","",IF(N(AG156)&gt;0,AB156,0))</f>
        <v/>
      </c>
      <c r="AI156" s="85" t="str">
        <f>IF(A156="","",IF(AND(AH156&gt;0,AH156=$AH$6,COUNTIF($AH$9:AH156,AH156)=1),1,0))</f>
        <v/>
      </c>
    </row>
    <row r="157">
      <c r="A157" s="96" t="n"/>
      <c r="B157" s="96" t="n"/>
      <c r="C157" s="96" t="n"/>
      <c r="D157" s="97" t="n"/>
      <c r="E157" s="98" t="n"/>
      <c r="F157" s="99" t="n"/>
      <c r="G157" s="100" t="n"/>
      <c r="H157" s="101" t="str">
        <f>IF(A157="","",IF(AND(p_ModoCot="Automático",ISNUMBER(Z157)),Z157,IF(N(G157)&gt;0,G157,0)))</f>
        <v/>
      </c>
      <c r="I157" s="73" t="str">
        <f>IF(A157="","",IF(W157=0,"Sem câmbio",IF(AND(p_ModoCot="Automático",ISNUMBER(Z157)),"Auto",IF(N(G157)&gt;0,"Manual","Sem cotação"))))</f>
        <v/>
      </c>
      <c r="J157" s="102" t="str">
        <f>IF(A157="","",N(E157)*H157)</f>
        <v/>
      </c>
      <c r="K157" s="70" t="str">
        <f>IF(A157="","",J157*W157)</f>
        <v/>
      </c>
      <c r="L157" s="30" t="str">
        <f>IF(A157="","",IF($K$6&gt;0,K157/$K$6,0))</f>
        <v/>
      </c>
      <c r="M157" s="72" t="str">
        <f>IF(A157="","",N(F157)-L157)</f>
        <v/>
      </c>
      <c r="N157" s="30" t="str">
        <f>IF(A157="","",IF($AB$6&gt;0,AB157/$AB$6,0))</f>
        <v/>
      </c>
      <c r="O157" s="74" t="str">
        <f>IF(A157="","",IF(AB157&lt;=0,"",COUNTIF($AB$9:$AB$208,"&gt;"&amp;AB157)+COUNTIF($AB$9:AB157,AB157)))</f>
        <v/>
      </c>
      <c r="P157" s="73" t="str">
        <f>IF(A157="","",IF(Q157&gt;0,"BUY","HOLD"))</f>
        <v/>
      </c>
      <c r="Q157" s="70" t="str">
        <f>IF(A157="","",IF($W$7&lt;=0,0,IF($AC$6&gt;0,$W$7*AC157/$AC$6,IF($F$6&gt;0,$W$7*N(F157)/$F$6,0))))</f>
        <v/>
      </c>
      <c r="R157" s="103" t="str">
        <f>IF(A157="","",N(AD157)+IF(AI157=1,N(AG157),0))</f>
        <v/>
      </c>
      <c r="S157" s="103" t="str">
        <f>IF(A157="","",N(E157)+N(R157))</f>
        <v/>
      </c>
      <c r="T157" s="70" t="str">
        <f>IF(A157="","",IF(N(R157)&gt;0,R157*H157*W157*$W$6+p_CorrFixa,0))</f>
        <v/>
      </c>
      <c r="V157" s="85" t="str">
        <f>IF(A157="","",IF(D157="",$W$1,D157))</f>
        <v/>
      </c>
      <c r="W157" s="85" t="str">
        <f>IF(A157="","",IFERROR(INDEX(moeda_fx,MATCH(V157,moeda_cod,0)),0))</f>
        <v/>
      </c>
      <c r="X157" s="85" t="str">
        <f>IF(A157="","",IF($W$2="",UPPER(TRIM(A157)),IF(RIGHT(UPPER(TRIM(A157)),LEN($W$2))=$W$2,UPPER(TRIM(A157)),UPPER(TRIM(A157))&amp;$W$2)))</f>
        <v/>
      </c>
      <c r="Y157" s="85" t="str">
        <f>IF(OR(A157="",p_ModoCot&lt;&gt;"Automático"),"",IFERROR(_xlfn.WEBSERVICE("https://query1.finance.yahoo.com/v8/finance/chart/"&amp;X157&amp;"?range=1d&amp;interval=1d"),""))</f>
        <v/>
      </c>
      <c r="Z157" s="85" t="str">
        <f>IF(Y157="","",IFERROR(_xlfn.NUMBERVALUE(MID(Y157,SEARCH("""regularMarketPrice"":",Y157)+21,SEARCH(",",Y157&amp;",",SEARCH("""regularMarketPrice"":",Y157)+21)-SEARCH("""regularMarketPrice"":",Y157)-21),".",","),""))</f>
        <v/>
      </c>
      <c r="AA157" s="85" t="str">
        <f>IF(A157="","",ROUND(MAX(0,N(F157)*($K$6+$W$7)-K157),2))</f>
        <v/>
      </c>
      <c r="AB157" s="85" t="str">
        <f>IF(A157="","",IF(AND(M157&gt;0,M157&gt;=p_DifMin),AA157,0))</f>
        <v/>
      </c>
      <c r="AC157" s="85" t="str">
        <f>IF(A157="","",IF(AND(AB157&gt;0,N(O157)&lt;=p_MaxAtivos),AB157,0))</f>
        <v/>
      </c>
      <c r="AD157" s="85" t="str">
        <f>IF(A157="","",IF(OR(Q157&lt;=0,Q157&lt;p_CompraMin,N(H157)&lt;=0,N(W157)&lt;=0),0,IF($W$3="Sim",TRUNC(ROUND(MAX(0,(Q157-p_CorrFixa)/(H157*W157*$W$6)),9),$W$4),TRUNC(ROUND(MAX(0,(Q157-p_CorrFixa)/(H157*W157*$W$6)),9)/$W$5)*$W$5)))</f>
        <v/>
      </c>
      <c r="AE157" s="85" t="str">
        <f>IF(A157="","",IF(N(AD157)&gt;0,AD157*H157*W157*$W$6+p_CorrFixa,0))</f>
        <v/>
      </c>
      <c r="AF157" s="85" t="str">
        <f>IF(A157="","",IF(OR($Y$1&lt;=0,N(H157)&lt;=0,N(W157)&lt;=0,N(AB157)&lt;=0),0,IF($W$3="Sim",TRUNC(ROUND(MAX(0,($Y$1-IF(N(AD157)&gt;0,0,p_CorrFixa))/(H157*W157*$W$6)),9),$W$4),TRUNC(ROUND(MAX(0,($Y$1-IF(N(AD157)&gt;0,0,p_CorrFixa))/(H157*W157*$W$6)),9)/$W$5)*$W$5)))</f>
        <v/>
      </c>
      <c r="AG157" s="85" t="str">
        <f>IF(A157="","",IF(AND(N(AD157)=0,N(AF157)*(H157*W157*$W$6)+p_CorrFixa&lt;p_CompraMin),0,AF157))</f>
        <v/>
      </c>
      <c r="AH157" s="85" t="str">
        <f>IF(A157="","",IF(N(AG157)&gt;0,AB157,0))</f>
        <v/>
      </c>
      <c r="AI157" s="85" t="str">
        <f>IF(A157="","",IF(AND(AH157&gt;0,AH157=$AH$6,COUNTIF($AH$9:AH157,AH157)=1),1,0))</f>
        <v/>
      </c>
    </row>
    <row r="158">
      <c r="A158" s="96" t="n"/>
      <c r="B158" s="96" t="n"/>
      <c r="C158" s="96" t="n"/>
      <c r="D158" s="97" t="n"/>
      <c r="E158" s="98" t="n"/>
      <c r="F158" s="99" t="n"/>
      <c r="G158" s="100" t="n"/>
      <c r="H158" s="104" t="str">
        <f>IF(A158="","",IF(AND(p_ModoCot="Automático",ISNUMBER(Z158)),Z158,IF(N(G158)&gt;0,G158,0)))</f>
        <v/>
      </c>
      <c r="I158" s="105" t="str">
        <f>IF(A158="","",IF(W158=0,"Sem câmbio",IF(AND(p_ModoCot="Automático",ISNUMBER(Z158)),"Auto",IF(N(G158)&gt;0,"Manual","Sem cotação"))))</f>
        <v/>
      </c>
      <c r="J158" s="106" t="str">
        <f>IF(A158="","",N(E158)*H158)</f>
        <v/>
      </c>
      <c r="K158" s="107" t="str">
        <f>IF(A158="","",J158*W158)</f>
        <v/>
      </c>
      <c r="L158" s="108" t="str">
        <f>IF(A158="","",IF($K$6&gt;0,K158/$K$6,0))</f>
        <v/>
      </c>
      <c r="M158" s="109" t="str">
        <f>IF(A158="","",N(F158)-L158)</f>
        <v/>
      </c>
      <c r="N158" s="108" t="str">
        <f>IF(A158="","",IF($AB$6&gt;0,AB158/$AB$6,0))</f>
        <v/>
      </c>
      <c r="O158" s="110" t="str">
        <f>IF(A158="","",IF(AB158&lt;=0,"",COUNTIF($AB$9:$AB$208,"&gt;"&amp;AB158)+COUNTIF($AB$9:AB158,AB158)))</f>
        <v/>
      </c>
      <c r="P158" s="105" t="str">
        <f>IF(A158="","",IF(Q158&gt;0,"BUY","HOLD"))</f>
        <v/>
      </c>
      <c r="Q158" s="107" t="str">
        <f>IF(A158="","",IF($W$7&lt;=0,0,IF($AC$6&gt;0,$W$7*AC158/$AC$6,IF($F$6&gt;0,$W$7*N(F158)/$F$6,0))))</f>
        <v/>
      </c>
      <c r="R158" s="111" t="str">
        <f>IF(A158="","",N(AD158)+IF(AI158=1,N(AG158),0))</f>
        <v/>
      </c>
      <c r="S158" s="111" t="str">
        <f>IF(A158="","",N(E158)+N(R158))</f>
        <v/>
      </c>
      <c r="T158" s="107" t="str">
        <f>IF(A158="","",IF(N(R158)&gt;0,R158*H158*W158*$W$6+p_CorrFixa,0))</f>
        <v/>
      </c>
      <c r="V158" s="85" t="str">
        <f>IF(A158="","",IF(D158="",$W$1,D158))</f>
        <v/>
      </c>
      <c r="W158" s="85" t="str">
        <f>IF(A158="","",IFERROR(INDEX(moeda_fx,MATCH(V158,moeda_cod,0)),0))</f>
        <v/>
      </c>
      <c r="X158" s="85" t="str">
        <f>IF(A158="","",IF($W$2="",UPPER(TRIM(A158)),IF(RIGHT(UPPER(TRIM(A158)),LEN($W$2))=$W$2,UPPER(TRIM(A158)),UPPER(TRIM(A158))&amp;$W$2)))</f>
        <v/>
      </c>
      <c r="Y158" s="85" t="str">
        <f>IF(OR(A158="",p_ModoCot&lt;&gt;"Automático"),"",IFERROR(_xlfn.WEBSERVICE("https://query1.finance.yahoo.com/v8/finance/chart/"&amp;X158&amp;"?range=1d&amp;interval=1d"),""))</f>
        <v/>
      </c>
      <c r="Z158" s="85" t="str">
        <f>IF(Y158="","",IFERROR(_xlfn.NUMBERVALUE(MID(Y158,SEARCH("""regularMarketPrice"":",Y158)+21,SEARCH(",",Y158&amp;",",SEARCH("""regularMarketPrice"":",Y158)+21)-SEARCH("""regularMarketPrice"":",Y158)-21),".",","),""))</f>
        <v/>
      </c>
      <c r="AA158" s="85" t="str">
        <f>IF(A158="","",ROUND(MAX(0,N(F158)*($K$6+$W$7)-K158),2))</f>
        <v/>
      </c>
      <c r="AB158" s="85" t="str">
        <f>IF(A158="","",IF(AND(M158&gt;0,M158&gt;=p_DifMin),AA158,0))</f>
        <v/>
      </c>
      <c r="AC158" s="85" t="str">
        <f>IF(A158="","",IF(AND(AB158&gt;0,N(O158)&lt;=p_MaxAtivos),AB158,0))</f>
        <v/>
      </c>
      <c r="AD158" s="85" t="str">
        <f>IF(A158="","",IF(OR(Q158&lt;=0,Q158&lt;p_CompraMin,N(H158)&lt;=0,N(W158)&lt;=0),0,IF($W$3="Sim",TRUNC(ROUND(MAX(0,(Q158-p_CorrFixa)/(H158*W158*$W$6)),9),$W$4),TRUNC(ROUND(MAX(0,(Q158-p_CorrFixa)/(H158*W158*$W$6)),9)/$W$5)*$W$5)))</f>
        <v/>
      </c>
      <c r="AE158" s="85" t="str">
        <f>IF(A158="","",IF(N(AD158)&gt;0,AD158*H158*W158*$W$6+p_CorrFixa,0))</f>
        <v/>
      </c>
      <c r="AF158" s="85" t="str">
        <f>IF(A158="","",IF(OR($Y$1&lt;=0,N(H158)&lt;=0,N(W158)&lt;=0,N(AB158)&lt;=0),0,IF($W$3="Sim",TRUNC(ROUND(MAX(0,($Y$1-IF(N(AD158)&gt;0,0,p_CorrFixa))/(H158*W158*$W$6)),9),$W$4),TRUNC(ROUND(MAX(0,($Y$1-IF(N(AD158)&gt;0,0,p_CorrFixa))/(H158*W158*$W$6)),9)/$W$5)*$W$5)))</f>
        <v/>
      </c>
      <c r="AG158" s="85" t="str">
        <f>IF(A158="","",IF(AND(N(AD158)=0,N(AF158)*(H158*W158*$W$6)+p_CorrFixa&lt;p_CompraMin),0,AF158))</f>
        <v/>
      </c>
      <c r="AH158" s="85" t="str">
        <f>IF(A158="","",IF(N(AG158)&gt;0,AB158,0))</f>
        <v/>
      </c>
      <c r="AI158" s="85" t="str">
        <f>IF(A158="","",IF(AND(AH158&gt;0,AH158=$AH$6,COUNTIF($AH$9:AH158,AH158)=1),1,0))</f>
        <v/>
      </c>
    </row>
    <row r="159">
      <c r="A159" s="96" t="n"/>
      <c r="B159" s="96" t="n"/>
      <c r="C159" s="96" t="n"/>
      <c r="D159" s="97" t="n"/>
      <c r="E159" s="98" t="n"/>
      <c r="F159" s="99" t="n"/>
      <c r="G159" s="100" t="n"/>
      <c r="H159" s="101" t="str">
        <f>IF(A159="","",IF(AND(p_ModoCot="Automático",ISNUMBER(Z159)),Z159,IF(N(G159)&gt;0,G159,0)))</f>
        <v/>
      </c>
      <c r="I159" s="73" t="str">
        <f>IF(A159="","",IF(W159=0,"Sem câmbio",IF(AND(p_ModoCot="Automático",ISNUMBER(Z159)),"Auto",IF(N(G159)&gt;0,"Manual","Sem cotação"))))</f>
        <v/>
      </c>
      <c r="J159" s="102" t="str">
        <f>IF(A159="","",N(E159)*H159)</f>
        <v/>
      </c>
      <c r="K159" s="70" t="str">
        <f>IF(A159="","",J159*W159)</f>
        <v/>
      </c>
      <c r="L159" s="30" t="str">
        <f>IF(A159="","",IF($K$6&gt;0,K159/$K$6,0))</f>
        <v/>
      </c>
      <c r="M159" s="72" t="str">
        <f>IF(A159="","",N(F159)-L159)</f>
        <v/>
      </c>
      <c r="N159" s="30" t="str">
        <f>IF(A159="","",IF($AB$6&gt;0,AB159/$AB$6,0))</f>
        <v/>
      </c>
      <c r="O159" s="74" t="str">
        <f>IF(A159="","",IF(AB159&lt;=0,"",COUNTIF($AB$9:$AB$208,"&gt;"&amp;AB159)+COUNTIF($AB$9:AB159,AB159)))</f>
        <v/>
      </c>
      <c r="P159" s="73" t="str">
        <f>IF(A159="","",IF(Q159&gt;0,"BUY","HOLD"))</f>
        <v/>
      </c>
      <c r="Q159" s="70" t="str">
        <f>IF(A159="","",IF($W$7&lt;=0,0,IF($AC$6&gt;0,$W$7*AC159/$AC$6,IF($F$6&gt;0,$W$7*N(F159)/$F$6,0))))</f>
        <v/>
      </c>
      <c r="R159" s="103" t="str">
        <f>IF(A159="","",N(AD159)+IF(AI159=1,N(AG159),0))</f>
        <v/>
      </c>
      <c r="S159" s="103" t="str">
        <f>IF(A159="","",N(E159)+N(R159))</f>
        <v/>
      </c>
      <c r="T159" s="70" t="str">
        <f>IF(A159="","",IF(N(R159)&gt;0,R159*H159*W159*$W$6+p_CorrFixa,0))</f>
        <v/>
      </c>
      <c r="V159" s="85" t="str">
        <f>IF(A159="","",IF(D159="",$W$1,D159))</f>
        <v/>
      </c>
      <c r="W159" s="85" t="str">
        <f>IF(A159="","",IFERROR(INDEX(moeda_fx,MATCH(V159,moeda_cod,0)),0))</f>
        <v/>
      </c>
      <c r="X159" s="85" t="str">
        <f>IF(A159="","",IF($W$2="",UPPER(TRIM(A159)),IF(RIGHT(UPPER(TRIM(A159)),LEN($W$2))=$W$2,UPPER(TRIM(A159)),UPPER(TRIM(A159))&amp;$W$2)))</f>
        <v/>
      </c>
      <c r="Y159" s="85" t="str">
        <f>IF(OR(A159="",p_ModoCot&lt;&gt;"Automático"),"",IFERROR(_xlfn.WEBSERVICE("https://query1.finance.yahoo.com/v8/finance/chart/"&amp;X159&amp;"?range=1d&amp;interval=1d"),""))</f>
        <v/>
      </c>
      <c r="Z159" s="85" t="str">
        <f>IF(Y159="","",IFERROR(_xlfn.NUMBERVALUE(MID(Y159,SEARCH("""regularMarketPrice"":",Y159)+21,SEARCH(",",Y159&amp;",",SEARCH("""regularMarketPrice"":",Y159)+21)-SEARCH("""regularMarketPrice"":",Y159)-21),".",","),""))</f>
        <v/>
      </c>
      <c r="AA159" s="85" t="str">
        <f>IF(A159="","",ROUND(MAX(0,N(F159)*($K$6+$W$7)-K159),2))</f>
        <v/>
      </c>
      <c r="AB159" s="85" t="str">
        <f>IF(A159="","",IF(AND(M159&gt;0,M159&gt;=p_DifMin),AA159,0))</f>
        <v/>
      </c>
      <c r="AC159" s="85" t="str">
        <f>IF(A159="","",IF(AND(AB159&gt;0,N(O159)&lt;=p_MaxAtivos),AB159,0))</f>
        <v/>
      </c>
      <c r="AD159" s="85" t="str">
        <f>IF(A159="","",IF(OR(Q159&lt;=0,Q159&lt;p_CompraMin,N(H159)&lt;=0,N(W159)&lt;=0),0,IF($W$3="Sim",TRUNC(ROUND(MAX(0,(Q159-p_CorrFixa)/(H159*W159*$W$6)),9),$W$4),TRUNC(ROUND(MAX(0,(Q159-p_CorrFixa)/(H159*W159*$W$6)),9)/$W$5)*$W$5)))</f>
        <v/>
      </c>
      <c r="AE159" s="85" t="str">
        <f>IF(A159="","",IF(N(AD159)&gt;0,AD159*H159*W159*$W$6+p_CorrFixa,0))</f>
        <v/>
      </c>
      <c r="AF159" s="85" t="str">
        <f>IF(A159="","",IF(OR($Y$1&lt;=0,N(H159)&lt;=0,N(W159)&lt;=0,N(AB159)&lt;=0),0,IF($W$3="Sim",TRUNC(ROUND(MAX(0,($Y$1-IF(N(AD159)&gt;0,0,p_CorrFixa))/(H159*W159*$W$6)),9),$W$4),TRUNC(ROUND(MAX(0,($Y$1-IF(N(AD159)&gt;0,0,p_CorrFixa))/(H159*W159*$W$6)),9)/$W$5)*$W$5)))</f>
        <v/>
      </c>
      <c r="AG159" s="85" t="str">
        <f>IF(A159="","",IF(AND(N(AD159)=0,N(AF159)*(H159*W159*$W$6)+p_CorrFixa&lt;p_CompraMin),0,AF159))</f>
        <v/>
      </c>
      <c r="AH159" s="85" t="str">
        <f>IF(A159="","",IF(N(AG159)&gt;0,AB159,0))</f>
        <v/>
      </c>
      <c r="AI159" s="85" t="str">
        <f>IF(A159="","",IF(AND(AH159&gt;0,AH159=$AH$6,COUNTIF($AH$9:AH159,AH159)=1),1,0))</f>
        <v/>
      </c>
    </row>
    <row r="160">
      <c r="A160" s="96" t="n"/>
      <c r="B160" s="96" t="n"/>
      <c r="C160" s="96" t="n"/>
      <c r="D160" s="97" t="n"/>
      <c r="E160" s="98" t="n"/>
      <c r="F160" s="99" t="n"/>
      <c r="G160" s="100" t="n"/>
      <c r="H160" s="104" t="str">
        <f>IF(A160="","",IF(AND(p_ModoCot="Automático",ISNUMBER(Z160)),Z160,IF(N(G160)&gt;0,G160,0)))</f>
        <v/>
      </c>
      <c r="I160" s="105" t="str">
        <f>IF(A160="","",IF(W160=0,"Sem câmbio",IF(AND(p_ModoCot="Automático",ISNUMBER(Z160)),"Auto",IF(N(G160)&gt;0,"Manual","Sem cotação"))))</f>
        <v/>
      </c>
      <c r="J160" s="106" t="str">
        <f>IF(A160="","",N(E160)*H160)</f>
        <v/>
      </c>
      <c r="K160" s="107" t="str">
        <f>IF(A160="","",J160*W160)</f>
        <v/>
      </c>
      <c r="L160" s="108" t="str">
        <f>IF(A160="","",IF($K$6&gt;0,K160/$K$6,0))</f>
        <v/>
      </c>
      <c r="M160" s="109" t="str">
        <f>IF(A160="","",N(F160)-L160)</f>
        <v/>
      </c>
      <c r="N160" s="108" t="str">
        <f>IF(A160="","",IF($AB$6&gt;0,AB160/$AB$6,0))</f>
        <v/>
      </c>
      <c r="O160" s="110" t="str">
        <f>IF(A160="","",IF(AB160&lt;=0,"",COUNTIF($AB$9:$AB$208,"&gt;"&amp;AB160)+COUNTIF($AB$9:AB160,AB160)))</f>
        <v/>
      </c>
      <c r="P160" s="105" t="str">
        <f>IF(A160="","",IF(Q160&gt;0,"BUY","HOLD"))</f>
        <v/>
      </c>
      <c r="Q160" s="107" t="str">
        <f>IF(A160="","",IF($W$7&lt;=0,0,IF($AC$6&gt;0,$W$7*AC160/$AC$6,IF($F$6&gt;0,$W$7*N(F160)/$F$6,0))))</f>
        <v/>
      </c>
      <c r="R160" s="111" t="str">
        <f>IF(A160="","",N(AD160)+IF(AI160=1,N(AG160),0))</f>
        <v/>
      </c>
      <c r="S160" s="111" t="str">
        <f>IF(A160="","",N(E160)+N(R160))</f>
        <v/>
      </c>
      <c r="T160" s="107" t="str">
        <f>IF(A160="","",IF(N(R160)&gt;0,R160*H160*W160*$W$6+p_CorrFixa,0))</f>
        <v/>
      </c>
      <c r="V160" s="85" t="str">
        <f>IF(A160="","",IF(D160="",$W$1,D160))</f>
        <v/>
      </c>
      <c r="W160" s="85" t="str">
        <f>IF(A160="","",IFERROR(INDEX(moeda_fx,MATCH(V160,moeda_cod,0)),0))</f>
        <v/>
      </c>
      <c r="X160" s="85" t="str">
        <f>IF(A160="","",IF($W$2="",UPPER(TRIM(A160)),IF(RIGHT(UPPER(TRIM(A160)),LEN($W$2))=$W$2,UPPER(TRIM(A160)),UPPER(TRIM(A160))&amp;$W$2)))</f>
        <v/>
      </c>
      <c r="Y160" s="85" t="str">
        <f>IF(OR(A160="",p_ModoCot&lt;&gt;"Automático"),"",IFERROR(_xlfn.WEBSERVICE("https://query1.finance.yahoo.com/v8/finance/chart/"&amp;X160&amp;"?range=1d&amp;interval=1d"),""))</f>
        <v/>
      </c>
      <c r="Z160" s="85" t="str">
        <f>IF(Y160="","",IFERROR(_xlfn.NUMBERVALUE(MID(Y160,SEARCH("""regularMarketPrice"":",Y160)+21,SEARCH(",",Y160&amp;",",SEARCH("""regularMarketPrice"":",Y160)+21)-SEARCH("""regularMarketPrice"":",Y160)-21),".",","),""))</f>
        <v/>
      </c>
      <c r="AA160" s="85" t="str">
        <f>IF(A160="","",ROUND(MAX(0,N(F160)*($K$6+$W$7)-K160),2))</f>
        <v/>
      </c>
      <c r="AB160" s="85" t="str">
        <f>IF(A160="","",IF(AND(M160&gt;0,M160&gt;=p_DifMin),AA160,0))</f>
        <v/>
      </c>
      <c r="AC160" s="85" t="str">
        <f>IF(A160="","",IF(AND(AB160&gt;0,N(O160)&lt;=p_MaxAtivos),AB160,0))</f>
        <v/>
      </c>
      <c r="AD160" s="85" t="str">
        <f>IF(A160="","",IF(OR(Q160&lt;=0,Q160&lt;p_CompraMin,N(H160)&lt;=0,N(W160)&lt;=0),0,IF($W$3="Sim",TRUNC(ROUND(MAX(0,(Q160-p_CorrFixa)/(H160*W160*$W$6)),9),$W$4),TRUNC(ROUND(MAX(0,(Q160-p_CorrFixa)/(H160*W160*$W$6)),9)/$W$5)*$W$5)))</f>
        <v/>
      </c>
      <c r="AE160" s="85" t="str">
        <f>IF(A160="","",IF(N(AD160)&gt;0,AD160*H160*W160*$W$6+p_CorrFixa,0))</f>
        <v/>
      </c>
      <c r="AF160" s="85" t="str">
        <f>IF(A160="","",IF(OR($Y$1&lt;=0,N(H160)&lt;=0,N(W160)&lt;=0,N(AB160)&lt;=0),0,IF($W$3="Sim",TRUNC(ROUND(MAX(0,($Y$1-IF(N(AD160)&gt;0,0,p_CorrFixa))/(H160*W160*$W$6)),9),$W$4),TRUNC(ROUND(MAX(0,($Y$1-IF(N(AD160)&gt;0,0,p_CorrFixa))/(H160*W160*$W$6)),9)/$W$5)*$W$5)))</f>
        <v/>
      </c>
      <c r="AG160" s="85" t="str">
        <f>IF(A160="","",IF(AND(N(AD160)=0,N(AF160)*(H160*W160*$W$6)+p_CorrFixa&lt;p_CompraMin),0,AF160))</f>
        <v/>
      </c>
      <c r="AH160" s="85" t="str">
        <f>IF(A160="","",IF(N(AG160)&gt;0,AB160,0))</f>
        <v/>
      </c>
      <c r="AI160" s="85" t="str">
        <f>IF(A160="","",IF(AND(AH160&gt;0,AH160=$AH$6,COUNTIF($AH$9:AH160,AH160)=1),1,0))</f>
        <v/>
      </c>
    </row>
    <row r="161">
      <c r="A161" s="96" t="n"/>
      <c r="B161" s="96" t="n"/>
      <c r="C161" s="96" t="n"/>
      <c r="D161" s="97" t="n"/>
      <c r="E161" s="98" t="n"/>
      <c r="F161" s="99" t="n"/>
      <c r="G161" s="100" t="n"/>
      <c r="H161" s="101" t="str">
        <f>IF(A161="","",IF(AND(p_ModoCot="Automático",ISNUMBER(Z161)),Z161,IF(N(G161)&gt;0,G161,0)))</f>
        <v/>
      </c>
      <c r="I161" s="73" t="str">
        <f>IF(A161="","",IF(W161=0,"Sem câmbio",IF(AND(p_ModoCot="Automático",ISNUMBER(Z161)),"Auto",IF(N(G161)&gt;0,"Manual","Sem cotação"))))</f>
        <v/>
      </c>
      <c r="J161" s="102" t="str">
        <f>IF(A161="","",N(E161)*H161)</f>
        <v/>
      </c>
      <c r="K161" s="70" t="str">
        <f>IF(A161="","",J161*W161)</f>
        <v/>
      </c>
      <c r="L161" s="30" t="str">
        <f>IF(A161="","",IF($K$6&gt;0,K161/$K$6,0))</f>
        <v/>
      </c>
      <c r="M161" s="72" t="str">
        <f>IF(A161="","",N(F161)-L161)</f>
        <v/>
      </c>
      <c r="N161" s="30" t="str">
        <f>IF(A161="","",IF($AB$6&gt;0,AB161/$AB$6,0))</f>
        <v/>
      </c>
      <c r="O161" s="74" t="str">
        <f>IF(A161="","",IF(AB161&lt;=0,"",COUNTIF($AB$9:$AB$208,"&gt;"&amp;AB161)+COUNTIF($AB$9:AB161,AB161)))</f>
        <v/>
      </c>
      <c r="P161" s="73" t="str">
        <f>IF(A161="","",IF(Q161&gt;0,"BUY","HOLD"))</f>
        <v/>
      </c>
      <c r="Q161" s="70" t="str">
        <f>IF(A161="","",IF($W$7&lt;=0,0,IF($AC$6&gt;0,$W$7*AC161/$AC$6,IF($F$6&gt;0,$W$7*N(F161)/$F$6,0))))</f>
        <v/>
      </c>
      <c r="R161" s="103" t="str">
        <f>IF(A161="","",N(AD161)+IF(AI161=1,N(AG161),0))</f>
        <v/>
      </c>
      <c r="S161" s="103" t="str">
        <f>IF(A161="","",N(E161)+N(R161))</f>
        <v/>
      </c>
      <c r="T161" s="70" t="str">
        <f>IF(A161="","",IF(N(R161)&gt;0,R161*H161*W161*$W$6+p_CorrFixa,0))</f>
        <v/>
      </c>
      <c r="V161" s="85" t="str">
        <f>IF(A161="","",IF(D161="",$W$1,D161))</f>
        <v/>
      </c>
      <c r="W161" s="85" t="str">
        <f>IF(A161="","",IFERROR(INDEX(moeda_fx,MATCH(V161,moeda_cod,0)),0))</f>
        <v/>
      </c>
      <c r="X161" s="85" t="str">
        <f>IF(A161="","",IF($W$2="",UPPER(TRIM(A161)),IF(RIGHT(UPPER(TRIM(A161)),LEN($W$2))=$W$2,UPPER(TRIM(A161)),UPPER(TRIM(A161))&amp;$W$2)))</f>
        <v/>
      </c>
      <c r="Y161" s="85" t="str">
        <f>IF(OR(A161="",p_ModoCot&lt;&gt;"Automático"),"",IFERROR(_xlfn.WEBSERVICE("https://query1.finance.yahoo.com/v8/finance/chart/"&amp;X161&amp;"?range=1d&amp;interval=1d"),""))</f>
        <v/>
      </c>
      <c r="Z161" s="85" t="str">
        <f>IF(Y161="","",IFERROR(_xlfn.NUMBERVALUE(MID(Y161,SEARCH("""regularMarketPrice"":",Y161)+21,SEARCH(",",Y161&amp;",",SEARCH("""regularMarketPrice"":",Y161)+21)-SEARCH("""regularMarketPrice"":",Y161)-21),".",","),""))</f>
        <v/>
      </c>
      <c r="AA161" s="85" t="str">
        <f>IF(A161="","",ROUND(MAX(0,N(F161)*($K$6+$W$7)-K161),2))</f>
        <v/>
      </c>
      <c r="AB161" s="85" t="str">
        <f>IF(A161="","",IF(AND(M161&gt;0,M161&gt;=p_DifMin),AA161,0))</f>
        <v/>
      </c>
      <c r="AC161" s="85" t="str">
        <f>IF(A161="","",IF(AND(AB161&gt;0,N(O161)&lt;=p_MaxAtivos),AB161,0))</f>
        <v/>
      </c>
      <c r="AD161" s="85" t="str">
        <f>IF(A161="","",IF(OR(Q161&lt;=0,Q161&lt;p_CompraMin,N(H161)&lt;=0,N(W161)&lt;=0),0,IF($W$3="Sim",TRUNC(ROUND(MAX(0,(Q161-p_CorrFixa)/(H161*W161*$W$6)),9),$W$4),TRUNC(ROUND(MAX(0,(Q161-p_CorrFixa)/(H161*W161*$W$6)),9)/$W$5)*$W$5)))</f>
        <v/>
      </c>
      <c r="AE161" s="85" t="str">
        <f>IF(A161="","",IF(N(AD161)&gt;0,AD161*H161*W161*$W$6+p_CorrFixa,0))</f>
        <v/>
      </c>
      <c r="AF161" s="85" t="str">
        <f>IF(A161="","",IF(OR($Y$1&lt;=0,N(H161)&lt;=0,N(W161)&lt;=0,N(AB161)&lt;=0),0,IF($W$3="Sim",TRUNC(ROUND(MAX(0,($Y$1-IF(N(AD161)&gt;0,0,p_CorrFixa))/(H161*W161*$W$6)),9),$W$4),TRUNC(ROUND(MAX(0,($Y$1-IF(N(AD161)&gt;0,0,p_CorrFixa))/(H161*W161*$W$6)),9)/$W$5)*$W$5)))</f>
        <v/>
      </c>
      <c r="AG161" s="85" t="str">
        <f>IF(A161="","",IF(AND(N(AD161)=0,N(AF161)*(H161*W161*$W$6)+p_CorrFixa&lt;p_CompraMin),0,AF161))</f>
        <v/>
      </c>
      <c r="AH161" s="85" t="str">
        <f>IF(A161="","",IF(N(AG161)&gt;0,AB161,0))</f>
        <v/>
      </c>
      <c r="AI161" s="85" t="str">
        <f>IF(A161="","",IF(AND(AH161&gt;0,AH161=$AH$6,COUNTIF($AH$9:AH161,AH161)=1),1,0))</f>
        <v/>
      </c>
    </row>
    <row r="162">
      <c r="A162" s="96" t="n"/>
      <c r="B162" s="96" t="n"/>
      <c r="C162" s="96" t="n"/>
      <c r="D162" s="97" t="n"/>
      <c r="E162" s="98" t="n"/>
      <c r="F162" s="99" t="n"/>
      <c r="G162" s="100" t="n"/>
      <c r="H162" s="104" t="str">
        <f>IF(A162="","",IF(AND(p_ModoCot="Automático",ISNUMBER(Z162)),Z162,IF(N(G162)&gt;0,G162,0)))</f>
        <v/>
      </c>
      <c r="I162" s="105" t="str">
        <f>IF(A162="","",IF(W162=0,"Sem câmbio",IF(AND(p_ModoCot="Automático",ISNUMBER(Z162)),"Auto",IF(N(G162)&gt;0,"Manual","Sem cotação"))))</f>
        <v/>
      </c>
      <c r="J162" s="106" t="str">
        <f>IF(A162="","",N(E162)*H162)</f>
        <v/>
      </c>
      <c r="K162" s="107" t="str">
        <f>IF(A162="","",J162*W162)</f>
        <v/>
      </c>
      <c r="L162" s="108" t="str">
        <f>IF(A162="","",IF($K$6&gt;0,K162/$K$6,0))</f>
        <v/>
      </c>
      <c r="M162" s="109" t="str">
        <f>IF(A162="","",N(F162)-L162)</f>
        <v/>
      </c>
      <c r="N162" s="108" t="str">
        <f>IF(A162="","",IF($AB$6&gt;0,AB162/$AB$6,0))</f>
        <v/>
      </c>
      <c r="O162" s="110" t="str">
        <f>IF(A162="","",IF(AB162&lt;=0,"",COUNTIF($AB$9:$AB$208,"&gt;"&amp;AB162)+COUNTIF($AB$9:AB162,AB162)))</f>
        <v/>
      </c>
      <c r="P162" s="105" t="str">
        <f>IF(A162="","",IF(Q162&gt;0,"BUY","HOLD"))</f>
        <v/>
      </c>
      <c r="Q162" s="107" t="str">
        <f>IF(A162="","",IF($W$7&lt;=0,0,IF($AC$6&gt;0,$W$7*AC162/$AC$6,IF($F$6&gt;0,$W$7*N(F162)/$F$6,0))))</f>
        <v/>
      </c>
      <c r="R162" s="111" t="str">
        <f>IF(A162="","",N(AD162)+IF(AI162=1,N(AG162),0))</f>
        <v/>
      </c>
      <c r="S162" s="111" t="str">
        <f>IF(A162="","",N(E162)+N(R162))</f>
        <v/>
      </c>
      <c r="T162" s="107" t="str">
        <f>IF(A162="","",IF(N(R162)&gt;0,R162*H162*W162*$W$6+p_CorrFixa,0))</f>
        <v/>
      </c>
      <c r="V162" s="85" t="str">
        <f>IF(A162="","",IF(D162="",$W$1,D162))</f>
        <v/>
      </c>
      <c r="W162" s="85" t="str">
        <f>IF(A162="","",IFERROR(INDEX(moeda_fx,MATCH(V162,moeda_cod,0)),0))</f>
        <v/>
      </c>
      <c r="X162" s="85" t="str">
        <f>IF(A162="","",IF($W$2="",UPPER(TRIM(A162)),IF(RIGHT(UPPER(TRIM(A162)),LEN($W$2))=$W$2,UPPER(TRIM(A162)),UPPER(TRIM(A162))&amp;$W$2)))</f>
        <v/>
      </c>
      <c r="Y162" s="85" t="str">
        <f>IF(OR(A162="",p_ModoCot&lt;&gt;"Automático"),"",IFERROR(_xlfn.WEBSERVICE("https://query1.finance.yahoo.com/v8/finance/chart/"&amp;X162&amp;"?range=1d&amp;interval=1d"),""))</f>
        <v/>
      </c>
      <c r="Z162" s="85" t="str">
        <f>IF(Y162="","",IFERROR(_xlfn.NUMBERVALUE(MID(Y162,SEARCH("""regularMarketPrice"":",Y162)+21,SEARCH(",",Y162&amp;",",SEARCH("""regularMarketPrice"":",Y162)+21)-SEARCH("""regularMarketPrice"":",Y162)-21),".",","),""))</f>
        <v/>
      </c>
      <c r="AA162" s="85" t="str">
        <f>IF(A162="","",ROUND(MAX(0,N(F162)*($K$6+$W$7)-K162),2))</f>
        <v/>
      </c>
      <c r="AB162" s="85" t="str">
        <f>IF(A162="","",IF(AND(M162&gt;0,M162&gt;=p_DifMin),AA162,0))</f>
        <v/>
      </c>
      <c r="AC162" s="85" t="str">
        <f>IF(A162="","",IF(AND(AB162&gt;0,N(O162)&lt;=p_MaxAtivos),AB162,0))</f>
        <v/>
      </c>
      <c r="AD162" s="85" t="str">
        <f>IF(A162="","",IF(OR(Q162&lt;=0,Q162&lt;p_CompraMin,N(H162)&lt;=0,N(W162)&lt;=0),0,IF($W$3="Sim",TRUNC(ROUND(MAX(0,(Q162-p_CorrFixa)/(H162*W162*$W$6)),9),$W$4),TRUNC(ROUND(MAX(0,(Q162-p_CorrFixa)/(H162*W162*$W$6)),9)/$W$5)*$W$5)))</f>
        <v/>
      </c>
      <c r="AE162" s="85" t="str">
        <f>IF(A162="","",IF(N(AD162)&gt;0,AD162*H162*W162*$W$6+p_CorrFixa,0))</f>
        <v/>
      </c>
      <c r="AF162" s="85" t="str">
        <f>IF(A162="","",IF(OR($Y$1&lt;=0,N(H162)&lt;=0,N(W162)&lt;=0,N(AB162)&lt;=0),0,IF($W$3="Sim",TRUNC(ROUND(MAX(0,($Y$1-IF(N(AD162)&gt;0,0,p_CorrFixa))/(H162*W162*$W$6)),9),$W$4),TRUNC(ROUND(MAX(0,($Y$1-IF(N(AD162)&gt;0,0,p_CorrFixa))/(H162*W162*$W$6)),9)/$W$5)*$W$5)))</f>
        <v/>
      </c>
      <c r="AG162" s="85" t="str">
        <f>IF(A162="","",IF(AND(N(AD162)=0,N(AF162)*(H162*W162*$W$6)+p_CorrFixa&lt;p_CompraMin),0,AF162))</f>
        <v/>
      </c>
      <c r="AH162" s="85" t="str">
        <f>IF(A162="","",IF(N(AG162)&gt;0,AB162,0))</f>
        <v/>
      </c>
      <c r="AI162" s="85" t="str">
        <f>IF(A162="","",IF(AND(AH162&gt;0,AH162=$AH$6,COUNTIF($AH$9:AH162,AH162)=1),1,0))</f>
        <v/>
      </c>
    </row>
    <row r="163">
      <c r="A163" s="96" t="n"/>
      <c r="B163" s="96" t="n"/>
      <c r="C163" s="96" t="n"/>
      <c r="D163" s="97" t="n"/>
      <c r="E163" s="98" t="n"/>
      <c r="F163" s="99" t="n"/>
      <c r="G163" s="100" t="n"/>
      <c r="H163" s="101" t="str">
        <f>IF(A163="","",IF(AND(p_ModoCot="Automático",ISNUMBER(Z163)),Z163,IF(N(G163)&gt;0,G163,0)))</f>
        <v/>
      </c>
      <c r="I163" s="73" t="str">
        <f>IF(A163="","",IF(W163=0,"Sem câmbio",IF(AND(p_ModoCot="Automático",ISNUMBER(Z163)),"Auto",IF(N(G163)&gt;0,"Manual","Sem cotação"))))</f>
        <v/>
      </c>
      <c r="J163" s="102" t="str">
        <f>IF(A163="","",N(E163)*H163)</f>
        <v/>
      </c>
      <c r="K163" s="70" t="str">
        <f>IF(A163="","",J163*W163)</f>
        <v/>
      </c>
      <c r="L163" s="30" t="str">
        <f>IF(A163="","",IF($K$6&gt;0,K163/$K$6,0))</f>
        <v/>
      </c>
      <c r="M163" s="72" t="str">
        <f>IF(A163="","",N(F163)-L163)</f>
        <v/>
      </c>
      <c r="N163" s="30" t="str">
        <f>IF(A163="","",IF($AB$6&gt;0,AB163/$AB$6,0))</f>
        <v/>
      </c>
      <c r="O163" s="74" t="str">
        <f>IF(A163="","",IF(AB163&lt;=0,"",COUNTIF($AB$9:$AB$208,"&gt;"&amp;AB163)+COUNTIF($AB$9:AB163,AB163)))</f>
        <v/>
      </c>
      <c r="P163" s="73" t="str">
        <f>IF(A163="","",IF(Q163&gt;0,"BUY","HOLD"))</f>
        <v/>
      </c>
      <c r="Q163" s="70" t="str">
        <f>IF(A163="","",IF($W$7&lt;=0,0,IF($AC$6&gt;0,$W$7*AC163/$AC$6,IF($F$6&gt;0,$W$7*N(F163)/$F$6,0))))</f>
        <v/>
      </c>
      <c r="R163" s="103" t="str">
        <f>IF(A163="","",N(AD163)+IF(AI163=1,N(AG163),0))</f>
        <v/>
      </c>
      <c r="S163" s="103" t="str">
        <f>IF(A163="","",N(E163)+N(R163))</f>
        <v/>
      </c>
      <c r="T163" s="70" t="str">
        <f>IF(A163="","",IF(N(R163)&gt;0,R163*H163*W163*$W$6+p_CorrFixa,0))</f>
        <v/>
      </c>
      <c r="V163" s="85" t="str">
        <f>IF(A163="","",IF(D163="",$W$1,D163))</f>
        <v/>
      </c>
      <c r="W163" s="85" t="str">
        <f>IF(A163="","",IFERROR(INDEX(moeda_fx,MATCH(V163,moeda_cod,0)),0))</f>
        <v/>
      </c>
      <c r="X163" s="85" t="str">
        <f>IF(A163="","",IF($W$2="",UPPER(TRIM(A163)),IF(RIGHT(UPPER(TRIM(A163)),LEN($W$2))=$W$2,UPPER(TRIM(A163)),UPPER(TRIM(A163))&amp;$W$2)))</f>
        <v/>
      </c>
      <c r="Y163" s="85" t="str">
        <f>IF(OR(A163="",p_ModoCot&lt;&gt;"Automático"),"",IFERROR(_xlfn.WEBSERVICE("https://query1.finance.yahoo.com/v8/finance/chart/"&amp;X163&amp;"?range=1d&amp;interval=1d"),""))</f>
        <v/>
      </c>
      <c r="Z163" s="85" t="str">
        <f>IF(Y163="","",IFERROR(_xlfn.NUMBERVALUE(MID(Y163,SEARCH("""regularMarketPrice"":",Y163)+21,SEARCH(",",Y163&amp;",",SEARCH("""regularMarketPrice"":",Y163)+21)-SEARCH("""regularMarketPrice"":",Y163)-21),".",","),""))</f>
        <v/>
      </c>
      <c r="AA163" s="85" t="str">
        <f>IF(A163="","",ROUND(MAX(0,N(F163)*($K$6+$W$7)-K163),2))</f>
        <v/>
      </c>
      <c r="AB163" s="85" t="str">
        <f>IF(A163="","",IF(AND(M163&gt;0,M163&gt;=p_DifMin),AA163,0))</f>
        <v/>
      </c>
      <c r="AC163" s="85" t="str">
        <f>IF(A163="","",IF(AND(AB163&gt;0,N(O163)&lt;=p_MaxAtivos),AB163,0))</f>
        <v/>
      </c>
      <c r="AD163" s="85" t="str">
        <f>IF(A163="","",IF(OR(Q163&lt;=0,Q163&lt;p_CompraMin,N(H163)&lt;=0,N(W163)&lt;=0),0,IF($W$3="Sim",TRUNC(ROUND(MAX(0,(Q163-p_CorrFixa)/(H163*W163*$W$6)),9),$W$4),TRUNC(ROUND(MAX(0,(Q163-p_CorrFixa)/(H163*W163*$W$6)),9)/$W$5)*$W$5)))</f>
        <v/>
      </c>
      <c r="AE163" s="85" t="str">
        <f>IF(A163="","",IF(N(AD163)&gt;0,AD163*H163*W163*$W$6+p_CorrFixa,0))</f>
        <v/>
      </c>
      <c r="AF163" s="85" t="str">
        <f>IF(A163="","",IF(OR($Y$1&lt;=0,N(H163)&lt;=0,N(W163)&lt;=0,N(AB163)&lt;=0),0,IF($W$3="Sim",TRUNC(ROUND(MAX(0,($Y$1-IF(N(AD163)&gt;0,0,p_CorrFixa))/(H163*W163*$W$6)),9),$W$4),TRUNC(ROUND(MAX(0,($Y$1-IF(N(AD163)&gt;0,0,p_CorrFixa))/(H163*W163*$W$6)),9)/$W$5)*$W$5)))</f>
        <v/>
      </c>
      <c r="AG163" s="85" t="str">
        <f>IF(A163="","",IF(AND(N(AD163)=0,N(AF163)*(H163*W163*$W$6)+p_CorrFixa&lt;p_CompraMin),0,AF163))</f>
        <v/>
      </c>
      <c r="AH163" s="85" t="str">
        <f>IF(A163="","",IF(N(AG163)&gt;0,AB163,0))</f>
        <v/>
      </c>
      <c r="AI163" s="85" t="str">
        <f>IF(A163="","",IF(AND(AH163&gt;0,AH163=$AH$6,COUNTIF($AH$9:AH163,AH163)=1),1,0))</f>
        <v/>
      </c>
    </row>
    <row r="164">
      <c r="A164" s="96" t="n"/>
      <c r="B164" s="96" t="n"/>
      <c r="C164" s="96" t="n"/>
      <c r="D164" s="97" t="n"/>
      <c r="E164" s="98" t="n"/>
      <c r="F164" s="99" t="n"/>
      <c r="G164" s="100" t="n"/>
      <c r="H164" s="104" t="str">
        <f>IF(A164="","",IF(AND(p_ModoCot="Automático",ISNUMBER(Z164)),Z164,IF(N(G164)&gt;0,G164,0)))</f>
        <v/>
      </c>
      <c r="I164" s="105" t="str">
        <f>IF(A164="","",IF(W164=0,"Sem câmbio",IF(AND(p_ModoCot="Automático",ISNUMBER(Z164)),"Auto",IF(N(G164)&gt;0,"Manual","Sem cotação"))))</f>
        <v/>
      </c>
      <c r="J164" s="106" t="str">
        <f>IF(A164="","",N(E164)*H164)</f>
        <v/>
      </c>
      <c r="K164" s="107" t="str">
        <f>IF(A164="","",J164*W164)</f>
        <v/>
      </c>
      <c r="L164" s="108" t="str">
        <f>IF(A164="","",IF($K$6&gt;0,K164/$K$6,0))</f>
        <v/>
      </c>
      <c r="M164" s="109" t="str">
        <f>IF(A164="","",N(F164)-L164)</f>
        <v/>
      </c>
      <c r="N164" s="108" t="str">
        <f>IF(A164="","",IF($AB$6&gt;0,AB164/$AB$6,0))</f>
        <v/>
      </c>
      <c r="O164" s="110" t="str">
        <f>IF(A164="","",IF(AB164&lt;=0,"",COUNTIF($AB$9:$AB$208,"&gt;"&amp;AB164)+COUNTIF($AB$9:AB164,AB164)))</f>
        <v/>
      </c>
      <c r="P164" s="105" t="str">
        <f>IF(A164="","",IF(Q164&gt;0,"BUY","HOLD"))</f>
        <v/>
      </c>
      <c r="Q164" s="107" t="str">
        <f>IF(A164="","",IF($W$7&lt;=0,0,IF($AC$6&gt;0,$W$7*AC164/$AC$6,IF($F$6&gt;0,$W$7*N(F164)/$F$6,0))))</f>
        <v/>
      </c>
      <c r="R164" s="111" t="str">
        <f>IF(A164="","",N(AD164)+IF(AI164=1,N(AG164),0))</f>
        <v/>
      </c>
      <c r="S164" s="111" t="str">
        <f>IF(A164="","",N(E164)+N(R164))</f>
        <v/>
      </c>
      <c r="T164" s="107" t="str">
        <f>IF(A164="","",IF(N(R164)&gt;0,R164*H164*W164*$W$6+p_CorrFixa,0))</f>
        <v/>
      </c>
      <c r="V164" s="85" t="str">
        <f>IF(A164="","",IF(D164="",$W$1,D164))</f>
        <v/>
      </c>
      <c r="W164" s="85" t="str">
        <f>IF(A164="","",IFERROR(INDEX(moeda_fx,MATCH(V164,moeda_cod,0)),0))</f>
        <v/>
      </c>
      <c r="X164" s="85" t="str">
        <f>IF(A164="","",IF($W$2="",UPPER(TRIM(A164)),IF(RIGHT(UPPER(TRIM(A164)),LEN($W$2))=$W$2,UPPER(TRIM(A164)),UPPER(TRIM(A164))&amp;$W$2)))</f>
        <v/>
      </c>
      <c r="Y164" s="85" t="str">
        <f>IF(OR(A164="",p_ModoCot&lt;&gt;"Automático"),"",IFERROR(_xlfn.WEBSERVICE("https://query1.finance.yahoo.com/v8/finance/chart/"&amp;X164&amp;"?range=1d&amp;interval=1d"),""))</f>
        <v/>
      </c>
      <c r="Z164" s="85" t="str">
        <f>IF(Y164="","",IFERROR(_xlfn.NUMBERVALUE(MID(Y164,SEARCH("""regularMarketPrice"":",Y164)+21,SEARCH(",",Y164&amp;",",SEARCH("""regularMarketPrice"":",Y164)+21)-SEARCH("""regularMarketPrice"":",Y164)-21),".",","),""))</f>
        <v/>
      </c>
      <c r="AA164" s="85" t="str">
        <f>IF(A164="","",ROUND(MAX(0,N(F164)*($K$6+$W$7)-K164),2))</f>
        <v/>
      </c>
      <c r="AB164" s="85" t="str">
        <f>IF(A164="","",IF(AND(M164&gt;0,M164&gt;=p_DifMin),AA164,0))</f>
        <v/>
      </c>
      <c r="AC164" s="85" t="str">
        <f>IF(A164="","",IF(AND(AB164&gt;0,N(O164)&lt;=p_MaxAtivos),AB164,0))</f>
        <v/>
      </c>
      <c r="AD164" s="85" t="str">
        <f>IF(A164="","",IF(OR(Q164&lt;=0,Q164&lt;p_CompraMin,N(H164)&lt;=0,N(W164)&lt;=0),0,IF($W$3="Sim",TRUNC(ROUND(MAX(0,(Q164-p_CorrFixa)/(H164*W164*$W$6)),9),$W$4),TRUNC(ROUND(MAX(0,(Q164-p_CorrFixa)/(H164*W164*$W$6)),9)/$W$5)*$W$5)))</f>
        <v/>
      </c>
      <c r="AE164" s="85" t="str">
        <f>IF(A164="","",IF(N(AD164)&gt;0,AD164*H164*W164*$W$6+p_CorrFixa,0))</f>
        <v/>
      </c>
      <c r="AF164" s="85" t="str">
        <f>IF(A164="","",IF(OR($Y$1&lt;=0,N(H164)&lt;=0,N(W164)&lt;=0,N(AB164)&lt;=0),0,IF($W$3="Sim",TRUNC(ROUND(MAX(0,($Y$1-IF(N(AD164)&gt;0,0,p_CorrFixa))/(H164*W164*$W$6)),9),$W$4),TRUNC(ROUND(MAX(0,($Y$1-IF(N(AD164)&gt;0,0,p_CorrFixa))/(H164*W164*$W$6)),9)/$W$5)*$W$5)))</f>
        <v/>
      </c>
      <c r="AG164" s="85" t="str">
        <f>IF(A164="","",IF(AND(N(AD164)=0,N(AF164)*(H164*W164*$W$6)+p_CorrFixa&lt;p_CompraMin),0,AF164))</f>
        <v/>
      </c>
      <c r="AH164" s="85" t="str">
        <f>IF(A164="","",IF(N(AG164)&gt;0,AB164,0))</f>
        <v/>
      </c>
      <c r="AI164" s="85" t="str">
        <f>IF(A164="","",IF(AND(AH164&gt;0,AH164=$AH$6,COUNTIF($AH$9:AH164,AH164)=1),1,0))</f>
        <v/>
      </c>
    </row>
    <row r="165">
      <c r="A165" s="96" t="n"/>
      <c r="B165" s="96" t="n"/>
      <c r="C165" s="96" t="n"/>
      <c r="D165" s="97" t="n"/>
      <c r="E165" s="98" t="n"/>
      <c r="F165" s="99" t="n"/>
      <c r="G165" s="100" t="n"/>
      <c r="H165" s="101" t="str">
        <f>IF(A165="","",IF(AND(p_ModoCot="Automático",ISNUMBER(Z165)),Z165,IF(N(G165)&gt;0,G165,0)))</f>
        <v/>
      </c>
      <c r="I165" s="73" t="str">
        <f>IF(A165="","",IF(W165=0,"Sem câmbio",IF(AND(p_ModoCot="Automático",ISNUMBER(Z165)),"Auto",IF(N(G165)&gt;0,"Manual","Sem cotação"))))</f>
        <v/>
      </c>
      <c r="J165" s="102" t="str">
        <f>IF(A165="","",N(E165)*H165)</f>
        <v/>
      </c>
      <c r="K165" s="70" t="str">
        <f>IF(A165="","",J165*W165)</f>
        <v/>
      </c>
      <c r="L165" s="30" t="str">
        <f>IF(A165="","",IF($K$6&gt;0,K165/$K$6,0))</f>
        <v/>
      </c>
      <c r="M165" s="72" t="str">
        <f>IF(A165="","",N(F165)-L165)</f>
        <v/>
      </c>
      <c r="N165" s="30" t="str">
        <f>IF(A165="","",IF($AB$6&gt;0,AB165/$AB$6,0))</f>
        <v/>
      </c>
      <c r="O165" s="74" t="str">
        <f>IF(A165="","",IF(AB165&lt;=0,"",COUNTIF($AB$9:$AB$208,"&gt;"&amp;AB165)+COUNTIF($AB$9:AB165,AB165)))</f>
        <v/>
      </c>
      <c r="P165" s="73" t="str">
        <f>IF(A165="","",IF(Q165&gt;0,"BUY","HOLD"))</f>
        <v/>
      </c>
      <c r="Q165" s="70" t="str">
        <f>IF(A165="","",IF($W$7&lt;=0,0,IF($AC$6&gt;0,$W$7*AC165/$AC$6,IF($F$6&gt;0,$W$7*N(F165)/$F$6,0))))</f>
        <v/>
      </c>
      <c r="R165" s="103" t="str">
        <f>IF(A165="","",N(AD165)+IF(AI165=1,N(AG165),0))</f>
        <v/>
      </c>
      <c r="S165" s="103" t="str">
        <f>IF(A165="","",N(E165)+N(R165))</f>
        <v/>
      </c>
      <c r="T165" s="70" t="str">
        <f>IF(A165="","",IF(N(R165)&gt;0,R165*H165*W165*$W$6+p_CorrFixa,0))</f>
        <v/>
      </c>
      <c r="V165" s="85" t="str">
        <f>IF(A165="","",IF(D165="",$W$1,D165))</f>
        <v/>
      </c>
      <c r="W165" s="85" t="str">
        <f>IF(A165="","",IFERROR(INDEX(moeda_fx,MATCH(V165,moeda_cod,0)),0))</f>
        <v/>
      </c>
      <c r="X165" s="85" t="str">
        <f>IF(A165="","",IF($W$2="",UPPER(TRIM(A165)),IF(RIGHT(UPPER(TRIM(A165)),LEN($W$2))=$W$2,UPPER(TRIM(A165)),UPPER(TRIM(A165))&amp;$W$2)))</f>
        <v/>
      </c>
      <c r="Y165" s="85" t="str">
        <f>IF(OR(A165="",p_ModoCot&lt;&gt;"Automático"),"",IFERROR(_xlfn.WEBSERVICE("https://query1.finance.yahoo.com/v8/finance/chart/"&amp;X165&amp;"?range=1d&amp;interval=1d"),""))</f>
        <v/>
      </c>
      <c r="Z165" s="85" t="str">
        <f>IF(Y165="","",IFERROR(_xlfn.NUMBERVALUE(MID(Y165,SEARCH("""regularMarketPrice"":",Y165)+21,SEARCH(",",Y165&amp;",",SEARCH("""regularMarketPrice"":",Y165)+21)-SEARCH("""regularMarketPrice"":",Y165)-21),".",","),""))</f>
        <v/>
      </c>
      <c r="AA165" s="85" t="str">
        <f>IF(A165="","",ROUND(MAX(0,N(F165)*($K$6+$W$7)-K165),2))</f>
        <v/>
      </c>
      <c r="AB165" s="85" t="str">
        <f>IF(A165="","",IF(AND(M165&gt;0,M165&gt;=p_DifMin),AA165,0))</f>
        <v/>
      </c>
      <c r="AC165" s="85" t="str">
        <f>IF(A165="","",IF(AND(AB165&gt;0,N(O165)&lt;=p_MaxAtivos),AB165,0))</f>
        <v/>
      </c>
      <c r="AD165" s="85" t="str">
        <f>IF(A165="","",IF(OR(Q165&lt;=0,Q165&lt;p_CompraMin,N(H165)&lt;=0,N(W165)&lt;=0),0,IF($W$3="Sim",TRUNC(ROUND(MAX(0,(Q165-p_CorrFixa)/(H165*W165*$W$6)),9),$W$4),TRUNC(ROUND(MAX(0,(Q165-p_CorrFixa)/(H165*W165*$W$6)),9)/$W$5)*$W$5)))</f>
        <v/>
      </c>
      <c r="AE165" s="85" t="str">
        <f>IF(A165="","",IF(N(AD165)&gt;0,AD165*H165*W165*$W$6+p_CorrFixa,0))</f>
        <v/>
      </c>
      <c r="AF165" s="85" t="str">
        <f>IF(A165="","",IF(OR($Y$1&lt;=0,N(H165)&lt;=0,N(W165)&lt;=0,N(AB165)&lt;=0),0,IF($W$3="Sim",TRUNC(ROUND(MAX(0,($Y$1-IF(N(AD165)&gt;0,0,p_CorrFixa))/(H165*W165*$W$6)),9),$W$4),TRUNC(ROUND(MAX(0,($Y$1-IF(N(AD165)&gt;0,0,p_CorrFixa))/(H165*W165*$W$6)),9)/$W$5)*$W$5)))</f>
        <v/>
      </c>
      <c r="AG165" s="85" t="str">
        <f>IF(A165="","",IF(AND(N(AD165)=0,N(AF165)*(H165*W165*$W$6)+p_CorrFixa&lt;p_CompraMin),0,AF165))</f>
        <v/>
      </c>
      <c r="AH165" s="85" t="str">
        <f>IF(A165="","",IF(N(AG165)&gt;0,AB165,0))</f>
        <v/>
      </c>
      <c r="AI165" s="85" t="str">
        <f>IF(A165="","",IF(AND(AH165&gt;0,AH165=$AH$6,COUNTIF($AH$9:AH165,AH165)=1),1,0))</f>
        <v/>
      </c>
    </row>
    <row r="166">
      <c r="A166" s="96" t="n"/>
      <c r="B166" s="96" t="n"/>
      <c r="C166" s="96" t="n"/>
      <c r="D166" s="97" t="n"/>
      <c r="E166" s="98" t="n"/>
      <c r="F166" s="99" t="n"/>
      <c r="G166" s="100" t="n"/>
      <c r="H166" s="104" t="str">
        <f>IF(A166="","",IF(AND(p_ModoCot="Automático",ISNUMBER(Z166)),Z166,IF(N(G166)&gt;0,G166,0)))</f>
        <v/>
      </c>
      <c r="I166" s="105" t="str">
        <f>IF(A166="","",IF(W166=0,"Sem câmbio",IF(AND(p_ModoCot="Automático",ISNUMBER(Z166)),"Auto",IF(N(G166)&gt;0,"Manual","Sem cotação"))))</f>
        <v/>
      </c>
      <c r="J166" s="106" t="str">
        <f>IF(A166="","",N(E166)*H166)</f>
        <v/>
      </c>
      <c r="K166" s="107" t="str">
        <f>IF(A166="","",J166*W166)</f>
        <v/>
      </c>
      <c r="L166" s="108" t="str">
        <f>IF(A166="","",IF($K$6&gt;0,K166/$K$6,0))</f>
        <v/>
      </c>
      <c r="M166" s="109" t="str">
        <f>IF(A166="","",N(F166)-L166)</f>
        <v/>
      </c>
      <c r="N166" s="108" t="str">
        <f>IF(A166="","",IF($AB$6&gt;0,AB166/$AB$6,0))</f>
        <v/>
      </c>
      <c r="O166" s="110" t="str">
        <f>IF(A166="","",IF(AB166&lt;=0,"",COUNTIF($AB$9:$AB$208,"&gt;"&amp;AB166)+COUNTIF($AB$9:AB166,AB166)))</f>
        <v/>
      </c>
      <c r="P166" s="105" t="str">
        <f>IF(A166="","",IF(Q166&gt;0,"BUY","HOLD"))</f>
        <v/>
      </c>
      <c r="Q166" s="107" t="str">
        <f>IF(A166="","",IF($W$7&lt;=0,0,IF($AC$6&gt;0,$W$7*AC166/$AC$6,IF($F$6&gt;0,$W$7*N(F166)/$F$6,0))))</f>
        <v/>
      </c>
      <c r="R166" s="111" t="str">
        <f>IF(A166="","",N(AD166)+IF(AI166=1,N(AG166),0))</f>
        <v/>
      </c>
      <c r="S166" s="111" t="str">
        <f>IF(A166="","",N(E166)+N(R166))</f>
        <v/>
      </c>
      <c r="T166" s="107" t="str">
        <f>IF(A166="","",IF(N(R166)&gt;0,R166*H166*W166*$W$6+p_CorrFixa,0))</f>
        <v/>
      </c>
      <c r="V166" s="85" t="str">
        <f>IF(A166="","",IF(D166="",$W$1,D166))</f>
        <v/>
      </c>
      <c r="W166" s="85" t="str">
        <f>IF(A166="","",IFERROR(INDEX(moeda_fx,MATCH(V166,moeda_cod,0)),0))</f>
        <v/>
      </c>
      <c r="X166" s="85" t="str">
        <f>IF(A166="","",IF($W$2="",UPPER(TRIM(A166)),IF(RIGHT(UPPER(TRIM(A166)),LEN($W$2))=$W$2,UPPER(TRIM(A166)),UPPER(TRIM(A166))&amp;$W$2)))</f>
        <v/>
      </c>
      <c r="Y166" s="85" t="str">
        <f>IF(OR(A166="",p_ModoCot&lt;&gt;"Automático"),"",IFERROR(_xlfn.WEBSERVICE("https://query1.finance.yahoo.com/v8/finance/chart/"&amp;X166&amp;"?range=1d&amp;interval=1d"),""))</f>
        <v/>
      </c>
      <c r="Z166" s="85" t="str">
        <f>IF(Y166="","",IFERROR(_xlfn.NUMBERVALUE(MID(Y166,SEARCH("""regularMarketPrice"":",Y166)+21,SEARCH(",",Y166&amp;",",SEARCH("""regularMarketPrice"":",Y166)+21)-SEARCH("""regularMarketPrice"":",Y166)-21),".",","),""))</f>
        <v/>
      </c>
      <c r="AA166" s="85" t="str">
        <f>IF(A166="","",ROUND(MAX(0,N(F166)*($K$6+$W$7)-K166),2))</f>
        <v/>
      </c>
      <c r="AB166" s="85" t="str">
        <f>IF(A166="","",IF(AND(M166&gt;0,M166&gt;=p_DifMin),AA166,0))</f>
        <v/>
      </c>
      <c r="AC166" s="85" t="str">
        <f>IF(A166="","",IF(AND(AB166&gt;0,N(O166)&lt;=p_MaxAtivos),AB166,0))</f>
        <v/>
      </c>
      <c r="AD166" s="85" t="str">
        <f>IF(A166="","",IF(OR(Q166&lt;=0,Q166&lt;p_CompraMin,N(H166)&lt;=0,N(W166)&lt;=0),0,IF($W$3="Sim",TRUNC(ROUND(MAX(0,(Q166-p_CorrFixa)/(H166*W166*$W$6)),9),$W$4),TRUNC(ROUND(MAX(0,(Q166-p_CorrFixa)/(H166*W166*$W$6)),9)/$W$5)*$W$5)))</f>
        <v/>
      </c>
      <c r="AE166" s="85" t="str">
        <f>IF(A166="","",IF(N(AD166)&gt;0,AD166*H166*W166*$W$6+p_CorrFixa,0))</f>
        <v/>
      </c>
      <c r="AF166" s="85" t="str">
        <f>IF(A166="","",IF(OR($Y$1&lt;=0,N(H166)&lt;=0,N(W166)&lt;=0,N(AB166)&lt;=0),0,IF($W$3="Sim",TRUNC(ROUND(MAX(0,($Y$1-IF(N(AD166)&gt;0,0,p_CorrFixa))/(H166*W166*$W$6)),9),$W$4),TRUNC(ROUND(MAX(0,($Y$1-IF(N(AD166)&gt;0,0,p_CorrFixa))/(H166*W166*$W$6)),9)/$W$5)*$W$5)))</f>
        <v/>
      </c>
      <c r="AG166" s="85" t="str">
        <f>IF(A166="","",IF(AND(N(AD166)=0,N(AF166)*(H166*W166*$W$6)+p_CorrFixa&lt;p_CompraMin),0,AF166))</f>
        <v/>
      </c>
      <c r="AH166" s="85" t="str">
        <f>IF(A166="","",IF(N(AG166)&gt;0,AB166,0))</f>
        <v/>
      </c>
      <c r="AI166" s="85" t="str">
        <f>IF(A166="","",IF(AND(AH166&gt;0,AH166=$AH$6,COUNTIF($AH$9:AH166,AH166)=1),1,0))</f>
        <v/>
      </c>
    </row>
    <row r="167">
      <c r="A167" s="96" t="n"/>
      <c r="B167" s="96" t="n"/>
      <c r="C167" s="96" t="n"/>
      <c r="D167" s="97" t="n"/>
      <c r="E167" s="98" t="n"/>
      <c r="F167" s="99" t="n"/>
      <c r="G167" s="100" t="n"/>
      <c r="H167" s="101" t="str">
        <f>IF(A167="","",IF(AND(p_ModoCot="Automático",ISNUMBER(Z167)),Z167,IF(N(G167)&gt;0,G167,0)))</f>
        <v/>
      </c>
      <c r="I167" s="73" t="str">
        <f>IF(A167="","",IF(W167=0,"Sem câmbio",IF(AND(p_ModoCot="Automático",ISNUMBER(Z167)),"Auto",IF(N(G167)&gt;0,"Manual","Sem cotação"))))</f>
        <v/>
      </c>
      <c r="J167" s="102" t="str">
        <f>IF(A167="","",N(E167)*H167)</f>
        <v/>
      </c>
      <c r="K167" s="70" t="str">
        <f>IF(A167="","",J167*W167)</f>
        <v/>
      </c>
      <c r="L167" s="30" t="str">
        <f>IF(A167="","",IF($K$6&gt;0,K167/$K$6,0))</f>
        <v/>
      </c>
      <c r="M167" s="72" t="str">
        <f>IF(A167="","",N(F167)-L167)</f>
        <v/>
      </c>
      <c r="N167" s="30" t="str">
        <f>IF(A167="","",IF($AB$6&gt;0,AB167/$AB$6,0))</f>
        <v/>
      </c>
      <c r="O167" s="74" t="str">
        <f>IF(A167="","",IF(AB167&lt;=0,"",COUNTIF($AB$9:$AB$208,"&gt;"&amp;AB167)+COUNTIF($AB$9:AB167,AB167)))</f>
        <v/>
      </c>
      <c r="P167" s="73" t="str">
        <f>IF(A167="","",IF(Q167&gt;0,"BUY","HOLD"))</f>
        <v/>
      </c>
      <c r="Q167" s="70" t="str">
        <f>IF(A167="","",IF($W$7&lt;=0,0,IF($AC$6&gt;0,$W$7*AC167/$AC$6,IF($F$6&gt;0,$W$7*N(F167)/$F$6,0))))</f>
        <v/>
      </c>
      <c r="R167" s="103" t="str">
        <f>IF(A167="","",N(AD167)+IF(AI167=1,N(AG167),0))</f>
        <v/>
      </c>
      <c r="S167" s="103" t="str">
        <f>IF(A167="","",N(E167)+N(R167))</f>
        <v/>
      </c>
      <c r="T167" s="70" t="str">
        <f>IF(A167="","",IF(N(R167)&gt;0,R167*H167*W167*$W$6+p_CorrFixa,0))</f>
        <v/>
      </c>
      <c r="V167" s="85" t="str">
        <f>IF(A167="","",IF(D167="",$W$1,D167))</f>
        <v/>
      </c>
      <c r="W167" s="85" t="str">
        <f>IF(A167="","",IFERROR(INDEX(moeda_fx,MATCH(V167,moeda_cod,0)),0))</f>
        <v/>
      </c>
      <c r="X167" s="85" t="str">
        <f>IF(A167="","",IF($W$2="",UPPER(TRIM(A167)),IF(RIGHT(UPPER(TRIM(A167)),LEN($W$2))=$W$2,UPPER(TRIM(A167)),UPPER(TRIM(A167))&amp;$W$2)))</f>
        <v/>
      </c>
      <c r="Y167" s="85" t="str">
        <f>IF(OR(A167="",p_ModoCot&lt;&gt;"Automático"),"",IFERROR(_xlfn.WEBSERVICE("https://query1.finance.yahoo.com/v8/finance/chart/"&amp;X167&amp;"?range=1d&amp;interval=1d"),""))</f>
        <v/>
      </c>
      <c r="Z167" s="85" t="str">
        <f>IF(Y167="","",IFERROR(_xlfn.NUMBERVALUE(MID(Y167,SEARCH("""regularMarketPrice"":",Y167)+21,SEARCH(",",Y167&amp;",",SEARCH("""regularMarketPrice"":",Y167)+21)-SEARCH("""regularMarketPrice"":",Y167)-21),".",","),""))</f>
        <v/>
      </c>
      <c r="AA167" s="85" t="str">
        <f>IF(A167="","",ROUND(MAX(0,N(F167)*($K$6+$W$7)-K167),2))</f>
        <v/>
      </c>
      <c r="AB167" s="85" t="str">
        <f>IF(A167="","",IF(AND(M167&gt;0,M167&gt;=p_DifMin),AA167,0))</f>
        <v/>
      </c>
      <c r="AC167" s="85" t="str">
        <f>IF(A167="","",IF(AND(AB167&gt;0,N(O167)&lt;=p_MaxAtivos),AB167,0))</f>
        <v/>
      </c>
      <c r="AD167" s="85" t="str">
        <f>IF(A167="","",IF(OR(Q167&lt;=0,Q167&lt;p_CompraMin,N(H167)&lt;=0,N(W167)&lt;=0),0,IF($W$3="Sim",TRUNC(ROUND(MAX(0,(Q167-p_CorrFixa)/(H167*W167*$W$6)),9),$W$4),TRUNC(ROUND(MAX(0,(Q167-p_CorrFixa)/(H167*W167*$W$6)),9)/$W$5)*$W$5)))</f>
        <v/>
      </c>
      <c r="AE167" s="85" t="str">
        <f>IF(A167="","",IF(N(AD167)&gt;0,AD167*H167*W167*$W$6+p_CorrFixa,0))</f>
        <v/>
      </c>
      <c r="AF167" s="85" t="str">
        <f>IF(A167="","",IF(OR($Y$1&lt;=0,N(H167)&lt;=0,N(W167)&lt;=0,N(AB167)&lt;=0),0,IF($W$3="Sim",TRUNC(ROUND(MAX(0,($Y$1-IF(N(AD167)&gt;0,0,p_CorrFixa))/(H167*W167*$W$6)),9),$W$4),TRUNC(ROUND(MAX(0,($Y$1-IF(N(AD167)&gt;0,0,p_CorrFixa))/(H167*W167*$W$6)),9)/$W$5)*$W$5)))</f>
        <v/>
      </c>
      <c r="AG167" s="85" t="str">
        <f>IF(A167="","",IF(AND(N(AD167)=0,N(AF167)*(H167*W167*$W$6)+p_CorrFixa&lt;p_CompraMin),0,AF167))</f>
        <v/>
      </c>
      <c r="AH167" s="85" t="str">
        <f>IF(A167="","",IF(N(AG167)&gt;0,AB167,0))</f>
        <v/>
      </c>
      <c r="AI167" s="85" t="str">
        <f>IF(A167="","",IF(AND(AH167&gt;0,AH167=$AH$6,COUNTIF($AH$9:AH167,AH167)=1),1,0))</f>
        <v/>
      </c>
    </row>
    <row r="168">
      <c r="A168" s="96" t="n"/>
      <c r="B168" s="96" t="n"/>
      <c r="C168" s="96" t="n"/>
      <c r="D168" s="97" t="n"/>
      <c r="E168" s="98" t="n"/>
      <c r="F168" s="99" t="n"/>
      <c r="G168" s="100" t="n"/>
      <c r="H168" s="104" t="str">
        <f>IF(A168="","",IF(AND(p_ModoCot="Automático",ISNUMBER(Z168)),Z168,IF(N(G168)&gt;0,G168,0)))</f>
        <v/>
      </c>
      <c r="I168" s="105" t="str">
        <f>IF(A168="","",IF(W168=0,"Sem câmbio",IF(AND(p_ModoCot="Automático",ISNUMBER(Z168)),"Auto",IF(N(G168)&gt;0,"Manual","Sem cotação"))))</f>
        <v/>
      </c>
      <c r="J168" s="106" t="str">
        <f>IF(A168="","",N(E168)*H168)</f>
        <v/>
      </c>
      <c r="K168" s="107" t="str">
        <f>IF(A168="","",J168*W168)</f>
        <v/>
      </c>
      <c r="L168" s="108" t="str">
        <f>IF(A168="","",IF($K$6&gt;0,K168/$K$6,0))</f>
        <v/>
      </c>
      <c r="M168" s="109" t="str">
        <f>IF(A168="","",N(F168)-L168)</f>
        <v/>
      </c>
      <c r="N168" s="108" t="str">
        <f>IF(A168="","",IF($AB$6&gt;0,AB168/$AB$6,0))</f>
        <v/>
      </c>
      <c r="O168" s="110" t="str">
        <f>IF(A168="","",IF(AB168&lt;=0,"",COUNTIF($AB$9:$AB$208,"&gt;"&amp;AB168)+COUNTIF($AB$9:AB168,AB168)))</f>
        <v/>
      </c>
      <c r="P168" s="105" t="str">
        <f>IF(A168="","",IF(Q168&gt;0,"BUY","HOLD"))</f>
        <v/>
      </c>
      <c r="Q168" s="107" t="str">
        <f>IF(A168="","",IF($W$7&lt;=0,0,IF($AC$6&gt;0,$W$7*AC168/$AC$6,IF($F$6&gt;0,$W$7*N(F168)/$F$6,0))))</f>
        <v/>
      </c>
      <c r="R168" s="111" t="str">
        <f>IF(A168="","",N(AD168)+IF(AI168=1,N(AG168),0))</f>
        <v/>
      </c>
      <c r="S168" s="111" t="str">
        <f>IF(A168="","",N(E168)+N(R168))</f>
        <v/>
      </c>
      <c r="T168" s="107" t="str">
        <f>IF(A168="","",IF(N(R168)&gt;0,R168*H168*W168*$W$6+p_CorrFixa,0))</f>
        <v/>
      </c>
      <c r="V168" s="85" t="str">
        <f>IF(A168="","",IF(D168="",$W$1,D168))</f>
        <v/>
      </c>
      <c r="W168" s="85" t="str">
        <f>IF(A168="","",IFERROR(INDEX(moeda_fx,MATCH(V168,moeda_cod,0)),0))</f>
        <v/>
      </c>
      <c r="X168" s="85" t="str">
        <f>IF(A168="","",IF($W$2="",UPPER(TRIM(A168)),IF(RIGHT(UPPER(TRIM(A168)),LEN($W$2))=$W$2,UPPER(TRIM(A168)),UPPER(TRIM(A168))&amp;$W$2)))</f>
        <v/>
      </c>
      <c r="Y168" s="85" t="str">
        <f>IF(OR(A168="",p_ModoCot&lt;&gt;"Automático"),"",IFERROR(_xlfn.WEBSERVICE("https://query1.finance.yahoo.com/v8/finance/chart/"&amp;X168&amp;"?range=1d&amp;interval=1d"),""))</f>
        <v/>
      </c>
      <c r="Z168" s="85" t="str">
        <f>IF(Y168="","",IFERROR(_xlfn.NUMBERVALUE(MID(Y168,SEARCH("""regularMarketPrice"":",Y168)+21,SEARCH(",",Y168&amp;",",SEARCH("""regularMarketPrice"":",Y168)+21)-SEARCH("""regularMarketPrice"":",Y168)-21),".",","),""))</f>
        <v/>
      </c>
      <c r="AA168" s="85" t="str">
        <f>IF(A168="","",ROUND(MAX(0,N(F168)*($K$6+$W$7)-K168),2))</f>
        <v/>
      </c>
      <c r="AB168" s="85" t="str">
        <f>IF(A168="","",IF(AND(M168&gt;0,M168&gt;=p_DifMin),AA168,0))</f>
        <v/>
      </c>
      <c r="AC168" s="85" t="str">
        <f>IF(A168="","",IF(AND(AB168&gt;0,N(O168)&lt;=p_MaxAtivos),AB168,0))</f>
        <v/>
      </c>
      <c r="AD168" s="85" t="str">
        <f>IF(A168="","",IF(OR(Q168&lt;=0,Q168&lt;p_CompraMin,N(H168)&lt;=0,N(W168)&lt;=0),0,IF($W$3="Sim",TRUNC(ROUND(MAX(0,(Q168-p_CorrFixa)/(H168*W168*$W$6)),9),$W$4),TRUNC(ROUND(MAX(0,(Q168-p_CorrFixa)/(H168*W168*$W$6)),9)/$W$5)*$W$5)))</f>
        <v/>
      </c>
      <c r="AE168" s="85" t="str">
        <f>IF(A168="","",IF(N(AD168)&gt;0,AD168*H168*W168*$W$6+p_CorrFixa,0))</f>
        <v/>
      </c>
      <c r="AF168" s="85" t="str">
        <f>IF(A168="","",IF(OR($Y$1&lt;=0,N(H168)&lt;=0,N(W168)&lt;=0,N(AB168)&lt;=0),0,IF($W$3="Sim",TRUNC(ROUND(MAX(0,($Y$1-IF(N(AD168)&gt;0,0,p_CorrFixa))/(H168*W168*$W$6)),9),$W$4),TRUNC(ROUND(MAX(0,($Y$1-IF(N(AD168)&gt;0,0,p_CorrFixa))/(H168*W168*$W$6)),9)/$W$5)*$W$5)))</f>
        <v/>
      </c>
      <c r="AG168" s="85" t="str">
        <f>IF(A168="","",IF(AND(N(AD168)=0,N(AF168)*(H168*W168*$W$6)+p_CorrFixa&lt;p_CompraMin),0,AF168))</f>
        <v/>
      </c>
      <c r="AH168" s="85" t="str">
        <f>IF(A168="","",IF(N(AG168)&gt;0,AB168,0))</f>
        <v/>
      </c>
      <c r="AI168" s="85" t="str">
        <f>IF(A168="","",IF(AND(AH168&gt;0,AH168=$AH$6,COUNTIF($AH$9:AH168,AH168)=1),1,0))</f>
        <v/>
      </c>
    </row>
    <row r="169">
      <c r="A169" s="96" t="n"/>
      <c r="B169" s="96" t="n"/>
      <c r="C169" s="96" t="n"/>
      <c r="D169" s="97" t="n"/>
      <c r="E169" s="98" t="n"/>
      <c r="F169" s="99" t="n"/>
      <c r="G169" s="100" t="n"/>
      <c r="H169" s="101" t="str">
        <f>IF(A169="","",IF(AND(p_ModoCot="Automático",ISNUMBER(Z169)),Z169,IF(N(G169)&gt;0,G169,0)))</f>
        <v/>
      </c>
      <c r="I169" s="73" t="str">
        <f>IF(A169="","",IF(W169=0,"Sem câmbio",IF(AND(p_ModoCot="Automático",ISNUMBER(Z169)),"Auto",IF(N(G169)&gt;0,"Manual","Sem cotação"))))</f>
        <v/>
      </c>
      <c r="J169" s="102" t="str">
        <f>IF(A169="","",N(E169)*H169)</f>
        <v/>
      </c>
      <c r="K169" s="70" t="str">
        <f>IF(A169="","",J169*W169)</f>
        <v/>
      </c>
      <c r="L169" s="30" t="str">
        <f>IF(A169="","",IF($K$6&gt;0,K169/$K$6,0))</f>
        <v/>
      </c>
      <c r="M169" s="72" t="str">
        <f>IF(A169="","",N(F169)-L169)</f>
        <v/>
      </c>
      <c r="N169" s="30" t="str">
        <f>IF(A169="","",IF($AB$6&gt;0,AB169/$AB$6,0))</f>
        <v/>
      </c>
      <c r="O169" s="74" t="str">
        <f>IF(A169="","",IF(AB169&lt;=0,"",COUNTIF($AB$9:$AB$208,"&gt;"&amp;AB169)+COUNTIF($AB$9:AB169,AB169)))</f>
        <v/>
      </c>
      <c r="P169" s="73" t="str">
        <f>IF(A169="","",IF(Q169&gt;0,"BUY","HOLD"))</f>
        <v/>
      </c>
      <c r="Q169" s="70" t="str">
        <f>IF(A169="","",IF($W$7&lt;=0,0,IF($AC$6&gt;0,$W$7*AC169/$AC$6,IF($F$6&gt;0,$W$7*N(F169)/$F$6,0))))</f>
        <v/>
      </c>
      <c r="R169" s="103" t="str">
        <f>IF(A169="","",N(AD169)+IF(AI169=1,N(AG169),0))</f>
        <v/>
      </c>
      <c r="S169" s="103" t="str">
        <f>IF(A169="","",N(E169)+N(R169))</f>
        <v/>
      </c>
      <c r="T169" s="70" t="str">
        <f>IF(A169="","",IF(N(R169)&gt;0,R169*H169*W169*$W$6+p_CorrFixa,0))</f>
        <v/>
      </c>
      <c r="V169" s="85" t="str">
        <f>IF(A169="","",IF(D169="",$W$1,D169))</f>
        <v/>
      </c>
      <c r="W169" s="85" t="str">
        <f>IF(A169="","",IFERROR(INDEX(moeda_fx,MATCH(V169,moeda_cod,0)),0))</f>
        <v/>
      </c>
      <c r="X169" s="85" t="str">
        <f>IF(A169="","",IF($W$2="",UPPER(TRIM(A169)),IF(RIGHT(UPPER(TRIM(A169)),LEN($W$2))=$W$2,UPPER(TRIM(A169)),UPPER(TRIM(A169))&amp;$W$2)))</f>
        <v/>
      </c>
      <c r="Y169" s="85" t="str">
        <f>IF(OR(A169="",p_ModoCot&lt;&gt;"Automático"),"",IFERROR(_xlfn.WEBSERVICE("https://query1.finance.yahoo.com/v8/finance/chart/"&amp;X169&amp;"?range=1d&amp;interval=1d"),""))</f>
        <v/>
      </c>
      <c r="Z169" s="85" t="str">
        <f>IF(Y169="","",IFERROR(_xlfn.NUMBERVALUE(MID(Y169,SEARCH("""regularMarketPrice"":",Y169)+21,SEARCH(",",Y169&amp;",",SEARCH("""regularMarketPrice"":",Y169)+21)-SEARCH("""regularMarketPrice"":",Y169)-21),".",","),""))</f>
        <v/>
      </c>
      <c r="AA169" s="85" t="str">
        <f>IF(A169="","",ROUND(MAX(0,N(F169)*($K$6+$W$7)-K169),2))</f>
        <v/>
      </c>
      <c r="AB169" s="85" t="str">
        <f>IF(A169="","",IF(AND(M169&gt;0,M169&gt;=p_DifMin),AA169,0))</f>
        <v/>
      </c>
      <c r="AC169" s="85" t="str">
        <f>IF(A169="","",IF(AND(AB169&gt;0,N(O169)&lt;=p_MaxAtivos),AB169,0))</f>
        <v/>
      </c>
      <c r="AD169" s="85" t="str">
        <f>IF(A169="","",IF(OR(Q169&lt;=0,Q169&lt;p_CompraMin,N(H169)&lt;=0,N(W169)&lt;=0),0,IF($W$3="Sim",TRUNC(ROUND(MAX(0,(Q169-p_CorrFixa)/(H169*W169*$W$6)),9),$W$4),TRUNC(ROUND(MAX(0,(Q169-p_CorrFixa)/(H169*W169*$W$6)),9)/$W$5)*$W$5)))</f>
        <v/>
      </c>
      <c r="AE169" s="85" t="str">
        <f>IF(A169="","",IF(N(AD169)&gt;0,AD169*H169*W169*$W$6+p_CorrFixa,0))</f>
        <v/>
      </c>
      <c r="AF169" s="85" t="str">
        <f>IF(A169="","",IF(OR($Y$1&lt;=0,N(H169)&lt;=0,N(W169)&lt;=0,N(AB169)&lt;=0),0,IF($W$3="Sim",TRUNC(ROUND(MAX(0,($Y$1-IF(N(AD169)&gt;0,0,p_CorrFixa))/(H169*W169*$W$6)),9),$W$4),TRUNC(ROUND(MAX(0,($Y$1-IF(N(AD169)&gt;0,0,p_CorrFixa))/(H169*W169*$W$6)),9)/$W$5)*$W$5)))</f>
        <v/>
      </c>
      <c r="AG169" s="85" t="str">
        <f>IF(A169="","",IF(AND(N(AD169)=0,N(AF169)*(H169*W169*$W$6)+p_CorrFixa&lt;p_CompraMin),0,AF169))</f>
        <v/>
      </c>
      <c r="AH169" s="85" t="str">
        <f>IF(A169="","",IF(N(AG169)&gt;0,AB169,0))</f>
        <v/>
      </c>
      <c r="AI169" s="85" t="str">
        <f>IF(A169="","",IF(AND(AH169&gt;0,AH169=$AH$6,COUNTIF($AH$9:AH169,AH169)=1),1,0))</f>
        <v/>
      </c>
    </row>
    <row r="170">
      <c r="A170" s="96" t="n"/>
      <c r="B170" s="96" t="n"/>
      <c r="C170" s="96" t="n"/>
      <c r="D170" s="97" t="n"/>
      <c r="E170" s="98" t="n"/>
      <c r="F170" s="99" t="n"/>
      <c r="G170" s="100" t="n"/>
      <c r="H170" s="104" t="str">
        <f>IF(A170="","",IF(AND(p_ModoCot="Automático",ISNUMBER(Z170)),Z170,IF(N(G170)&gt;0,G170,0)))</f>
        <v/>
      </c>
      <c r="I170" s="105" t="str">
        <f>IF(A170="","",IF(W170=0,"Sem câmbio",IF(AND(p_ModoCot="Automático",ISNUMBER(Z170)),"Auto",IF(N(G170)&gt;0,"Manual","Sem cotação"))))</f>
        <v/>
      </c>
      <c r="J170" s="106" t="str">
        <f>IF(A170="","",N(E170)*H170)</f>
        <v/>
      </c>
      <c r="K170" s="107" t="str">
        <f>IF(A170="","",J170*W170)</f>
        <v/>
      </c>
      <c r="L170" s="108" t="str">
        <f>IF(A170="","",IF($K$6&gt;0,K170/$K$6,0))</f>
        <v/>
      </c>
      <c r="M170" s="109" t="str">
        <f>IF(A170="","",N(F170)-L170)</f>
        <v/>
      </c>
      <c r="N170" s="108" t="str">
        <f>IF(A170="","",IF($AB$6&gt;0,AB170/$AB$6,0))</f>
        <v/>
      </c>
      <c r="O170" s="110" t="str">
        <f>IF(A170="","",IF(AB170&lt;=0,"",COUNTIF($AB$9:$AB$208,"&gt;"&amp;AB170)+COUNTIF($AB$9:AB170,AB170)))</f>
        <v/>
      </c>
      <c r="P170" s="105" t="str">
        <f>IF(A170="","",IF(Q170&gt;0,"BUY","HOLD"))</f>
        <v/>
      </c>
      <c r="Q170" s="107" t="str">
        <f>IF(A170="","",IF($W$7&lt;=0,0,IF($AC$6&gt;0,$W$7*AC170/$AC$6,IF($F$6&gt;0,$W$7*N(F170)/$F$6,0))))</f>
        <v/>
      </c>
      <c r="R170" s="111" t="str">
        <f>IF(A170="","",N(AD170)+IF(AI170=1,N(AG170),0))</f>
        <v/>
      </c>
      <c r="S170" s="111" t="str">
        <f>IF(A170="","",N(E170)+N(R170))</f>
        <v/>
      </c>
      <c r="T170" s="107" t="str">
        <f>IF(A170="","",IF(N(R170)&gt;0,R170*H170*W170*$W$6+p_CorrFixa,0))</f>
        <v/>
      </c>
      <c r="V170" s="85" t="str">
        <f>IF(A170="","",IF(D170="",$W$1,D170))</f>
        <v/>
      </c>
      <c r="W170" s="85" t="str">
        <f>IF(A170="","",IFERROR(INDEX(moeda_fx,MATCH(V170,moeda_cod,0)),0))</f>
        <v/>
      </c>
      <c r="X170" s="85" t="str">
        <f>IF(A170="","",IF($W$2="",UPPER(TRIM(A170)),IF(RIGHT(UPPER(TRIM(A170)),LEN($W$2))=$W$2,UPPER(TRIM(A170)),UPPER(TRIM(A170))&amp;$W$2)))</f>
        <v/>
      </c>
      <c r="Y170" s="85" t="str">
        <f>IF(OR(A170="",p_ModoCot&lt;&gt;"Automático"),"",IFERROR(_xlfn.WEBSERVICE("https://query1.finance.yahoo.com/v8/finance/chart/"&amp;X170&amp;"?range=1d&amp;interval=1d"),""))</f>
        <v/>
      </c>
      <c r="Z170" s="85" t="str">
        <f>IF(Y170="","",IFERROR(_xlfn.NUMBERVALUE(MID(Y170,SEARCH("""regularMarketPrice"":",Y170)+21,SEARCH(",",Y170&amp;",",SEARCH("""regularMarketPrice"":",Y170)+21)-SEARCH("""regularMarketPrice"":",Y170)-21),".",","),""))</f>
        <v/>
      </c>
      <c r="AA170" s="85" t="str">
        <f>IF(A170="","",ROUND(MAX(0,N(F170)*($K$6+$W$7)-K170),2))</f>
        <v/>
      </c>
      <c r="AB170" s="85" t="str">
        <f>IF(A170="","",IF(AND(M170&gt;0,M170&gt;=p_DifMin),AA170,0))</f>
        <v/>
      </c>
      <c r="AC170" s="85" t="str">
        <f>IF(A170="","",IF(AND(AB170&gt;0,N(O170)&lt;=p_MaxAtivos),AB170,0))</f>
        <v/>
      </c>
      <c r="AD170" s="85" t="str">
        <f>IF(A170="","",IF(OR(Q170&lt;=0,Q170&lt;p_CompraMin,N(H170)&lt;=0,N(W170)&lt;=0),0,IF($W$3="Sim",TRUNC(ROUND(MAX(0,(Q170-p_CorrFixa)/(H170*W170*$W$6)),9),$W$4),TRUNC(ROUND(MAX(0,(Q170-p_CorrFixa)/(H170*W170*$W$6)),9)/$W$5)*$W$5)))</f>
        <v/>
      </c>
      <c r="AE170" s="85" t="str">
        <f>IF(A170="","",IF(N(AD170)&gt;0,AD170*H170*W170*$W$6+p_CorrFixa,0))</f>
        <v/>
      </c>
      <c r="AF170" s="85" t="str">
        <f>IF(A170="","",IF(OR($Y$1&lt;=0,N(H170)&lt;=0,N(W170)&lt;=0,N(AB170)&lt;=0),0,IF($W$3="Sim",TRUNC(ROUND(MAX(0,($Y$1-IF(N(AD170)&gt;0,0,p_CorrFixa))/(H170*W170*$W$6)),9),$W$4),TRUNC(ROUND(MAX(0,($Y$1-IF(N(AD170)&gt;0,0,p_CorrFixa))/(H170*W170*$W$6)),9)/$W$5)*$W$5)))</f>
        <v/>
      </c>
      <c r="AG170" s="85" t="str">
        <f>IF(A170="","",IF(AND(N(AD170)=0,N(AF170)*(H170*W170*$W$6)+p_CorrFixa&lt;p_CompraMin),0,AF170))</f>
        <v/>
      </c>
      <c r="AH170" s="85" t="str">
        <f>IF(A170="","",IF(N(AG170)&gt;0,AB170,0))</f>
        <v/>
      </c>
      <c r="AI170" s="85" t="str">
        <f>IF(A170="","",IF(AND(AH170&gt;0,AH170=$AH$6,COUNTIF($AH$9:AH170,AH170)=1),1,0))</f>
        <v/>
      </c>
    </row>
    <row r="171">
      <c r="A171" s="96" t="n"/>
      <c r="B171" s="96" t="n"/>
      <c r="C171" s="96" t="n"/>
      <c r="D171" s="97" t="n"/>
      <c r="E171" s="98" t="n"/>
      <c r="F171" s="99" t="n"/>
      <c r="G171" s="100" t="n"/>
      <c r="H171" s="101" t="str">
        <f>IF(A171="","",IF(AND(p_ModoCot="Automático",ISNUMBER(Z171)),Z171,IF(N(G171)&gt;0,G171,0)))</f>
        <v/>
      </c>
      <c r="I171" s="73" t="str">
        <f>IF(A171="","",IF(W171=0,"Sem câmbio",IF(AND(p_ModoCot="Automático",ISNUMBER(Z171)),"Auto",IF(N(G171)&gt;0,"Manual","Sem cotação"))))</f>
        <v/>
      </c>
      <c r="J171" s="102" t="str">
        <f>IF(A171="","",N(E171)*H171)</f>
        <v/>
      </c>
      <c r="K171" s="70" t="str">
        <f>IF(A171="","",J171*W171)</f>
        <v/>
      </c>
      <c r="L171" s="30" t="str">
        <f>IF(A171="","",IF($K$6&gt;0,K171/$K$6,0))</f>
        <v/>
      </c>
      <c r="M171" s="72" t="str">
        <f>IF(A171="","",N(F171)-L171)</f>
        <v/>
      </c>
      <c r="N171" s="30" t="str">
        <f>IF(A171="","",IF($AB$6&gt;0,AB171/$AB$6,0))</f>
        <v/>
      </c>
      <c r="O171" s="74" t="str">
        <f>IF(A171="","",IF(AB171&lt;=0,"",COUNTIF($AB$9:$AB$208,"&gt;"&amp;AB171)+COUNTIF($AB$9:AB171,AB171)))</f>
        <v/>
      </c>
      <c r="P171" s="73" t="str">
        <f>IF(A171="","",IF(Q171&gt;0,"BUY","HOLD"))</f>
        <v/>
      </c>
      <c r="Q171" s="70" t="str">
        <f>IF(A171="","",IF($W$7&lt;=0,0,IF($AC$6&gt;0,$W$7*AC171/$AC$6,IF($F$6&gt;0,$W$7*N(F171)/$F$6,0))))</f>
        <v/>
      </c>
      <c r="R171" s="103" t="str">
        <f>IF(A171="","",N(AD171)+IF(AI171=1,N(AG171),0))</f>
        <v/>
      </c>
      <c r="S171" s="103" t="str">
        <f>IF(A171="","",N(E171)+N(R171))</f>
        <v/>
      </c>
      <c r="T171" s="70" t="str">
        <f>IF(A171="","",IF(N(R171)&gt;0,R171*H171*W171*$W$6+p_CorrFixa,0))</f>
        <v/>
      </c>
      <c r="V171" s="85" t="str">
        <f>IF(A171="","",IF(D171="",$W$1,D171))</f>
        <v/>
      </c>
      <c r="W171" s="85" t="str">
        <f>IF(A171="","",IFERROR(INDEX(moeda_fx,MATCH(V171,moeda_cod,0)),0))</f>
        <v/>
      </c>
      <c r="X171" s="85" t="str">
        <f>IF(A171="","",IF($W$2="",UPPER(TRIM(A171)),IF(RIGHT(UPPER(TRIM(A171)),LEN($W$2))=$W$2,UPPER(TRIM(A171)),UPPER(TRIM(A171))&amp;$W$2)))</f>
        <v/>
      </c>
      <c r="Y171" s="85" t="str">
        <f>IF(OR(A171="",p_ModoCot&lt;&gt;"Automático"),"",IFERROR(_xlfn.WEBSERVICE("https://query1.finance.yahoo.com/v8/finance/chart/"&amp;X171&amp;"?range=1d&amp;interval=1d"),""))</f>
        <v/>
      </c>
      <c r="Z171" s="85" t="str">
        <f>IF(Y171="","",IFERROR(_xlfn.NUMBERVALUE(MID(Y171,SEARCH("""regularMarketPrice"":",Y171)+21,SEARCH(",",Y171&amp;",",SEARCH("""regularMarketPrice"":",Y171)+21)-SEARCH("""regularMarketPrice"":",Y171)-21),".",","),""))</f>
        <v/>
      </c>
      <c r="AA171" s="85" t="str">
        <f>IF(A171="","",ROUND(MAX(0,N(F171)*($K$6+$W$7)-K171),2))</f>
        <v/>
      </c>
      <c r="AB171" s="85" t="str">
        <f>IF(A171="","",IF(AND(M171&gt;0,M171&gt;=p_DifMin),AA171,0))</f>
        <v/>
      </c>
      <c r="AC171" s="85" t="str">
        <f>IF(A171="","",IF(AND(AB171&gt;0,N(O171)&lt;=p_MaxAtivos),AB171,0))</f>
        <v/>
      </c>
      <c r="AD171" s="85" t="str">
        <f>IF(A171="","",IF(OR(Q171&lt;=0,Q171&lt;p_CompraMin,N(H171)&lt;=0,N(W171)&lt;=0),0,IF($W$3="Sim",TRUNC(ROUND(MAX(0,(Q171-p_CorrFixa)/(H171*W171*$W$6)),9),$W$4),TRUNC(ROUND(MAX(0,(Q171-p_CorrFixa)/(H171*W171*$W$6)),9)/$W$5)*$W$5)))</f>
        <v/>
      </c>
      <c r="AE171" s="85" t="str">
        <f>IF(A171="","",IF(N(AD171)&gt;0,AD171*H171*W171*$W$6+p_CorrFixa,0))</f>
        <v/>
      </c>
      <c r="AF171" s="85" t="str">
        <f>IF(A171="","",IF(OR($Y$1&lt;=0,N(H171)&lt;=0,N(W171)&lt;=0,N(AB171)&lt;=0),0,IF($W$3="Sim",TRUNC(ROUND(MAX(0,($Y$1-IF(N(AD171)&gt;0,0,p_CorrFixa))/(H171*W171*$W$6)),9),$W$4),TRUNC(ROUND(MAX(0,($Y$1-IF(N(AD171)&gt;0,0,p_CorrFixa))/(H171*W171*$W$6)),9)/$W$5)*$W$5)))</f>
        <v/>
      </c>
      <c r="AG171" s="85" t="str">
        <f>IF(A171="","",IF(AND(N(AD171)=0,N(AF171)*(H171*W171*$W$6)+p_CorrFixa&lt;p_CompraMin),0,AF171))</f>
        <v/>
      </c>
      <c r="AH171" s="85" t="str">
        <f>IF(A171="","",IF(N(AG171)&gt;0,AB171,0))</f>
        <v/>
      </c>
      <c r="AI171" s="85" t="str">
        <f>IF(A171="","",IF(AND(AH171&gt;0,AH171=$AH$6,COUNTIF($AH$9:AH171,AH171)=1),1,0))</f>
        <v/>
      </c>
    </row>
    <row r="172">
      <c r="A172" s="96" t="n"/>
      <c r="B172" s="96" t="n"/>
      <c r="C172" s="96" t="n"/>
      <c r="D172" s="97" t="n"/>
      <c r="E172" s="98" t="n"/>
      <c r="F172" s="99" t="n"/>
      <c r="G172" s="100" t="n"/>
      <c r="H172" s="104" t="str">
        <f>IF(A172="","",IF(AND(p_ModoCot="Automático",ISNUMBER(Z172)),Z172,IF(N(G172)&gt;0,G172,0)))</f>
        <v/>
      </c>
      <c r="I172" s="105" t="str">
        <f>IF(A172="","",IF(W172=0,"Sem câmbio",IF(AND(p_ModoCot="Automático",ISNUMBER(Z172)),"Auto",IF(N(G172)&gt;0,"Manual","Sem cotação"))))</f>
        <v/>
      </c>
      <c r="J172" s="106" t="str">
        <f>IF(A172="","",N(E172)*H172)</f>
        <v/>
      </c>
      <c r="K172" s="107" t="str">
        <f>IF(A172="","",J172*W172)</f>
        <v/>
      </c>
      <c r="L172" s="108" t="str">
        <f>IF(A172="","",IF($K$6&gt;0,K172/$K$6,0))</f>
        <v/>
      </c>
      <c r="M172" s="109" t="str">
        <f>IF(A172="","",N(F172)-L172)</f>
        <v/>
      </c>
      <c r="N172" s="108" t="str">
        <f>IF(A172="","",IF($AB$6&gt;0,AB172/$AB$6,0))</f>
        <v/>
      </c>
      <c r="O172" s="110" t="str">
        <f>IF(A172="","",IF(AB172&lt;=0,"",COUNTIF($AB$9:$AB$208,"&gt;"&amp;AB172)+COUNTIF($AB$9:AB172,AB172)))</f>
        <v/>
      </c>
      <c r="P172" s="105" t="str">
        <f>IF(A172="","",IF(Q172&gt;0,"BUY","HOLD"))</f>
        <v/>
      </c>
      <c r="Q172" s="107" t="str">
        <f>IF(A172="","",IF($W$7&lt;=0,0,IF($AC$6&gt;0,$W$7*AC172/$AC$6,IF($F$6&gt;0,$W$7*N(F172)/$F$6,0))))</f>
        <v/>
      </c>
      <c r="R172" s="111" t="str">
        <f>IF(A172="","",N(AD172)+IF(AI172=1,N(AG172),0))</f>
        <v/>
      </c>
      <c r="S172" s="111" t="str">
        <f>IF(A172="","",N(E172)+N(R172))</f>
        <v/>
      </c>
      <c r="T172" s="107" t="str">
        <f>IF(A172="","",IF(N(R172)&gt;0,R172*H172*W172*$W$6+p_CorrFixa,0))</f>
        <v/>
      </c>
      <c r="V172" s="85" t="str">
        <f>IF(A172="","",IF(D172="",$W$1,D172))</f>
        <v/>
      </c>
      <c r="W172" s="85" t="str">
        <f>IF(A172="","",IFERROR(INDEX(moeda_fx,MATCH(V172,moeda_cod,0)),0))</f>
        <v/>
      </c>
      <c r="X172" s="85" t="str">
        <f>IF(A172="","",IF($W$2="",UPPER(TRIM(A172)),IF(RIGHT(UPPER(TRIM(A172)),LEN($W$2))=$W$2,UPPER(TRIM(A172)),UPPER(TRIM(A172))&amp;$W$2)))</f>
        <v/>
      </c>
      <c r="Y172" s="85" t="str">
        <f>IF(OR(A172="",p_ModoCot&lt;&gt;"Automático"),"",IFERROR(_xlfn.WEBSERVICE("https://query1.finance.yahoo.com/v8/finance/chart/"&amp;X172&amp;"?range=1d&amp;interval=1d"),""))</f>
        <v/>
      </c>
      <c r="Z172" s="85" t="str">
        <f>IF(Y172="","",IFERROR(_xlfn.NUMBERVALUE(MID(Y172,SEARCH("""regularMarketPrice"":",Y172)+21,SEARCH(",",Y172&amp;",",SEARCH("""regularMarketPrice"":",Y172)+21)-SEARCH("""regularMarketPrice"":",Y172)-21),".",","),""))</f>
        <v/>
      </c>
      <c r="AA172" s="85" t="str">
        <f>IF(A172="","",ROUND(MAX(0,N(F172)*($K$6+$W$7)-K172),2))</f>
        <v/>
      </c>
      <c r="AB172" s="85" t="str">
        <f>IF(A172="","",IF(AND(M172&gt;0,M172&gt;=p_DifMin),AA172,0))</f>
        <v/>
      </c>
      <c r="AC172" s="85" t="str">
        <f>IF(A172="","",IF(AND(AB172&gt;0,N(O172)&lt;=p_MaxAtivos),AB172,0))</f>
        <v/>
      </c>
      <c r="AD172" s="85" t="str">
        <f>IF(A172="","",IF(OR(Q172&lt;=0,Q172&lt;p_CompraMin,N(H172)&lt;=0,N(W172)&lt;=0),0,IF($W$3="Sim",TRUNC(ROUND(MAX(0,(Q172-p_CorrFixa)/(H172*W172*$W$6)),9),$W$4),TRUNC(ROUND(MAX(0,(Q172-p_CorrFixa)/(H172*W172*$W$6)),9)/$W$5)*$W$5)))</f>
        <v/>
      </c>
      <c r="AE172" s="85" t="str">
        <f>IF(A172="","",IF(N(AD172)&gt;0,AD172*H172*W172*$W$6+p_CorrFixa,0))</f>
        <v/>
      </c>
      <c r="AF172" s="85" t="str">
        <f>IF(A172="","",IF(OR($Y$1&lt;=0,N(H172)&lt;=0,N(W172)&lt;=0,N(AB172)&lt;=0),0,IF($W$3="Sim",TRUNC(ROUND(MAX(0,($Y$1-IF(N(AD172)&gt;0,0,p_CorrFixa))/(H172*W172*$W$6)),9),$W$4),TRUNC(ROUND(MAX(0,($Y$1-IF(N(AD172)&gt;0,0,p_CorrFixa))/(H172*W172*$W$6)),9)/$W$5)*$W$5)))</f>
        <v/>
      </c>
      <c r="AG172" s="85" t="str">
        <f>IF(A172="","",IF(AND(N(AD172)=0,N(AF172)*(H172*W172*$W$6)+p_CorrFixa&lt;p_CompraMin),0,AF172))</f>
        <v/>
      </c>
      <c r="AH172" s="85" t="str">
        <f>IF(A172="","",IF(N(AG172)&gt;0,AB172,0))</f>
        <v/>
      </c>
      <c r="AI172" s="85" t="str">
        <f>IF(A172="","",IF(AND(AH172&gt;0,AH172=$AH$6,COUNTIF($AH$9:AH172,AH172)=1),1,0))</f>
        <v/>
      </c>
    </row>
    <row r="173">
      <c r="A173" s="96" t="n"/>
      <c r="B173" s="96" t="n"/>
      <c r="C173" s="96" t="n"/>
      <c r="D173" s="97" t="n"/>
      <c r="E173" s="98" t="n"/>
      <c r="F173" s="99" t="n"/>
      <c r="G173" s="100" t="n"/>
      <c r="H173" s="101" t="str">
        <f>IF(A173="","",IF(AND(p_ModoCot="Automático",ISNUMBER(Z173)),Z173,IF(N(G173)&gt;0,G173,0)))</f>
        <v/>
      </c>
      <c r="I173" s="73" t="str">
        <f>IF(A173="","",IF(W173=0,"Sem câmbio",IF(AND(p_ModoCot="Automático",ISNUMBER(Z173)),"Auto",IF(N(G173)&gt;0,"Manual","Sem cotação"))))</f>
        <v/>
      </c>
      <c r="J173" s="102" t="str">
        <f>IF(A173="","",N(E173)*H173)</f>
        <v/>
      </c>
      <c r="K173" s="70" t="str">
        <f>IF(A173="","",J173*W173)</f>
        <v/>
      </c>
      <c r="L173" s="30" t="str">
        <f>IF(A173="","",IF($K$6&gt;0,K173/$K$6,0))</f>
        <v/>
      </c>
      <c r="M173" s="72" t="str">
        <f>IF(A173="","",N(F173)-L173)</f>
        <v/>
      </c>
      <c r="N173" s="30" t="str">
        <f>IF(A173="","",IF($AB$6&gt;0,AB173/$AB$6,0))</f>
        <v/>
      </c>
      <c r="O173" s="74" t="str">
        <f>IF(A173="","",IF(AB173&lt;=0,"",COUNTIF($AB$9:$AB$208,"&gt;"&amp;AB173)+COUNTIF($AB$9:AB173,AB173)))</f>
        <v/>
      </c>
      <c r="P173" s="73" t="str">
        <f>IF(A173="","",IF(Q173&gt;0,"BUY","HOLD"))</f>
        <v/>
      </c>
      <c r="Q173" s="70" t="str">
        <f>IF(A173="","",IF($W$7&lt;=0,0,IF($AC$6&gt;0,$W$7*AC173/$AC$6,IF($F$6&gt;0,$W$7*N(F173)/$F$6,0))))</f>
        <v/>
      </c>
      <c r="R173" s="103" t="str">
        <f>IF(A173="","",N(AD173)+IF(AI173=1,N(AG173),0))</f>
        <v/>
      </c>
      <c r="S173" s="103" t="str">
        <f>IF(A173="","",N(E173)+N(R173))</f>
        <v/>
      </c>
      <c r="T173" s="70" t="str">
        <f>IF(A173="","",IF(N(R173)&gt;0,R173*H173*W173*$W$6+p_CorrFixa,0))</f>
        <v/>
      </c>
      <c r="V173" s="85" t="str">
        <f>IF(A173="","",IF(D173="",$W$1,D173))</f>
        <v/>
      </c>
      <c r="W173" s="85" t="str">
        <f>IF(A173="","",IFERROR(INDEX(moeda_fx,MATCH(V173,moeda_cod,0)),0))</f>
        <v/>
      </c>
      <c r="X173" s="85" t="str">
        <f>IF(A173="","",IF($W$2="",UPPER(TRIM(A173)),IF(RIGHT(UPPER(TRIM(A173)),LEN($W$2))=$W$2,UPPER(TRIM(A173)),UPPER(TRIM(A173))&amp;$W$2)))</f>
        <v/>
      </c>
      <c r="Y173" s="85" t="str">
        <f>IF(OR(A173="",p_ModoCot&lt;&gt;"Automático"),"",IFERROR(_xlfn.WEBSERVICE("https://query1.finance.yahoo.com/v8/finance/chart/"&amp;X173&amp;"?range=1d&amp;interval=1d"),""))</f>
        <v/>
      </c>
      <c r="Z173" s="85" t="str">
        <f>IF(Y173="","",IFERROR(_xlfn.NUMBERVALUE(MID(Y173,SEARCH("""regularMarketPrice"":",Y173)+21,SEARCH(",",Y173&amp;",",SEARCH("""regularMarketPrice"":",Y173)+21)-SEARCH("""regularMarketPrice"":",Y173)-21),".",","),""))</f>
        <v/>
      </c>
      <c r="AA173" s="85" t="str">
        <f>IF(A173="","",ROUND(MAX(0,N(F173)*($K$6+$W$7)-K173),2))</f>
        <v/>
      </c>
      <c r="AB173" s="85" t="str">
        <f>IF(A173="","",IF(AND(M173&gt;0,M173&gt;=p_DifMin),AA173,0))</f>
        <v/>
      </c>
      <c r="AC173" s="85" t="str">
        <f>IF(A173="","",IF(AND(AB173&gt;0,N(O173)&lt;=p_MaxAtivos),AB173,0))</f>
        <v/>
      </c>
      <c r="AD173" s="85" t="str">
        <f>IF(A173="","",IF(OR(Q173&lt;=0,Q173&lt;p_CompraMin,N(H173)&lt;=0,N(W173)&lt;=0),0,IF($W$3="Sim",TRUNC(ROUND(MAX(0,(Q173-p_CorrFixa)/(H173*W173*$W$6)),9),$W$4),TRUNC(ROUND(MAX(0,(Q173-p_CorrFixa)/(H173*W173*$W$6)),9)/$W$5)*$W$5)))</f>
        <v/>
      </c>
      <c r="AE173" s="85" t="str">
        <f>IF(A173="","",IF(N(AD173)&gt;0,AD173*H173*W173*$W$6+p_CorrFixa,0))</f>
        <v/>
      </c>
      <c r="AF173" s="85" t="str">
        <f>IF(A173="","",IF(OR($Y$1&lt;=0,N(H173)&lt;=0,N(W173)&lt;=0,N(AB173)&lt;=0),0,IF($W$3="Sim",TRUNC(ROUND(MAX(0,($Y$1-IF(N(AD173)&gt;0,0,p_CorrFixa))/(H173*W173*$W$6)),9),$W$4),TRUNC(ROUND(MAX(0,($Y$1-IF(N(AD173)&gt;0,0,p_CorrFixa))/(H173*W173*$W$6)),9)/$W$5)*$W$5)))</f>
        <v/>
      </c>
      <c r="AG173" s="85" t="str">
        <f>IF(A173="","",IF(AND(N(AD173)=0,N(AF173)*(H173*W173*$W$6)+p_CorrFixa&lt;p_CompraMin),0,AF173))</f>
        <v/>
      </c>
      <c r="AH173" s="85" t="str">
        <f>IF(A173="","",IF(N(AG173)&gt;0,AB173,0))</f>
        <v/>
      </c>
      <c r="AI173" s="85" t="str">
        <f>IF(A173="","",IF(AND(AH173&gt;0,AH173=$AH$6,COUNTIF($AH$9:AH173,AH173)=1),1,0))</f>
        <v/>
      </c>
    </row>
    <row r="174">
      <c r="A174" s="96" t="n"/>
      <c r="B174" s="96" t="n"/>
      <c r="C174" s="96" t="n"/>
      <c r="D174" s="97" t="n"/>
      <c r="E174" s="98" t="n"/>
      <c r="F174" s="99" t="n"/>
      <c r="G174" s="100" t="n"/>
      <c r="H174" s="104" t="str">
        <f>IF(A174="","",IF(AND(p_ModoCot="Automático",ISNUMBER(Z174)),Z174,IF(N(G174)&gt;0,G174,0)))</f>
        <v/>
      </c>
      <c r="I174" s="105" t="str">
        <f>IF(A174="","",IF(W174=0,"Sem câmbio",IF(AND(p_ModoCot="Automático",ISNUMBER(Z174)),"Auto",IF(N(G174)&gt;0,"Manual","Sem cotação"))))</f>
        <v/>
      </c>
      <c r="J174" s="106" t="str">
        <f>IF(A174="","",N(E174)*H174)</f>
        <v/>
      </c>
      <c r="K174" s="107" t="str">
        <f>IF(A174="","",J174*W174)</f>
        <v/>
      </c>
      <c r="L174" s="108" t="str">
        <f>IF(A174="","",IF($K$6&gt;0,K174/$K$6,0))</f>
        <v/>
      </c>
      <c r="M174" s="109" t="str">
        <f>IF(A174="","",N(F174)-L174)</f>
        <v/>
      </c>
      <c r="N174" s="108" t="str">
        <f>IF(A174="","",IF($AB$6&gt;0,AB174/$AB$6,0))</f>
        <v/>
      </c>
      <c r="O174" s="110" t="str">
        <f>IF(A174="","",IF(AB174&lt;=0,"",COUNTIF($AB$9:$AB$208,"&gt;"&amp;AB174)+COUNTIF($AB$9:AB174,AB174)))</f>
        <v/>
      </c>
      <c r="P174" s="105" t="str">
        <f>IF(A174="","",IF(Q174&gt;0,"BUY","HOLD"))</f>
        <v/>
      </c>
      <c r="Q174" s="107" t="str">
        <f>IF(A174="","",IF($W$7&lt;=0,0,IF($AC$6&gt;0,$W$7*AC174/$AC$6,IF($F$6&gt;0,$W$7*N(F174)/$F$6,0))))</f>
        <v/>
      </c>
      <c r="R174" s="111" t="str">
        <f>IF(A174="","",N(AD174)+IF(AI174=1,N(AG174),0))</f>
        <v/>
      </c>
      <c r="S174" s="111" t="str">
        <f>IF(A174="","",N(E174)+N(R174))</f>
        <v/>
      </c>
      <c r="T174" s="107" t="str">
        <f>IF(A174="","",IF(N(R174)&gt;0,R174*H174*W174*$W$6+p_CorrFixa,0))</f>
        <v/>
      </c>
      <c r="V174" s="85" t="str">
        <f>IF(A174="","",IF(D174="",$W$1,D174))</f>
        <v/>
      </c>
      <c r="W174" s="85" t="str">
        <f>IF(A174="","",IFERROR(INDEX(moeda_fx,MATCH(V174,moeda_cod,0)),0))</f>
        <v/>
      </c>
      <c r="X174" s="85" t="str">
        <f>IF(A174="","",IF($W$2="",UPPER(TRIM(A174)),IF(RIGHT(UPPER(TRIM(A174)),LEN($W$2))=$W$2,UPPER(TRIM(A174)),UPPER(TRIM(A174))&amp;$W$2)))</f>
        <v/>
      </c>
      <c r="Y174" s="85" t="str">
        <f>IF(OR(A174="",p_ModoCot&lt;&gt;"Automático"),"",IFERROR(_xlfn.WEBSERVICE("https://query1.finance.yahoo.com/v8/finance/chart/"&amp;X174&amp;"?range=1d&amp;interval=1d"),""))</f>
        <v/>
      </c>
      <c r="Z174" s="85" t="str">
        <f>IF(Y174="","",IFERROR(_xlfn.NUMBERVALUE(MID(Y174,SEARCH("""regularMarketPrice"":",Y174)+21,SEARCH(",",Y174&amp;",",SEARCH("""regularMarketPrice"":",Y174)+21)-SEARCH("""regularMarketPrice"":",Y174)-21),".",","),""))</f>
        <v/>
      </c>
      <c r="AA174" s="85" t="str">
        <f>IF(A174="","",ROUND(MAX(0,N(F174)*($K$6+$W$7)-K174),2))</f>
        <v/>
      </c>
      <c r="AB174" s="85" t="str">
        <f>IF(A174="","",IF(AND(M174&gt;0,M174&gt;=p_DifMin),AA174,0))</f>
        <v/>
      </c>
      <c r="AC174" s="85" t="str">
        <f>IF(A174="","",IF(AND(AB174&gt;0,N(O174)&lt;=p_MaxAtivos),AB174,0))</f>
        <v/>
      </c>
      <c r="AD174" s="85" t="str">
        <f>IF(A174="","",IF(OR(Q174&lt;=0,Q174&lt;p_CompraMin,N(H174)&lt;=0,N(W174)&lt;=0),0,IF($W$3="Sim",TRUNC(ROUND(MAX(0,(Q174-p_CorrFixa)/(H174*W174*$W$6)),9),$W$4),TRUNC(ROUND(MAX(0,(Q174-p_CorrFixa)/(H174*W174*$W$6)),9)/$W$5)*$W$5)))</f>
        <v/>
      </c>
      <c r="AE174" s="85" t="str">
        <f>IF(A174="","",IF(N(AD174)&gt;0,AD174*H174*W174*$W$6+p_CorrFixa,0))</f>
        <v/>
      </c>
      <c r="AF174" s="85" t="str">
        <f>IF(A174="","",IF(OR($Y$1&lt;=0,N(H174)&lt;=0,N(W174)&lt;=0,N(AB174)&lt;=0),0,IF($W$3="Sim",TRUNC(ROUND(MAX(0,($Y$1-IF(N(AD174)&gt;0,0,p_CorrFixa))/(H174*W174*$W$6)),9),$W$4),TRUNC(ROUND(MAX(0,($Y$1-IF(N(AD174)&gt;0,0,p_CorrFixa))/(H174*W174*$W$6)),9)/$W$5)*$W$5)))</f>
        <v/>
      </c>
      <c r="AG174" s="85" t="str">
        <f>IF(A174="","",IF(AND(N(AD174)=0,N(AF174)*(H174*W174*$W$6)+p_CorrFixa&lt;p_CompraMin),0,AF174))</f>
        <v/>
      </c>
      <c r="AH174" s="85" t="str">
        <f>IF(A174="","",IF(N(AG174)&gt;0,AB174,0))</f>
        <v/>
      </c>
      <c r="AI174" s="85" t="str">
        <f>IF(A174="","",IF(AND(AH174&gt;0,AH174=$AH$6,COUNTIF($AH$9:AH174,AH174)=1),1,0))</f>
        <v/>
      </c>
    </row>
    <row r="175">
      <c r="A175" s="96" t="n"/>
      <c r="B175" s="96" t="n"/>
      <c r="C175" s="96" t="n"/>
      <c r="D175" s="97" t="n"/>
      <c r="E175" s="98" t="n"/>
      <c r="F175" s="99" t="n"/>
      <c r="G175" s="100" t="n"/>
      <c r="H175" s="101" t="str">
        <f>IF(A175="","",IF(AND(p_ModoCot="Automático",ISNUMBER(Z175)),Z175,IF(N(G175)&gt;0,G175,0)))</f>
        <v/>
      </c>
      <c r="I175" s="73" t="str">
        <f>IF(A175="","",IF(W175=0,"Sem câmbio",IF(AND(p_ModoCot="Automático",ISNUMBER(Z175)),"Auto",IF(N(G175)&gt;0,"Manual","Sem cotação"))))</f>
        <v/>
      </c>
      <c r="J175" s="102" t="str">
        <f>IF(A175="","",N(E175)*H175)</f>
        <v/>
      </c>
      <c r="K175" s="70" t="str">
        <f>IF(A175="","",J175*W175)</f>
        <v/>
      </c>
      <c r="L175" s="30" t="str">
        <f>IF(A175="","",IF($K$6&gt;0,K175/$K$6,0))</f>
        <v/>
      </c>
      <c r="M175" s="72" t="str">
        <f>IF(A175="","",N(F175)-L175)</f>
        <v/>
      </c>
      <c r="N175" s="30" t="str">
        <f>IF(A175="","",IF($AB$6&gt;0,AB175/$AB$6,0))</f>
        <v/>
      </c>
      <c r="O175" s="74" t="str">
        <f>IF(A175="","",IF(AB175&lt;=0,"",COUNTIF($AB$9:$AB$208,"&gt;"&amp;AB175)+COUNTIF($AB$9:AB175,AB175)))</f>
        <v/>
      </c>
      <c r="P175" s="73" t="str">
        <f>IF(A175="","",IF(Q175&gt;0,"BUY","HOLD"))</f>
        <v/>
      </c>
      <c r="Q175" s="70" t="str">
        <f>IF(A175="","",IF($W$7&lt;=0,0,IF($AC$6&gt;0,$W$7*AC175/$AC$6,IF($F$6&gt;0,$W$7*N(F175)/$F$6,0))))</f>
        <v/>
      </c>
      <c r="R175" s="103" t="str">
        <f>IF(A175="","",N(AD175)+IF(AI175=1,N(AG175),0))</f>
        <v/>
      </c>
      <c r="S175" s="103" t="str">
        <f>IF(A175="","",N(E175)+N(R175))</f>
        <v/>
      </c>
      <c r="T175" s="70" t="str">
        <f>IF(A175="","",IF(N(R175)&gt;0,R175*H175*W175*$W$6+p_CorrFixa,0))</f>
        <v/>
      </c>
      <c r="V175" s="85" t="str">
        <f>IF(A175="","",IF(D175="",$W$1,D175))</f>
        <v/>
      </c>
      <c r="W175" s="85" t="str">
        <f>IF(A175="","",IFERROR(INDEX(moeda_fx,MATCH(V175,moeda_cod,0)),0))</f>
        <v/>
      </c>
      <c r="X175" s="85" t="str">
        <f>IF(A175="","",IF($W$2="",UPPER(TRIM(A175)),IF(RIGHT(UPPER(TRIM(A175)),LEN($W$2))=$W$2,UPPER(TRIM(A175)),UPPER(TRIM(A175))&amp;$W$2)))</f>
        <v/>
      </c>
      <c r="Y175" s="85" t="str">
        <f>IF(OR(A175="",p_ModoCot&lt;&gt;"Automático"),"",IFERROR(_xlfn.WEBSERVICE("https://query1.finance.yahoo.com/v8/finance/chart/"&amp;X175&amp;"?range=1d&amp;interval=1d"),""))</f>
        <v/>
      </c>
      <c r="Z175" s="85" t="str">
        <f>IF(Y175="","",IFERROR(_xlfn.NUMBERVALUE(MID(Y175,SEARCH("""regularMarketPrice"":",Y175)+21,SEARCH(",",Y175&amp;",",SEARCH("""regularMarketPrice"":",Y175)+21)-SEARCH("""regularMarketPrice"":",Y175)-21),".",","),""))</f>
        <v/>
      </c>
      <c r="AA175" s="85" t="str">
        <f>IF(A175="","",ROUND(MAX(0,N(F175)*($K$6+$W$7)-K175),2))</f>
        <v/>
      </c>
      <c r="AB175" s="85" t="str">
        <f>IF(A175="","",IF(AND(M175&gt;0,M175&gt;=p_DifMin),AA175,0))</f>
        <v/>
      </c>
      <c r="AC175" s="85" t="str">
        <f>IF(A175="","",IF(AND(AB175&gt;0,N(O175)&lt;=p_MaxAtivos),AB175,0))</f>
        <v/>
      </c>
      <c r="AD175" s="85" t="str">
        <f>IF(A175="","",IF(OR(Q175&lt;=0,Q175&lt;p_CompraMin,N(H175)&lt;=0,N(W175)&lt;=0),0,IF($W$3="Sim",TRUNC(ROUND(MAX(0,(Q175-p_CorrFixa)/(H175*W175*$W$6)),9),$W$4),TRUNC(ROUND(MAX(0,(Q175-p_CorrFixa)/(H175*W175*$W$6)),9)/$W$5)*$W$5)))</f>
        <v/>
      </c>
      <c r="AE175" s="85" t="str">
        <f>IF(A175="","",IF(N(AD175)&gt;0,AD175*H175*W175*$W$6+p_CorrFixa,0))</f>
        <v/>
      </c>
      <c r="AF175" s="85" t="str">
        <f>IF(A175="","",IF(OR($Y$1&lt;=0,N(H175)&lt;=0,N(W175)&lt;=0,N(AB175)&lt;=0),0,IF($W$3="Sim",TRUNC(ROUND(MAX(0,($Y$1-IF(N(AD175)&gt;0,0,p_CorrFixa))/(H175*W175*$W$6)),9),$W$4),TRUNC(ROUND(MAX(0,($Y$1-IF(N(AD175)&gt;0,0,p_CorrFixa))/(H175*W175*$W$6)),9)/$W$5)*$W$5)))</f>
        <v/>
      </c>
      <c r="AG175" s="85" t="str">
        <f>IF(A175="","",IF(AND(N(AD175)=0,N(AF175)*(H175*W175*$W$6)+p_CorrFixa&lt;p_CompraMin),0,AF175))</f>
        <v/>
      </c>
      <c r="AH175" s="85" t="str">
        <f>IF(A175="","",IF(N(AG175)&gt;0,AB175,0))</f>
        <v/>
      </c>
      <c r="AI175" s="85" t="str">
        <f>IF(A175="","",IF(AND(AH175&gt;0,AH175=$AH$6,COUNTIF($AH$9:AH175,AH175)=1),1,0))</f>
        <v/>
      </c>
    </row>
    <row r="176">
      <c r="A176" s="96" t="n"/>
      <c r="B176" s="96" t="n"/>
      <c r="C176" s="96" t="n"/>
      <c r="D176" s="97" t="n"/>
      <c r="E176" s="98" t="n"/>
      <c r="F176" s="99" t="n"/>
      <c r="G176" s="100" t="n"/>
      <c r="H176" s="104" t="str">
        <f>IF(A176="","",IF(AND(p_ModoCot="Automático",ISNUMBER(Z176)),Z176,IF(N(G176)&gt;0,G176,0)))</f>
        <v/>
      </c>
      <c r="I176" s="105" t="str">
        <f>IF(A176="","",IF(W176=0,"Sem câmbio",IF(AND(p_ModoCot="Automático",ISNUMBER(Z176)),"Auto",IF(N(G176)&gt;0,"Manual","Sem cotação"))))</f>
        <v/>
      </c>
      <c r="J176" s="106" t="str">
        <f>IF(A176="","",N(E176)*H176)</f>
        <v/>
      </c>
      <c r="K176" s="107" t="str">
        <f>IF(A176="","",J176*W176)</f>
        <v/>
      </c>
      <c r="L176" s="108" t="str">
        <f>IF(A176="","",IF($K$6&gt;0,K176/$K$6,0))</f>
        <v/>
      </c>
      <c r="M176" s="109" t="str">
        <f>IF(A176="","",N(F176)-L176)</f>
        <v/>
      </c>
      <c r="N176" s="108" t="str">
        <f>IF(A176="","",IF($AB$6&gt;0,AB176/$AB$6,0))</f>
        <v/>
      </c>
      <c r="O176" s="110" t="str">
        <f>IF(A176="","",IF(AB176&lt;=0,"",COUNTIF($AB$9:$AB$208,"&gt;"&amp;AB176)+COUNTIF($AB$9:AB176,AB176)))</f>
        <v/>
      </c>
      <c r="P176" s="105" t="str">
        <f>IF(A176="","",IF(Q176&gt;0,"BUY","HOLD"))</f>
        <v/>
      </c>
      <c r="Q176" s="107" t="str">
        <f>IF(A176="","",IF($W$7&lt;=0,0,IF($AC$6&gt;0,$W$7*AC176/$AC$6,IF($F$6&gt;0,$W$7*N(F176)/$F$6,0))))</f>
        <v/>
      </c>
      <c r="R176" s="111" t="str">
        <f>IF(A176="","",N(AD176)+IF(AI176=1,N(AG176),0))</f>
        <v/>
      </c>
      <c r="S176" s="111" t="str">
        <f>IF(A176="","",N(E176)+N(R176))</f>
        <v/>
      </c>
      <c r="T176" s="107" t="str">
        <f>IF(A176="","",IF(N(R176)&gt;0,R176*H176*W176*$W$6+p_CorrFixa,0))</f>
        <v/>
      </c>
      <c r="V176" s="85" t="str">
        <f>IF(A176="","",IF(D176="",$W$1,D176))</f>
        <v/>
      </c>
      <c r="W176" s="85" t="str">
        <f>IF(A176="","",IFERROR(INDEX(moeda_fx,MATCH(V176,moeda_cod,0)),0))</f>
        <v/>
      </c>
      <c r="X176" s="85" t="str">
        <f>IF(A176="","",IF($W$2="",UPPER(TRIM(A176)),IF(RIGHT(UPPER(TRIM(A176)),LEN($W$2))=$W$2,UPPER(TRIM(A176)),UPPER(TRIM(A176))&amp;$W$2)))</f>
        <v/>
      </c>
      <c r="Y176" s="85" t="str">
        <f>IF(OR(A176="",p_ModoCot&lt;&gt;"Automático"),"",IFERROR(_xlfn.WEBSERVICE("https://query1.finance.yahoo.com/v8/finance/chart/"&amp;X176&amp;"?range=1d&amp;interval=1d"),""))</f>
        <v/>
      </c>
      <c r="Z176" s="85" t="str">
        <f>IF(Y176="","",IFERROR(_xlfn.NUMBERVALUE(MID(Y176,SEARCH("""regularMarketPrice"":",Y176)+21,SEARCH(",",Y176&amp;",",SEARCH("""regularMarketPrice"":",Y176)+21)-SEARCH("""regularMarketPrice"":",Y176)-21),".",","),""))</f>
        <v/>
      </c>
      <c r="AA176" s="85" t="str">
        <f>IF(A176="","",ROUND(MAX(0,N(F176)*($K$6+$W$7)-K176),2))</f>
        <v/>
      </c>
      <c r="AB176" s="85" t="str">
        <f>IF(A176="","",IF(AND(M176&gt;0,M176&gt;=p_DifMin),AA176,0))</f>
        <v/>
      </c>
      <c r="AC176" s="85" t="str">
        <f>IF(A176="","",IF(AND(AB176&gt;0,N(O176)&lt;=p_MaxAtivos),AB176,0))</f>
        <v/>
      </c>
      <c r="AD176" s="85" t="str">
        <f>IF(A176="","",IF(OR(Q176&lt;=0,Q176&lt;p_CompraMin,N(H176)&lt;=0,N(W176)&lt;=0),0,IF($W$3="Sim",TRUNC(ROUND(MAX(0,(Q176-p_CorrFixa)/(H176*W176*$W$6)),9),$W$4),TRUNC(ROUND(MAX(0,(Q176-p_CorrFixa)/(H176*W176*$W$6)),9)/$W$5)*$W$5)))</f>
        <v/>
      </c>
      <c r="AE176" s="85" t="str">
        <f>IF(A176="","",IF(N(AD176)&gt;0,AD176*H176*W176*$W$6+p_CorrFixa,0))</f>
        <v/>
      </c>
      <c r="AF176" s="85" t="str">
        <f>IF(A176="","",IF(OR($Y$1&lt;=0,N(H176)&lt;=0,N(W176)&lt;=0,N(AB176)&lt;=0),0,IF($W$3="Sim",TRUNC(ROUND(MAX(0,($Y$1-IF(N(AD176)&gt;0,0,p_CorrFixa))/(H176*W176*$W$6)),9),$W$4),TRUNC(ROUND(MAX(0,($Y$1-IF(N(AD176)&gt;0,0,p_CorrFixa))/(H176*W176*$W$6)),9)/$W$5)*$W$5)))</f>
        <v/>
      </c>
      <c r="AG176" s="85" t="str">
        <f>IF(A176="","",IF(AND(N(AD176)=0,N(AF176)*(H176*W176*$W$6)+p_CorrFixa&lt;p_CompraMin),0,AF176))</f>
        <v/>
      </c>
      <c r="AH176" s="85" t="str">
        <f>IF(A176="","",IF(N(AG176)&gt;0,AB176,0))</f>
        <v/>
      </c>
      <c r="AI176" s="85" t="str">
        <f>IF(A176="","",IF(AND(AH176&gt;0,AH176=$AH$6,COUNTIF($AH$9:AH176,AH176)=1),1,0))</f>
        <v/>
      </c>
    </row>
    <row r="177">
      <c r="A177" s="96" t="n"/>
      <c r="B177" s="96" t="n"/>
      <c r="C177" s="96" t="n"/>
      <c r="D177" s="97" t="n"/>
      <c r="E177" s="98" t="n"/>
      <c r="F177" s="99" t="n"/>
      <c r="G177" s="100" t="n"/>
      <c r="H177" s="101" t="str">
        <f>IF(A177="","",IF(AND(p_ModoCot="Automático",ISNUMBER(Z177)),Z177,IF(N(G177)&gt;0,G177,0)))</f>
        <v/>
      </c>
      <c r="I177" s="73" t="str">
        <f>IF(A177="","",IF(W177=0,"Sem câmbio",IF(AND(p_ModoCot="Automático",ISNUMBER(Z177)),"Auto",IF(N(G177)&gt;0,"Manual","Sem cotação"))))</f>
        <v/>
      </c>
      <c r="J177" s="102" t="str">
        <f>IF(A177="","",N(E177)*H177)</f>
        <v/>
      </c>
      <c r="K177" s="70" t="str">
        <f>IF(A177="","",J177*W177)</f>
        <v/>
      </c>
      <c r="L177" s="30" t="str">
        <f>IF(A177="","",IF($K$6&gt;0,K177/$K$6,0))</f>
        <v/>
      </c>
      <c r="M177" s="72" t="str">
        <f>IF(A177="","",N(F177)-L177)</f>
        <v/>
      </c>
      <c r="N177" s="30" t="str">
        <f>IF(A177="","",IF($AB$6&gt;0,AB177/$AB$6,0))</f>
        <v/>
      </c>
      <c r="O177" s="74" t="str">
        <f>IF(A177="","",IF(AB177&lt;=0,"",COUNTIF($AB$9:$AB$208,"&gt;"&amp;AB177)+COUNTIF($AB$9:AB177,AB177)))</f>
        <v/>
      </c>
      <c r="P177" s="73" t="str">
        <f>IF(A177="","",IF(Q177&gt;0,"BUY","HOLD"))</f>
        <v/>
      </c>
      <c r="Q177" s="70" t="str">
        <f>IF(A177="","",IF($W$7&lt;=0,0,IF($AC$6&gt;0,$W$7*AC177/$AC$6,IF($F$6&gt;0,$W$7*N(F177)/$F$6,0))))</f>
        <v/>
      </c>
      <c r="R177" s="103" t="str">
        <f>IF(A177="","",N(AD177)+IF(AI177=1,N(AG177),0))</f>
        <v/>
      </c>
      <c r="S177" s="103" t="str">
        <f>IF(A177="","",N(E177)+N(R177))</f>
        <v/>
      </c>
      <c r="T177" s="70" t="str">
        <f>IF(A177="","",IF(N(R177)&gt;0,R177*H177*W177*$W$6+p_CorrFixa,0))</f>
        <v/>
      </c>
      <c r="V177" s="85" t="str">
        <f>IF(A177="","",IF(D177="",$W$1,D177))</f>
        <v/>
      </c>
      <c r="W177" s="85" t="str">
        <f>IF(A177="","",IFERROR(INDEX(moeda_fx,MATCH(V177,moeda_cod,0)),0))</f>
        <v/>
      </c>
      <c r="X177" s="85" t="str">
        <f>IF(A177="","",IF($W$2="",UPPER(TRIM(A177)),IF(RIGHT(UPPER(TRIM(A177)),LEN($W$2))=$W$2,UPPER(TRIM(A177)),UPPER(TRIM(A177))&amp;$W$2)))</f>
        <v/>
      </c>
      <c r="Y177" s="85" t="str">
        <f>IF(OR(A177="",p_ModoCot&lt;&gt;"Automático"),"",IFERROR(_xlfn.WEBSERVICE("https://query1.finance.yahoo.com/v8/finance/chart/"&amp;X177&amp;"?range=1d&amp;interval=1d"),""))</f>
        <v/>
      </c>
      <c r="Z177" s="85" t="str">
        <f>IF(Y177="","",IFERROR(_xlfn.NUMBERVALUE(MID(Y177,SEARCH("""regularMarketPrice"":",Y177)+21,SEARCH(",",Y177&amp;",",SEARCH("""regularMarketPrice"":",Y177)+21)-SEARCH("""regularMarketPrice"":",Y177)-21),".",","),""))</f>
        <v/>
      </c>
      <c r="AA177" s="85" t="str">
        <f>IF(A177="","",ROUND(MAX(0,N(F177)*($K$6+$W$7)-K177),2))</f>
        <v/>
      </c>
      <c r="AB177" s="85" t="str">
        <f>IF(A177="","",IF(AND(M177&gt;0,M177&gt;=p_DifMin),AA177,0))</f>
        <v/>
      </c>
      <c r="AC177" s="85" t="str">
        <f>IF(A177="","",IF(AND(AB177&gt;0,N(O177)&lt;=p_MaxAtivos),AB177,0))</f>
        <v/>
      </c>
      <c r="AD177" s="85" t="str">
        <f>IF(A177="","",IF(OR(Q177&lt;=0,Q177&lt;p_CompraMin,N(H177)&lt;=0,N(W177)&lt;=0),0,IF($W$3="Sim",TRUNC(ROUND(MAX(0,(Q177-p_CorrFixa)/(H177*W177*$W$6)),9),$W$4),TRUNC(ROUND(MAX(0,(Q177-p_CorrFixa)/(H177*W177*$W$6)),9)/$W$5)*$W$5)))</f>
        <v/>
      </c>
      <c r="AE177" s="85" t="str">
        <f>IF(A177="","",IF(N(AD177)&gt;0,AD177*H177*W177*$W$6+p_CorrFixa,0))</f>
        <v/>
      </c>
      <c r="AF177" s="85" t="str">
        <f>IF(A177="","",IF(OR($Y$1&lt;=0,N(H177)&lt;=0,N(W177)&lt;=0,N(AB177)&lt;=0),0,IF($W$3="Sim",TRUNC(ROUND(MAX(0,($Y$1-IF(N(AD177)&gt;0,0,p_CorrFixa))/(H177*W177*$W$6)),9),$W$4),TRUNC(ROUND(MAX(0,($Y$1-IF(N(AD177)&gt;0,0,p_CorrFixa))/(H177*W177*$W$6)),9)/$W$5)*$W$5)))</f>
        <v/>
      </c>
      <c r="AG177" s="85" t="str">
        <f>IF(A177="","",IF(AND(N(AD177)=0,N(AF177)*(H177*W177*$W$6)+p_CorrFixa&lt;p_CompraMin),0,AF177))</f>
        <v/>
      </c>
      <c r="AH177" s="85" t="str">
        <f>IF(A177="","",IF(N(AG177)&gt;0,AB177,0))</f>
        <v/>
      </c>
      <c r="AI177" s="85" t="str">
        <f>IF(A177="","",IF(AND(AH177&gt;0,AH177=$AH$6,COUNTIF($AH$9:AH177,AH177)=1),1,0))</f>
        <v/>
      </c>
    </row>
    <row r="178">
      <c r="A178" s="96" t="n"/>
      <c r="B178" s="96" t="n"/>
      <c r="C178" s="96" t="n"/>
      <c r="D178" s="97" t="n"/>
      <c r="E178" s="98" t="n"/>
      <c r="F178" s="99" t="n"/>
      <c r="G178" s="100" t="n"/>
      <c r="H178" s="104" t="str">
        <f>IF(A178="","",IF(AND(p_ModoCot="Automático",ISNUMBER(Z178)),Z178,IF(N(G178)&gt;0,G178,0)))</f>
        <v/>
      </c>
      <c r="I178" s="105" t="str">
        <f>IF(A178="","",IF(W178=0,"Sem câmbio",IF(AND(p_ModoCot="Automático",ISNUMBER(Z178)),"Auto",IF(N(G178)&gt;0,"Manual","Sem cotação"))))</f>
        <v/>
      </c>
      <c r="J178" s="106" t="str">
        <f>IF(A178="","",N(E178)*H178)</f>
        <v/>
      </c>
      <c r="K178" s="107" t="str">
        <f>IF(A178="","",J178*W178)</f>
        <v/>
      </c>
      <c r="L178" s="108" t="str">
        <f>IF(A178="","",IF($K$6&gt;0,K178/$K$6,0))</f>
        <v/>
      </c>
      <c r="M178" s="109" t="str">
        <f>IF(A178="","",N(F178)-L178)</f>
        <v/>
      </c>
      <c r="N178" s="108" t="str">
        <f>IF(A178="","",IF($AB$6&gt;0,AB178/$AB$6,0))</f>
        <v/>
      </c>
      <c r="O178" s="110" t="str">
        <f>IF(A178="","",IF(AB178&lt;=0,"",COUNTIF($AB$9:$AB$208,"&gt;"&amp;AB178)+COUNTIF($AB$9:AB178,AB178)))</f>
        <v/>
      </c>
      <c r="P178" s="105" t="str">
        <f>IF(A178="","",IF(Q178&gt;0,"BUY","HOLD"))</f>
        <v/>
      </c>
      <c r="Q178" s="107" t="str">
        <f>IF(A178="","",IF($W$7&lt;=0,0,IF($AC$6&gt;0,$W$7*AC178/$AC$6,IF($F$6&gt;0,$W$7*N(F178)/$F$6,0))))</f>
        <v/>
      </c>
      <c r="R178" s="111" t="str">
        <f>IF(A178="","",N(AD178)+IF(AI178=1,N(AG178),0))</f>
        <v/>
      </c>
      <c r="S178" s="111" t="str">
        <f>IF(A178="","",N(E178)+N(R178))</f>
        <v/>
      </c>
      <c r="T178" s="107" t="str">
        <f>IF(A178="","",IF(N(R178)&gt;0,R178*H178*W178*$W$6+p_CorrFixa,0))</f>
        <v/>
      </c>
      <c r="V178" s="85" t="str">
        <f>IF(A178="","",IF(D178="",$W$1,D178))</f>
        <v/>
      </c>
      <c r="W178" s="85" t="str">
        <f>IF(A178="","",IFERROR(INDEX(moeda_fx,MATCH(V178,moeda_cod,0)),0))</f>
        <v/>
      </c>
      <c r="X178" s="85" t="str">
        <f>IF(A178="","",IF($W$2="",UPPER(TRIM(A178)),IF(RIGHT(UPPER(TRIM(A178)),LEN($W$2))=$W$2,UPPER(TRIM(A178)),UPPER(TRIM(A178))&amp;$W$2)))</f>
        <v/>
      </c>
      <c r="Y178" s="85" t="str">
        <f>IF(OR(A178="",p_ModoCot&lt;&gt;"Automático"),"",IFERROR(_xlfn.WEBSERVICE("https://query1.finance.yahoo.com/v8/finance/chart/"&amp;X178&amp;"?range=1d&amp;interval=1d"),""))</f>
        <v/>
      </c>
      <c r="Z178" s="85" t="str">
        <f>IF(Y178="","",IFERROR(_xlfn.NUMBERVALUE(MID(Y178,SEARCH("""regularMarketPrice"":",Y178)+21,SEARCH(",",Y178&amp;",",SEARCH("""regularMarketPrice"":",Y178)+21)-SEARCH("""regularMarketPrice"":",Y178)-21),".",","),""))</f>
        <v/>
      </c>
      <c r="AA178" s="85" t="str">
        <f>IF(A178="","",ROUND(MAX(0,N(F178)*($K$6+$W$7)-K178),2))</f>
        <v/>
      </c>
      <c r="AB178" s="85" t="str">
        <f>IF(A178="","",IF(AND(M178&gt;0,M178&gt;=p_DifMin),AA178,0))</f>
        <v/>
      </c>
      <c r="AC178" s="85" t="str">
        <f>IF(A178="","",IF(AND(AB178&gt;0,N(O178)&lt;=p_MaxAtivos),AB178,0))</f>
        <v/>
      </c>
      <c r="AD178" s="85" t="str">
        <f>IF(A178="","",IF(OR(Q178&lt;=0,Q178&lt;p_CompraMin,N(H178)&lt;=0,N(W178)&lt;=0),0,IF($W$3="Sim",TRUNC(ROUND(MAX(0,(Q178-p_CorrFixa)/(H178*W178*$W$6)),9),$W$4),TRUNC(ROUND(MAX(0,(Q178-p_CorrFixa)/(H178*W178*$W$6)),9)/$W$5)*$W$5)))</f>
        <v/>
      </c>
      <c r="AE178" s="85" t="str">
        <f>IF(A178="","",IF(N(AD178)&gt;0,AD178*H178*W178*$W$6+p_CorrFixa,0))</f>
        <v/>
      </c>
      <c r="AF178" s="85" t="str">
        <f>IF(A178="","",IF(OR($Y$1&lt;=0,N(H178)&lt;=0,N(W178)&lt;=0,N(AB178)&lt;=0),0,IF($W$3="Sim",TRUNC(ROUND(MAX(0,($Y$1-IF(N(AD178)&gt;0,0,p_CorrFixa))/(H178*W178*$W$6)),9),$W$4),TRUNC(ROUND(MAX(0,($Y$1-IF(N(AD178)&gt;0,0,p_CorrFixa))/(H178*W178*$W$6)),9)/$W$5)*$W$5)))</f>
        <v/>
      </c>
      <c r="AG178" s="85" t="str">
        <f>IF(A178="","",IF(AND(N(AD178)=0,N(AF178)*(H178*W178*$W$6)+p_CorrFixa&lt;p_CompraMin),0,AF178))</f>
        <v/>
      </c>
      <c r="AH178" s="85" t="str">
        <f>IF(A178="","",IF(N(AG178)&gt;0,AB178,0))</f>
        <v/>
      </c>
      <c r="AI178" s="85" t="str">
        <f>IF(A178="","",IF(AND(AH178&gt;0,AH178=$AH$6,COUNTIF($AH$9:AH178,AH178)=1),1,0))</f>
        <v/>
      </c>
    </row>
    <row r="179">
      <c r="A179" s="96" t="n"/>
      <c r="B179" s="96" t="n"/>
      <c r="C179" s="96" t="n"/>
      <c r="D179" s="97" t="n"/>
      <c r="E179" s="98" t="n"/>
      <c r="F179" s="99" t="n"/>
      <c r="G179" s="100" t="n"/>
      <c r="H179" s="101" t="str">
        <f>IF(A179="","",IF(AND(p_ModoCot="Automático",ISNUMBER(Z179)),Z179,IF(N(G179)&gt;0,G179,0)))</f>
        <v/>
      </c>
      <c r="I179" s="73" t="str">
        <f>IF(A179="","",IF(W179=0,"Sem câmbio",IF(AND(p_ModoCot="Automático",ISNUMBER(Z179)),"Auto",IF(N(G179)&gt;0,"Manual","Sem cotação"))))</f>
        <v/>
      </c>
      <c r="J179" s="102" t="str">
        <f>IF(A179="","",N(E179)*H179)</f>
        <v/>
      </c>
      <c r="K179" s="70" t="str">
        <f>IF(A179="","",J179*W179)</f>
        <v/>
      </c>
      <c r="L179" s="30" t="str">
        <f>IF(A179="","",IF($K$6&gt;0,K179/$K$6,0))</f>
        <v/>
      </c>
      <c r="M179" s="72" t="str">
        <f>IF(A179="","",N(F179)-L179)</f>
        <v/>
      </c>
      <c r="N179" s="30" t="str">
        <f>IF(A179="","",IF($AB$6&gt;0,AB179/$AB$6,0))</f>
        <v/>
      </c>
      <c r="O179" s="74" t="str">
        <f>IF(A179="","",IF(AB179&lt;=0,"",COUNTIF($AB$9:$AB$208,"&gt;"&amp;AB179)+COUNTIF($AB$9:AB179,AB179)))</f>
        <v/>
      </c>
      <c r="P179" s="73" t="str">
        <f>IF(A179="","",IF(Q179&gt;0,"BUY","HOLD"))</f>
        <v/>
      </c>
      <c r="Q179" s="70" t="str">
        <f>IF(A179="","",IF($W$7&lt;=0,0,IF($AC$6&gt;0,$W$7*AC179/$AC$6,IF($F$6&gt;0,$W$7*N(F179)/$F$6,0))))</f>
        <v/>
      </c>
      <c r="R179" s="103" t="str">
        <f>IF(A179="","",N(AD179)+IF(AI179=1,N(AG179),0))</f>
        <v/>
      </c>
      <c r="S179" s="103" t="str">
        <f>IF(A179="","",N(E179)+N(R179))</f>
        <v/>
      </c>
      <c r="T179" s="70" t="str">
        <f>IF(A179="","",IF(N(R179)&gt;0,R179*H179*W179*$W$6+p_CorrFixa,0))</f>
        <v/>
      </c>
      <c r="V179" s="85" t="str">
        <f>IF(A179="","",IF(D179="",$W$1,D179))</f>
        <v/>
      </c>
      <c r="W179" s="85" t="str">
        <f>IF(A179="","",IFERROR(INDEX(moeda_fx,MATCH(V179,moeda_cod,0)),0))</f>
        <v/>
      </c>
      <c r="X179" s="85" t="str">
        <f>IF(A179="","",IF($W$2="",UPPER(TRIM(A179)),IF(RIGHT(UPPER(TRIM(A179)),LEN($W$2))=$W$2,UPPER(TRIM(A179)),UPPER(TRIM(A179))&amp;$W$2)))</f>
        <v/>
      </c>
      <c r="Y179" s="85" t="str">
        <f>IF(OR(A179="",p_ModoCot&lt;&gt;"Automático"),"",IFERROR(_xlfn.WEBSERVICE("https://query1.finance.yahoo.com/v8/finance/chart/"&amp;X179&amp;"?range=1d&amp;interval=1d"),""))</f>
        <v/>
      </c>
      <c r="Z179" s="85" t="str">
        <f>IF(Y179="","",IFERROR(_xlfn.NUMBERVALUE(MID(Y179,SEARCH("""regularMarketPrice"":",Y179)+21,SEARCH(",",Y179&amp;",",SEARCH("""regularMarketPrice"":",Y179)+21)-SEARCH("""regularMarketPrice"":",Y179)-21),".",","),""))</f>
        <v/>
      </c>
      <c r="AA179" s="85" t="str">
        <f>IF(A179="","",ROUND(MAX(0,N(F179)*($K$6+$W$7)-K179),2))</f>
        <v/>
      </c>
      <c r="AB179" s="85" t="str">
        <f>IF(A179="","",IF(AND(M179&gt;0,M179&gt;=p_DifMin),AA179,0))</f>
        <v/>
      </c>
      <c r="AC179" s="85" t="str">
        <f>IF(A179="","",IF(AND(AB179&gt;0,N(O179)&lt;=p_MaxAtivos),AB179,0))</f>
        <v/>
      </c>
      <c r="AD179" s="85" t="str">
        <f>IF(A179="","",IF(OR(Q179&lt;=0,Q179&lt;p_CompraMin,N(H179)&lt;=0,N(W179)&lt;=0),0,IF($W$3="Sim",TRUNC(ROUND(MAX(0,(Q179-p_CorrFixa)/(H179*W179*$W$6)),9),$W$4),TRUNC(ROUND(MAX(0,(Q179-p_CorrFixa)/(H179*W179*$W$6)),9)/$W$5)*$W$5)))</f>
        <v/>
      </c>
      <c r="AE179" s="85" t="str">
        <f>IF(A179="","",IF(N(AD179)&gt;0,AD179*H179*W179*$W$6+p_CorrFixa,0))</f>
        <v/>
      </c>
      <c r="AF179" s="85" t="str">
        <f>IF(A179="","",IF(OR($Y$1&lt;=0,N(H179)&lt;=0,N(W179)&lt;=0,N(AB179)&lt;=0),0,IF($W$3="Sim",TRUNC(ROUND(MAX(0,($Y$1-IF(N(AD179)&gt;0,0,p_CorrFixa))/(H179*W179*$W$6)),9),$W$4),TRUNC(ROUND(MAX(0,($Y$1-IF(N(AD179)&gt;0,0,p_CorrFixa))/(H179*W179*$W$6)),9)/$W$5)*$W$5)))</f>
        <v/>
      </c>
      <c r="AG179" s="85" t="str">
        <f>IF(A179="","",IF(AND(N(AD179)=0,N(AF179)*(H179*W179*$W$6)+p_CorrFixa&lt;p_CompraMin),0,AF179))</f>
        <v/>
      </c>
      <c r="AH179" s="85" t="str">
        <f>IF(A179="","",IF(N(AG179)&gt;0,AB179,0))</f>
        <v/>
      </c>
      <c r="AI179" s="85" t="str">
        <f>IF(A179="","",IF(AND(AH179&gt;0,AH179=$AH$6,COUNTIF($AH$9:AH179,AH179)=1),1,0))</f>
        <v/>
      </c>
    </row>
    <row r="180">
      <c r="A180" s="96" t="n"/>
      <c r="B180" s="96" t="n"/>
      <c r="C180" s="96" t="n"/>
      <c r="D180" s="97" t="n"/>
      <c r="E180" s="98" t="n"/>
      <c r="F180" s="99" t="n"/>
      <c r="G180" s="100" t="n"/>
      <c r="H180" s="104" t="str">
        <f>IF(A180="","",IF(AND(p_ModoCot="Automático",ISNUMBER(Z180)),Z180,IF(N(G180)&gt;0,G180,0)))</f>
        <v/>
      </c>
      <c r="I180" s="105" t="str">
        <f>IF(A180="","",IF(W180=0,"Sem câmbio",IF(AND(p_ModoCot="Automático",ISNUMBER(Z180)),"Auto",IF(N(G180)&gt;0,"Manual","Sem cotação"))))</f>
        <v/>
      </c>
      <c r="J180" s="106" t="str">
        <f>IF(A180="","",N(E180)*H180)</f>
        <v/>
      </c>
      <c r="K180" s="107" t="str">
        <f>IF(A180="","",J180*W180)</f>
        <v/>
      </c>
      <c r="L180" s="108" t="str">
        <f>IF(A180="","",IF($K$6&gt;0,K180/$K$6,0))</f>
        <v/>
      </c>
      <c r="M180" s="109" t="str">
        <f>IF(A180="","",N(F180)-L180)</f>
        <v/>
      </c>
      <c r="N180" s="108" t="str">
        <f>IF(A180="","",IF($AB$6&gt;0,AB180/$AB$6,0))</f>
        <v/>
      </c>
      <c r="O180" s="110" t="str">
        <f>IF(A180="","",IF(AB180&lt;=0,"",COUNTIF($AB$9:$AB$208,"&gt;"&amp;AB180)+COUNTIF($AB$9:AB180,AB180)))</f>
        <v/>
      </c>
      <c r="P180" s="105" t="str">
        <f>IF(A180="","",IF(Q180&gt;0,"BUY","HOLD"))</f>
        <v/>
      </c>
      <c r="Q180" s="107" t="str">
        <f>IF(A180="","",IF($W$7&lt;=0,0,IF($AC$6&gt;0,$W$7*AC180/$AC$6,IF($F$6&gt;0,$W$7*N(F180)/$F$6,0))))</f>
        <v/>
      </c>
      <c r="R180" s="111" t="str">
        <f>IF(A180="","",N(AD180)+IF(AI180=1,N(AG180),0))</f>
        <v/>
      </c>
      <c r="S180" s="111" t="str">
        <f>IF(A180="","",N(E180)+N(R180))</f>
        <v/>
      </c>
      <c r="T180" s="107" t="str">
        <f>IF(A180="","",IF(N(R180)&gt;0,R180*H180*W180*$W$6+p_CorrFixa,0))</f>
        <v/>
      </c>
      <c r="V180" s="85" t="str">
        <f>IF(A180="","",IF(D180="",$W$1,D180))</f>
        <v/>
      </c>
      <c r="W180" s="85" t="str">
        <f>IF(A180="","",IFERROR(INDEX(moeda_fx,MATCH(V180,moeda_cod,0)),0))</f>
        <v/>
      </c>
      <c r="X180" s="85" t="str">
        <f>IF(A180="","",IF($W$2="",UPPER(TRIM(A180)),IF(RIGHT(UPPER(TRIM(A180)),LEN($W$2))=$W$2,UPPER(TRIM(A180)),UPPER(TRIM(A180))&amp;$W$2)))</f>
        <v/>
      </c>
      <c r="Y180" s="85" t="str">
        <f>IF(OR(A180="",p_ModoCot&lt;&gt;"Automático"),"",IFERROR(_xlfn.WEBSERVICE("https://query1.finance.yahoo.com/v8/finance/chart/"&amp;X180&amp;"?range=1d&amp;interval=1d"),""))</f>
        <v/>
      </c>
      <c r="Z180" s="85" t="str">
        <f>IF(Y180="","",IFERROR(_xlfn.NUMBERVALUE(MID(Y180,SEARCH("""regularMarketPrice"":",Y180)+21,SEARCH(",",Y180&amp;",",SEARCH("""regularMarketPrice"":",Y180)+21)-SEARCH("""regularMarketPrice"":",Y180)-21),".",","),""))</f>
        <v/>
      </c>
      <c r="AA180" s="85" t="str">
        <f>IF(A180="","",ROUND(MAX(0,N(F180)*($K$6+$W$7)-K180),2))</f>
        <v/>
      </c>
      <c r="AB180" s="85" t="str">
        <f>IF(A180="","",IF(AND(M180&gt;0,M180&gt;=p_DifMin),AA180,0))</f>
        <v/>
      </c>
      <c r="AC180" s="85" t="str">
        <f>IF(A180="","",IF(AND(AB180&gt;0,N(O180)&lt;=p_MaxAtivos),AB180,0))</f>
        <v/>
      </c>
      <c r="AD180" s="85" t="str">
        <f>IF(A180="","",IF(OR(Q180&lt;=0,Q180&lt;p_CompraMin,N(H180)&lt;=0,N(W180)&lt;=0),0,IF($W$3="Sim",TRUNC(ROUND(MAX(0,(Q180-p_CorrFixa)/(H180*W180*$W$6)),9),$W$4),TRUNC(ROUND(MAX(0,(Q180-p_CorrFixa)/(H180*W180*$W$6)),9)/$W$5)*$W$5)))</f>
        <v/>
      </c>
      <c r="AE180" s="85" t="str">
        <f>IF(A180="","",IF(N(AD180)&gt;0,AD180*H180*W180*$W$6+p_CorrFixa,0))</f>
        <v/>
      </c>
      <c r="AF180" s="85" t="str">
        <f>IF(A180="","",IF(OR($Y$1&lt;=0,N(H180)&lt;=0,N(W180)&lt;=0,N(AB180)&lt;=0),0,IF($W$3="Sim",TRUNC(ROUND(MAX(0,($Y$1-IF(N(AD180)&gt;0,0,p_CorrFixa))/(H180*W180*$W$6)),9),$W$4),TRUNC(ROUND(MAX(0,($Y$1-IF(N(AD180)&gt;0,0,p_CorrFixa))/(H180*W180*$W$6)),9)/$W$5)*$W$5)))</f>
        <v/>
      </c>
      <c r="AG180" s="85" t="str">
        <f>IF(A180="","",IF(AND(N(AD180)=0,N(AF180)*(H180*W180*$W$6)+p_CorrFixa&lt;p_CompraMin),0,AF180))</f>
        <v/>
      </c>
      <c r="AH180" s="85" t="str">
        <f>IF(A180="","",IF(N(AG180)&gt;0,AB180,0))</f>
        <v/>
      </c>
      <c r="AI180" s="85" t="str">
        <f>IF(A180="","",IF(AND(AH180&gt;0,AH180=$AH$6,COUNTIF($AH$9:AH180,AH180)=1),1,0))</f>
        <v/>
      </c>
    </row>
    <row r="181">
      <c r="A181" s="96" t="n"/>
      <c r="B181" s="96" t="n"/>
      <c r="C181" s="96" t="n"/>
      <c r="D181" s="97" t="n"/>
      <c r="E181" s="98" t="n"/>
      <c r="F181" s="99" t="n"/>
      <c r="G181" s="100" t="n"/>
      <c r="H181" s="101" t="str">
        <f>IF(A181="","",IF(AND(p_ModoCot="Automático",ISNUMBER(Z181)),Z181,IF(N(G181)&gt;0,G181,0)))</f>
        <v/>
      </c>
      <c r="I181" s="73" t="str">
        <f>IF(A181="","",IF(W181=0,"Sem câmbio",IF(AND(p_ModoCot="Automático",ISNUMBER(Z181)),"Auto",IF(N(G181)&gt;0,"Manual","Sem cotação"))))</f>
        <v/>
      </c>
      <c r="J181" s="102" t="str">
        <f>IF(A181="","",N(E181)*H181)</f>
        <v/>
      </c>
      <c r="K181" s="70" t="str">
        <f>IF(A181="","",J181*W181)</f>
        <v/>
      </c>
      <c r="L181" s="30" t="str">
        <f>IF(A181="","",IF($K$6&gt;0,K181/$K$6,0))</f>
        <v/>
      </c>
      <c r="M181" s="72" t="str">
        <f>IF(A181="","",N(F181)-L181)</f>
        <v/>
      </c>
      <c r="N181" s="30" t="str">
        <f>IF(A181="","",IF($AB$6&gt;0,AB181/$AB$6,0))</f>
        <v/>
      </c>
      <c r="O181" s="74" t="str">
        <f>IF(A181="","",IF(AB181&lt;=0,"",COUNTIF($AB$9:$AB$208,"&gt;"&amp;AB181)+COUNTIF($AB$9:AB181,AB181)))</f>
        <v/>
      </c>
      <c r="P181" s="73" t="str">
        <f>IF(A181="","",IF(Q181&gt;0,"BUY","HOLD"))</f>
        <v/>
      </c>
      <c r="Q181" s="70" t="str">
        <f>IF(A181="","",IF($W$7&lt;=0,0,IF($AC$6&gt;0,$W$7*AC181/$AC$6,IF($F$6&gt;0,$W$7*N(F181)/$F$6,0))))</f>
        <v/>
      </c>
      <c r="R181" s="103" t="str">
        <f>IF(A181="","",N(AD181)+IF(AI181=1,N(AG181),0))</f>
        <v/>
      </c>
      <c r="S181" s="103" t="str">
        <f>IF(A181="","",N(E181)+N(R181))</f>
        <v/>
      </c>
      <c r="T181" s="70" t="str">
        <f>IF(A181="","",IF(N(R181)&gt;0,R181*H181*W181*$W$6+p_CorrFixa,0))</f>
        <v/>
      </c>
      <c r="V181" s="85" t="str">
        <f>IF(A181="","",IF(D181="",$W$1,D181))</f>
        <v/>
      </c>
      <c r="W181" s="85" t="str">
        <f>IF(A181="","",IFERROR(INDEX(moeda_fx,MATCH(V181,moeda_cod,0)),0))</f>
        <v/>
      </c>
      <c r="X181" s="85" t="str">
        <f>IF(A181="","",IF($W$2="",UPPER(TRIM(A181)),IF(RIGHT(UPPER(TRIM(A181)),LEN($W$2))=$W$2,UPPER(TRIM(A181)),UPPER(TRIM(A181))&amp;$W$2)))</f>
        <v/>
      </c>
      <c r="Y181" s="85" t="str">
        <f>IF(OR(A181="",p_ModoCot&lt;&gt;"Automático"),"",IFERROR(_xlfn.WEBSERVICE("https://query1.finance.yahoo.com/v8/finance/chart/"&amp;X181&amp;"?range=1d&amp;interval=1d"),""))</f>
        <v/>
      </c>
      <c r="Z181" s="85" t="str">
        <f>IF(Y181="","",IFERROR(_xlfn.NUMBERVALUE(MID(Y181,SEARCH("""regularMarketPrice"":",Y181)+21,SEARCH(",",Y181&amp;",",SEARCH("""regularMarketPrice"":",Y181)+21)-SEARCH("""regularMarketPrice"":",Y181)-21),".",","),""))</f>
        <v/>
      </c>
      <c r="AA181" s="85" t="str">
        <f>IF(A181="","",ROUND(MAX(0,N(F181)*($K$6+$W$7)-K181),2))</f>
        <v/>
      </c>
      <c r="AB181" s="85" t="str">
        <f>IF(A181="","",IF(AND(M181&gt;0,M181&gt;=p_DifMin),AA181,0))</f>
        <v/>
      </c>
      <c r="AC181" s="85" t="str">
        <f>IF(A181="","",IF(AND(AB181&gt;0,N(O181)&lt;=p_MaxAtivos),AB181,0))</f>
        <v/>
      </c>
      <c r="AD181" s="85" t="str">
        <f>IF(A181="","",IF(OR(Q181&lt;=0,Q181&lt;p_CompraMin,N(H181)&lt;=0,N(W181)&lt;=0),0,IF($W$3="Sim",TRUNC(ROUND(MAX(0,(Q181-p_CorrFixa)/(H181*W181*$W$6)),9),$W$4),TRUNC(ROUND(MAX(0,(Q181-p_CorrFixa)/(H181*W181*$W$6)),9)/$W$5)*$W$5)))</f>
        <v/>
      </c>
      <c r="AE181" s="85" t="str">
        <f>IF(A181="","",IF(N(AD181)&gt;0,AD181*H181*W181*$W$6+p_CorrFixa,0))</f>
        <v/>
      </c>
      <c r="AF181" s="85" t="str">
        <f>IF(A181="","",IF(OR($Y$1&lt;=0,N(H181)&lt;=0,N(W181)&lt;=0,N(AB181)&lt;=0),0,IF($W$3="Sim",TRUNC(ROUND(MAX(0,($Y$1-IF(N(AD181)&gt;0,0,p_CorrFixa))/(H181*W181*$W$6)),9),$W$4),TRUNC(ROUND(MAX(0,($Y$1-IF(N(AD181)&gt;0,0,p_CorrFixa))/(H181*W181*$W$6)),9)/$W$5)*$W$5)))</f>
        <v/>
      </c>
      <c r="AG181" s="85" t="str">
        <f>IF(A181="","",IF(AND(N(AD181)=0,N(AF181)*(H181*W181*$W$6)+p_CorrFixa&lt;p_CompraMin),0,AF181))</f>
        <v/>
      </c>
      <c r="AH181" s="85" t="str">
        <f>IF(A181="","",IF(N(AG181)&gt;0,AB181,0))</f>
        <v/>
      </c>
      <c r="AI181" s="85" t="str">
        <f>IF(A181="","",IF(AND(AH181&gt;0,AH181=$AH$6,COUNTIF($AH$9:AH181,AH181)=1),1,0))</f>
        <v/>
      </c>
    </row>
    <row r="182">
      <c r="A182" s="96" t="n"/>
      <c r="B182" s="96" t="n"/>
      <c r="C182" s="96" t="n"/>
      <c r="D182" s="97" t="n"/>
      <c r="E182" s="98" t="n"/>
      <c r="F182" s="99" t="n"/>
      <c r="G182" s="100" t="n"/>
      <c r="H182" s="104" t="str">
        <f>IF(A182="","",IF(AND(p_ModoCot="Automático",ISNUMBER(Z182)),Z182,IF(N(G182)&gt;0,G182,0)))</f>
        <v/>
      </c>
      <c r="I182" s="105" t="str">
        <f>IF(A182="","",IF(W182=0,"Sem câmbio",IF(AND(p_ModoCot="Automático",ISNUMBER(Z182)),"Auto",IF(N(G182)&gt;0,"Manual","Sem cotação"))))</f>
        <v/>
      </c>
      <c r="J182" s="106" t="str">
        <f>IF(A182="","",N(E182)*H182)</f>
        <v/>
      </c>
      <c r="K182" s="107" t="str">
        <f>IF(A182="","",J182*W182)</f>
        <v/>
      </c>
      <c r="L182" s="108" t="str">
        <f>IF(A182="","",IF($K$6&gt;0,K182/$K$6,0))</f>
        <v/>
      </c>
      <c r="M182" s="109" t="str">
        <f>IF(A182="","",N(F182)-L182)</f>
        <v/>
      </c>
      <c r="N182" s="108" t="str">
        <f>IF(A182="","",IF($AB$6&gt;0,AB182/$AB$6,0))</f>
        <v/>
      </c>
      <c r="O182" s="110" t="str">
        <f>IF(A182="","",IF(AB182&lt;=0,"",COUNTIF($AB$9:$AB$208,"&gt;"&amp;AB182)+COUNTIF($AB$9:AB182,AB182)))</f>
        <v/>
      </c>
      <c r="P182" s="105" t="str">
        <f>IF(A182="","",IF(Q182&gt;0,"BUY","HOLD"))</f>
        <v/>
      </c>
      <c r="Q182" s="107" t="str">
        <f>IF(A182="","",IF($W$7&lt;=0,0,IF($AC$6&gt;0,$W$7*AC182/$AC$6,IF($F$6&gt;0,$W$7*N(F182)/$F$6,0))))</f>
        <v/>
      </c>
      <c r="R182" s="111" t="str">
        <f>IF(A182="","",N(AD182)+IF(AI182=1,N(AG182),0))</f>
        <v/>
      </c>
      <c r="S182" s="111" t="str">
        <f>IF(A182="","",N(E182)+N(R182))</f>
        <v/>
      </c>
      <c r="T182" s="107" t="str">
        <f>IF(A182="","",IF(N(R182)&gt;0,R182*H182*W182*$W$6+p_CorrFixa,0))</f>
        <v/>
      </c>
      <c r="V182" s="85" t="str">
        <f>IF(A182="","",IF(D182="",$W$1,D182))</f>
        <v/>
      </c>
      <c r="W182" s="85" t="str">
        <f>IF(A182="","",IFERROR(INDEX(moeda_fx,MATCH(V182,moeda_cod,0)),0))</f>
        <v/>
      </c>
      <c r="X182" s="85" t="str">
        <f>IF(A182="","",IF($W$2="",UPPER(TRIM(A182)),IF(RIGHT(UPPER(TRIM(A182)),LEN($W$2))=$W$2,UPPER(TRIM(A182)),UPPER(TRIM(A182))&amp;$W$2)))</f>
        <v/>
      </c>
      <c r="Y182" s="85" t="str">
        <f>IF(OR(A182="",p_ModoCot&lt;&gt;"Automático"),"",IFERROR(_xlfn.WEBSERVICE("https://query1.finance.yahoo.com/v8/finance/chart/"&amp;X182&amp;"?range=1d&amp;interval=1d"),""))</f>
        <v/>
      </c>
      <c r="Z182" s="85" t="str">
        <f>IF(Y182="","",IFERROR(_xlfn.NUMBERVALUE(MID(Y182,SEARCH("""regularMarketPrice"":",Y182)+21,SEARCH(",",Y182&amp;",",SEARCH("""regularMarketPrice"":",Y182)+21)-SEARCH("""regularMarketPrice"":",Y182)-21),".",","),""))</f>
        <v/>
      </c>
      <c r="AA182" s="85" t="str">
        <f>IF(A182="","",ROUND(MAX(0,N(F182)*($K$6+$W$7)-K182),2))</f>
        <v/>
      </c>
      <c r="AB182" s="85" t="str">
        <f>IF(A182="","",IF(AND(M182&gt;0,M182&gt;=p_DifMin),AA182,0))</f>
        <v/>
      </c>
      <c r="AC182" s="85" t="str">
        <f>IF(A182="","",IF(AND(AB182&gt;0,N(O182)&lt;=p_MaxAtivos),AB182,0))</f>
        <v/>
      </c>
      <c r="AD182" s="85" t="str">
        <f>IF(A182="","",IF(OR(Q182&lt;=0,Q182&lt;p_CompraMin,N(H182)&lt;=0,N(W182)&lt;=0),0,IF($W$3="Sim",TRUNC(ROUND(MAX(0,(Q182-p_CorrFixa)/(H182*W182*$W$6)),9),$W$4),TRUNC(ROUND(MAX(0,(Q182-p_CorrFixa)/(H182*W182*$W$6)),9)/$W$5)*$W$5)))</f>
        <v/>
      </c>
      <c r="AE182" s="85" t="str">
        <f>IF(A182="","",IF(N(AD182)&gt;0,AD182*H182*W182*$W$6+p_CorrFixa,0))</f>
        <v/>
      </c>
      <c r="AF182" s="85" t="str">
        <f>IF(A182="","",IF(OR($Y$1&lt;=0,N(H182)&lt;=0,N(W182)&lt;=0,N(AB182)&lt;=0),0,IF($W$3="Sim",TRUNC(ROUND(MAX(0,($Y$1-IF(N(AD182)&gt;0,0,p_CorrFixa))/(H182*W182*$W$6)),9),$W$4),TRUNC(ROUND(MAX(0,($Y$1-IF(N(AD182)&gt;0,0,p_CorrFixa))/(H182*W182*$W$6)),9)/$W$5)*$W$5)))</f>
        <v/>
      </c>
      <c r="AG182" s="85" t="str">
        <f>IF(A182="","",IF(AND(N(AD182)=0,N(AF182)*(H182*W182*$W$6)+p_CorrFixa&lt;p_CompraMin),0,AF182))</f>
        <v/>
      </c>
      <c r="AH182" s="85" t="str">
        <f>IF(A182="","",IF(N(AG182)&gt;0,AB182,0))</f>
        <v/>
      </c>
      <c r="AI182" s="85" t="str">
        <f>IF(A182="","",IF(AND(AH182&gt;0,AH182=$AH$6,COUNTIF($AH$9:AH182,AH182)=1),1,0))</f>
        <v/>
      </c>
    </row>
    <row r="183">
      <c r="A183" s="96" t="n"/>
      <c r="B183" s="96" t="n"/>
      <c r="C183" s="96" t="n"/>
      <c r="D183" s="97" t="n"/>
      <c r="E183" s="98" t="n"/>
      <c r="F183" s="99" t="n"/>
      <c r="G183" s="100" t="n"/>
      <c r="H183" s="101" t="str">
        <f>IF(A183="","",IF(AND(p_ModoCot="Automático",ISNUMBER(Z183)),Z183,IF(N(G183)&gt;0,G183,0)))</f>
        <v/>
      </c>
      <c r="I183" s="73" t="str">
        <f>IF(A183="","",IF(W183=0,"Sem câmbio",IF(AND(p_ModoCot="Automático",ISNUMBER(Z183)),"Auto",IF(N(G183)&gt;0,"Manual","Sem cotação"))))</f>
        <v/>
      </c>
      <c r="J183" s="102" t="str">
        <f>IF(A183="","",N(E183)*H183)</f>
        <v/>
      </c>
      <c r="K183" s="70" t="str">
        <f>IF(A183="","",J183*W183)</f>
        <v/>
      </c>
      <c r="L183" s="30" t="str">
        <f>IF(A183="","",IF($K$6&gt;0,K183/$K$6,0))</f>
        <v/>
      </c>
      <c r="M183" s="72" t="str">
        <f>IF(A183="","",N(F183)-L183)</f>
        <v/>
      </c>
      <c r="N183" s="30" t="str">
        <f>IF(A183="","",IF($AB$6&gt;0,AB183/$AB$6,0))</f>
        <v/>
      </c>
      <c r="O183" s="74" t="str">
        <f>IF(A183="","",IF(AB183&lt;=0,"",COUNTIF($AB$9:$AB$208,"&gt;"&amp;AB183)+COUNTIF($AB$9:AB183,AB183)))</f>
        <v/>
      </c>
      <c r="P183" s="73" t="str">
        <f>IF(A183="","",IF(Q183&gt;0,"BUY","HOLD"))</f>
        <v/>
      </c>
      <c r="Q183" s="70" t="str">
        <f>IF(A183="","",IF($W$7&lt;=0,0,IF($AC$6&gt;0,$W$7*AC183/$AC$6,IF($F$6&gt;0,$W$7*N(F183)/$F$6,0))))</f>
        <v/>
      </c>
      <c r="R183" s="103" t="str">
        <f>IF(A183="","",N(AD183)+IF(AI183=1,N(AG183),0))</f>
        <v/>
      </c>
      <c r="S183" s="103" t="str">
        <f>IF(A183="","",N(E183)+N(R183))</f>
        <v/>
      </c>
      <c r="T183" s="70" t="str">
        <f>IF(A183="","",IF(N(R183)&gt;0,R183*H183*W183*$W$6+p_CorrFixa,0))</f>
        <v/>
      </c>
      <c r="V183" s="85" t="str">
        <f>IF(A183="","",IF(D183="",$W$1,D183))</f>
        <v/>
      </c>
      <c r="W183" s="85" t="str">
        <f>IF(A183="","",IFERROR(INDEX(moeda_fx,MATCH(V183,moeda_cod,0)),0))</f>
        <v/>
      </c>
      <c r="X183" s="85" t="str">
        <f>IF(A183="","",IF($W$2="",UPPER(TRIM(A183)),IF(RIGHT(UPPER(TRIM(A183)),LEN($W$2))=$W$2,UPPER(TRIM(A183)),UPPER(TRIM(A183))&amp;$W$2)))</f>
        <v/>
      </c>
      <c r="Y183" s="85" t="str">
        <f>IF(OR(A183="",p_ModoCot&lt;&gt;"Automático"),"",IFERROR(_xlfn.WEBSERVICE("https://query1.finance.yahoo.com/v8/finance/chart/"&amp;X183&amp;"?range=1d&amp;interval=1d"),""))</f>
        <v/>
      </c>
      <c r="Z183" s="85" t="str">
        <f>IF(Y183="","",IFERROR(_xlfn.NUMBERVALUE(MID(Y183,SEARCH("""regularMarketPrice"":",Y183)+21,SEARCH(",",Y183&amp;",",SEARCH("""regularMarketPrice"":",Y183)+21)-SEARCH("""regularMarketPrice"":",Y183)-21),".",","),""))</f>
        <v/>
      </c>
      <c r="AA183" s="85" t="str">
        <f>IF(A183="","",ROUND(MAX(0,N(F183)*($K$6+$W$7)-K183),2))</f>
        <v/>
      </c>
      <c r="AB183" s="85" t="str">
        <f>IF(A183="","",IF(AND(M183&gt;0,M183&gt;=p_DifMin),AA183,0))</f>
        <v/>
      </c>
      <c r="AC183" s="85" t="str">
        <f>IF(A183="","",IF(AND(AB183&gt;0,N(O183)&lt;=p_MaxAtivos),AB183,0))</f>
        <v/>
      </c>
      <c r="AD183" s="85" t="str">
        <f>IF(A183="","",IF(OR(Q183&lt;=0,Q183&lt;p_CompraMin,N(H183)&lt;=0,N(W183)&lt;=0),0,IF($W$3="Sim",TRUNC(ROUND(MAX(0,(Q183-p_CorrFixa)/(H183*W183*$W$6)),9),$W$4),TRUNC(ROUND(MAX(0,(Q183-p_CorrFixa)/(H183*W183*$W$6)),9)/$W$5)*$W$5)))</f>
        <v/>
      </c>
      <c r="AE183" s="85" t="str">
        <f>IF(A183="","",IF(N(AD183)&gt;0,AD183*H183*W183*$W$6+p_CorrFixa,0))</f>
        <v/>
      </c>
      <c r="AF183" s="85" t="str">
        <f>IF(A183="","",IF(OR($Y$1&lt;=0,N(H183)&lt;=0,N(W183)&lt;=0,N(AB183)&lt;=0),0,IF($W$3="Sim",TRUNC(ROUND(MAX(0,($Y$1-IF(N(AD183)&gt;0,0,p_CorrFixa))/(H183*W183*$W$6)),9),$W$4),TRUNC(ROUND(MAX(0,($Y$1-IF(N(AD183)&gt;0,0,p_CorrFixa))/(H183*W183*$W$6)),9)/$W$5)*$W$5)))</f>
        <v/>
      </c>
      <c r="AG183" s="85" t="str">
        <f>IF(A183="","",IF(AND(N(AD183)=0,N(AF183)*(H183*W183*$W$6)+p_CorrFixa&lt;p_CompraMin),0,AF183))</f>
        <v/>
      </c>
      <c r="AH183" s="85" t="str">
        <f>IF(A183="","",IF(N(AG183)&gt;0,AB183,0))</f>
        <v/>
      </c>
      <c r="AI183" s="85" t="str">
        <f>IF(A183="","",IF(AND(AH183&gt;0,AH183=$AH$6,COUNTIF($AH$9:AH183,AH183)=1),1,0))</f>
        <v/>
      </c>
    </row>
    <row r="184">
      <c r="A184" s="96" t="n"/>
      <c r="B184" s="96" t="n"/>
      <c r="C184" s="96" t="n"/>
      <c r="D184" s="97" t="n"/>
      <c r="E184" s="98" t="n"/>
      <c r="F184" s="99" t="n"/>
      <c r="G184" s="100" t="n"/>
      <c r="H184" s="104" t="str">
        <f>IF(A184="","",IF(AND(p_ModoCot="Automático",ISNUMBER(Z184)),Z184,IF(N(G184)&gt;0,G184,0)))</f>
        <v/>
      </c>
      <c r="I184" s="105" t="str">
        <f>IF(A184="","",IF(W184=0,"Sem câmbio",IF(AND(p_ModoCot="Automático",ISNUMBER(Z184)),"Auto",IF(N(G184)&gt;0,"Manual","Sem cotação"))))</f>
        <v/>
      </c>
      <c r="J184" s="106" t="str">
        <f>IF(A184="","",N(E184)*H184)</f>
        <v/>
      </c>
      <c r="K184" s="107" t="str">
        <f>IF(A184="","",J184*W184)</f>
        <v/>
      </c>
      <c r="L184" s="108" t="str">
        <f>IF(A184="","",IF($K$6&gt;0,K184/$K$6,0))</f>
        <v/>
      </c>
      <c r="M184" s="109" t="str">
        <f>IF(A184="","",N(F184)-L184)</f>
        <v/>
      </c>
      <c r="N184" s="108" t="str">
        <f>IF(A184="","",IF($AB$6&gt;0,AB184/$AB$6,0))</f>
        <v/>
      </c>
      <c r="O184" s="110" t="str">
        <f>IF(A184="","",IF(AB184&lt;=0,"",COUNTIF($AB$9:$AB$208,"&gt;"&amp;AB184)+COUNTIF($AB$9:AB184,AB184)))</f>
        <v/>
      </c>
      <c r="P184" s="105" t="str">
        <f>IF(A184="","",IF(Q184&gt;0,"BUY","HOLD"))</f>
        <v/>
      </c>
      <c r="Q184" s="107" t="str">
        <f>IF(A184="","",IF($W$7&lt;=0,0,IF($AC$6&gt;0,$W$7*AC184/$AC$6,IF($F$6&gt;0,$W$7*N(F184)/$F$6,0))))</f>
        <v/>
      </c>
      <c r="R184" s="111" t="str">
        <f>IF(A184="","",N(AD184)+IF(AI184=1,N(AG184),0))</f>
        <v/>
      </c>
      <c r="S184" s="111" t="str">
        <f>IF(A184="","",N(E184)+N(R184))</f>
        <v/>
      </c>
      <c r="T184" s="107" t="str">
        <f>IF(A184="","",IF(N(R184)&gt;0,R184*H184*W184*$W$6+p_CorrFixa,0))</f>
        <v/>
      </c>
      <c r="V184" s="85" t="str">
        <f>IF(A184="","",IF(D184="",$W$1,D184))</f>
        <v/>
      </c>
      <c r="W184" s="85" t="str">
        <f>IF(A184="","",IFERROR(INDEX(moeda_fx,MATCH(V184,moeda_cod,0)),0))</f>
        <v/>
      </c>
      <c r="X184" s="85" t="str">
        <f>IF(A184="","",IF($W$2="",UPPER(TRIM(A184)),IF(RIGHT(UPPER(TRIM(A184)),LEN($W$2))=$W$2,UPPER(TRIM(A184)),UPPER(TRIM(A184))&amp;$W$2)))</f>
        <v/>
      </c>
      <c r="Y184" s="85" t="str">
        <f>IF(OR(A184="",p_ModoCot&lt;&gt;"Automático"),"",IFERROR(_xlfn.WEBSERVICE("https://query1.finance.yahoo.com/v8/finance/chart/"&amp;X184&amp;"?range=1d&amp;interval=1d"),""))</f>
        <v/>
      </c>
      <c r="Z184" s="85" t="str">
        <f>IF(Y184="","",IFERROR(_xlfn.NUMBERVALUE(MID(Y184,SEARCH("""regularMarketPrice"":",Y184)+21,SEARCH(",",Y184&amp;",",SEARCH("""regularMarketPrice"":",Y184)+21)-SEARCH("""regularMarketPrice"":",Y184)-21),".",","),""))</f>
        <v/>
      </c>
      <c r="AA184" s="85" t="str">
        <f>IF(A184="","",ROUND(MAX(0,N(F184)*($K$6+$W$7)-K184),2))</f>
        <v/>
      </c>
      <c r="AB184" s="85" t="str">
        <f>IF(A184="","",IF(AND(M184&gt;0,M184&gt;=p_DifMin),AA184,0))</f>
        <v/>
      </c>
      <c r="AC184" s="85" t="str">
        <f>IF(A184="","",IF(AND(AB184&gt;0,N(O184)&lt;=p_MaxAtivos),AB184,0))</f>
        <v/>
      </c>
      <c r="AD184" s="85" t="str">
        <f>IF(A184="","",IF(OR(Q184&lt;=0,Q184&lt;p_CompraMin,N(H184)&lt;=0,N(W184)&lt;=0),0,IF($W$3="Sim",TRUNC(ROUND(MAX(0,(Q184-p_CorrFixa)/(H184*W184*$W$6)),9),$W$4),TRUNC(ROUND(MAX(0,(Q184-p_CorrFixa)/(H184*W184*$W$6)),9)/$W$5)*$W$5)))</f>
        <v/>
      </c>
      <c r="AE184" s="85" t="str">
        <f>IF(A184="","",IF(N(AD184)&gt;0,AD184*H184*W184*$W$6+p_CorrFixa,0))</f>
        <v/>
      </c>
      <c r="AF184" s="85" t="str">
        <f>IF(A184="","",IF(OR($Y$1&lt;=0,N(H184)&lt;=0,N(W184)&lt;=0,N(AB184)&lt;=0),0,IF($W$3="Sim",TRUNC(ROUND(MAX(0,($Y$1-IF(N(AD184)&gt;0,0,p_CorrFixa))/(H184*W184*$W$6)),9),$W$4),TRUNC(ROUND(MAX(0,($Y$1-IF(N(AD184)&gt;0,0,p_CorrFixa))/(H184*W184*$W$6)),9)/$W$5)*$W$5)))</f>
        <v/>
      </c>
      <c r="AG184" s="85" t="str">
        <f>IF(A184="","",IF(AND(N(AD184)=0,N(AF184)*(H184*W184*$W$6)+p_CorrFixa&lt;p_CompraMin),0,AF184))</f>
        <v/>
      </c>
      <c r="AH184" s="85" t="str">
        <f>IF(A184="","",IF(N(AG184)&gt;0,AB184,0))</f>
        <v/>
      </c>
      <c r="AI184" s="85" t="str">
        <f>IF(A184="","",IF(AND(AH184&gt;0,AH184=$AH$6,COUNTIF($AH$9:AH184,AH184)=1),1,0))</f>
        <v/>
      </c>
    </row>
    <row r="185">
      <c r="A185" s="96" t="n"/>
      <c r="B185" s="96" t="n"/>
      <c r="C185" s="96" t="n"/>
      <c r="D185" s="97" t="n"/>
      <c r="E185" s="98" t="n"/>
      <c r="F185" s="99" t="n"/>
      <c r="G185" s="100" t="n"/>
      <c r="H185" s="101" t="str">
        <f>IF(A185="","",IF(AND(p_ModoCot="Automático",ISNUMBER(Z185)),Z185,IF(N(G185)&gt;0,G185,0)))</f>
        <v/>
      </c>
      <c r="I185" s="73" t="str">
        <f>IF(A185="","",IF(W185=0,"Sem câmbio",IF(AND(p_ModoCot="Automático",ISNUMBER(Z185)),"Auto",IF(N(G185)&gt;0,"Manual","Sem cotação"))))</f>
        <v/>
      </c>
      <c r="J185" s="102" t="str">
        <f>IF(A185="","",N(E185)*H185)</f>
        <v/>
      </c>
      <c r="K185" s="70" t="str">
        <f>IF(A185="","",J185*W185)</f>
        <v/>
      </c>
      <c r="L185" s="30" t="str">
        <f>IF(A185="","",IF($K$6&gt;0,K185/$K$6,0))</f>
        <v/>
      </c>
      <c r="M185" s="72" t="str">
        <f>IF(A185="","",N(F185)-L185)</f>
        <v/>
      </c>
      <c r="N185" s="30" t="str">
        <f>IF(A185="","",IF($AB$6&gt;0,AB185/$AB$6,0))</f>
        <v/>
      </c>
      <c r="O185" s="74" t="str">
        <f>IF(A185="","",IF(AB185&lt;=0,"",COUNTIF($AB$9:$AB$208,"&gt;"&amp;AB185)+COUNTIF($AB$9:AB185,AB185)))</f>
        <v/>
      </c>
      <c r="P185" s="73" t="str">
        <f>IF(A185="","",IF(Q185&gt;0,"BUY","HOLD"))</f>
        <v/>
      </c>
      <c r="Q185" s="70" t="str">
        <f>IF(A185="","",IF($W$7&lt;=0,0,IF($AC$6&gt;0,$W$7*AC185/$AC$6,IF($F$6&gt;0,$W$7*N(F185)/$F$6,0))))</f>
        <v/>
      </c>
      <c r="R185" s="103" t="str">
        <f>IF(A185="","",N(AD185)+IF(AI185=1,N(AG185),0))</f>
        <v/>
      </c>
      <c r="S185" s="103" t="str">
        <f>IF(A185="","",N(E185)+N(R185))</f>
        <v/>
      </c>
      <c r="T185" s="70" t="str">
        <f>IF(A185="","",IF(N(R185)&gt;0,R185*H185*W185*$W$6+p_CorrFixa,0))</f>
        <v/>
      </c>
      <c r="V185" s="85" t="str">
        <f>IF(A185="","",IF(D185="",$W$1,D185))</f>
        <v/>
      </c>
      <c r="W185" s="85" t="str">
        <f>IF(A185="","",IFERROR(INDEX(moeda_fx,MATCH(V185,moeda_cod,0)),0))</f>
        <v/>
      </c>
      <c r="X185" s="85" t="str">
        <f>IF(A185="","",IF($W$2="",UPPER(TRIM(A185)),IF(RIGHT(UPPER(TRIM(A185)),LEN($W$2))=$W$2,UPPER(TRIM(A185)),UPPER(TRIM(A185))&amp;$W$2)))</f>
        <v/>
      </c>
      <c r="Y185" s="85" t="str">
        <f>IF(OR(A185="",p_ModoCot&lt;&gt;"Automático"),"",IFERROR(_xlfn.WEBSERVICE("https://query1.finance.yahoo.com/v8/finance/chart/"&amp;X185&amp;"?range=1d&amp;interval=1d"),""))</f>
        <v/>
      </c>
      <c r="Z185" s="85" t="str">
        <f>IF(Y185="","",IFERROR(_xlfn.NUMBERVALUE(MID(Y185,SEARCH("""regularMarketPrice"":",Y185)+21,SEARCH(",",Y185&amp;",",SEARCH("""regularMarketPrice"":",Y185)+21)-SEARCH("""regularMarketPrice"":",Y185)-21),".",","),""))</f>
        <v/>
      </c>
      <c r="AA185" s="85" t="str">
        <f>IF(A185="","",ROUND(MAX(0,N(F185)*($K$6+$W$7)-K185),2))</f>
        <v/>
      </c>
      <c r="AB185" s="85" t="str">
        <f>IF(A185="","",IF(AND(M185&gt;0,M185&gt;=p_DifMin),AA185,0))</f>
        <v/>
      </c>
      <c r="AC185" s="85" t="str">
        <f>IF(A185="","",IF(AND(AB185&gt;0,N(O185)&lt;=p_MaxAtivos),AB185,0))</f>
        <v/>
      </c>
      <c r="AD185" s="85" t="str">
        <f>IF(A185="","",IF(OR(Q185&lt;=0,Q185&lt;p_CompraMin,N(H185)&lt;=0,N(W185)&lt;=0),0,IF($W$3="Sim",TRUNC(ROUND(MAX(0,(Q185-p_CorrFixa)/(H185*W185*$W$6)),9),$W$4),TRUNC(ROUND(MAX(0,(Q185-p_CorrFixa)/(H185*W185*$W$6)),9)/$W$5)*$W$5)))</f>
        <v/>
      </c>
      <c r="AE185" s="85" t="str">
        <f>IF(A185="","",IF(N(AD185)&gt;0,AD185*H185*W185*$W$6+p_CorrFixa,0))</f>
        <v/>
      </c>
      <c r="AF185" s="85" t="str">
        <f>IF(A185="","",IF(OR($Y$1&lt;=0,N(H185)&lt;=0,N(W185)&lt;=0,N(AB185)&lt;=0),0,IF($W$3="Sim",TRUNC(ROUND(MAX(0,($Y$1-IF(N(AD185)&gt;0,0,p_CorrFixa))/(H185*W185*$W$6)),9),$W$4),TRUNC(ROUND(MAX(0,($Y$1-IF(N(AD185)&gt;0,0,p_CorrFixa))/(H185*W185*$W$6)),9)/$W$5)*$W$5)))</f>
        <v/>
      </c>
      <c r="AG185" s="85" t="str">
        <f>IF(A185="","",IF(AND(N(AD185)=0,N(AF185)*(H185*W185*$W$6)+p_CorrFixa&lt;p_CompraMin),0,AF185))</f>
        <v/>
      </c>
      <c r="AH185" s="85" t="str">
        <f>IF(A185="","",IF(N(AG185)&gt;0,AB185,0))</f>
        <v/>
      </c>
      <c r="AI185" s="85" t="str">
        <f>IF(A185="","",IF(AND(AH185&gt;0,AH185=$AH$6,COUNTIF($AH$9:AH185,AH185)=1),1,0))</f>
        <v/>
      </c>
    </row>
    <row r="186">
      <c r="A186" s="96" t="n"/>
      <c r="B186" s="96" t="n"/>
      <c r="C186" s="96" t="n"/>
      <c r="D186" s="97" t="n"/>
      <c r="E186" s="98" t="n"/>
      <c r="F186" s="99" t="n"/>
      <c r="G186" s="100" t="n"/>
      <c r="H186" s="104" t="str">
        <f>IF(A186="","",IF(AND(p_ModoCot="Automático",ISNUMBER(Z186)),Z186,IF(N(G186)&gt;0,G186,0)))</f>
        <v/>
      </c>
      <c r="I186" s="105" t="str">
        <f>IF(A186="","",IF(W186=0,"Sem câmbio",IF(AND(p_ModoCot="Automático",ISNUMBER(Z186)),"Auto",IF(N(G186)&gt;0,"Manual","Sem cotação"))))</f>
        <v/>
      </c>
      <c r="J186" s="106" t="str">
        <f>IF(A186="","",N(E186)*H186)</f>
        <v/>
      </c>
      <c r="K186" s="107" t="str">
        <f>IF(A186="","",J186*W186)</f>
        <v/>
      </c>
      <c r="L186" s="108" t="str">
        <f>IF(A186="","",IF($K$6&gt;0,K186/$K$6,0))</f>
        <v/>
      </c>
      <c r="M186" s="109" t="str">
        <f>IF(A186="","",N(F186)-L186)</f>
        <v/>
      </c>
      <c r="N186" s="108" t="str">
        <f>IF(A186="","",IF($AB$6&gt;0,AB186/$AB$6,0))</f>
        <v/>
      </c>
      <c r="O186" s="110" t="str">
        <f>IF(A186="","",IF(AB186&lt;=0,"",COUNTIF($AB$9:$AB$208,"&gt;"&amp;AB186)+COUNTIF($AB$9:AB186,AB186)))</f>
        <v/>
      </c>
      <c r="P186" s="105" t="str">
        <f>IF(A186="","",IF(Q186&gt;0,"BUY","HOLD"))</f>
        <v/>
      </c>
      <c r="Q186" s="107" t="str">
        <f>IF(A186="","",IF($W$7&lt;=0,0,IF($AC$6&gt;0,$W$7*AC186/$AC$6,IF($F$6&gt;0,$W$7*N(F186)/$F$6,0))))</f>
        <v/>
      </c>
      <c r="R186" s="111" t="str">
        <f>IF(A186="","",N(AD186)+IF(AI186=1,N(AG186),0))</f>
        <v/>
      </c>
      <c r="S186" s="111" t="str">
        <f>IF(A186="","",N(E186)+N(R186))</f>
        <v/>
      </c>
      <c r="T186" s="107" t="str">
        <f>IF(A186="","",IF(N(R186)&gt;0,R186*H186*W186*$W$6+p_CorrFixa,0))</f>
        <v/>
      </c>
      <c r="V186" s="85" t="str">
        <f>IF(A186="","",IF(D186="",$W$1,D186))</f>
        <v/>
      </c>
      <c r="W186" s="85" t="str">
        <f>IF(A186="","",IFERROR(INDEX(moeda_fx,MATCH(V186,moeda_cod,0)),0))</f>
        <v/>
      </c>
      <c r="X186" s="85" t="str">
        <f>IF(A186="","",IF($W$2="",UPPER(TRIM(A186)),IF(RIGHT(UPPER(TRIM(A186)),LEN($W$2))=$W$2,UPPER(TRIM(A186)),UPPER(TRIM(A186))&amp;$W$2)))</f>
        <v/>
      </c>
      <c r="Y186" s="85" t="str">
        <f>IF(OR(A186="",p_ModoCot&lt;&gt;"Automático"),"",IFERROR(_xlfn.WEBSERVICE("https://query1.finance.yahoo.com/v8/finance/chart/"&amp;X186&amp;"?range=1d&amp;interval=1d"),""))</f>
        <v/>
      </c>
      <c r="Z186" s="85" t="str">
        <f>IF(Y186="","",IFERROR(_xlfn.NUMBERVALUE(MID(Y186,SEARCH("""regularMarketPrice"":",Y186)+21,SEARCH(",",Y186&amp;",",SEARCH("""regularMarketPrice"":",Y186)+21)-SEARCH("""regularMarketPrice"":",Y186)-21),".",","),""))</f>
        <v/>
      </c>
      <c r="AA186" s="85" t="str">
        <f>IF(A186="","",ROUND(MAX(0,N(F186)*($K$6+$W$7)-K186),2))</f>
        <v/>
      </c>
      <c r="AB186" s="85" t="str">
        <f>IF(A186="","",IF(AND(M186&gt;0,M186&gt;=p_DifMin),AA186,0))</f>
        <v/>
      </c>
      <c r="AC186" s="85" t="str">
        <f>IF(A186="","",IF(AND(AB186&gt;0,N(O186)&lt;=p_MaxAtivos),AB186,0))</f>
        <v/>
      </c>
      <c r="AD186" s="85" t="str">
        <f>IF(A186="","",IF(OR(Q186&lt;=0,Q186&lt;p_CompraMin,N(H186)&lt;=0,N(W186)&lt;=0),0,IF($W$3="Sim",TRUNC(ROUND(MAX(0,(Q186-p_CorrFixa)/(H186*W186*$W$6)),9),$W$4),TRUNC(ROUND(MAX(0,(Q186-p_CorrFixa)/(H186*W186*$W$6)),9)/$W$5)*$W$5)))</f>
        <v/>
      </c>
      <c r="AE186" s="85" t="str">
        <f>IF(A186="","",IF(N(AD186)&gt;0,AD186*H186*W186*$W$6+p_CorrFixa,0))</f>
        <v/>
      </c>
      <c r="AF186" s="85" t="str">
        <f>IF(A186="","",IF(OR($Y$1&lt;=0,N(H186)&lt;=0,N(W186)&lt;=0,N(AB186)&lt;=0),0,IF($W$3="Sim",TRUNC(ROUND(MAX(0,($Y$1-IF(N(AD186)&gt;0,0,p_CorrFixa))/(H186*W186*$W$6)),9),$W$4),TRUNC(ROUND(MAX(0,($Y$1-IF(N(AD186)&gt;0,0,p_CorrFixa))/(H186*W186*$W$6)),9)/$W$5)*$W$5)))</f>
        <v/>
      </c>
      <c r="AG186" s="85" t="str">
        <f>IF(A186="","",IF(AND(N(AD186)=0,N(AF186)*(H186*W186*$W$6)+p_CorrFixa&lt;p_CompraMin),0,AF186))</f>
        <v/>
      </c>
      <c r="AH186" s="85" t="str">
        <f>IF(A186="","",IF(N(AG186)&gt;0,AB186,0))</f>
        <v/>
      </c>
      <c r="AI186" s="85" t="str">
        <f>IF(A186="","",IF(AND(AH186&gt;0,AH186=$AH$6,COUNTIF($AH$9:AH186,AH186)=1),1,0))</f>
        <v/>
      </c>
    </row>
    <row r="187">
      <c r="A187" s="96" t="n"/>
      <c r="B187" s="96" t="n"/>
      <c r="C187" s="96" t="n"/>
      <c r="D187" s="97" t="n"/>
      <c r="E187" s="98" t="n"/>
      <c r="F187" s="99" t="n"/>
      <c r="G187" s="100" t="n"/>
      <c r="H187" s="101" t="str">
        <f>IF(A187="","",IF(AND(p_ModoCot="Automático",ISNUMBER(Z187)),Z187,IF(N(G187)&gt;0,G187,0)))</f>
        <v/>
      </c>
      <c r="I187" s="73" t="str">
        <f>IF(A187="","",IF(W187=0,"Sem câmbio",IF(AND(p_ModoCot="Automático",ISNUMBER(Z187)),"Auto",IF(N(G187)&gt;0,"Manual","Sem cotação"))))</f>
        <v/>
      </c>
      <c r="J187" s="102" t="str">
        <f>IF(A187="","",N(E187)*H187)</f>
        <v/>
      </c>
      <c r="K187" s="70" t="str">
        <f>IF(A187="","",J187*W187)</f>
        <v/>
      </c>
      <c r="L187" s="30" t="str">
        <f>IF(A187="","",IF($K$6&gt;0,K187/$K$6,0))</f>
        <v/>
      </c>
      <c r="M187" s="72" t="str">
        <f>IF(A187="","",N(F187)-L187)</f>
        <v/>
      </c>
      <c r="N187" s="30" t="str">
        <f>IF(A187="","",IF($AB$6&gt;0,AB187/$AB$6,0))</f>
        <v/>
      </c>
      <c r="O187" s="74" t="str">
        <f>IF(A187="","",IF(AB187&lt;=0,"",COUNTIF($AB$9:$AB$208,"&gt;"&amp;AB187)+COUNTIF($AB$9:AB187,AB187)))</f>
        <v/>
      </c>
      <c r="P187" s="73" t="str">
        <f>IF(A187="","",IF(Q187&gt;0,"BUY","HOLD"))</f>
        <v/>
      </c>
      <c r="Q187" s="70" t="str">
        <f>IF(A187="","",IF($W$7&lt;=0,0,IF($AC$6&gt;0,$W$7*AC187/$AC$6,IF($F$6&gt;0,$W$7*N(F187)/$F$6,0))))</f>
        <v/>
      </c>
      <c r="R187" s="103" t="str">
        <f>IF(A187="","",N(AD187)+IF(AI187=1,N(AG187),0))</f>
        <v/>
      </c>
      <c r="S187" s="103" t="str">
        <f>IF(A187="","",N(E187)+N(R187))</f>
        <v/>
      </c>
      <c r="T187" s="70" t="str">
        <f>IF(A187="","",IF(N(R187)&gt;0,R187*H187*W187*$W$6+p_CorrFixa,0))</f>
        <v/>
      </c>
      <c r="V187" s="85" t="str">
        <f>IF(A187="","",IF(D187="",$W$1,D187))</f>
        <v/>
      </c>
      <c r="W187" s="85" t="str">
        <f>IF(A187="","",IFERROR(INDEX(moeda_fx,MATCH(V187,moeda_cod,0)),0))</f>
        <v/>
      </c>
      <c r="X187" s="85" t="str">
        <f>IF(A187="","",IF($W$2="",UPPER(TRIM(A187)),IF(RIGHT(UPPER(TRIM(A187)),LEN($W$2))=$W$2,UPPER(TRIM(A187)),UPPER(TRIM(A187))&amp;$W$2)))</f>
        <v/>
      </c>
      <c r="Y187" s="85" t="str">
        <f>IF(OR(A187="",p_ModoCot&lt;&gt;"Automático"),"",IFERROR(_xlfn.WEBSERVICE("https://query1.finance.yahoo.com/v8/finance/chart/"&amp;X187&amp;"?range=1d&amp;interval=1d"),""))</f>
        <v/>
      </c>
      <c r="Z187" s="85" t="str">
        <f>IF(Y187="","",IFERROR(_xlfn.NUMBERVALUE(MID(Y187,SEARCH("""regularMarketPrice"":",Y187)+21,SEARCH(",",Y187&amp;",",SEARCH("""regularMarketPrice"":",Y187)+21)-SEARCH("""regularMarketPrice"":",Y187)-21),".",","),""))</f>
        <v/>
      </c>
      <c r="AA187" s="85" t="str">
        <f>IF(A187="","",ROUND(MAX(0,N(F187)*($K$6+$W$7)-K187),2))</f>
        <v/>
      </c>
      <c r="AB187" s="85" t="str">
        <f>IF(A187="","",IF(AND(M187&gt;0,M187&gt;=p_DifMin),AA187,0))</f>
        <v/>
      </c>
      <c r="AC187" s="85" t="str">
        <f>IF(A187="","",IF(AND(AB187&gt;0,N(O187)&lt;=p_MaxAtivos),AB187,0))</f>
        <v/>
      </c>
      <c r="AD187" s="85" t="str">
        <f>IF(A187="","",IF(OR(Q187&lt;=0,Q187&lt;p_CompraMin,N(H187)&lt;=0,N(W187)&lt;=0),0,IF($W$3="Sim",TRUNC(ROUND(MAX(0,(Q187-p_CorrFixa)/(H187*W187*$W$6)),9),$W$4),TRUNC(ROUND(MAX(0,(Q187-p_CorrFixa)/(H187*W187*$W$6)),9)/$W$5)*$W$5)))</f>
        <v/>
      </c>
      <c r="AE187" s="85" t="str">
        <f>IF(A187="","",IF(N(AD187)&gt;0,AD187*H187*W187*$W$6+p_CorrFixa,0))</f>
        <v/>
      </c>
      <c r="AF187" s="85" t="str">
        <f>IF(A187="","",IF(OR($Y$1&lt;=0,N(H187)&lt;=0,N(W187)&lt;=0,N(AB187)&lt;=0),0,IF($W$3="Sim",TRUNC(ROUND(MAX(0,($Y$1-IF(N(AD187)&gt;0,0,p_CorrFixa))/(H187*W187*$W$6)),9),$W$4),TRUNC(ROUND(MAX(0,($Y$1-IF(N(AD187)&gt;0,0,p_CorrFixa))/(H187*W187*$W$6)),9)/$W$5)*$W$5)))</f>
        <v/>
      </c>
      <c r="AG187" s="85" t="str">
        <f>IF(A187="","",IF(AND(N(AD187)=0,N(AF187)*(H187*W187*$W$6)+p_CorrFixa&lt;p_CompraMin),0,AF187))</f>
        <v/>
      </c>
      <c r="AH187" s="85" t="str">
        <f>IF(A187="","",IF(N(AG187)&gt;0,AB187,0))</f>
        <v/>
      </c>
      <c r="AI187" s="85" t="str">
        <f>IF(A187="","",IF(AND(AH187&gt;0,AH187=$AH$6,COUNTIF($AH$9:AH187,AH187)=1),1,0))</f>
        <v/>
      </c>
    </row>
    <row r="188">
      <c r="A188" s="96" t="n"/>
      <c r="B188" s="96" t="n"/>
      <c r="C188" s="96" t="n"/>
      <c r="D188" s="97" t="n"/>
      <c r="E188" s="98" t="n"/>
      <c r="F188" s="99" t="n"/>
      <c r="G188" s="100" t="n"/>
      <c r="H188" s="104" t="str">
        <f>IF(A188="","",IF(AND(p_ModoCot="Automático",ISNUMBER(Z188)),Z188,IF(N(G188)&gt;0,G188,0)))</f>
        <v/>
      </c>
      <c r="I188" s="105" t="str">
        <f>IF(A188="","",IF(W188=0,"Sem câmbio",IF(AND(p_ModoCot="Automático",ISNUMBER(Z188)),"Auto",IF(N(G188)&gt;0,"Manual","Sem cotação"))))</f>
        <v/>
      </c>
      <c r="J188" s="106" t="str">
        <f>IF(A188="","",N(E188)*H188)</f>
        <v/>
      </c>
      <c r="K188" s="107" t="str">
        <f>IF(A188="","",J188*W188)</f>
        <v/>
      </c>
      <c r="L188" s="108" t="str">
        <f>IF(A188="","",IF($K$6&gt;0,K188/$K$6,0))</f>
        <v/>
      </c>
      <c r="M188" s="109" t="str">
        <f>IF(A188="","",N(F188)-L188)</f>
        <v/>
      </c>
      <c r="N188" s="108" t="str">
        <f>IF(A188="","",IF($AB$6&gt;0,AB188/$AB$6,0))</f>
        <v/>
      </c>
      <c r="O188" s="110" t="str">
        <f>IF(A188="","",IF(AB188&lt;=0,"",COUNTIF($AB$9:$AB$208,"&gt;"&amp;AB188)+COUNTIF($AB$9:AB188,AB188)))</f>
        <v/>
      </c>
      <c r="P188" s="105" t="str">
        <f>IF(A188="","",IF(Q188&gt;0,"BUY","HOLD"))</f>
        <v/>
      </c>
      <c r="Q188" s="107" t="str">
        <f>IF(A188="","",IF($W$7&lt;=0,0,IF($AC$6&gt;0,$W$7*AC188/$AC$6,IF($F$6&gt;0,$W$7*N(F188)/$F$6,0))))</f>
        <v/>
      </c>
      <c r="R188" s="111" t="str">
        <f>IF(A188="","",N(AD188)+IF(AI188=1,N(AG188),0))</f>
        <v/>
      </c>
      <c r="S188" s="111" t="str">
        <f>IF(A188="","",N(E188)+N(R188))</f>
        <v/>
      </c>
      <c r="T188" s="107" t="str">
        <f>IF(A188="","",IF(N(R188)&gt;0,R188*H188*W188*$W$6+p_CorrFixa,0))</f>
        <v/>
      </c>
      <c r="V188" s="85" t="str">
        <f>IF(A188="","",IF(D188="",$W$1,D188))</f>
        <v/>
      </c>
      <c r="W188" s="85" t="str">
        <f>IF(A188="","",IFERROR(INDEX(moeda_fx,MATCH(V188,moeda_cod,0)),0))</f>
        <v/>
      </c>
      <c r="X188" s="85" t="str">
        <f>IF(A188="","",IF($W$2="",UPPER(TRIM(A188)),IF(RIGHT(UPPER(TRIM(A188)),LEN($W$2))=$W$2,UPPER(TRIM(A188)),UPPER(TRIM(A188))&amp;$W$2)))</f>
        <v/>
      </c>
      <c r="Y188" s="85" t="str">
        <f>IF(OR(A188="",p_ModoCot&lt;&gt;"Automático"),"",IFERROR(_xlfn.WEBSERVICE("https://query1.finance.yahoo.com/v8/finance/chart/"&amp;X188&amp;"?range=1d&amp;interval=1d"),""))</f>
        <v/>
      </c>
      <c r="Z188" s="85" t="str">
        <f>IF(Y188="","",IFERROR(_xlfn.NUMBERVALUE(MID(Y188,SEARCH("""regularMarketPrice"":",Y188)+21,SEARCH(",",Y188&amp;",",SEARCH("""regularMarketPrice"":",Y188)+21)-SEARCH("""regularMarketPrice"":",Y188)-21),".",","),""))</f>
        <v/>
      </c>
      <c r="AA188" s="85" t="str">
        <f>IF(A188="","",ROUND(MAX(0,N(F188)*($K$6+$W$7)-K188),2))</f>
        <v/>
      </c>
      <c r="AB188" s="85" t="str">
        <f>IF(A188="","",IF(AND(M188&gt;0,M188&gt;=p_DifMin),AA188,0))</f>
        <v/>
      </c>
      <c r="AC188" s="85" t="str">
        <f>IF(A188="","",IF(AND(AB188&gt;0,N(O188)&lt;=p_MaxAtivos),AB188,0))</f>
        <v/>
      </c>
      <c r="AD188" s="85" t="str">
        <f>IF(A188="","",IF(OR(Q188&lt;=0,Q188&lt;p_CompraMin,N(H188)&lt;=0,N(W188)&lt;=0),0,IF($W$3="Sim",TRUNC(ROUND(MAX(0,(Q188-p_CorrFixa)/(H188*W188*$W$6)),9),$W$4),TRUNC(ROUND(MAX(0,(Q188-p_CorrFixa)/(H188*W188*$W$6)),9)/$W$5)*$W$5)))</f>
        <v/>
      </c>
      <c r="AE188" s="85" t="str">
        <f>IF(A188="","",IF(N(AD188)&gt;0,AD188*H188*W188*$W$6+p_CorrFixa,0))</f>
        <v/>
      </c>
      <c r="AF188" s="85" t="str">
        <f>IF(A188="","",IF(OR($Y$1&lt;=0,N(H188)&lt;=0,N(W188)&lt;=0,N(AB188)&lt;=0),0,IF($W$3="Sim",TRUNC(ROUND(MAX(0,($Y$1-IF(N(AD188)&gt;0,0,p_CorrFixa))/(H188*W188*$W$6)),9),$W$4),TRUNC(ROUND(MAX(0,($Y$1-IF(N(AD188)&gt;0,0,p_CorrFixa))/(H188*W188*$W$6)),9)/$W$5)*$W$5)))</f>
        <v/>
      </c>
      <c r="AG188" s="85" t="str">
        <f>IF(A188="","",IF(AND(N(AD188)=0,N(AF188)*(H188*W188*$W$6)+p_CorrFixa&lt;p_CompraMin),0,AF188))</f>
        <v/>
      </c>
      <c r="AH188" s="85" t="str">
        <f>IF(A188="","",IF(N(AG188)&gt;0,AB188,0))</f>
        <v/>
      </c>
      <c r="AI188" s="85" t="str">
        <f>IF(A188="","",IF(AND(AH188&gt;0,AH188=$AH$6,COUNTIF($AH$9:AH188,AH188)=1),1,0))</f>
        <v/>
      </c>
    </row>
    <row r="189">
      <c r="A189" s="96" t="n"/>
      <c r="B189" s="96" t="n"/>
      <c r="C189" s="96" t="n"/>
      <c r="D189" s="97" t="n"/>
      <c r="E189" s="98" t="n"/>
      <c r="F189" s="99" t="n"/>
      <c r="G189" s="100" t="n"/>
      <c r="H189" s="101" t="str">
        <f>IF(A189="","",IF(AND(p_ModoCot="Automático",ISNUMBER(Z189)),Z189,IF(N(G189)&gt;0,G189,0)))</f>
        <v/>
      </c>
      <c r="I189" s="73" t="str">
        <f>IF(A189="","",IF(W189=0,"Sem câmbio",IF(AND(p_ModoCot="Automático",ISNUMBER(Z189)),"Auto",IF(N(G189)&gt;0,"Manual","Sem cotação"))))</f>
        <v/>
      </c>
      <c r="J189" s="102" t="str">
        <f>IF(A189="","",N(E189)*H189)</f>
        <v/>
      </c>
      <c r="K189" s="70" t="str">
        <f>IF(A189="","",J189*W189)</f>
        <v/>
      </c>
      <c r="L189" s="30" t="str">
        <f>IF(A189="","",IF($K$6&gt;0,K189/$K$6,0))</f>
        <v/>
      </c>
      <c r="M189" s="72" t="str">
        <f>IF(A189="","",N(F189)-L189)</f>
        <v/>
      </c>
      <c r="N189" s="30" t="str">
        <f>IF(A189="","",IF($AB$6&gt;0,AB189/$AB$6,0))</f>
        <v/>
      </c>
      <c r="O189" s="74" t="str">
        <f>IF(A189="","",IF(AB189&lt;=0,"",COUNTIF($AB$9:$AB$208,"&gt;"&amp;AB189)+COUNTIF($AB$9:AB189,AB189)))</f>
        <v/>
      </c>
      <c r="P189" s="73" t="str">
        <f>IF(A189="","",IF(Q189&gt;0,"BUY","HOLD"))</f>
        <v/>
      </c>
      <c r="Q189" s="70" t="str">
        <f>IF(A189="","",IF($W$7&lt;=0,0,IF($AC$6&gt;0,$W$7*AC189/$AC$6,IF($F$6&gt;0,$W$7*N(F189)/$F$6,0))))</f>
        <v/>
      </c>
      <c r="R189" s="103" t="str">
        <f>IF(A189="","",N(AD189)+IF(AI189=1,N(AG189),0))</f>
        <v/>
      </c>
      <c r="S189" s="103" t="str">
        <f>IF(A189="","",N(E189)+N(R189))</f>
        <v/>
      </c>
      <c r="T189" s="70" t="str">
        <f>IF(A189="","",IF(N(R189)&gt;0,R189*H189*W189*$W$6+p_CorrFixa,0))</f>
        <v/>
      </c>
      <c r="V189" s="85" t="str">
        <f>IF(A189="","",IF(D189="",$W$1,D189))</f>
        <v/>
      </c>
      <c r="W189" s="85" t="str">
        <f>IF(A189="","",IFERROR(INDEX(moeda_fx,MATCH(V189,moeda_cod,0)),0))</f>
        <v/>
      </c>
      <c r="X189" s="85" t="str">
        <f>IF(A189="","",IF($W$2="",UPPER(TRIM(A189)),IF(RIGHT(UPPER(TRIM(A189)),LEN($W$2))=$W$2,UPPER(TRIM(A189)),UPPER(TRIM(A189))&amp;$W$2)))</f>
        <v/>
      </c>
      <c r="Y189" s="85" t="str">
        <f>IF(OR(A189="",p_ModoCot&lt;&gt;"Automático"),"",IFERROR(_xlfn.WEBSERVICE("https://query1.finance.yahoo.com/v8/finance/chart/"&amp;X189&amp;"?range=1d&amp;interval=1d"),""))</f>
        <v/>
      </c>
      <c r="Z189" s="85" t="str">
        <f>IF(Y189="","",IFERROR(_xlfn.NUMBERVALUE(MID(Y189,SEARCH("""regularMarketPrice"":",Y189)+21,SEARCH(",",Y189&amp;",",SEARCH("""regularMarketPrice"":",Y189)+21)-SEARCH("""regularMarketPrice"":",Y189)-21),".",","),""))</f>
        <v/>
      </c>
      <c r="AA189" s="85" t="str">
        <f>IF(A189="","",ROUND(MAX(0,N(F189)*($K$6+$W$7)-K189),2))</f>
        <v/>
      </c>
      <c r="AB189" s="85" t="str">
        <f>IF(A189="","",IF(AND(M189&gt;0,M189&gt;=p_DifMin),AA189,0))</f>
        <v/>
      </c>
      <c r="AC189" s="85" t="str">
        <f>IF(A189="","",IF(AND(AB189&gt;0,N(O189)&lt;=p_MaxAtivos),AB189,0))</f>
        <v/>
      </c>
      <c r="AD189" s="85" t="str">
        <f>IF(A189="","",IF(OR(Q189&lt;=0,Q189&lt;p_CompraMin,N(H189)&lt;=0,N(W189)&lt;=0),0,IF($W$3="Sim",TRUNC(ROUND(MAX(0,(Q189-p_CorrFixa)/(H189*W189*$W$6)),9),$W$4),TRUNC(ROUND(MAX(0,(Q189-p_CorrFixa)/(H189*W189*$W$6)),9)/$W$5)*$W$5)))</f>
        <v/>
      </c>
      <c r="AE189" s="85" t="str">
        <f>IF(A189="","",IF(N(AD189)&gt;0,AD189*H189*W189*$W$6+p_CorrFixa,0))</f>
        <v/>
      </c>
      <c r="AF189" s="85" t="str">
        <f>IF(A189="","",IF(OR($Y$1&lt;=0,N(H189)&lt;=0,N(W189)&lt;=0,N(AB189)&lt;=0),0,IF($W$3="Sim",TRUNC(ROUND(MAX(0,($Y$1-IF(N(AD189)&gt;0,0,p_CorrFixa))/(H189*W189*$W$6)),9),$W$4),TRUNC(ROUND(MAX(0,($Y$1-IF(N(AD189)&gt;0,0,p_CorrFixa))/(H189*W189*$W$6)),9)/$W$5)*$W$5)))</f>
        <v/>
      </c>
      <c r="AG189" s="85" t="str">
        <f>IF(A189="","",IF(AND(N(AD189)=0,N(AF189)*(H189*W189*$W$6)+p_CorrFixa&lt;p_CompraMin),0,AF189))</f>
        <v/>
      </c>
      <c r="AH189" s="85" t="str">
        <f>IF(A189="","",IF(N(AG189)&gt;0,AB189,0))</f>
        <v/>
      </c>
      <c r="AI189" s="85" t="str">
        <f>IF(A189="","",IF(AND(AH189&gt;0,AH189=$AH$6,COUNTIF($AH$9:AH189,AH189)=1),1,0))</f>
        <v/>
      </c>
    </row>
    <row r="190">
      <c r="A190" s="96" t="n"/>
      <c r="B190" s="96" t="n"/>
      <c r="C190" s="96" t="n"/>
      <c r="D190" s="97" t="n"/>
      <c r="E190" s="98" t="n"/>
      <c r="F190" s="99" t="n"/>
      <c r="G190" s="100" t="n"/>
      <c r="H190" s="104" t="str">
        <f>IF(A190="","",IF(AND(p_ModoCot="Automático",ISNUMBER(Z190)),Z190,IF(N(G190)&gt;0,G190,0)))</f>
        <v/>
      </c>
      <c r="I190" s="105" t="str">
        <f>IF(A190="","",IF(W190=0,"Sem câmbio",IF(AND(p_ModoCot="Automático",ISNUMBER(Z190)),"Auto",IF(N(G190)&gt;0,"Manual","Sem cotação"))))</f>
        <v/>
      </c>
      <c r="J190" s="106" t="str">
        <f>IF(A190="","",N(E190)*H190)</f>
        <v/>
      </c>
      <c r="K190" s="107" t="str">
        <f>IF(A190="","",J190*W190)</f>
        <v/>
      </c>
      <c r="L190" s="108" t="str">
        <f>IF(A190="","",IF($K$6&gt;0,K190/$K$6,0))</f>
        <v/>
      </c>
      <c r="M190" s="109" t="str">
        <f>IF(A190="","",N(F190)-L190)</f>
        <v/>
      </c>
      <c r="N190" s="108" t="str">
        <f>IF(A190="","",IF($AB$6&gt;0,AB190/$AB$6,0))</f>
        <v/>
      </c>
      <c r="O190" s="110" t="str">
        <f>IF(A190="","",IF(AB190&lt;=0,"",COUNTIF($AB$9:$AB$208,"&gt;"&amp;AB190)+COUNTIF($AB$9:AB190,AB190)))</f>
        <v/>
      </c>
      <c r="P190" s="105" t="str">
        <f>IF(A190="","",IF(Q190&gt;0,"BUY","HOLD"))</f>
        <v/>
      </c>
      <c r="Q190" s="107" t="str">
        <f>IF(A190="","",IF($W$7&lt;=0,0,IF($AC$6&gt;0,$W$7*AC190/$AC$6,IF($F$6&gt;0,$W$7*N(F190)/$F$6,0))))</f>
        <v/>
      </c>
      <c r="R190" s="111" t="str">
        <f>IF(A190="","",N(AD190)+IF(AI190=1,N(AG190),0))</f>
        <v/>
      </c>
      <c r="S190" s="111" t="str">
        <f>IF(A190="","",N(E190)+N(R190))</f>
        <v/>
      </c>
      <c r="T190" s="107" t="str">
        <f>IF(A190="","",IF(N(R190)&gt;0,R190*H190*W190*$W$6+p_CorrFixa,0))</f>
        <v/>
      </c>
      <c r="V190" s="85" t="str">
        <f>IF(A190="","",IF(D190="",$W$1,D190))</f>
        <v/>
      </c>
      <c r="W190" s="85" t="str">
        <f>IF(A190="","",IFERROR(INDEX(moeda_fx,MATCH(V190,moeda_cod,0)),0))</f>
        <v/>
      </c>
      <c r="X190" s="85" t="str">
        <f>IF(A190="","",IF($W$2="",UPPER(TRIM(A190)),IF(RIGHT(UPPER(TRIM(A190)),LEN($W$2))=$W$2,UPPER(TRIM(A190)),UPPER(TRIM(A190))&amp;$W$2)))</f>
        <v/>
      </c>
      <c r="Y190" s="85" t="str">
        <f>IF(OR(A190="",p_ModoCot&lt;&gt;"Automático"),"",IFERROR(_xlfn.WEBSERVICE("https://query1.finance.yahoo.com/v8/finance/chart/"&amp;X190&amp;"?range=1d&amp;interval=1d"),""))</f>
        <v/>
      </c>
      <c r="Z190" s="85" t="str">
        <f>IF(Y190="","",IFERROR(_xlfn.NUMBERVALUE(MID(Y190,SEARCH("""regularMarketPrice"":",Y190)+21,SEARCH(",",Y190&amp;",",SEARCH("""regularMarketPrice"":",Y190)+21)-SEARCH("""regularMarketPrice"":",Y190)-21),".",","),""))</f>
        <v/>
      </c>
      <c r="AA190" s="85" t="str">
        <f>IF(A190="","",ROUND(MAX(0,N(F190)*($K$6+$W$7)-K190),2))</f>
        <v/>
      </c>
      <c r="AB190" s="85" t="str">
        <f>IF(A190="","",IF(AND(M190&gt;0,M190&gt;=p_DifMin),AA190,0))</f>
        <v/>
      </c>
      <c r="AC190" s="85" t="str">
        <f>IF(A190="","",IF(AND(AB190&gt;0,N(O190)&lt;=p_MaxAtivos),AB190,0))</f>
        <v/>
      </c>
      <c r="AD190" s="85" t="str">
        <f>IF(A190="","",IF(OR(Q190&lt;=0,Q190&lt;p_CompraMin,N(H190)&lt;=0,N(W190)&lt;=0),0,IF($W$3="Sim",TRUNC(ROUND(MAX(0,(Q190-p_CorrFixa)/(H190*W190*$W$6)),9),$W$4),TRUNC(ROUND(MAX(0,(Q190-p_CorrFixa)/(H190*W190*$W$6)),9)/$W$5)*$W$5)))</f>
        <v/>
      </c>
      <c r="AE190" s="85" t="str">
        <f>IF(A190="","",IF(N(AD190)&gt;0,AD190*H190*W190*$W$6+p_CorrFixa,0))</f>
        <v/>
      </c>
      <c r="AF190" s="85" t="str">
        <f>IF(A190="","",IF(OR($Y$1&lt;=0,N(H190)&lt;=0,N(W190)&lt;=0,N(AB190)&lt;=0),0,IF($W$3="Sim",TRUNC(ROUND(MAX(0,($Y$1-IF(N(AD190)&gt;0,0,p_CorrFixa))/(H190*W190*$W$6)),9),$W$4),TRUNC(ROUND(MAX(0,($Y$1-IF(N(AD190)&gt;0,0,p_CorrFixa))/(H190*W190*$W$6)),9)/$W$5)*$W$5)))</f>
        <v/>
      </c>
      <c r="AG190" s="85" t="str">
        <f>IF(A190="","",IF(AND(N(AD190)=0,N(AF190)*(H190*W190*$W$6)+p_CorrFixa&lt;p_CompraMin),0,AF190))</f>
        <v/>
      </c>
      <c r="AH190" s="85" t="str">
        <f>IF(A190="","",IF(N(AG190)&gt;0,AB190,0))</f>
        <v/>
      </c>
      <c r="AI190" s="85" t="str">
        <f>IF(A190="","",IF(AND(AH190&gt;0,AH190=$AH$6,COUNTIF($AH$9:AH190,AH190)=1),1,0))</f>
        <v/>
      </c>
    </row>
    <row r="191">
      <c r="A191" s="96" t="n"/>
      <c r="B191" s="96" t="n"/>
      <c r="C191" s="96" t="n"/>
      <c r="D191" s="97" t="n"/>
      <c r="E191" s="98" t="n"/>
      <c r="F191" s="99" t="n"/>
      <c r="G191" s="100" t="n"/>
      <c r="H191" s="101" t="str">
        <f>IF(A191="","",IF(AND(p_ModoCot="Automático",ISNUMBER(Z191)),Z191,IF(N(G191)&gt;0,G191,0)))</f>
        <v/>
      </c>
      <c r="I191" s="73" t="str">
        <f>IF(A191="","",IF(W191=0,"Sem câmbio",IF(AND(p_ModoCot="Automático",ISNUMBER(Z191)),"Auto",IF(N(G191)&gt;0,"Manual","Sem cotação"))))</f>
        <v/>
      </c>
      <c r="J191" s="102" t="str">
        <f>IF(A191="","",N(E191)*H191)</f>
        <v/>
      </c>
      <c r="K191" s="70" t="str">
        <f>IF(A191="","",J191*W191)</f>
        <v/>
      </c>
      <c r="L191" s="30" t="str">
        <f>IF(A191="","",IF($K$6&gt;0,K191/$K$6,0))</f>
        <v/>
      </c>
      <c r="M191" s="72" t="str">
        <f>IF(A191="","",N(F191)-L191)</f>
        <v/>
      </c>
      <c r="N191" s="30" t="str">
        <f>IF(A191="","",IF($AB$6&gt;0,AB191/$AB$6,0))</f>
        <v/>
      </c>
      <c r="O191" s="74" t="str">
        <f>IF(A191="","",IF(AB191&lt;=0,"",COUNTIF($AB$9:$AB$208,"&gt;"&amp;AB191)+COUNTIF($AB$9:AB191,AB191)))</f>
        <v/>
      </c>
      <c r="P191" s="73" t="str">
        <f>IF(A191="","",IF(Q191&gt;0,"BUY","HOLD"))</f>
        <v/>
      </c>
      <c r="Q191" s="70" t="str">
        <f>IF(A191="","",IF($W$7&lt;=0,0,IF($AC$6&gt;0,$W$7*AC191/$AC$6,IF($F$6&gt;0,$W$7*N(F191)/$F$6,0))))</f>
        <v/>
      </c>
      <c r="R191" s="103" t="str">
        <f>IF(A191="","",N(AD191)+IF(AI191=1,N(AG191),0))</f>
        <v/>
      </c>
      <c r="S191" s="103" t="str">
        <f>IF(A191="","",N(E191)+N(R191))</f>
        <v/>
      </c>
      <c r="T191" s="70" t="str">
        <f>IF(A191="","",IF(N(R191)&gt;0,R191*H191*W191*$W$6+p_CorrFixa,0))</f>
        <v/>
      </c>
      <c r="V191" s="85" t="str">
        <f>IF(A191="","",IF(D191="",$W$1,D191))</f>
        <v/>
      </c>
      <c r="W191" s="85" t="str">
        <f>IF(A191="","",IFERROR(INDEX(moeda_fx,MATCH(V191,moeda_cod,0)),0))</f>
        <v/>
      </c>
      <c r="X191" s="85" t="str">
        <f>IF(A191="","",IF($W$2="",UPPER(TRIM(A191)),IF(RIGHT(UPPER(TRIM(A191)),LEN($W$2))=$W$2,UPPER(TRIM(A191)),UPPER(TRIM(A191))&amp;$W$2)))</f>
        <v/>
      </c>
      <c r="Y191" s="85" t="str">
        <f>IF(OR(A191="",p_ModoCot&lt;&gt;"Automático"),"",IFERROR(_xlfn.WEBSERVICE("https://query1.finance.yahoo.com/v8/finance/chart/"&amp;X191&amp;"?range=1d&amp;interval=1d"),""))</f>
        <v/>
      </c>
      <c r="Z191" s="85" t="str">
        <f>IF(Y191="","",IFERROR(_xlfn.NUMBERVALUE(MID(Y191,SEARCH("""regularMarketPrice"":",Y191)+21,SEARCH(",",Y191&amp;",",SEARCH("""regularMarketPrice"":",Y191)+21)-SEARCH("""regularMarketPrice"":",Y191)-21),".",","),""))</f>
        <v/>
      </c>
      <c r="AA191" s="85" t="str">
        <f>IF(A191="","",ROUND(MAX(0,N(F191)*($K$6+$W$7)-K191),2))</f>
        <v/>
      </c>
      <c r="AB191" s="85" t="str">
        <f>IF(A191="","",IF(AND(M191&gt;0,M191&gt;=p_DifMin),AA191,0))</f>
        <v/>
      </c>
      <c r="AC191" s="85" t="str">
        <f>IF(A191="","",IF(AND(AB191&gt;0,N(O191)&lt;=p_MaxAtivos),AB191,0))</f>
        <v/>
      </c>
      <c r="AD191" s="85" t="str">
        <f>IF(A191="","",IF(OR(Q191&lt;=0,Q191&lt;p_CompraMin,N(H191)&lt;=0,N(W191)&lt;=0),0,IF($W$3="Sim",TRUNC(ROUND(MAX(0,(Q191-p_CorrFixa)/(H191*W191*$W$6)),9),$W$4),TRUNC(ROUND(MAX(0,(Q191-p_CorrFixa)/(H191*W191*$W$6)),9)/$W$5)*$W$5)))</f>
        <v/>
      </c>
      <c r="AE191" s="85" t="str">
        <f>IF(A191="","",IF(N(AD191)&gt;0,AD191*H191*W191*$W$6+p_CorrFixa,0))</f>
        <v/>
      </c>
      <c r="AF191" s="85" t="str">
        <f>IF(A191="","",IF(OR($Y$1&lt;=0,N(H191)&lt;=0,N(W191)&lt;=0,N(AB191)&lt;=0),0,IF($W$3="Sim",TRUNC(ROUND(MAX(0,($Y$1-IF(N(AD191)&gt;0,0,p_CorrFixa))/(H191*W191*$W$6)),9),$W$4),TRUNC(ROUND(MAX(0,($Y$1-IF(N(AD191)&gt;0,0,p_CorrFixa))/(H191*W191*$W$6)),9)/$W$5)*$W$5)))</f>
        <v/>
      </c>
      <c r="AG191" s="85" t="str">
        <f>IF(A191="","",IF(AND(N(AD191)=0,N(AF191)*(H191*W191*$W$6)+p_CorrFixa&lt;p_CompraMin),0,AF191))</f>
        <v/>
      </c>
      <c r="AH191" s="85" t="str">
        <f>IF(A191="","",IF(N(AG191)&gt;0,AB191,0))</f>
        <v/>
      </c>
      <c r="AI191" s="85" t="str">
        <f>IF(A191="","",IF(AND(AH191&gt;0,AH191=$AH$6,COUNTIF($AH$9:AH191,AH191)=1),1,0))</f>
        <v/>
      </c>
    </row>
    <row r="192">
      <c r="A192" s="96" t="n"/>
      <c r="B192" s="96" t="n"/>
      <c r="C192" s="96" t="n"/>
      <c r="D192" s="97" t="n"/>
      <c r="E192" s="98" t="n"/>
      <c r="F192" s="99" t="n"/>
      <c r="G192" s="100" t="n"/>
      <c r="H192" s="104" t="str">
        <f>IF(A192="","",IF(AND(p_ModoCot="Automático",ISNUMBER(Z192)),Z192,IF(N(G192)&gt;0,G192,0)))</f>
        <v/>
      </c>
      <c r="I192" s="105" t="str">
        <f>IF(A192="","",IF(W192=0,"Sem câmbio",IF(AND(p_ModoCot="Automático",ISNUMBER(Z192)),"Auto",IF(N(G192)&gt;0,"Manual","Sem cotação"))))</f>
        <v/>
      </c>
      <c r="J192" s="106" t="str">
        <f>IF(A192="","",N(E192)*H192)</f>
        <v/>
      </c>
      <c r="K192" s="107" t="str">
        <f>IF(A192="","",J192*W192)</f>
        <v/>
      </c>
      <c r="L192" s="108" t="str">
        <f>IF(A192="","",IF($K$6&gt;0,K192/$K$6,0))</f>
        <v/>
      </c>
      <c r="M192" s="109" t="str">
        <f>IF(A192="","",N(F192)-L192)</f>
        <v/>
      </c>
      <c r="N192" s="108" t="str">
        <f>IF(A192="","",IF($AB$6&gt;0,AB192/$AB$6,0))</f>
        <v/>
      </c>
      <c r="O192" s="110" t="str">
        <f>IF(A192="","",IF(AB192&lt;=0,"",COUNTIF($AB$9:$AB$208,"&gt;"&amp;AB192)+COUNTIF($AB$9:AB192,AB192)))</f>
        <v/>
      </c>
      <c r="P192" s="105" t="str">
        <f>IF(A192="","",IF(Q192&gt;0,"BUY","HOLD"))</f>
        <v/>
      </c>
      <c r="Q192" s="107" t="str">
        <f>IF(A192="","",IF($W$7&lt;=0,0,IF($AC$6&gt;0,$W$7*AC192/$AC$6,IF($F$6&gt;0,$W$7*N(F192)/$F$6,0))))</f>
        <v/>
      </c>
      <c r="R192" s="111" t="str">
        <f>IF(A192="","",N(AD192)+IF(AI192=1,N(AG192),0))</f>
        <v/>
      </c>
      <c r="S192" s="111" t="str">
        <f>IF(A192="","",N(E192)+N(R192))</f>
        <v/>
      </c>
      <c r="T192" s="107" t="str">
        <f>IF(A192="","",IF(N(R192)&gt;0,R192*H192*W192*$W$6+p_CorrFixa,0))</f>
        <v/>
      </c>
      <c r="V192" s="85" t="str">
        <f>IF(A192="","",IF(D192="",$W$1,D192))</f>
        <v/>
      </c>
      <c r="W192" s="85" t="str">
        <f>IF(A192="","",IFERROR(INDEX(moeda_fx,MATCH(V192,moeda_cod,0)),0))</f>
        <v/>
      </c>
      <c r="X192" s="85" t="str">
        <f>IF(A192="","",IF($W$2="",UPPER(TRIM(A192)),IF(RIGHT(UPPER(TRIM(A192)),LEN($W$2))=$W$2,UPPER(TRIM(A192)),UPPER(TRIM(A192))&amp;$W$2)))</f>
        <v/>
      </c>
      <c r="Y192" s="85" t="str">
        <f>IF(OR(A192="",p_ModoCot&lt;&gt;"Automático"),"",IFERROR(_xlfn.WEBSERVICE("https://query1.finance.yahoo.com/v8/finance/chart/"&amp;X192&amp;"?range=1d&amp;interval=1d"),""))</f>
        <v/>
      </c>
      <c r="Z192" s="85" t="str">
        <f>IF(Y192="","",IFERROR(_xlfn.NUMBERVALUE(MID(Y192,SEARCH("""regularMarketPrice"":",Y192)+21,SEARCH(",",Y192&amp;",",SEARCH("""regularMarketPrice"":",Y192)+21)-SEARCH("""regularMarketPrice"":",Y192)-21),".",","),""))</f>
        <v/>
      </c>
      <c r="AA192" s="85" t="str">
        <f>IF(A192="","",ROUND(MAX(0,N(F192)*($K$6+$W$7)-K192),2))</f>
        <v/>
      </c>
      <c r="AB192" s="85" t="str">
        <f>IF(A192="","",IF(AND(M192&gt;0,M192&gt;=p_DifMin),AA192,0))</f>
        <v/>
      </c>
      <c r="AC192" s="85" t="str">
        <f>IF(A192="","",IF(AND(AB192&gt;0,N(O192)&lt;=p_MaxAtivos),AB192,0))</f>
        <v/>
      </c>
      <c r="AD192" s="85" t="str">
        <f>IF(A192="","",IF(OR(Q192&lt;=0,Q192&lt;p_CompraMin,N(H192)&lt;=0,N(W192)&lt;=0),0,IF($W$3="Sim",TRUNC(ROUND(MAX(0,(Q192-p_CorrFixa)/(H192*W192*$W$6)),9),$W$4),TRUNC(ROUND(MAX(0,(Q192-p_CorrFixa)/(H192*W192*$W$6)),9)/$W$5)*$W$5)))</f>
        <v/>
      </c>
      <c r="AE192" s="85" t="str">
        <f>IF(A192="","",IF(N(AD192)&gt;0,AD192*H192*W192*$W$6+p_CorrFixa,0))</f>
        <v/>
      </c>
      <c r="AF192" s="85" t="str">
        <f>IF(A192="","",IF(OR($Y$1&lt;=0,N(H192)&lt;=0,N(W192)&lt;=0,N(AB192)&lt;=0),0,IF($W$3="Sim",TRUNC(ROUND(MAX(0,($Y$1-IF(N(AD192)&gt;0,0,p_CorrFixa))/(H192*W192*$W$6)),9),$W$4),TRUNC(ROUND(MAX(0,($Y$1-IF(N(AD192)&gt;0,0,p_CorrFixa))/(H192*W192*$W$6)),9)/$W$5)*$W$5)))</f>
        <v/>
      </c>
      <c r="AG192" s="85" t="str">
        <f>IF(A192="","",IF(AND(N(AD192)=0,N(AF192)*(H192*W192*$W$6)+p_CorrFixa&lt;p_CompraMin),0,AF192))</f>
        <v/>
      </c>
      <c r="AH192" s="85" t="str">
        <f>IF(A192="","",IF(N(AG192)&gt;0,AB192,0))</f>
        <v/>
      </c>
      <c r="AI192" s="85" t="str">
        <f>IF(A192="","",IF(AND(AH192&gt;0,AH192=$AH$6,COUNTIF($AH$9:AH192,AH192)=1),1,0))</f>
        <v/>
      </c>
    </row>
    <row r="193">
      <c r="A193" s="96" t="n"/>
      <c r="B193" s="96" t="n"/>
      <c r="C193" s="96" t="n"/>
      <c r="D193" s="97" t="n"/>
      <c r="E193" s="98" t="n"/>
      <c r="F193" s="99" t="n"/>
      <c r="G193" s="100" t="n"/>
      <c r="H193" s="101" t="str">
        <f>IF(A193="","",IF(AND(p_ModoCot="Automático",ISNUMBER(Z193)),Z193,IF(N(G193)&gt;0,G193,0)))</f>
        <v/>
      </c>
      <c r="I193" s="73" t="str">
        <f>IF(A193="","",IF(W193=0,"Sem câmbio",IF(AND(p_ModoCot="Automático",ISNUMBER(Z193)),"Auto",IF(N(G193)&gt;0,"Manual","Sem cotação"))))</f>
        <v/>
      </c>
      <c r="J193" s="102" t="str">
        <f>IF(A193="","",N(E193)*H193)</f>
        <v/>
      </c>
      <c r="K193" s="70" t="str">
        <f>IF(A193="","",J193*W193)</f>
        <v/>
      </c>
      <c r="L193" s="30" t="str">
        <f>IF(A193="","",IF($K$6&gt;0,K193/$K$6,0))</f>
        <v/>
      </c>
      <c r="M193" s="72" t="str">
        <f>IF(A193="","",N(F193)-L193)</f>
        <v/>
      </c>
      <c r="N193" s="30" t="str">
        <f>IF(A193="","",IF($AB$6&gt;0,AB193/$AB$6,0))</f>
        <v/>
      </c>
      <c r="O193" s="74" t="str">
        <f>IF(A193="","",IF(AB193&lt;=0,"",COUNTIF($AB$9:$AB$208,"&gt;"&amp;AB193)+COUNTIF($AB$9:AB193,AB193)))</f>
        <v/>
      </c>
      <c r="P193" s="73" t="str">
        <f>IF(A193="","",IF(Q193&gt;0,"BUY","HOLD"))</f>
        <v/>
      </c>
      <c r="Q193" s="70" t="str">
        <f>IF(A193="","",IF($W$7&lt;=0,0,IF($AC$6&gt;0,$W$7*AC193/$AC$6,IF($F$6&gt;0,$W$7*N(F193)/$F$6,0))))</f>
        <v/>
      </c>
      <c r="R193" s="103" t="str">
        <f>IF(A193="","",N(AD193)+IF(AI193=1,N(AG193),0))</f>
        <v/>
      </c>
      <c r="S193" s="103" t="str">
        <f>IF(A193="","",N(E193)+N(R193))</f>
        <v/>
      </c>
      <c r="T193" s="70" t="str">
        <f>IF(A193="","",IF(N(R193)&gt;0,R193*H193*W193*$W$6+p_CorrFixa,0))</f>
        <v/>
      </c>
      <c r="V193" s="85" t="str">
        <f>IF(A193="","",IF(D193="",$W$1,D193))</f>
        <v/>
      </c>
      <c r="W193" s="85" t="str">
        <f>IF(A193="","",IFERROR(INDEX(moeda_fx,MATCH(V193,moeda_cod,0)),0))</f>
        <v/>
      </c>
      <c r="X193" s="85" t="str">
        <f>IF(A193="","",IF($W$2="",UPPER(TRIM(A193)),IF(RIGHT(UPPER(TRIM(A193)),LEN($W$2))=$W$2,UPPER(TRIM(A193)),UPPER(TRIM(A193))&amp;$W$2)))</f>
        <v/>
      </c>
      <c r="Y193" s="85" t="str">
        <f>IF(OR(A193="",p_ModoCot&lt;&gt;"Automático"),"",IFERROR(_xlfn.WEBSERVICE("https://query1.finance.yahoo.com/v8/finance/chart/"&amp;X193&amp;"?range=1d&amp;interval=1d"),""))</f>
        <v/>
      </c>
      <c r="Z193" s="85" t="str">
        <f>IF(Y193="","",IFERROR(_xlfn.NUMBERVALUE(MID(Y193,SEARCH("""regularMarketPrice"":",Y193)+21,SEARCH(",",Y193&amp;",",SEARCH("""regularMarketPrice"":",Y193)+21)-SEARCH("""regularMarketPrice"":",Y193)-21),".",","),""))</f>
        <v/>
      </c>
      <c r="AA193" s="85" t="str">
        <f>IF(A193="","",ROUND(MAX(0,N(F193)*($K$6+$W$7)-K193),2))</f>
        <v/>
      </c>
      <c r="AB193" s="85" t="str">
        <f>IF(A193="","",IF(AND(M193&gt;0,M193&gt;=p_DifMin),AA193,0))</f>
        <v/>
      </c>
      <c r="AC193" s="85" t="str">
        <f>IF(A193="","",IF(AND(AB193&gt;0,N(O193)&lt;=p_MaxAtivos),AB193,0))</f>
        <v/>
      </c>
      <c r="AD193" s="85" t="str">
        <f>IF(A193="","",IF(OR(Q193&lt;=0,Q193&lt;p_CompraMin,N(H193)&lt;=0,N(W193)&lt;=0),0,IF($W$3="Sim",TRUNC(ROUND(MAX(0,(Q193-p_CorrFixa)/(H193*W193*$W$6)),9),$W$4),TRUNC(ROUND(MAX(0,(Q193-p_CorrFixa)/(H193*W193*$W$6)),9)/$W$5)*$W$5)))</f>
        <v/>
      </c>
      <c r="AE193" s="85" t="str">
        <f>IF(A193="","",IF(N(AD193)&gt;0,AD193*H193*W193*$W$6+p_CorrFixa,0))</f>
        <v/>
      </c>
      <c r="AF193" s="85" t="str">
        <f>IF(A193="","",IF(OR($Y$1&lt;=0,N(H193)&lt;=0,N(W193)&lt;=0,N(AB193)&lt;=0),0,IF($W$3="Sim",TRUNC(ROUND(MAX(0,($Y$1-IF(N(AD193)&gt;0,0,p_CorrFixa))/(H193*W193*$W$6)),9),$W$4),TRUNC(ROUND(MAX(0,($Y$1-IF(N(AD193)&gt;0,0,p_CorrFixa))/(H193*W193*$W$6)),9)/$W$5)*$W$5)))</f>
        <v/>
      </c>
      <c r="AG193" s="85" t="str">
        <f>IF(A193="","",IF(AND(N(AD193)=0,N(AF193)*(H193*W193*$W$6)+p_CorrFixa&lt;p_CompraMin),0,AF193))</f>
        <v/>
      </c>
      <c r="AH193" s="85" t="str">
        <f>IF(A193="","",IF(N(AG193)&gt;0,AB193,0))</f>
        <v/>
      </c>
      <c r="AI193" s="85" t="str">
        <f>IF(A193="","",IF(AND(AH193&gt;0,AH193=$AH$6,COUNTIF($AH$9:AH193,AH193)=1),1,0))</f>
        <v/>
      </c>
    </row>
    <row r="194">
      <c r="A194" s="96" t="n"/>
      <c r="B194" s="96" t="n"/>
      <c r="C194" s="96" t="n"/>
      <c r="D194" s="97" t="n"/>
      <c r="E194" s="98" t="n"/>
      <c r="F194" s="99" t="n"/>
      <c r="G194" s="100" t="n"/>
      <c r="H194" s="104" t="str">
        <f>IF(A194="","",IF(AND(p_ModoCot="Automático",ISNUMBER(Z194)),Z194,IF(N(G194)&gt;0,G194,0)))</f>
        <v/>
      </c>
      <c r="I194" s="105" t="str">
        <f>IF(A194="","",IF(W194=0,"Sem câmbio",IF(AND(p_ModoCot="Automático",ISNUMBER(Z194)),"Auto",IF(N(G194)&gt;0,"Manual","Sem cotação"))))</f>
        <v/>
      </c>
      <c r="J194" s="106" t="str">
        <f>IF(A194="","",N(E194)*H194)</f>
        <v/>
      </c>
      <c r="K194" s="107" t="str">
        <f>IF(A194="","",J194*W194)</f>
        <v/>
      </c>
      <c r="L194" s="108" t="str">
        <f>IF(A194="","",IF($K$6&gt;0,K194/$K$6,0))</f>
        <v/>
      </c>
      <c r="M194" s="109" t="str">
        <f>IF(A194="","",N(F194)-L194)</f>
        <v/>
      </c>
      <c r="N194" s="108" t="str">
        <f>IF(A194="","",IF($AB$6&gt;0,AB194/$AB$6,0))</f>
        <v/>
      </c>
      <c r="O194" s="110" t="str">
        <f>IF(A194="","",IF(AB194&lt;=0,"",COUNTIF($AB$9:$AB$208,"&gt;"&amp;AB194)+COUNTIF($AB$9:AB194,AB194)))</f>
        <v/>
      </c>
      <c r="P194" s="105" t="str">
        <f>IF(A194="","",IF(Q194&gt;0,"BUY","HOLD"))</f>
        <v/>
      </c>
      <c r="Q194" s="107" t="str">
        <f>IF(A194="","",IF($W$7&lt;=0,0,IF($AC$6&gt;0,$W$7*AC194/$AC$6,IF($F$6&gt;0,$W$7*N(F194)/$F$6,0))))</f>
        <v/>
      </c>
      <c r="R194" s="111" t="str">
        <f>IF(A194="","",N(AD194)+IF(AI194=1,N(AG194),0))</f>
        <v/>
      </c>
      <c r="S194" s="111" t="str">
        <f>IF(A194="","",N(E194)+N(R194))</f>
        <v/>
      </c>
      <c r="T194" s="107" t="str">
        <f>IF(A194="","",IF(N(R194)&gt;0,R194*H194*W194*$W$6+p_CorrFixa,0))</f>
        <v/>
      </c>
      <c r="V194" s="85" t="str">
        <f>IF(A194="","",IF(D194="",$W$1,D194))</f>
        <v/>
      </c>
      <c r="W194" s="85" t="str">
        <f>IF(A194="","",IFERROR(INDEX(moeda_fx,MATCH(V194,moeda_cod,0)),0))</f>
        <v/>
      </c>
      <c r="X194" s="85" t="str">
        <f>IF(A194="","",IF($W$2="",UPPER(TRIM(A194)),IF(RIGHT(UPPER(TRIM(A194)),LEN($W$2))=$W$2,UPPER(TRIM(A194)),UPPER(TRIM(A194))&amp;$W$2)))</f>
        <v/>
      </c>
      <c r="Y194" s="85" t="str">
        <f>IF(OR(A194="",p_ModoCot&lt;&gt;"Automático"),"",IFERROR(_xlfn.WEBSERVICE("https://query1.finance.yahoo.com/v8/finance/chart/"&amp;X194&amp;"?range=1d&amp;interval=1d"),""))</f>
        <v/>
      </c>
      <c r="Z194" s="85" t="str">
        <f>IF(Y194="","",IFERROR(_xlfn.NUMBERVALUE(MID(Y194,SEARCH("""regularMarketPrice"":",Y194)+21,SEARCH(",",Y194&amp;",",SEARCH("""regularMarketPrice"":",Y194)+21)-SEARCH("""regularMarketPrice"":",Y194)-21),".",","),""))</f>
        <v/>
      </c>
      <c r="AA194" s="85" t="str">
        <f>IF(A194="","",ROUND(MAX(0,N(F194)*($K$6+$W$7)-K194),2))</f>
        <v/>
      </c>
      <c r="AB194" s="85" t="str">
        <f>IF(A194="","",IF(AND(M194&gt;0,M194&gt;=p_DifMin),AA194,0))</f>
        <v/>
      </c>
      <c r="AC194" s="85" t="str">
        <f>IF(A194="","",IF(AND(AB194&gt;0,N(O194)&lt;=p_MaxAtivos),AB194,0))</f>
        <v/>
      </c>
      <c r="AD194" s="85" t="str">
        <f>IF(A194="","",IF(OR(Q194&lt;=0,Q194&lt;p_CompraMin,N(H194)&lt;=0,N(W194)&lt;=0),0,IF($W$3="Sim",TRUNC(ROUND(MAX(0,(Q194-p_CorrFixa)/(H194*W194*$W$6)),9),$W$4),TRUNC(ROUND(MAX(0,(Q194-p_CorrFixa)/(H194*W194*$W$6)),9)/$W$5)*$W$5)))</f>
        <v/>
      </c>
      <c r="AE194" s="85" t="str">
        <f>IF(A194="","",IF(N(AD194)&gt;0,AD194*H194*W194*$W$6+p_CorrFixa,0))</f>
        <v/>
      </c>
      <c r="AF194" s="85" t="str">
        <f>IF(A194="","",IF(OR($Y$1&lt;=0,N(H194)&lt;=0,N(W194)&lt;=0,N(AB194)&lt;=0),0,IF($W$3="Sim",TRUNC(ROUND(MAX(0,($Y$1-IF(N(AD194)&gt;0,0,p_CorrFixa))/(H194*W194*$W$6)),9),$W$4),TRUNC(ROUND(MAX(0,($Y$1-IF(N(AD194)&gt;0,0,p_CorrFixa))/(H194*W194*$W$6)),9)/$W$5)*$W$5)))</f>
        <v/>
      </c>
      <c r="AG194" s="85" t="str">
        <f>IF(A194="","",IF(AND(N(AD194)=0,N(AF194)*(H194*W194*$W$6)+p_CorrFixa&lt;p_CompraMin),0,AF194))</f>
        <v/>
      </c>
      <c r="AH194" s="85" t="str">
        <f>IF(A194="","",IF(N(AG194)&gt;0,AB194,0))</f>
        <v/>
      </c>
      <c r="AI194" s="85" t="str">
        <f>IF(A194="","",IF(AND(AH194&gt;0,AH194=$AH$6,COUNTIF($AH$9:AH194,AH194)=1),1,0))</f>
        <v/>
      </c>
    </row>
    <row r="195">
      <c r="A195" s="96" t="n"/>
      <c r="B195" s="96" t="n"/>
      <c r="C195" s="96" t="n"/>
      <c r="D195" s="97" t="n"/>
      <c r="E195" s="98" t="n"/>
      <c r="F195" s="99" t="n"/>
      <c r="G195" s="100" t="n"/>
      <c r="H195" s="101" t="str">
        <f>IF(A195="","",IF(AND(p_ModoCot="Automático",ISNUMBER(Z195)),Z195,IF(N(G195)&gt;0,G195,0)))</f>
        <v/>
      </c>
      <c r="I195" s="73" t="str">
        <f>IF(A195="","",IF(W195=0,"Sem câmbio",IF(AND(p_ModoCot="Automático",ISNUMBER(Z195)),"Auto",IF(N(G195)&gt;0,"Manual","Sem cotação"))))</f>
        <v/>
      </c>
      <c r="J195" s="102" t="str">
        <f>IF(A195="","",N(E195)*H195)</f>
        <v/>
      </c>
      <c r="K195" s="70" t="str">
        <f>IF(A195="","",J195*W195)</f>
        <v/>
      </c>
      <c r="L195" s="30" t="str">
        <f>IF(A195="","",IF($K$6&gt;0,K195/$K$6,0))</f>
        <v/>
      </c>
      <c r="M195" s="72" t="str">
        <f>IF(A195="","",N(F195)-L195)</f>
        <v/>
      </c>
      <c r="N195" s="30" t="str">
        <f>IF(A195="","",IF($AB$6&gt;0,AB195/$AB$6,0))</f>
        <v/>
      </c>
      <c r="O195" s="74" t="str">
        <f>IF(A195="","",IF(AB195&lt;=0,"",COUNTIF($AB$9:$AB$208,"&gt;"&amp;AB195)+COUNTIF($AB$9:AB195,AB195)))</f>
        <v/>
      </c>
      <c r="P195" s="73" t="str">
        <f>IF(A195="","",IF(Q195&gt;0,"BUY","HOLD"))</f>
        <v/>
      </c>
      <c r="Q195" s="70" t="str">
        <f>IF(A195="","",IF($W$7&lt;=0,0,IF($AC$6&gt;0,$W$7*AC195/$AC$6,IF($F$6&gt;0,$W$7*N(F195)/$F$6,0))))</f>
        <v/>
      </c>
      <c r="R195" s="103" t="str">
        <f>IF(A195="","",N(AD195)+IF(AI195=1,N(AG195),0))</f>
        <v/>
      </c>
      <c r="S195" s="103" t="str">
        <f>IF(A195="","",N(E195)+N(R195))</f>
        <v/>
      </c>
      <c r="T195" s="70" t="str">
        <f>IF(A195="","",IF(N(R195)&gt;0,R195*H195*W195*$W$6+p_CorrFixa,0))</f>
        <v/>
      </c>
      <c r="V195" s="85" t="str">
        <f>IF(A195="","",IF(D195="",$W$1,D195))</f>
        <v/>
      </c>
      <c r="W195" s="85" t="str">
        <f>IF(A195="","",IFERROR(INDEX(moeda_fx,MATCH(V195,moeda_cod,0)),0))</f>
        <v/>
      </c>
      <c r="X195" s="85" t="str">
        <f>IF(A195="","",IF($W$2="",UPPER(TRIM(A195)),IF(RIGHT(UPPER(TRIM(A195)),LEN($W$2))=$W$2,UPPER(TRIM(A195)),UPPER(TRIM(A195))&amp;$W$2)))</f>
        <v/>
      </c>
      <c r="Y195" s="85" t="str">
        <f>IF(OR(A195="",p_ModoCot&lt;&gt;"Automático"),"",IFERROR(_xlfn.WEBSERVICE("https://query1.finance.yahoo.com/v8/finance/chart/"&amp;X195&amp;"?range=1d&amp;interval=1d"),""))</f>
        <v/>
      </c>
      <c r="Z195" s="85" t="str">
        <f>IF(Y195="","",IFERROR(_xlfn.NUMBERVALUE(MID(Y195,SEARCH("""regularMarketPrice"":",Y195)+21,SEARCH(",",Y195&amp;",",SEARCH("""regularMarketPrice"":",Y195)+21)-SEARCH("""regularMarketPrice"":",Y195)-21),".",","),""))</f>
        <v/>
      </c>
      <c r="AA195" s="85" t="str">
        <f>IF(A195="","",ROUND(MAX(0,N(F195)*($K$6+$W$7)-K195),2))</f>
        <v/>
      </c>
      <c r="AB195" s="85" t="str">
        <f>IF(A195="","",IF(AND(M195&gt;0,M195&gt;=p_DifMin),AA195,0))</f>
        <v/>
      </c>
      <c r="AC195" s="85" t="str">
        <f>IF(A195="","",IF(AND(AB195&gt;0,N(O195)&lt;=p_MaxAtivos),AB195,0))</f>
        <v/>
      </c>
      <c r="AD195" s="85" t="str">
        <f>IF(A195="","",IF(OR(Q195&lt;=0,Q195&lt;p_CompraMin,N(H195)&lt;=0,N(W195)&lt;=0),0,IF($W$3="Sim",TRUNC(ROUND(MAX(0,(Q195-p_CorrFixa)/(H195*W195*$W$6)),9),$W$4),TRUNC(ROUND(MAX(0,(Q195-p_CorrFixa)/(H195*W195*$W$6)),9)/$W$5)*$W$5)))</f>
        <v/>
      </c>
      <c r="AE195" s="85" t="str">
        <f>IF(A195="","",IF(N(AD195)&gt;0,AD195*H195*W195*$W$6+p_CorrFixa,0))</f>
        <v/>
      </c>
      <c r="AF195" s="85" t="str">
        <f>IF(A195="","",IF(OR($Y$1&lt;=0,N(H195)&lt;=0,N(W195)&lt;=0,N(AB195)&lt;=0),0,IF($W$3="Sim",TRUNC(ROUND(MAX(0,($Y$1-IF(N(AD195)&gt;0,0,p_CorrFixa))/(H195*W195*$W$6)),9),$W$4),TRUNC(ROUND(MAX(0,($Y$1-IF(N(AD195)&gt;0,0,p_CorrFixa))/(H195*W195*$W$6)),9)/$W$5)*$W$5)))</f>
        <v/>
      </c>
      <c r="AG195" s="85" t="str">
        <f>IF(A195="","",IF(AND(N(AD195)=0,N(AF195)*(H195*W195*$W$6)+p_CorrFixa&lt;p_CompraMin),0,AF195))</f>
        <v/>
      </c>
      <c r="AH195" s="85" t="str">
        <f>IF(A195="","",IF(N(AG195)&gt;0,AB195,0))</f>
        <v/>
      </c>
      <c r="AI195" s="85" t="str">
        <f>IF(A195="","",IF(AND(AH195&gt;0,AH195=$AH$6,COUNTIF($AH$9:AH195,AH195)=1),1,0))</f>
        <v/>
      </c>
    </row>
    <row r="196">
      <c r="A196" s="96" t="n"/>
      <c r="B196" s="96" t="n"/>
      <c r="C196" s="96" t="n"/>
      <c r="D196" s="97" t="n"/>
      <c r="E196" s="98" t="n"/>
      <c r="F196" s="99" t="n"/>
      <c r="G196" s="100" t="n"/>
      <c r="H196" s="104" t="str">
        <f>IF(A196="","",IF(AND(p_ModoCot="Automático",ISNUMBER(Z196)),Z196,IF(N(G196)&gt;0,G196,0)))</f>
        <v/>
      </c>
      <c r="I196" s="105" t="str">
        <f>IF(A196="","",IF(W196=0,"Sem câmbio",IF(AND(p_ModoCot="Automático",ISNUMBER(Z196)),"Auto",IF(N(G196)&gt;0,"Manual","Sem cotação"))))</f>
        <v/>
      </c>
      <c r="J196" s="106" t="str">
        <f>IF(A196="","",N(E196)*H196)</f>
        <v/>
      </c>
      <c r="K196" s="107" t="str">
        <f>IF(A196="","",J196*W196)</f>
        <v/>
      </c>
      <c r="L196" s="108" t="str">
        <f>IF(A196="","",IF($K$6&gt;0,K196/$K$6,0))</f>
        <v/>
      </c>
      <c r="M196" s="109" t="str">
        <f>IF(A196="","",N(F196)-L196)</f>
        <v/>
      </c>
      <c r="N196" s="108" t="str">
        <f>IF(A196="","",IF($AB$6&gt;0,AB196/$AB$6,0))</f>
        <v/>
      </c>
      <c r="O196" s="110" t="str">
        <f>IF(A196="","",IF(AB196&lt;=0,"",COUNTIF($AB$9:$AB$208,"&gt;"&amp;AB196)+COUNTIF($AB$9:AB196,AB196)))</f>
        <v/>
      </c>
      <c r="P196" s="105" t="str">
        <f>IF(A196="","",IF(Q196&gt;0,"BUY","HOLD"))</f>
        <v/>
      </c>
      <c r="Q196" s="107" t="str">
        <f>IF(A196="","",IF($W$7&lt;=0,0,IF($AC$6&gt;0,$W$7*AC196/$AC$6,IF($F$6&gt;0,$W$7*N(F196)/$F$6,0))))</f>
        <v/>
      </c>
      <c r="R196" s="111" t="str">
        <f>IF(A196="","",N(AD196)+IF(AI196=1,N(AG196),0))</f>
        <v/>
      </c>
      <c r="S196" s="111" t="str">
        <f>IF(A196="","",N(E196)+N(R196))</f>
        <v/>
      </c>
      <c r="T196" s="107" t="str">
        <f>IF(A196="","",IF(N(R196)&gt;0,R196*H196*W196*$W$6+p_CorrFixa,0))</f>
        <v/>
      </c>
      <c r="V196" s="85" t="str">
        <f>IF(A196="","",IF(D196="",$W$1,D196))</f>
        <v/>
      </c>
      <c r="W196" s="85" t="str">
        <f>IF(A196="","",IFERROR(INDEX(moeda_fx,MATCH(V196,moeda_cod,0)),0))</f>
        <v/>
      </c>
      <c r="X196" s="85" t="str">
        <f>IF(A196="","",IF($W$2="",UPPER(TRIM(A196)),IF(RIGHT(UPPER(TRIM(A196)),LEN($W$2))=$W$2,UPPER(TRIM(A196)),UPPER(TRIM(A196))&amp;$W$2)))</f>
        <v/>
      </c>
      <c r="Y196" s="85" t="str">
        <f>IF(OR(A196="",p_ModoCot&lt;&gt;"Automático"),"",IFERROR(_xlfn.WEBSERVICE("https://query1.finance.yahoo.com/v8/finance/chart/"&amp;X196&amp;"?range=1d&amp;interval=1d"),""))</f>
        <v/>
      </c>
      <c r="Z196" s="85" t="str">
        <f>IF(Y196="","",IFERROR(_xlfn.NUMBERVALUE(MID(Y196,SEARCH("""regularMarketPrice"":",Y196)+21,SEARCH(",",Y196&amp;",",SEARCH("""regularMarketPrice"":",Y196)+21)-SEARCH("""regularMarketPrice"":",Y196)-21),".",","),""))</f>
        <v/>
      </c>
      <c r="AA196" s="85" t="str">
        <f>IF(A196="","",ROUND(MAX(0,N(F196)*($K$6+$W$7)-K196),2))</f>
        <v/>
      </c>
      <c r="AB196" s="85" t="str">
        <f>IF(A196="","",IF(AND(M196&gt;0,M196&gt;=p_DifMin),AA196,0))</f>
        <v/>
      </c>
      <c r="AC196" s="85" t="str">
        <f>IF(A196="","",IF(AND(AB196&gt;0,N(O196)&lt;=p_MaxAtivos),AB196,0))</f>
        <v/>
      </c>
      <c r="AD196" s="85" t="str">
        <f>IF(A196="","",IF(OR(Q196&lt;=0,Q196&lt;p_CompraMin,N(H196)&lt;=0,N(W196)&lt;=0),0,IF($W$3="Sim",TRUNC(ROUND(MAX(0,(Q196-p_CorrFixa)/(H196*W196*$W$6)),9),$W$4),TRUNC(ROUND(MAX(0,(Q196-p_CorrFixa)/(H196*W196*$W$6)),9)/$W$5)*$W$5)))</f>
        <v/>
      </c>
      <c r="AE196" s="85" t="str">
        <f>IF(A196="","",IF(N(AD196)&gt;0,AD196*H196*W196*$W$6+p_CorrFixa,0))</f>
        <v/>
      </c>
      <c r="AF196" s="85" t="str">
        <f>IF(A196="","",IF(OR($Y$1&lt;=0,N(H196)&lt;=0,N(W196)&lt;=0,N(AB196)&lt;=0),0,IF($W$3="Sim",TRUNC(ROUND(MAX(0,($Y$1-IF(N(AD196)&gt;0,0,p_CorrFixa))/(H196*W196*$W$6)),9),$W$4),TRUNC(ROUND(MAX(0,($Y$1-IF(N(AD196)&gt;0,0,p_CorrFixa))/(H196*W196*$W$6)),9)/$W$5)*$W$5)))</f>
        <v/>
      </c>
      <c r="AG196" s="85" t="str">
        <f>IF(A196="","",IF(AND(N(AD196)=0,N(AF196)*(H196*W196*$W$6)+p_CorrFixa&lt;p_CompraMin),0,AF196))</f>
        <v/>
      </c>
      <c r="AH196" s="85" t="str">
        <f>IF(A196="","",IF(N(AG196)&gt;0,AB196,0))</f>
        <v/>
      </c>
      <c r="AI196" s="85" t="str">
        <f>IF(A196="","",IF(AND(AH196&gt;0,AH196=$AH$6,COUNTIF($AH$9:AH196,AH196)=1),1,0))</f>
        <v/>
      </c>
    </row>
    <row r="197">
      <c r="A197" s="96" t="n"/>
      <c r="B197" s="96" t="n"/>
      <c r="C197" s="96" t="n"/>
      <c r="D197" s="97" t="n"/>
      <c r="E197" s="98" t="n"/>
      <c r="F197" s="99" t="n"/>
      <c r="G197" s="100" t="n"/>
      <c r="H197" s="101" t="str">
        <f>IF(A197="","",IF(AND(p_ModoCot="Automático",ISNUMBER(Z197)),Z197,IF(N(G197)&gt;0,G197,0)))</f>
        <v/>
      </c>
      <c r="I197" s="73" t="str">
        <f>IF(A197="","",IF(W197=0,"Sem câmbio",IF(AND(p_ModoCot="Automático",ISNUMBER(Z197)),"Auto",IF(N(G197)&gt;0,"Manual","Sem cotação"))))</f>
        <v/>
      </c>
      <c r="J197" s="102" t="str">
        <f>IF(A197="","",N(E197)*H197)</f>
        <v/>
      </c>
      <c r="K197" s="70" t="str">
        <f>IF(A197="","",J197*W197)</f>
        <v/>
      </c>
      <c r="L197" s="30" t="str">
        <f>IF(A197="","",IF($K$6&gt;0,K197/$K$6,0))</f>
        <v/>
      </c>
      <c r="M197" s="72" t="str">
        <f>IF(A197="","",N(F197)-L197)</f>
        <v/>
      </c>
      <c r="N197" s="30" t="str">
        <f>IF(A197="","",IF($AB$6&gt;0,AB197/$AB$6,0))</f>
        <v/>
      </c>
      <c r="O197" s="74" t="str">
        <f>IF(A197="","",IF(AB197&lt;=0,"",COUNTIF($AB$9:$AB$208,"&gt;"&amp;AB197)+COUNTIF($AB$9:AB197,AB197)))</f>
        <v/>
      </c>
      <c r="P197" s="73" t="str">
        <f>IF(A197="","",IF(Q197&gt;0,"BUY","HOLD"))</f>
        <v/>
      </c>
      <c r="Q197" s="70" t="str">
        <f>IF(A197="","",IF($W$7&lt;=0,0,IF($AC$6&gt;0,$W$7*AC197/$AC$6,IF($F$6&gt;0,$W$7*N(F197)/$F$6,0))))</f>
        <v/>
      </c>
      <c r="R197" s="103" t="str">
        <f>IF(A197="","",N(AD197)+IF(AI197=1,N(AG197),0))</f>
        <v/>
      </c>
      <c r="S197" s="103" t="str">
        <f>IF(A197="","",N(E197)+N(R197))</f>
        <v/>
      </c>
      <c r="T197" s="70" t="str">
        <f>IF(A197="","",IF(N(R197)&gt;0,R197*H197*W197*$W$6+p_CorrFixa,0))</f>
        <v/>
      </c>
      <c r="V197" s="85" t="str">
        <f>IF(A197="","",IF(D197="",$W$1,D197))</f>
        <v/>
      </c>
      <c r="W197" s="85" t="str">
        <f>IF(A197="","",IFERROR(INDEX(moeda_fx,MATCH(V197,moeda_cod,0)),0))</f>
        <v/>
      </c>
      <c r="X197" s="85" t="str">
        <f>IF(A197="","",IF($W$2="",UPPER(TRIM(A197)),IF(RIGHT(UPPER(TRIM(A197)),LEN($W$2))=$W$2,UPPER(TRIM(A197)),UPPER(TRIM(A197))&amp;$W$2)))</f>
        <v/>
      </c>
      <c r="Y197" s="85" t="str">
        <f>IF(OR(A197="",p_ModoCot&lt;&gt;"Automático"),"",IFERROR(_xlfn.WEBSERVICE("https://query1.finance.yahoo.com/v8/finance/chart/"&amp;X197&amp;"?range=1d&amp;interval=1d"),""))</f>
        <v/>
      </c>
      <c r="Z197" s="85" t="str">
        <f>IF(Y197="","",IFERROR(_xlfn.NUMBERVALUE(MID(Y197,SEARCH("""regularMarketPrice"":",Y197)+21,SEARCH(",",Y197&amp;",",SEARCH("""regularMarketPrice"":",Y197)+21)-SEARCH("""regularMarketPrice"":",Y197)-21),".",","),""))</f>
        <v/>
      </c>
      <c r="AA197" s="85" t="str">
        <f>IF(A197="","",ROUND(MAX(0,N(F197)*($K$6+$W$7)-K197),2))</f>
        <v/>
      </c>
      <c r="AB197" s="85" t="str">
        <f>IF(A197="","",IF(AND(M197&gt;0,M197&gt;=p_DifMin),AA197,0))</f>
        <v/>
      </c>
      <c r="AC197" s="85" t="str">
        <f>IF(A197="","",IF(AND(AB197&gt;0,N(O197)&lt;=p_MaxAtivos),AB197,0))</f>
        <v/>
      </c>
      <c r="AD197" s="85" t="str">
        <f>IF(A197="","",IF(OR(Q197&lt;=0,Q197&lt;p_CompraMin,N(H197)&lt;=0,N(W197)&lt;=0),0,IF($W$3="Sim",TRUNC(ROUND(MAX(0,(Q197-p_CorrFixa)/(H197*W197*$W$6)),9),$W$4),TRUNC(ROUND(MAX(0,(Q197-p_CorrFixa)/(H197*W197*$W$6)),9)/$W$5)*$W$5)))</f>
        <v/>
      </c>
      <c r="AE197" s="85" t="str">
        <f>IF(A197="","",IF(N(AD197)&gt;0,AD197*H197*W197*$W$6+p_CorrFixa,0))</f>
        <v/>
      </c>
      <c r="AF197" s="85" t="str">
        <f>IF(A197="","",IF(OR($Y$1&lt;=0,N(H197)&lt;=0,N(W197)&lt;=0,N(AB197)&lt;=0),0,IF($W$3="Sim",TRUNC(ROUND(MAX(0,($Y$1-IF(N(AD197)&gt;0,0,p_CorrFixa))/(H197*W197*$W$6)),9),$W$4),TRUNC(ROUND(MAX(0,($Y$1-IF(N(AD197)&gt;0,0,p_CorrFixa))/(H197*W197*$W$6)),9)/$W$5)*$W$5)))</f>
        <v/>
      </c>
      <c r="AG197" s="85" t="str">
        <f>IF(A197="","",IF(AND(N(AD197)=0,N(AF197)*(H197*W197*$W$6)+p_CorrFixa&lt;p_CompraMin),0,AF197))</f>
        <v/>
      </c>
      <c r="AH197" s="85" t="str">
        <f>IF(A197="","",IF(N(AG197)&gt;0,AB197,0))</f>
        <v/>
      </c>
      <c r="AI197" s="85" t="str">
        <f>IF(A197="","",IF(AND(AH197&gt;0,AH197=$AH$6,COUNTIF($AH$9:AH197,AH197)=1),1,0))</f>
        <v/>
      </c>
    </row>
    <row r="198">
      <c r="A198" s="96" t="n"/>
      <c r="B198" s="96" t="n"/>
      <c r="C198" s="96" t="n"/>
      <c r="D198" s="97" t="n"/>
      <c r="E198" s="98" t="n"/>
      <c r="F198" s="99" t="n"/>
      <c r="G198" s="100" t="n"/>
      <c r="H198" s="104" t="str">
        <f>IF(A198="","",IF(AND(p_ModoCot="Automático",ISNUMBER(Z198)),Z198,IF(N(G198)&gt;0,G198,0)))</f>
        <v/>
      </c>
      <c r="I198" s="105" t="str">
        <f>IF(A198="","",IF(W198=0,"Sem câmbio",IF(AND(p_ModoCot="Automático",ISNUMBER(Z198)),"Auto",IF(N(G198)&gt;0,"Manual","Sem cotação"))))</f>
        <v/>
      </c>
      <c r="J198" s="106" t="str">
        <f>IF(A198="","",N(E198)*H198)</f>
        <v/>
      </c>
      <c r="K198" s="107" t="str">
        <f>IF(A198="","",J198*W198)</f>
        <v/>
      </c>
      <c r="L198" s="108" t="str">
        <f>IF(A198="","",IF($K$6&gt;0,K198/$K$6,0))</f>
        <v/>
      </c>
      <c r="M198" s="109" t="str">
        <f>IF(A198="","",N(F198)-L198)</f>
        <v/>
      </c>
      <c r="N198" s="108" t="str">
        <f>IF(A198="","",IF($AB$6&gt;0,AB198/$AB$6,0))</f>
        <v/>
      </c>
      <c r="O198" s="110" t="str">
        <f>IF(A198="","",IF(AB198&lt;=0,"",COUNTIF($AB$9:$AB$208,"&gt;"&amp;AB198)+COUNTIF($AB$9:AB198,AB198)))</f>
        <v/>
      </c>
      <c r="P198" s="105" t="str">
        <f>IF(A198="","",IF(Q198&gt;0,"BUY","HOLD"))</f>
        <v/>
      </c>
      <c r="Q198" s="107" t="str">
        <f>IF(A198="","",IF($W$7&lt;=0,0,IF($AC$6&gt;0,$W$7*AC198/$AC$6,IF($F$6&gt;0,$W$7*N(F198)/$F$6,0))))</f>
        <v/>
      </c>
      <c r="R198" s="111" t="str">
        <f>IF(A198="","",N(AD198)+IF(AI198=1,N(AG198),0))</f>
        <v/>
      </c>
      <c r="S198" s="111" t="str">
        <f>IF(A198="","",N(E198)+N(R198))</f>
        <v/>
      </c>
      <c r="T198" s="107" t="str">
        <f>IF(A198="","",IF(N(R198)&gt;0,R198*H198*W198*$W$6+p_CorrFixa,0))</f>
        <v/>
      </c>
      <c r="V198" s="85" t="str">
        <f>IF(A198="","",IF(D198="",$W$1,D198))</f>
        <v/>
      </c>
      <c r="W198" s="85" t="str">
        <f>IF(A198="","",IFERROR(INDEX(moeda_fx,MATCH(V198,moeda_cod,0)),0))</f>
        <v/>
      </c>
      <c r="X198" s="85" t="str">
        <f>IF(A198="","",IF($W$2="",UPPER(TRIM(A198)),IF(RIGHT(UPPER(TRIM(A198)),LEN($W$2))=$W$2,UPPER(TRIM(A198)),UPPER(TRIM(A198))&amp;$W$2)))</f>
        <v/>
      </c>
      <c r="Y198" s="85" t="str">
        <f>IF(OR(A198="",p_ModoCot&lt;&gt;"Automático"),"",IFERROR(_xlfn.WEBSERVICE("https://query1.finance.yahoo.com/v8/finance/chart/"&amp;X198&amp;"?range=1d&amp;interval=1d"),""))</f>
        <v/>
      </c>
      <c r="Z198" s="85" t="str">
        <f>IF(Y198="","",IFERROR(_xlfn.NUMBERVALUE(MID(Y198,SEARCH("""regularMarketPrice"":",Y198)+21,SEARCH(",",Y198&amp;",",SEARCH("""regularMarketPrice"":",Y198)+21)-SEARCH("""regularMarketPrice"":",Y198)-21),".",","),""))</f>
        <v/>
      </c>
      <c r="AA198" s="85" t="str">
        <f>IF(A198="","",ROUND(MAX(0,N(F198)*($K$6+$W$7)-K198),2))</f>
        <v/>
      </c>
      <c r="AB198" s="85" t="str">
        <f>IF(A198="","",IF(AND(M198&gt;0,M198&gt;=p_DifMin),AA198,0))</f>
        <v/>
      </c>
      <c r="AC198" s="85" t="str">
        <f>IF(A198="","",IF(AND(AB198&gt;0,N(O198)&lt;=p_MaxAtivos),AB198,0))</f>
        <v/>
      </c>
      <c r="AD198" s="85" t="str">
        <f>IF(A198="","",IF(OR(Q198&lt;=0,Q198&lt;p_CompraMin,N(H198)&lt;=0,N(W198)&lt;=0),0,IF($W$3="Sim",TRUNC(ROUND(MAX(0,(Q198-p_CorrFixa)/(H198*W198*$W$6)),9),$W$4),TRUNC(ROUND(MAX(0,(Q198-p_CorrFixa)/(H198*W198*$W$6)),9)/$W$5)*$W$5)))</f>
        <v/>
      </c>
      <c r="AE198" s="85" t="str">
        <f>IF(A198="","",IF(N(AD198)&gt;0,AD198*H198*W198*$W$6+p_CorrFixa,0))</f>
        <v/>
      </c>
      <c r="AF198" s="85" t="str">
        <f>IF(A198="","",IF(OR($Y$1&lt;=0,N(H198)&lt;=0,N(W198)&lt;=0,N(AB198)&lt;=0),0,IF($W$3="Sim",TRUNC(ROUND(MAX(0,($Y$1-IF(N(AD198)&gt;0,0,p_CorrFixa))/(H198*W198*$W$6)),9),$W$4),TRUNC(ROUND(MAX(0,($Y$1-IF(N(AD198)&gt;0,0,p_CorrFixa))/(H198*W198*$W$6)),9)/$W$5)*$W$5)))</f>
        <v/>
      </c>
      <c r="AG198" s="85" t="str">
        <f>IF(A198="","",IF(AND(N(AD198)=0,N(AF198)*(H198*W198*$W$6)+p_CorrFixa&lt;p_CompraMin),0,AF198))</f>
        <v/>
      </c>
      <c r="AH198" s="85" t="str">
        <f>IF(A198="","",IF(N(AG198)&gt;0,AB198,0))</f>
        <v/>
      </c>
      <c r="AI198" s="85" t="str">
        <f>IF(A198="","",IF(AND(AH198&gt;0,AH198=$AH$6,COUNTIF($AH$9:AH198,AH198)=1),1,0))</f>
        <v/>
      </c>
    </row>
    <row r="199">
      <c r="A199" s="96" t="n"/>
      <c r="B199" s="96" t="n"/>
      <c r="C199" s="96" t="n"/>
      <c r="D199" s="97" t="n"/>
      <c r="E199" s="98" t="n"/>
      <c r="F199" s="99" t="n"/>
      <c r="G199" s="100" t="n"/>
      <c r="H199" s="101" t="str">
        <f>IF(A199="","",IF(AND(p_ModoCot="Automático",ISNUMBER(Z199)),Z199,IF(N(G199)&gt;0,G199,0)))</f>
        <v/>
      </c>
      <c r="I199" s="73" t="str">
        <f>IF(A199="","",IF(W199=0,"Sem câmbio",IF(AND(p_ModoCot="Automático",ISNUMBER(Z199)),"Auto",IF(N(G199)&gt;0,"Manual","Sem cotação"))))</f>
        <v/>
      </c>
      <c r="J199" s="102" t="str">
        <f>IF(A199="","",N(E199)*H199)</f>
        <v/>
      </c>
      <c r="K199" s="70" t="str">
        <f>IF(A199="","",J199*W199)</f>
        <v/>
      </c>
      <c r="L199" s="30" t="str">
        <f>IF(A199="","",IF($K$6&gt;0,K199/$K$6,0))</f>
        <v/>
      </c>
      <c r="M199" s="72" t="str">
        <f>IF(A199="","",N(F199)-L199)</f>
        <v/>
      </c>
      <c r="N199" s="30" t="str">
        <f>IF(A199="","",IF($AB$6&gt;0,AB199/$AB$6,0))</f>
        <v/>
      </c>
      <c r="O199" s="74" t="str">
        <f>IF(A199="","",IF(AB199&lt;=0,"",COUNTIF($AB$9:$AB$208,"&gt;"&amp;AB199)+COUNTIF($AB$9:AB199,AB199)))</f>
        <v/>
      </c>
      <c r="P199" s="73" t="str">
        <f>IF(A199="","",IF(Q199&gt;0,"BUY","HOLD"))</f>
        <v/>
      </c>
      <c r="Q199" s="70" t="str">
        <f>IF(A199="","",IF($W$7&lt;=0,0,IF($AC$6&gt;0,$W$7*AC199/$AC$6,IF($F$6&gt;0,$W$7*N(F199)/$F$6,0))))</f>
        <v/>
      </c>
      <c r="R199" s="103" t="str">
        <f>IF(A199="","",N(AD199)+IF(AI199=1,N(AG199),0))</f>
        <v/>
      </c>
      <c r="S199" s="103" t="str">
        <f>IF(A199="","",N(E199)+N(R199))</f>
        <v/>
      </c>
      <c r="T199" s="70" t="str">
        <f>IF(A199="","",IF(N(R199)&gt;0,R199*H199*W199*$W$6+p_CorrFixa,0))</f>
        <v/>
      </c>
      <c r="V199" s="85" t="str">
        <f>IF(A199="","",IF(D199="",$W$1,D199))</f>
        <v/>
      </c>
      <c r="W199" s="85" t="str">
        <f>IF(A199="","",IFERROR(INDEX(moeda_fx,MATCH(V199,moeda_cod,0)),0))</f>
        <v/>
      </c>
      <c r="X199" s="85" t="str">
        <f>IF(A199="","",IF($W$2="",UPPER(TRIM(A199)),IF(RIGHT(UPPER(TRIM(A199)),LEN($W$2))=$W$2,UPPER(TRIM(A199)),UPPER(TRIM(A199))&amp;$W$2)))</f>
        <v/>
      </c>
      <c r="Y199" s="85" t="str">
        <f>IF(OR(A199="",p_ModoCot&lt;&gt;"Automático"),"",IFERROR(_xlfn.WEBSERVICE("https://query1.finance.yahoo.com/v8/finance/chart/"&amp;X199&amp;"?range=1d&amp;interval=1d"),""))</f>
        <v/>
      </c>
      <c r="Z199" s="85" t="str">
        <f>IF(Y199="","",IFERROR(_xlfn.NUMBERVALUE(MID(Y199,SEARCH("""regularMarketPrice"":",Y199)+21,SEARCH(",",Y199&amp;",",SEARCH("""regularMarketPrice"":",Y199)+21)-SEARCH("""regularMarketPrice"":",Y199)-21),".",","),""))</f>
        <v/>
      </c>
      <c r="AA199" s="85" t="str">
        <f>IF(A199="","",ROUND(MAX(0,N(F199)*($K$6+$W$7)-K199),2))</f>
        <v/>
      </c>
      <c r="AB199" s="85" t="str">
        <f>IF(A199="","",IF(AND(M199&gt;0,M199&gt;=p_DifMin),AA199,0))</f>
        <v/>
      </c>
      <c r="AC199" s="85" t="str">
        <f>IF(A199="","",IF(AND(AB199&gt;0,N(O199)&lt;=p_MaxAtivos),AB199,0))</f>
        <v/>
      </c>
      <c r="AD199" s="85" t="str">
        <f>IF(A199="","",IF(OR(Q199&lt;=0,Q199&lt;p_CompraMin,N(H199)&lt;=0,N(W199)&lt;=0),0,IF($W$3="Sim",TRUNC(ROUND(MAX(0,(Q199-p_CorrFixa)/(H199*W199*$W$6)),9),$W$4),TRUNC(ROUND(MAX(0,(Q199-p_CorrFixa)/(H199*W199*$W$6)),9)/$W$5)*$W$5)))</f>
        <v/>
      </c>
      <c r="AE199" s="85" t="str">
        <f>IF(A199="","",IF(N(AD199)&gt;0,AD199*H199*W199*$W$6+p_CorrFixa,0))</f>
        <v/>
      </c>
      <c r="AF199" s="85" t="str">
        <f>IF(A199="","",IF(OR($Y$1&lt;=0,N(H199)&lt;=0,N(W199)&lt;=0,N(AB199)&lt;=0),0,IF($W$3="Sim",TRUNC(ROUND(MAX(0,($Y$1-IF(N(AD199)&gt;0,0,p_CorrFixa))/(H199*W199*$W$6)),9),$W$4),TRUNC(ROUND(MAX(0,($Y$1-IF(N(AD199)&gt;0,0,p_CorrFixa))/(H199*W199*$W$6)),9)/$W$5)*$W$5)))</f>
        <v/>
      </c>
      <c r="AG199" s="85" t="str">
        <f>IF(A199="","",IF(AND(N(AD199)=0,N(AF199)*(H199*W199*$W$6)+p_CorrFixa&lt;p_CompraMin),0,AF199))</f>
        <v/>
      </c>
      <c r="AH199" s="85" t="str">
        <f>IF(A199="","",IF(N(AG199)&gt;0,AB199,0))</f>
        <v/>
      </c>
      <c r="AI199" s="85" t="str">
        <f>IF(A199="","",IF(AND(AH199&gt;0,AH199=$AH$6,COUNTIF($AH$9:AH199,AH199)=1),1,0))</f>
        <v/>
      </c>
    </row>
    <row r="200">
      <c r="A200" s="96" t="n"/>
      <c r="B200" s="96" t="n"/>
      <c r="C200" s="96" t="n"/>
      <c r="D200" s="97" t="n"/>
      <c r="E200" s="98" t="n"/>
      <c r="F200" s="99" t="n"/>
      <c r="G200" s="100" t="n"/>
      <c r="H200" s="104" t="str">
        <f>IF(A200="","",IF(AND(p_ModoCot="Automático",ISNUMBER(Z200)),Z200,IF(N(G200)&gt;0,G200,0)))</f>
        <v/>
      </c>
      <c r="I200" s="105" t="str">
        <f>IF(A200="","",IF(W200=0,"Sem câmbio",IF(AND(p_ModoCot="Automático",ISNUMBER(Z200)),"Auto",IF(N(G200)&gt;0,"Manual","Sem cotação"))))</f>
        <v/>
      </c>
      <c r="J200" s="106" t="str">
        <f>IF(A200="","",N(E200)*H200)</f>
        <v/>
      </c>
      <c r="K200" s="107" t="str">
        <f>IF(A200="","",J200*W200)</f>
        <v/>
      </c>
      <c r="L200" s="108" t="str">
        <f>IF(A200="","",IF($K$6&gt;0,K200/$K$6,0))</f>
        <v/>
      </c>
      <c r="M200" s="109" t="str">
        <f>IF(A200="","",N(F200)-L200)</f>
        <v/>
      </c>
      <c r="N200" s="108" t="str">
        <f>IF(A200="","",IF($AB$6&gt;0,AB200/$AB$6,0))</f>
        <v/>
      </c>
      <c r="O200" s="110" t="str">
        <f>IF(A200="","",IF(AB200&lt;=0,"",COUNTIF($AB$9:$AB$208,"&gt;"&amp;AB200)+COUNTIF($AB$9:AB200,AB200)))</f>
        <v/>
      </c>
      <c r="P200" s="105" t="str">
        <f>IF(A200="","",IF(Q200&gt;0,"BUY","HOLD"))</f>
        <v/>
      </c>
      <c r="Q200" s="107" t="str">
        <f>IF(A200="","",IF($W$7&lt;=0,0,IF($AC$6&gt;0,$W$7*AC200/$AC$6,IF($F$6&gt;0,$W$7*N(F200)/$F$6,0))))</f>
        <v/>
      </c>
      <c r="R200" s="111" t="str">
        <f>IF(A200="","",N(AD200)+IF(AI200=1,N(AG200),0))</f>
        <v/>
      </c>
      <c r="S200" s="111" t="str">
        <f>IF(A200="","",N(E200)+N(R200))</f>
        <v/>
      </c>
      <c r="T200" s="107" t="str">
        <f>IF(A200="","",IF(N(R200)&gt;0,R200*H200*W200*$W$6+p_CorrFixa,0))</f>
        <v/>
      </c>
      <c r="V200" s="85" t="str">
        <f>IF(A200="","",IF(D200="",$W$1,D200))</f>
        <v/>
      </c>
      <c r="W200" s="85" t="str">
        <f>IF(A200="","",IFERROR(INDEX(moeda_fx,MATCH(V200,moeda_cod,0)),0))</f>
        <v/>
      </c>
      <c r="X200" s="85" t="str">
        <f>IF(A200="","",IF($W$2="",UPPER(TRIM(A200)),IF(RIGHT(UPPER(TRIM(A200)),LEN($W$2))=$W$2,UPPER(TRIM(A200)),UPPER(TRIM(A200))&amp;$W$2)))</f>
        <v/>
      </c>
      <c r="Y200" s="85" t="str">
        <f>IF(OR(A200="",p_ModoCot&lt;&gt;"Automático"),"",IFERROR(_xlfn.WEBSERVICE("https://query1.finance.yahoo.com/v8/finance/chart/"&amp;X200&amp;"?range=1d&amp;interval=1d"),""))</f>
        <v/>
      </c>
      <c r="Z200" s="85" t="str">
        <f>IF(Y200="","",IFERROR(_xlfn.NUMBERVALUE(MID(Y200,SEARCH("""regularMarketPrice"":",Y200)+21,SEARCH(",",Y200&amp;",",SEARCH("""regularMarketPrice"":",Y200)+21)-SEARCH("""regularMarketPrice"":",Y200)-21),".",","),""))</f>
        <v/>
      </c>
      <c r="AA200" s="85" t="str">
        <f>IF(A200="","",ROUND(MAX(0,N(F200)*($K$6+$W$7)-K200),2))</f>
        <v/>
      </c>
      <c r="AB200" s="85" t="str">
        <f>IF(A200="","",IF(AND(M200&gt;0,M200&gt;=p_DifMin),AA200,0))</f>
        <v/>
      </c>
      <c r="AC200" s="85" t="str">
        <f>IF(A200="","",IF(AND(AB200&gt;0,N(O200)&lt;=p_MaxAtivos),AB200,0))</f>
        <v/>
      </c>
      <c r="AD200" s="85" t="str">
        <f>IF(A200="","",IF(OR(Q200&lt;=0,Q200&lt;p_CompraMin,N(H200)&lt;=0,N(W200)&lt;=0),0,IF($W$3="Sim",TRUNC(ROUND(MAX(0,(Q200-p_CorrFixa)/(H200*W200*$W$6)),9),$W$4),TRUNC(ROUND(MAX(0,(Q200-p_CorrFixa)/(H200*W200*$W$6)),9)/$W$5)*$W$5)))</f>
        <v/>
      </c>
      <c r="AE200" s="85" t="str">
        <f>IF(A200="","",IF(N(AD200)&gt;0,AD200*H200*W200*$W$6+p_CorrFixa,0))</f>
        <v/>
      </c>
      <c r="AF200" s="85" t="str">
        <f>IF(A200="","",IF(OR($Y$1&lt;=0,N(H200)&lt;=0,N(W200)&lt;=0,N(AB200)&lt;=0),0,IF($W$3="Sim",TRUNC(ROUND(MAX(0,($Y$1-IF(N(AD200)&gt;0,0,p_CorrFixa))/(H200*W200*$W$6)),9),$W$4),TRUNC(ROUND(MAX(0,($Y$1-IF(N(AD200)&gt;0,0,p_CorrFixa))/(H200*W200*$W$6)),9)/$W$5)*$W$5)))</f>
        <v/>
      </c>
      <c r="AG200" s="85" t="str">
        <f>IF(A200="","",IF(AND(N(AD200)=0,N(AF200)*(H200*W200*$W$6)+p_CorrFixa&lt;p_CompraMin),0,AF200))</f>
        <v/>
      </c>
      <c r="AH200" s="85" t="str">
        <f>IF(A200="","",IF(N(AG200)&gt;0,AB200,0))</f>
        <v/>
      </c>
      <c r="AI200" s="85" t="str">
        <f>IF(A200="","",IF(AND(AH200&gt;0,AH200=$AH$6,COUNTIF($AH$9:AH200,AH200)=1),1,0))</f>
        <v/>
      </c>
    </row>
    <row r="201">
      <c r="A201" s="96" t="n"/>
      <c r="B201" s="96" t="n"/>
      <c r="C201" s="96" t="n"/>
      <c r="D201" s="97" t="n"/>
      <c r="E201" s="98" t="n"/>
      <c r="F201" s="99" t="n"/>
      <c r="G201" s="100" t="n"/>
      <c r="H201" s="101" t="str">
        <f>IF(A201="","",IF(AND(p_ModoCot="Automático",ISNUMBER(Z201)),Z201,IF(N(G201)&gt;0,G201,0)))</f>
        <v/>
      </c>
      <c r="I201" s="73" t="str">
        <f>IF(A201="","",IF(W201=0,"Sem câmbio",IF(AND(p_ModoCot="Automático",ISNUMBER(Z201)),"Auto",IF(N(G201)&gt;0,"Manual","Sem cotação"))))</f>
        <v/>
      </c>
      <c r="J201" s="102" t="str">
        <f>IF(A201="","",N(E201)*H201)</f>
        <v/>
      </c>
      <c r="K201" s="70" t="str">
        <f>IF(A201="","",J201*W201)</f>
        <v/>
      </c>
      <c r="L201" s="30" t="str">
        <f>IF(A201="","",IF($K$6&gt;0,K201/$K$6,0))</f>
        <v/>
      </c>
      <c r="M201" s="72" t="str">
        <f>IF(A201="","",N(F201)-L201)</f>
        <v/>
      </c>
      <c r="N201" s="30" t="str">
        <f>IF(A201="","",IF($AB$6&gt;0,AB201/$AB$6,0))</f>
        <v/>
      </c>
      <c r="O201" s="74" t="str">
        <f>IF(A201="","",IF(AB201&lt;=0,"",COUNTIF($AB$9:$AB$208,"&gt;"&amp;AB201)+COUNTIF($AB$9:AB201,AB201)))</f>
        <v/>
      </c>
      <c r="P201" s="73" t="str">
        <f>IF(A201="","",IF(Q201&gt;0,"BUY","HOLD"))</f>
        <v/>
      </c>
      <c r="Q201" s="70" t="str">
        <f>IF(A201="","",IF($W$7&lt;=0,0,IF($AC$6&gt;0,$W$7*AC201/$AC$6,IF($F$6&gt;0,$W$7*N(F201)/$F$6,0))))</f>
        <v/>
      </c>
      <c r="R201" s="103" t="str">
        <f>IF(A201="","",N(AD201)+IF(AI201=1,N(AG201),0))</f>
        <v/>
      </c>
      <c r="S201" s="103" t="str">
        <f>IF(A201="","",N(E201)+N(R201))</f>
        <v/>
      </c>
      <c r="T201" s="70" t="str">
        <f>IF(A201="","",IF(N(R201)&gt;0,R201*H201*W201*$W$6+p_CorrFixa,0))</f>
        <v/>
      </c>
      <c r="V201" s="85" t="str">
        <f>IF(A201="","",IF(D201="",$W$1,D201))</f>
        <v/>
      </c>
      <c r="W201" s="85" t="str">
        <f>IF(A201="","",IFERROR(INDEX(moeda_fx,MATCH(V201,moeda_cod,0)),0))</f>
        <v/>
      </c>
      <c r="X201" s="85" t="str">
        <f>IF(A201="","",IF($W$2="",UPPER(TRIM(A201)),IF(RIGHT(UPPER(TRIM(A201)),LEN($W$2))=$W$2,UPPER(TRIM(A201)),UPPER(TRIM(A201))&amp;$W$2)))</f>
        <v/>
      </c>
      <c r="Y201" s="85" t="str">
        <f>IF(OR(A201="",p_ModoCot&lt;&gt;"Automático"),"",IFERROR(_xlfn.WEBSERVICE("https://query1.finance.yahoo.com/v8/finance/chart/"&amp;X201&amp;"?range=1d&amp;interval=1d"),""))</f>
        <v/>
      </c>
      <c r="Z201" s="85" t="str">
        <f>IF(Y201="","",IFERROR(_xlfn.NUMBERVALUE(MID(Y201,SEARCH("""regularMarketPrice"":",Y201)+21,SEARCH(",",Y201&amp;",",SEARCH("""regularMarketPrice"":",Y201)+21)-SEARCH("""regularMarketPrice"":",Y201)-21),".",","),""))</f>
        <v/>
      </c>
      <c r="AA201" s="85" t="str">
        <f>IF(A201="","",ROUND(MAX(0,N(F201)*($K$6+$W$7)-K201),2))</f>
        <v/>
      </c>
      <c r="AB201" s="85" t="str">
        <f>IF(A201="","",IF(AND(M201&gt;0,M201&gt;=p_DifMin),AA201,0))</f>
        <v/>
      </c>
      <c r="AC201" s="85" t="str">
        <f>IF(A201="","",IF(AND(AB201&gt;0,N(O201)&lt;=p_MaxAtivos),AB201,0))</f>
        <v/>
      </c>
      <c r="AD201" s="85" t="str">
        <f>IF(A201="","",IF(OR(Q201&lt;=0,Q201&lt;p_CompraMin,N(H201)&lt;=0,N(W201)&lt;=0),0,IF($W$3="Sim",TRUNC(ROUND(MAX(0,(Q201-p_CorrFixa)/(H201*W201*$W$6)),9),$W$4),TRUNC(ROUND(MAX(0,(Q201-p_CorrFixa)/(H201*W201*$W$6)),9)/$W$5)*$W$5)))</f>
        <v/>
      </c>
      <c r="AE201" s="85" t="str">
        <f>IF(A201="","",IF(N(AD201)&gt;0,AD201*H201*W201*$W$6+p_CorrFixa,0))</f>
        <v/>
      </c>
      <c r="AF201" s="85" t="str">
        <f>IF(A201="","",IF(OR($Y$1&lt;=0,N(H201)&lt;=0,N(W201)&lt;=0,N(AB201)&lt;=0),0,IF($W$3="Sim",TRUNC(ROUND(MAX(0,($Y$1-IF(N(AD201)&gt;0,0,p_CorrFixa))/(H201*W201*$W$6)),9),$W$4),TRUNC(ROUND(MAX(0,($Y$1-IF(N(AD201)&gt;0,0,p_CorrFixa))/(H201*W201*$W$6)),9)/$W$5)*$W$5)))</f>
        <v/>
      </c>
      <c r="AG201" s="85" t="str">
        <f>IF(A201="","",IF(AND(N(AD201)=0,N(AF201)*(H201*W201*$W$6)+p_CorrFixa&lt;p_CompraMin),0,AF201))</f>
        <v/>
      </c>
      <c r="AH201" s="85" t="str">
        <f>IF(A201="","",IF(N(AG201)&gt;0,AB201,0))</f>
        <v/>
      </c>
      <c r="AI201" s="85" t="str">
        <f>IF(A201="","",IF(AND(AH201&gt;0,AH201=$AH$6,COUNTIF($AH$9:AH201,AH201)=1),1,0))</f>
        <v/>
      </c>
    </row>
    <row r="202">
      <c r="A202" s="96" t="n"/>
      <c r="B202" s="96" t="n"/>
      <c r="C202" s="96" t="n"/>
      <c r="D202" s="97" t="n"/>
      <c r="E202" s="98" t="n"/>
      <c r="F202" s="99" t="n"/>
      <c r="G202" s="100" t="n"/>
      <c r="H202" s="104" t="str">
        <f>IF(A202="","",IF(AND(p_ModoCot="Automático",ISNUMBER(Z202)),Z202,IF(N(G202)&gt;0,G202,0)))</f>
        <v/>
      </c>
      <c r="I202" s="105" t="str">
        <f>IF(A202="","",IF(W202=0,"Sem câmbio",IF(AND(p_ModoCot="Automático",ISNUMBER(Z202)),"Auto",IF(N(G202)&gt;0,"Manual","Sem cotação"))))</f>
        <v/>
      </c>
      <c r="J202" s="106" t="str">
        <f>IF(A202="","",N(E202)*H202)</f>
        <v/>
      </c>
      <c r="K202" s="107" t="str">
        <f>IF(A202="","",J202*W202)</f>
        <v/>
      </c>
      <c r="L202" s="108" t="str">
        <f>IF(A202="","",IF($K$6&gt;0,K202/$K$6,0))</f>
        <v/>
      </c>
      <c r="M202" s="109" t="str">
        <f>IF(A202="","",N(F202)-L202)</f>
        <v/>
      </c>
      <c r="N202" s="108" t="str">
        <f>IF(A202="","",IF($AB$6&gt;0,AB202/$AB$6,0))</f>
        <v/>
      </c>
      <c r="O202" s="110" t="str">
        <f>IF(A202="","",IF(AB202&lt;=0,"",COUNTIF($AB$9:$AB$208,"&gt;"&amp;AB202)+COUNTIF($AB$9:AB202,AB202)))</f>
        <v/>
      </c>
      <c r="P202" s="105" t="str">
        <f>IF(A202="","",IF(Q202&gt;0,"BUY","HOLD"))</f>
        <v/>
      </c>
      <c r="Q202" s="107" t="str">
        <f>IF(A202="","",IF($W$7&lt;=0,0,IF($AC$6&gt;0,$W$7*AC202/$AC$6,IF($F$6&gt;0,$W$7*N(F202)/$F$6,0))))</f>
        <v/>
      </c>
      <c r="R202" s="111" t="str">
        <f>IF(A202="","",N(AD202)+IF(AI202=1,N(AG202),0))</f>
        <v/>
      </c>
      <c r="S202" s="111" t="str">
        <f>IF(A202="","",N(E202)+N(R202))</f>
        <v/>
      </c>
      <c r="T202" s="107" t="str">
        <f>IF(A202="","",IF(N(R202)&gt;0,R202*H202*W202*$W$6+p_CorrFixa,0))</f>
        <v/>
      </c>
      <c r="V202" s="85" t="str">
        <f>IF(A202="","",IF(D202="",$W$1,D202))</f>
        <v/>
      </c>
      <c r="W202" s="85" t="str">
        <f>IF(A202="","",IFERROR(INDEX(moeda_fx,MATCH(V202,moeda_cod,0)),0))</f>
        <v/>
      </c>
      <c r="X202" s="85" t="str">
        <f>IF(A202="","",IF($W$2="",UPPER(TRIM(A202)),IF(RIGHT(UPPER(TRIM(A202)),LEN($W$2))=$W$2,UPPER(TRIM(A202)),UPPER(TRIM(A202))&amp;$W$2)))</f>
        <v/>
      </c>
      <c r="Y202" s="85" t="str">
        <f>IF(OR(A202="",p_ModoCot&lt;&gt;"Automático"),"",IFERROR(_xlfn.WEBSERVICE("https://query1.finance.yahoo.com/v8/finance/chart/"&amp;X202&amp;"?range=1d&amp;interval=1d"),""))</f>
        <v/>
      </c>
      <c r="Z202" s="85" t="str">
        <f>IF(Y202="","",IFERROR(_xlfn.NUMBERVALUE(MID(Y202,SEARCH("""regularMarketPrice"":",Y202)+21,SEARCH(",",Y202&amp;",",SEARCH("""regularMarketPrice"":",Y202)+21)-SEARCH("""regularMarketPrice"":",Y202)-21),".",","),""))</f>
        <v/>
      </c>
      <c r="AA202" s="85" t="str">
        <f>IF(A202="","",ROUND(MAX(0,N(F202)*($K$6+$W$7)-K202),2))</f>
        <v/>
      </c>
      <c r="AB202" s="85" t="str">
        <f>IF(A202="","",IF(AND(M202&gt;0,M202&gt;=p_DifMin),AA202,0))</f>
        <v/>
      </c>
      <c r="AC202" s="85" t="str">
        <f>IF(A202="","",IF(AND(AB202&gt;0,N(O202)&lt;=p_MaxAtivos),AB202,0))</f>
        <v/>
      </c>
      <c r="AD202" s="85" t="str">
        <f>IF(A202="","",IF(OR(Q202&lt;=0,Q202&lt;p_CompraMin,N(H202)&lt;=0,N(W202)&lt;=0),0,IF($W$3="Sim",TRUNC(ROUND(MAX(0,(Q202-p_CorrFixa)/(H202*W202*$W$6)),9),$W$4),TRUNC(ROUND(MAX(0,(Q202-p_CorrFixa)/(H202*W202*$W$6)),9)/$W$5)*$W$5)))</f>
        <v/>
      </c>
      <c r="AE202" s="85" t="str">
        <f>IF(A202="","",IF(N(AD202)&gt;0,AD202*H202*W202*$W$6+p_CorrFixa,0))</f>
        <v/>
      </c>
      <c r="AF202" s="85" t="str">
        <f>IF(A202="","",IF(OR($Y$1&lt;=0,N(H202)&lt;=0,N(W202)&lt;=0,N(AB202)&lt;=0),0,IF($W$3="Sim",TRUNC(ROUND(MAX(0,($Y$1-IF(N(AD202)&gt;0,0,p_CorrFixa))/(H202*W202*$W$6)),9),$W$4),TRUNC(ROUND(MAX(0,($Y$1-IF(N(AD202)&gt;0,0,p_CorrFixa))/(H202*W202*$W$6)),9)/$W$5)*$W$5)))</f>
        <v/>
      </c>
      <c r="AG202" s="85" t="str">
        <f>IF(A202="","",IF(AND(N(AD202)=0,N(AF202)*(H202*W202*$W$6)+p_CorrFixa&lt;p_CompraMin),0,AF202))</f>
        <v/>
      </c>
      <c r="AH202" s="85" t="str">
        <f>IF(A202="","",IF(N(AG202)&gt;0,AB202,0))</f>
        <v/>
      </c>
      <c r="AI202" s="85" t="str">
        <f>IF(A202="","",IF(AND(AH202&gt;0,AH202=$AH$6,COUNTIF($AH$9:AH202,AH202)=1),1,0))</f>
        <v/>
      </c>
    </row>
    <row r="203">
      <c r="A203" s="96" t="n"/>
      <c r="B203" s="96" t="n"/>
      <c r="C203" s="96" t="n"/>
      <c r="D203" s="97" t="n"/>
      <c r="E203" s="98" t="n"/>
      <c r="F203" s="99" t="n"/>
      <c r="G203" s="100" t="n"/>
      <c r="H203" s="101" t="str">
        <f>IF(A203="","",IF(AND(p_ModoCot="Automático",ISNUMBER(Z203)),Z203,IF(N(G203)&gt;0,G203,0)))</f>
        <v/>
      </c>
      <c r="I203" s="73" t="str">
        <f>IF(A203="","",IF(W203=0,"Sem câmbio",IF(AND(p_ModoCot="Automático",ISNUMBER(Z203)),"Auto",IF(N(G203)&gt;0,"Manual","Sem cotação"))))</f>
        <v/>
      </c>
      <c r="J203" s="102" t="str">
        <f>IF(A203="","",N(E203)*H203)</f>
        <v/>
      </c>
      <c r="K203" s="70" t="str">
        <f>IF(A203="","",J203*W203)</f>
        <v/>
      </c>
      <c r="L203" s="30" t="str">
        <f>IF(A203="","",IF($K$6&gt;0,K203/$K$6,0))</f>
        <v/>
      </c>
      <c r="M203" s="72" t="str">
        <f>IF(A203="","",N(F203)-L203)</f>
        <v/>
      </c>
      <c r="N203" s="30" t="str">
        <f>IF(A203="","",IF($AB$6&gt;0,AB203/$AB$6,0))</f>
        <v/>
      </c>
      <c r="O203" s="74" t="str">
        <f>IF(A203="","",IF(AB203&lt;=0,"",COUNTIF($AB$9:$AB$208,"&gt;"&amp;AB203)+COUNTIF($AB$9:AB203,AB203)))</f>
        <v/>
      </c>
      <c r="P203" s="73" t="str">
        <f>IF(A203="","",IF(Q203&gt;0,"BUY","HOLD"))</f>
        <v/>
      </c>
      <c r="Q203" s="70" t="str">
        <f>IF(A203="","",IF($W$7&lt;=0,0,IF($AC$6&gt;0,$W$7*AC203/$AC$6,IF($F$6&gt;0,$W$7*N(F203)/$F$6,0))))</f>
        <v/>
      </c>
      <c r="R203" s="103" t="str">
        <f>IF(A203="","",N(AD203)+IF(AI203=1,N(AG203),0))</f>
        <v/>
      </c>
      <c r="S203" s="103" t="str">
        <f>IF(A203="","",N(E203)+N(R203))</f>
        <v/>
      </c>
      <c r="T203" s="70" t="str">
        <f>IF(A203="","",IF(N(R203)&gt;0,R203*H203*W203*$W$6+p_CorrFixa,0))</f>
        <v/>
      </c>
      <c r="V203" s="85" t="str">
        <f>IF(A203="","",IF(D203="",$W$1,D203))</f>
        <v/>
      </c>
      <c r="W203" s="85" t="str">
        <f>IF(A203="","",IFERROR(INDEX(moeda_fx,MATCH(V203,moeda_cod,0)),0))</f>
        <v/>
      </c>
      <c r="X203" s="85" t="str">
        <f>IF(A203="","",IF($W$2="",UPPER(TRIM(A203)),IF(RIGHT(UPPER(TRIM(A203)),LEN($W$2))=$W$2,UPPER(TRIM(A203)),UPPER(TRIM(A203))&amp;$W$2)))</f>
        <v/>
      </c>
      <c r="Y203" s="85" t="str">
        <f>IF(OR(A203="",p_ModoCot&lt;&gt;"Automático"),"",IFERROR(_xlfn.WEBSERVICE("https://query1.finance.yahoo.com/v8/finance/chart/"&amp;X203&amp;"?range=1d&amp;interval=1d"),""))</f>
        <v/>
      </c>
      <c r="Z203" s="85" t="str">
        <f>IF(Y203="","",IFERROR(_xlfn.NUMBERVALUE(MID(Y203,SEARCH("""regularMarketPrice"":",Y203)+21,SEARCH(",",Y203&amp;",",SEARCH("""regularMarketPrice"":",Y203)+21)-SEARCH("""regularMarketPrice"":",Y203)-21),".",","),""))</f>
        <v/>
      </c>
      <c r="AA203" s="85" t="str">
        <f>IF(A203="","",ROUND(MAX(0,N(F203)*($K$6+$W$7)-K203),2))</f>
        <v/>
      </c>
      <c r="AB203" s="85" t="str">
        <f>IF(A203="","",IF(AND(M203&gt;0,M203&gt;=p_DifMin),AA203,0))</f>
        <v/>
      </c>
      <c r="AC203" s="85" t="str">
        <f>IF(A203="","",IF(AND(AB203&gt;0,N(O203)&lt;=p_MaxAtivos),AB203,0))</f>
        <v/>
      </c>
      <c r="AD203" s="85" t="str">
        <f>IF(A203="","",IF(OR(Q203&lt;=0,Q203&lt;p_CompraMin,N(H203)&lt;=0,N(W203)&lt;=0),0,IF($W$3="Sim",TRUNC(ROUND(MAX(0,(Q203-p_CorrFixa)/(H203*W203*$W$6)),9),$W$4),TRUNC(ROUND(MAX(0,(Q203-p_CorrFixa)/(H203*W203*$W$6)),9)/$W$5)*$W$5)))</f>
        <v/>
      </c>
      <c r="AE203" s="85" t="str">
        <f>IF(A203="","",IF(N(AD203)&gt;0,AD203*H203*W203*$W$6+p_CorrFixa,0))</f>
        <v/>
      </c>
      <c r="AF203" s="85" t="str">
        <f>IF(A203="","",IF(OR($Y$1&lt;=0,N(H203)&lt;=0,N(W203)&lt;=0,N(AB203)&lt;=0),0,IF($W$3="Sim",TRUNC(ROUND(MAX(0,($Y$1-IF(N(AD203)&gt;0,0,p_CorrFixa))/(H203*W203*$W$6)),9),$W$4),TRUNC(ROUND(MAX(0,($Y$1-IF(N(AD203)&gt;0,0,p_CorrFixa))/(H203*W203*$W$6)),9)/$W$5)*$W$5)))</f>
        <v/>
      </c>
      <c r="AG203" s="85" t="str">
        <f>IF(A203="","",IF(AND(N(AD203)=0,N(AF203)*(H203*W203*$W$6)+p_CorrFixa&lt;p_CompraMin),0,AF203))</f>
        <v/>
      </c>
      <c r="AH203" s="85" t="str">
        <f>IF(A203="","",IF(N(AG203)&gt;0,AB203,0))</f>
        <v/>
      </c>
      <c r="AI203" s="85" t="str">
        <f>IF(A203="","",IF(AND(AH203&gt;0,AH203=$AH$6,COUNTIF($AH$9:AH203,AH203)=1),1,0))</f>
        <v/>
      </c>
    </row>
    <row r="204">
      <c r="A204" s="96" t="n"/>
      <c r="B204" s="96" t="n"/>
      <c r="C204" s="96" t="n"/>
      <c r="D204" s="97" t="n"/>
      <c r="E204" s="98" t="n"/>
      <c r="F204" s="99" t="n"/>
      <c r="G204" s="100" t="n"/>
      <c r="H204" s="104" t="str">
        <f>IF(A204="","",IF(AND(p_ModoCot="Automático",ISNUMBER(Z204)),Z204,IF(N(G204)&gt;0,G204,0)))</f>
        <v/>
      </c>
      <c r="I204" s="105" t="str">
        <f>IF(A204="","",IF(W204=0,"Sem câmbio",IF(AND(p_ModoCot="Automático",ISNUMBER(Z204)),"Auto",IF(N(G204)&gt;0,"Manual","Sem cotação"))))</f>
        <v/>
      </c>
      <c r="J204" s="106" t="str">
        <f>IF(A204="","",N(E204)*H204)</f>
        <v/>
      </c>
      <c r="K204" s="107" t="str">
        <f>IF(A204="","",J204*W204)</f>
        <v/>
      </c>
      <c r="L204" s="108" t="str">
        <f>IF(A204="","",IF($K$6&gt;0,K204/$K$6,0))</f>
        <v/>
      </c>
      <c r="M204" s="109" t="str">
        <f>IF(A204="","",N(F204)-L204)</f>
        <v/>
      </c>
      <c r="N204" s="108" t="str">
        <f>IF(A204="","",IF($AB$6&gt;0,AB204/$AB$6,0))</f>
        <v/>
      </c>
      <c r="O204" s="110" t="str">
        <f>IF(A204="","",IF(AB204&lt;=0,"",COUNTIF($AB$9:$AB$208,"&gt;"&amp;AB204)+COUNTIF($AB$9:AB204,AB204)))</f>
        <v/>
      </c>
      <c r="P204" s="105" t="str">
        <f>IF(A204="","",IF(Q204&gt;0,"BUY","HOLD"))</f>
        <v/>
      </c>
      <c r="Q204" s="107" t="str">
        <f>IF(A204="","",IF($W$7&lt;=0,0,IF($AC$6&gt;0,$W$7*AC204/$AC$6,IF($F$6&gt;0,$W$7*N(F204)/$F$6,0))))</f>
        <v/>
      </c>
      <c r="R204" s="111" t="str">
        <f>IF(A204="","",N(AD204)+IF(AI204=1,N(AG204),0))</f>
        <v/>
      </c>
      <c r="S204" s="111" t="str">
        <f>IF(A204="","",N(E204)+N(R204))</f>
        <v/>
      </c>
      <c r="T204" s="107" t="str">
        <f>IF(A204="","",IF(N(R204)&gt;0,R204*H204*W204*$W$6+p_CorrFixa,0))</f>
        <v/>
      </c>
      <c r="V204" s="85" t="str">
        <f>IF(A204="","",IF(D204="",$W$1,D204))</f>
        <v/>
      </c>
      <c r="W204" s="85" t="str">
        <f>IF(A204="","",IFERROR(INDEX(moeda_fx,MATCH(V204,moeda_cod,0)),0))</f>
        <v/>
      </c>
      <c r="X204" s="85" t="str">
        <f>IF(A204="","",IF($W$2="",UPPER(TRIM(A204)),IF(RIGHT(UPPER(TRIM(A204)),LEN($W$2))=$W$2,UPPER(TRIM(A204)),UPPER(TRIM(A204))&amp;$W$2)))</f>
        <v/>
      </c>
      <c r="Y204" s="85" t="str">
        <f>IF(OR(A204="",p_ModoCot&lt;&gt;"Automático"),"",IFERROR(_xlfn.WEBSERVICE("https://query1.finance.yahoo.com/v8/finance/chart/"&amp;X204&amp;"?range=1d&amp;interval=1d"),""))</f>
        <v/>
      </c>
      <c r="Z204" s="85" t="str">
        <f>IF(Y204="","",IFERROR(_xlfn.NUMBERVALUE(MID(Y204,SEARCH("""regularMarketPrice"":",Y204)+21,SEARCH(",",Y204&amp;",",SEARCH("""regularMarketPrice"":",Y204)+21)-SEARCH("""regularMarketPrice"":",Y204)-21),".",","),""))</f>
        <v/>
      </c>
      <c r="AA204" s="85" t="str">
        <f>IF(A204="","",ROUND(MAX(0,N(F204)*($K$6+$W$7)-K204),2))</f>
        <v/>
      </c>
      <c r="AB204" s="85" t="str">
        <f>IF(A204="","",IF(AND(M204&gt;0,M204&gt;=p_DifMin),AA204,0))</f>
        <v/>
      </c>
      <c r="AC204" s="85" t="str">
        <f>IF(A204="","",IF(AND(AB204&gt;0,N(O204)&lt;=p_MaxAtivos),AB204,0))</f>
        <v/>
      </c>
      <c r="AD204" s="85" t="str">
        <f>IF(A204="","",IF(OR(Q204&lt;=0,Q204&lt;p_CompraMin,N(H204)&lt;=0,N(W204)&lt;=0),0,IF($W$3="Sim",TRUNC(ROUND(MAX(0,(Q204-p_CorrFixa)/(H204*W204*$W$6)),9),$W$4),TRUNC(ROUND(MAX(0,(Q204-p_CorrFixa)/(H204*W204*$W$6)),9)/$W$5)*$W$5)))</f>
        <v/>
      </c>
      <c r="AE204" s="85" t="str">
        <f>IF(A204="","",IF(N(AD204)&gt;0,AD204*H204*W204*$W$6+p_CorrFixa,0))</f>
        <v/>
      </c>
      <c r="AF204" s="85" t="str">
        <f>IF(A204="","",IF(OR($Y$1&lt;=0,N(H204)&lt;=0,N(W204)&lt;=0,N(AB204)&lt;=0),0,IF($W$3="Sim",TRUNC(ROUND(MAX(0,($Y$1-IF(N(AD204)&gt;0,0,p_CorrFixa))/(H204*W204*$W$6)),9),$W$4),TRUNC(ROUND(MAX(0,($Y$1-IF(N(AD204)&gt;0,0,p_CorrFixa))/(H204*W204*$W$6)),9)/$W$5)*$W$5)))</f>
        <v/>
      </c>
      <c r="AG204" s="85" t="str">
        <f>IF(A204="","",IF(AND(N(AD204)=0,N(AF204)*(H204*W204*$W$6)+p_CorrFixa&lt;p_CompraMin),0,AF204))</f>
        <v/>
      </c>
      <c r="AH204" s="85" t="str">
        <f>IF(A204="","",IF(N(AG204)&gt;0,AB204,0))</f>
        <v/>
      </c>
      <c r="AI204" s="85" t="str">
        <f>IF(A204="","",IF(AND(AH204&gt;0,AH204=$AH$6,COUNTIF($AH$9:AH204,AH204)=1),1,0))</f>
        <v/>
      </c>
    </row>
    <row r="205">
      <c r="A205" s="96" t="n"/>
      <c r="B205" s="96" t="n"/>
      <c r="C205" s="96" t="n"/>
      <c r="D205" s="97" t="n"/>
      <c r="E205" s="98" t="n"/>
      <c r="F205" s="99" t="n"/>
      <c r="G205" s="100" t="n"/>
      <c r="H205" s="101" t="str">
        <f>IF(A205="","",IF(AND(p_ModoCot="Automático",ISNUMBER(Z205)),Z205,IF(N(G205)&gt;0,G205,0)))</f>
        <v/>
      </c>
      <c r="I205" s="73" t="str">
        <f>IF(A205="","",IF(W205=0,"Sem câmbio",IF(AND(p_ModoCot="Automático",ISNUMBER(Z205)),"Auto",IF(N(G205)&gt;0,"Manual","Sem cotação"))))</f>
        <v/>
      </c>
      <c r="J205" s="102" t="str">
        <f>IF(A205="","",N(E205)*H205)</f>
        <v/>
      </c>
      <c r="K205" s="70" t="str">
        <f>IF(A205="","",J205*W205)</f>
        <v/>
      </c>
      <c r="L205" s="30" t="str">
        <f>IF(A205="","",IF($K$6&gt;0,K205/$K$6,0))</f>
        <v/>
      </c>
      <c r="M205" s="72" t="str">
        <f>IF(A205="","",N(F205)-L205)</f>
        <v/>
      </c>
      <c r="N205" s="30" t="str">
        <f>IF(A205="","",IF($AB$6&gt;0,AB205/$AB$6,0))</f>
        <v/>
      </c>
      <c r="O205" s="74" t="str">
        <f>IF(A205="","",IF(AB205&lt;=0,"",COUNTIF($AB$9:$AB$208,"&gt;"&amp;AB205)+COUNTIF($AB$9:AB205,AB205)))</f>
        <v/>
      </c>
      <c r="P205" s="73" t="str">
        <f>IF(A205="","",IF(Q205&gt;0,"BUY","HOLD"))</f>
        <v/>
      </c>
      <c r="Q205" s="70" t="str">
        <f>IF(A205="","",IF($W$7&lt;=0,0,IF($AC$6&gt;0,$W$7*AC205/$AC$6,IF($F$6&gt;0,$W$7*N(F205)/$F$6,0))))</f>
        <v/>
      </c>
      <c r="R205" s="103" t="str">
        <f>IF(A205="","",N(AD205)+IF(AI205=1,N(AG205),0))</f>
        <v/>
      </c>
      <c r="S205" s="103" t="str">
        <f>IF(A205="","",N(E205)+N(R205))</f>
        <v/>
      </c>
      <c r="T205" s="70" t="str">
        <f>IF(A205="","",IF(N(R205)&gt;0,R205*H205*W205*$W$6+p_CorrFixa,0))</f>
        <v/>
      </c>
      <c r="V205" s="85" t="str">
        <f>IF(A205="","",IF(D205="",$W$1,D205))</f>
        <v/>
      </c>
      <c r="W205" s="85" t="str">
        <f>IF(A205="","",IFERROR(INDEX(moeda_fx,MATCH(V205,moeda_cod,0)),0))</f>
        <v/>
      </c>
      <c r="X205" s="85" t="str">
        <f>IF(A205="","",IF($W$2="",UPPER(TRIM(A205)),IF(RIGHT(UPPER(TRIM(A205)),LEN($W$2))=$W$2,UPPER(TRIM(A205)),UPPER(TRIM(A205))&amp;$W$2)))</f>
        <v/>
      </c>
      <c r="Y205" s="85" t="str">
        <f>IF(OR(A205="",p_ModoCot&lt;&gt;"Automático"),"",IFERROR(_xlfn.WEBSERVICE("https://query1.finance.yahoo.com/v8/finance/chart/"&amp;X205&amp;"?range=1d&amp;interval=1d"),""))</f>
        <v/>
      </c>
      <c r="Z205" s="85" t="str">
        <f>IF(Y205="","",IFERROR(_xlfn.NUMBERVALUE(MID(Y205,SEARCH("""regularMarketPrice"":",Y205)+21,SEARCH(",",Y205&amp;",",SEARCH("""regularMarketPrice"":",Y205)+21)-SEARCH("""regularMarketPrice"":",Y205)-21),".",","),""))</f>
        <v/>
      </c>
      <c r="AA205" s="85" t="str">
        <f>IF(A205="","",ROUND(MAX(0,N(F205)*($K$6+$W$7)-K205),2))</f>
        <v/>
      </c>
      <c r="AB205" s="85" t="str">
        <f>IF(A205="","",IF(AND(M205&gt;0,M205&gt;=p_DifMin),AA205,0))</f>
        <v/>
      </c>
      <c r="AC205" s="85" t="str">
        <f>IF(A205="","",IF(AND(AB205&gt;0,N(O205)&lt;=p_MaxAtivos),AB205,0))</f>
        <v/>
      </c>
      <c r="AD205" s="85" t="str">
        <f>IF(A205="","",IF(OR(Q205&lt;=0,Q205&lt;p_CompraMin,N(H205)&lt;=0,N(W205)&lt;=0),0,IF($W$3="Sim",TRUNC(ROUND(MAX(0,(Q205-p_CorrFixa)/(H205*W205*$W$6)),9),$W$4),TRUNC(ROUND(MAX(0,(Q205-p_CorrFixa)/(H205*W205*$W$6)),9)/$W$5)*$W$5)))</f>
        <v/>
      </c>
      <c r="AE205" s="85" t="str">
        <f>IF(A205="","",IF(N(AD205)&gt;0,AD205*H205*W205*$W$6+p_CorrFixa,0))</f>
        <v/>
      </c>
      <c r="AF205" s="85" t="str">
        <f>IF(A205="","",IF(OR($Y$1&lt;=0,N(H205)&lt;=0,N(W205)&lt;=0,N(AB205)&lt;=0),0,IF($W$3="Sim",TRUNC(ROUND(MAX(0,($Y$1-IF(N(AD205)&gt;0,0,p_CorrFixa))/(H205*W205*$W$6)),9),$W$4),TRUNC(ROUND(MAX(0,($Y$1-IF(N(AD205)&gt;0,0,p_CorrFixa))/(H205*W205*$W$6)),9)/$W$5)*$W$5)))</f>
        <v/>
      </c>
      <c r="AG205" s="85" t="str">
        <f>IF(A205="","",IF(AND(N(AD205)=0,N(AF205)*(H205*W205*$W$6)+p_CorrFixa&lt;p_CompraMin),0,AF205))</f>
        <v/>
      </c>
      <c r="AH205" s="85" t="str">
        <f>IF(A205="","",IF(N(AG205)&gt;0,AB205,0))</f>
        <v/>
      </c>
      <c r="AI205" s="85" t="str">
        <f>IF(A205="","",IF(AND(AH205&gt;0,AH205=$AH$6,COUNTIF($AH$9:AH205,AH205)=1),1,0))</f>
        <v/>
      </c>
    </row>
    <row r="206">
      <c r="A206" s="96" t="n"/>
      <c r="B206" s="96" t="n"/>
      <c r="C206" s="96" t="n"/>
      <c r="D206" s="97" t="n"/>
      <c r="E206" s="98" t="n"/>
      <c r="F206" s="99" t="n"/>
      <c r="G206" s="100" t="n"/>
      <c r="H206" s="104" t="str">
        <f>IF(A206="","",IF(AND(p_ModoCot="Automático",ISNUMBER(Z206)),Z206,IF(N(G206)&gt;0,G206,0)))</f>
        <v/>
      </c>
      <c r="I206" s="105" t="str">
        <f>IF(A206="","",IF(W206=0,"Sem câmbio",IF(AND(p_ModoCot="Automático",ISNUMBER(Z206)),"Auto",IF(N(G206)&gt;0,"Manual","Sem cotação"))))</f>
        <v/>
      </c>
      <c r="J206" s="106" t="str">
        <f>IF(A206="","",N(E206)*H206)</f>
        <v/>
      </c>
      <c r="K206" s="107" t="str">
        <f>IF(A206="","",J206*W206)</f>
        <v/>
      </c>
      <c r="L206" s="108" t="str">
        <f>IF(A206="","",IF($K$6&gt;0,K206/$K$6,0))</f>
        <v/>
      </c>
      <c r="M206" s="109" t="str">
        <f>IF(A206="","",N(F206)-L206)</f>
        <v/>
      </c>
      <c r="N206" s="108" t="str">
        <f>IF(A206="","",IF($AB$6&gt;0,AB206/$AB$6,0))</f>
        <v/>
      </c>
      <c r="O206" s="110" t="str">
        <f>IF(A206="","",IF(AB206&lt;=0,"",COUNTIF($AB$9:$AB$208,"&gt;"&amp;AB206)+COUNTIF($AB$9:AB206,AB206)))</f>
        <v/>
      </c>
      <c r="P206" s="105" t="str">
        <f>IF(A206="","",IF(Q206&gt;0,"BUY","HOLD"))</f>
        <v/>
      </c>
      <c r="Q206" s="107" t="str">
        <f>IF(A206="","",IF($W$7&lt;=0,0,IF($AC$6&gt;0,$W$7*AC206/$AC$6,IF($F$6&gt;0,$W$7*N(F206)/$F$6,0))))</f>
        <v/>
      </c>
      <c r="R206" s="111" t="str">
        <f>IF(A206="","",N(AD206)+IF(AI206=1,N(AG206),0))</f>
        <v/>
      </c>
      <c r="S206" s="111" t="str">
        <f>IF(A206="","",N(E206)+N(R206))</f>
        <v/>
      </c>
      <c r="T206" s="107" t="str">
        <f>IF(A206="","",IF(N(R206)&gt;0,R206*H206*W206*$W$6+p_CorrFixa,0))</f>
        <v/>
      </c>
      <c r="V206" s="85" t="str">
        <f>IF(A206="","",IF(D206="",$W$1,D206))</f>
        <v/>
      </c>
      <c r="W206" s="85" t="str">
        <f>IF(A206="","",IFERROR(INDEX(moeda_fx,MATCH(V206,moeda_cod,0)),0))</f>
        <v/>
      </c>
      <c r="X206" s="85" t="str">
        <f>IF(A206="","",IF($W$2="",UPPER(TRIM(A206)),IF(RIGHT(UPPER(TRIM(A206)),LEN($W$2))=$W$2,UPPER(TRIM(A206)),UPPER(TRIM(A206))&amp;$W$2)))</f>
        <v/>
      </c>
      <c r="Y206" s="85" t="str">
        <f>IF(OR(A206="",p_ModoCot&lt;&gt;"Automático"),"",IFERROR(_xlfn.WEBSERVICE("https://query1.finance.yahoo.com/v8/finance/chart/"&amp;X206&amp;"?range=1d&amp;interval=1d"),""))</f>
        <v/>
      </c>
      <c r="Z206" s="85" t="str">
        <f>IF(Y206="","",IFERROR(_xlfn.NUMBERVALUE(MID(Y206,SEARCH("""regularMarketPrice"":",Y206)+21,SEARCH(",",Y206&amp;",",SEARCH("""regularMarketPrice"":",Y206)+21)-SEARCH("""regularMarketPrice"":",Y206)-21),".",","),""))</f>
        <v/>
      </c>
      <c r="AA206" s="85" t="str">
        <f>IF(A206="","",ROUND(MAX(0,N(F206)*($K$6+$W$7)-K206),2))</f>
        <v/>
      </c>
      <c r="AB206" s="85" t="str">
        <f>IF(A206="","",IF(AND(M206&gt;0,M206&gt;=p_DifMin),AA206,0))</f>
        <v/>
      </c>
      <c r="AC206" s="85" t="str">
        <f>IF(A206="","",IF(AND(AB206&gt;0,N(O206)&lt;=p_MaxAtivos),AB206,0))</f>
        <v/>
      </c>
      <c r="AD206" s="85" t="str">
        <f>IF(A206="","",IF(OR(Q206&lt;=0,Q206&lt;p_CompraMin,N(H206)&lt;=0,N(W206)&lt;=0),0,IF($W$3="Sim",TRUNC(ROUND(MAX(0,(Q206-p_CorrFixa)/(H206*W206*$W$6)),9),$W$4),TRUNC(ROUND(MAX(0,(Q206-p_CorrFixa)/(H206*W206*$W$6)),9)/$W$5)*$W$5)))</f>
        <v/>
      </c>
      <c r="AE206" s="85" t="str">
        <f>IF(A206="","",IF(N(AD206)&gt;0,AD206*H206*W206*$W$6+p_CorrFixa,0))</f>
        <v/>
      </c>
      <c r="AF206" s="85" t="str">
        <f>IF(A206="","",IF(OR($Y$1&lt;=0,N(H206)&lt;=0,N(W206)&lt;=0,N(AB206)&lt;=0),0,IF($W$3="Sim",TRUNC(ROUND(MAX(0,($Y$1-IF(N(AD206)&gt;0,0,p_CorrFixa))/(H206*W206*$W$6)),9),$W$4),TRUNC(ROUND(MAX(0,($Y$1-IF(N(AD206)&gt;0,0,p_CorrFixa))/(H206*W206*$W$6)),9)/$W$5)*$W$5)))</f>
        <v/>
      </c>
      <c r="AG206" s="85" t="str">
        <f>IF(A206="","",IF(AND(N(AD206)=0,N(AF206)*(H206*W206*$W$6)+p_CorrFixa&lt;p_CompraMin),0,AF206))</f>
        <v/>
      </c>
      <c r="AH206" s="85" t="str">
        <f>IF(A206="","",IF(N(AG206)&gt;0,AB206,0))</f>
        <v/>
      </c>
      <c r="AI206" s="85" t="str">
        <f>IF(A206="","",IF(AND(AH206&gt;0,AH206=$AH$6,COUNTIF($AH$9:AH206,AH206)=1),1,0))</f>
        <v/>
      </c>
    </row>
    <row r="207">
      <c r="A207" s="96" t="n"/>
      <c r="B207" s="96" t="n"/>
      <c r="C207" s="96" t="n"/>
      <c r="D207" s="97" t="n"/>
      <c r="E207" s="98" t="n"/>
      <c r="F207" s="99" t="n"/>
      <c r="G207" s="100" t="n"/>
      <c r="H207" s="101" t="str">
        <f>IF(A207="","",IF(AND(p_ModoCot="Automático",ISNUMBER(Z207)),Z207,IF(N(G207)&gt;0,G207,0)))</f>
        <v/>
      </c>
      <c r="I207" s="73" t="str">
        <f>IF(A207="","",IF(W207=0,"Sem câmbio",IF(AND(p_ModoCot="Automático",ISNUMBER(Z207)),"Auto",IF(N(G207)&gt;0,"Manual","Sem cotação"))))</f>
        <v/>
      </c>
      <c r="J207" s="102" t="str">
        <f>IF(A207="","",N(E207)*H207)</f>
        <v/>
      </c>
      <c r="K207" s="70" t="str">
        <f>IF(A207="","",J207*W207)</f>
        <v/>
      </c>
      <c r="L207" s="30" t="str">
        <f>IF(A207="","",IF($K$6&gt;0,K207/$K$6,0))</f>
        <v/>
      </c>
      <c r="M207" s="72" t="str">
        <f>IF(A207="","",N(F207)-L207)</f>
        <v/>
      </c>
      <c r="N207" s="30" t="str">
        <f>IF(A207="","",IF($AB$6&gt;0,AB207/$AB$6,0))</f>
        <v/>
      </c>
      <c r="O207" s="74" t="str">
        <f>IF(A207="","",IF(AB207&lt;=0,"",COUNTIF($AB$9:$AB$208,"&gt;"&amp;AB207)+COUNTIF($AB$9:AB207,AB207)))</f>
        <v/>
      </c>
      <c r="P207" s="73" t="str">
        <f>IF(A207="","",IF(Q207&gt;0,"BUY","HOLD"))</f>
        <v/>
      </c>
      <c r="Q207" s="70" t="str">
        <f>IF(A207="","",IF($W$7&lt;=0,0,IF($AC$6&gt;0,$W$7*AC207/$AC$6,IF($F$6&gt;0,$W$7*N(F207)/$F$6,0))))</f>
        <v/>
      </c>
      <c r="R207" s="103" t="str">
        <f>IF(A207="","",N(AD207)+IF(AI207=1,N(AG207),0))</f>
        <v/>
      </c>
      <c r="S207" s="103" t="str">
        <f>IF(A207="","",N(E207)+N(R207))</f>
        <v/>
      </c>
      <c r="T207" s="70" t="str">
        <f>IF(A207="","",IF(N(R207)&gt;0,R207*H207*W207*$W$6+p_CorrFixa,0))</f>
        <v/>
      </c>
      <c r="V207" s="85" t="str">
        <f>IF(A207="","",IF(D207="",$W$1,D207))</f>
        <v/>
      </c>
      <c r="W207" s="85" t="str">
        <f>IF(A207="","",IFERROR(INDEX(moeda_fx,MATCH(V207,moeda_cod,0)),0))</f>
        <v/>
      </c>
      <c r="X207" s="85" t="str">
        <f>IF(A207="","",IF($W$2="",UPPER(TRIM(A207)),IF(RIGHT(UPPER(TRIM(A207)),LEN($W$2))=$W$2,UPPER(TRIM(A207)),UPPER(TRIM(A207))&amp;$W$2)))</f>
        <v/>
      </c>
      <c r="Y207" s="85" t="str">
        <f>IF(OR(A207="",p_ModoCot&lt;&gt;"Automático"),"",IFERROR(_xlfn.WEBSERVICE("https://query1.finance.yahoo.com/v8/finance/chart/"&amp;X207&amp;"?range=1d&amp;interval=1d"),""))</f>
        <v/>
      </c>
      <c r="Z207" s="85" t="str">
        <f>IF(Y207="","",IFERROR(_xlfn.NUMBERVALUE(MID(Y207,SEARCH("""regularMarketPrice"":",Y207)+21,SEARCH(",",Y207&amp;",",SEARCH("""regularMarketPrice"":",Y207)+21)-SEARCH("""regularMarketPrice"":",Y207)-21),".",","),""))</f>
        <v/>
      </c>
      <c r="AA207" s="85" t="str">
        <f>IF(A207="","",ROUND(MAX(0,N(F207)*($K$6+$W$7)-K207),2))</f>
        <v/>
      </c>
      <c r="AB207" s="85" t="str">
        <f>IF(A207="","",IF(AND(M207&gt;0,M207&gt;=p_DifMin),AA207,0))</f>
        <v/>
      </c>
      <c r="AC207" s="85" t="str">
        <f>IF(A207="","",IF(AND(AB207&gt;0,N(O207)&lt;=p_MaxAtivos),AB207,0))</f>
        <v/>
      </c>
      <c r="AD207" s="85" t="str">
        <f>IF(A207="","",IF(OR(Q207&lt;=0,Q207&lt;p_CompraMin,N(H207)&lt;=0,N(W207)&lt;=0),0,IF($W$3="Sim",TRUNC(ROUND(MAX(0,(Q207-p_CorrFixa)/(H207*W207*$W$6)),9),$W$4),TRUNC(ROUND(MAX(0,(Q207-p_CorrFixa)/(H207*W207*$W$6)),9)/$W$5)*$W$5)))</f>
        <v/>
      </c>
      <c r="AE207" s="85" t="str">
        <f>IF(A207="","",IF(N(AD207)&gt;0,AD207*H207*W207*$W$6+p_CorrFixa,0))</f>
        <v/>
      </c>
      <c r="AF207" s="85" t="str">
        <f>IF(A207="","",IF(OR($Y$1&lt;=0,N(H207)&lt;=0,N(W207)&lt;=0,N(AB207)&lt;=0),0,IF($W$3="Sim",TRUNC(ROUND(MAX(0,($Y$1-IF(N(AD207)&gt;0,0,p_CorrFixa))/(H207*W207*$W$6)),9),$W$4),TRUNC(ROUND(MAX(0,($Y$1-IF(N(AD207)&gt;0,0,p_CorrFixa))/(H207*W207*$W$6)),9)/$W$5)*$W$5)))</f>
        <v/>
      </c>
      <c r="AG207" s="85" t="str">
        <f>IF(A207="","",IF(AND(N(AD207)=0,N(AF207)*(H207*W207*$W$6)+p_CorrFixa&lt;p_CompraMin),0,AF207))</f>
        <v/>
      </c>
      <c r="AH207" s="85" t="str">
        <f>IF(A207="","",IF(N(AG207)&gt;0,AB207,0))</f>
        <v/>
      </c>
      <c r="AI207" s="85" t="str">
        <f>IF(A207="","",IF(AND(AH207&gt;0,AH207=$AH$6,COUNTIF($AH$9:AH207,AH207)=1),1,0))</f>
        <v/>
      </c>
    </row>
    <row r="208">
      <c r="A208" s="96" t="n"/>
      <c r="B208" s="96" t="n"/>
      <c r="C208" s="96" t="n"/>
      <c r="D208" s="97" t="n"/>
      <c r="E208" s="98" t="n"/>
      <c r="F208" s="99" t="n"/>
      <c r="G208" s="100" t="n"/>
      <c r="H208" s="104" t="str">
        <f>IF(A208="","",IF(AND(p_ModoCot="Automático",ISNUMBER(Z208)),Z208,IF(N(G208)&gt;0,G208,0)))</f>
        <v/>
      </c>
      <c r="I208" s="105" t="str">
        <f>IF(A208="","",IF(W208=0,"Sem câmbio",IF(AND(p_ModoCot="Automático",ISNUMBER(Z208)),"Auto",IF(N(G208)&gt;0,"Manual","Sem cotação"))))</f>
        <v/>
      </c>
      <c r="J208" s="106" t="str">
        <f>IF(A208="","",N(E208)*H208)</f>
        <v/>
      </c>
      <c r="K208" s="107" t="str">
        <f>IF(A208="","",J208*W208)</f>
        <v/>
      </c>
      <c r="L208" s="108" t="str">
        <f>IF(A208="","",IF($K$6&gt;0,K208/$K$6,0))</f>
        <v/>
      </c>
      <c r="M208" s="109" t="str">
        <f>IF(A208="","",N(F208)-L208)</f>
        <v/>
      </c>
      <c r="N208" s="108" t="str">
        <f>IF(A208="","",IF($AB$6&gt;0,AB208/$AB$6,0))</f>
        <v/>
      </c>
      <c r="O208" s="110" t="str">
        <f>IF(A208="","",IF(AB208&lt;=0,"",COUNTIF($AB$9:$AB$208,"&gt;"&amp;AB208)+COUNTIF($AB$9:AB208,AB208)))</f>
        <v/>
      </c>
      <c r="P208" s="105" t="str">
        <f>IF(A208="","",IF(Q208&gt;0,"BUY","HOLD"))</f>
        <v/>
      </c>
      <c r="Q208" s="107" t="str">
        <f>IF(A208="","",IF($W$7&lt;=0,0,IF($AC$6&gt;0,$W$7*AC208/$AC$6,IF($F$6&gt;0,$W$7*N(F208)/$F$6,0))))</f>
        <v/>
      </c>
      <c r="R208" s="111" t="str">
        <f>IF(A208="","",N(AD208)+IF(AI208=1,N(AG208),0))</f>
        <v/>
      </c>
      <c r="S208" s="111" t="str">
        <f>IF(A208="","",N(E208)+N(R208))</f>
        <v/>
      </c>
      <c r="T208" s="107" t="str">
        <f>IF(A208="","",IF(N(R208)&gt;0,R208*H208*W208*$W$6+p_CorrFixa,0))</f>
        <v/>
      </c>
      <c r="V208" s="85" t="str">
        <f>IF(A208="","",IF(D208="",$W$1,D208))</f>
        <v/>
      </c>
      <c r="W208" s="85" t="str">
        <f>IF(A208="","",IFERROR(INDEX(moeda_fx,MATCH(V208,moeda_cod,0)),0))</f>
        <v/>
      </c>
      <c r="X208" s="85" t="str">
        <f>IF(A208="","",IF($W$2="",UPPER(TRIM(A208)),IF(RIGHT(UPPER(TRIM(A208)),LEN($W$2))=$W$2,UPPER(TRIM(A208)),UPPER(TRIM(A208))&amp;$W$2)))</f>
        <v/>
      </c>
      <c r="Y208" s="85" t="str">
        <f>IF(OR(A208="",p_ModoCot&lt;&gt;"Automático"),"",IFERROR(_xlfn.WEBSERVICE("https://query1.finance.yahoo.com/v8/finance/chart/"&amp;X208&amp;"?range=1d&amp;interval=1d"),""))</f>
        <v/>
      </c>
      <c r="Z208" s="85" t="str">
        <f>IF(Y208="","",IFERROR(_xlfn.NUMBERVALUE(MID(Y208,SEARCH("""regularMarketPrice"":",Y208)+21,SEARCH(",",Y208&amp;",",SEARCH("""regularMarketPrice"":",Y208)+21)-SEARCH("""regularMarketPrice"":",Y208)-21),".",","),""))</f>
        <v/>
      </c>
      <c r="AA208" s="85" t="str">
        <f>IF(A208="","",ROUND(MAX(0,N(F208)*($K$6+$W$7)-K208),2))</f>
        <v/>
      </c>
      <c r="AB208" s="85" t="str">
        <f>IF(A208="","",IF(AND(M208&gt;0,M208&gt;=p_DifMin),AA208,0))</f>
        <v/>
      </c>
      <c r="AC208" s="85" t="str">
        <f>IF(A208="","",IF(AND(AB208&gt;0,N(O208)&lt;=p_MaxAtivos),AB208,0))</f>
        <v/>
      </c>
      <c r="AD208" s="85" t="str">
        <f>IF(A208="","",IF(OR(Q208&lt;=0,Q208&lt;p_CompraMin,N(H208)&lt;=0,N(W208)&lt;=0),0,IF($W$3="Sim",TRUNC(ROUND(MAX(0,(Q208-p_CorrFixa)/(H208*W208*$W$6)),9),$W$4),TRUNC(ROUND(MAX(0,(Q208-p_CorrFixa)/(H208*W208*$W$6)),9)/$W$5)*$W$5)))</f>
        <v/>
      </c>
      <c r="AE208" s="85" t="str">
        <f>IF(A208="","",IF(N(AD208)&gt;0,AD208*H208*W208*$W$6+p_CorrFixa,0))</f>
        <v/>
      </c>
      <c r="AF208" s="85" t="str">
        <f>IF(A208="","",IF(OR($Y$1&lt;=0,N(H208)&lt;=0,N(W208)&lt;=0,N(AB208)&lt;=0),0,IF($W$3="Sim",TRUNC(ROUND(MAX(0,($Y$1-IF(N(AD208)&gt;0,0,p_CorrFixa))/(H208*W208*$W$6)),9),$W$4),TRUNC(ROUND(MAX(0,($Y$1-IF(N(AD208)&gt;0,0,p_CorrFixa))/(H208*W208*$W$6)),9)/$W$5)*$W$5)))</f>
        <v/>
      </c>
      <c r="AG208" s="85" t="str">
        <f>IF(A208="","",IF(AND(N(AD208)=0,N(AF208)*(H208*W208*$W$6)+p_CorrFixa&lt;p_CompraMin),0,AF208))</f>
        <v/>
      </c>
      <c r="AH208" s="85" t="str">
        <f>IF(A208="","",IF(N(AG208)&gt;0,AB208,0))</f>
        <v/>
      </c>
      <c r="AI208" s="85" t="str">
        <f>IF(A208="","",IF(AND(AH208&gt;0,AH208=$AH$6,COUNTIF($AH$9:AH208,AH208)=1),1,0))</f>
        <v/>
      </c>
    </row>
  </sheetData>
  <mergeCells count="10">
    <mergeCell ref="A4:B4"/>
    <mergeCell ref="K4:N4"/>
    <mergeCell ref="C3:F3"/>
    <mergeCell ref="G3:J3"/>
    <mergeCell ref="O3:S3"/>
    <mergeCell ref="K3:N3"/>
    <mergeCell ref="C4:F4"/>
    <mergeCell ref="G4:J4"/>
    <mergeCell ref="A3:B3"/>
    <mergeCell ref="O4:S4"/>
  </mergeCells>
  <conditionalFormatting sqref="T4">
    <cfRule type="expression" priority="1" dxfId="5">
      <formula>ABS(T4-1)&gt;0.0001</formula>
    </cfRule>
    <cfRule type="expression" priority="2" dxfId="6">
      <formula>ABS(T4-1)&lt;=0.0001</formula>
    </cfRule>
  </conditionalFormatting>
  <conditionalFormatting sqref="P9:P208">
    <cfRule type="cellIs" priority="3" operator="equal" dxfId="1">
      <formula>"BUY"</formula>
    </cfRule>
    <cfRule type="cellIs" priority="4" operator="equal" dxfId="2">
      <formula>"HOLD"</formula>
    </cfRule>
  </conditionalFormatting>
  <conditionalFormatting sqref="M9:M208">
    <cfRule type="expression" priority="5" dxfId="8">
      <formula>AND(ISNUMBER(M9),M9&lt;0)</formula>
    </cfRule>
    <cfRule type="expression" priority="6" dxfId="9">
      <formula>AND(ISNUMBER(M9),M9&gt;0)</formula>
    </cfRule>
  </conditionalFormatting>
  <conditionalFormatting sqref="I9:I208">
    <cfRule type="expression" priority="7" dxfId="3">
      <formula>OR(I9="Sem cotação",I9="Sem câmbio")</formula>
    </cfRule>
    <cfRule type="expression" priority="8" dxfId="9">
      <formula>I9="Auto"</formula>
    </cfRule>
  </conditionalFormatting>
  <conditionalFormatting sqref="R9:R208">
    <cfRule type="expression" priority="9" dxfId="4">
      <formula>AND(ISNUMBER(R9),R9&gt;0)</formula>
    </cfRule>
  </conditionalFormatting>
  <dataValidations count="5">
    <dataValidation sqref="D9:D208" showDropDown="0" showInputMessage="0" showErrorMessage="0" allowBlank="1" errorTitle="Moeda inválida" error="Moeda não cadastrada em Configurações &gt; Câmbio e Moedas." type="list">
      <formula1>='10 Configurações'!$B$21:$B$30</formula1>
    </dataValidation>
    <dataValidation sqref="C9:C208" showDropDown="0" showInputMessage="0" showErrorMessage="0" allowBlank="1" errorTitle="Valor fora da lista" error="Esse valor não está na lista da aba Auxiliar. Deseja manter?" type="list" errorStyle="warning">
      <formula1>='11 Auxiliar'!$I$5:$I$44</formula1>
    </dataValidation>
    <dataValidation sqref="F9:F20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E9:E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G9:G20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T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2C55E"/>
    <outlinePr summaryBelow="1" summaryRight="1"/>
    <pageSetUpPr fitToPage="1"/>
  </sheetPr>
  <dimension ref="A1:AI208"/>
  <sheetViews>
    <sheetView showGridLines="0" tabSelected="0" zoomScale="9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2" customWidth="1" style="1" min="1" max="1"/>
    <col width="28" customWidth="1" style="1" min="2" max="2"/>
    <col width="20" customWidth="1" style="1" min="3" max="3"/>
    <col width="8" customWidth="1" style="1" min="4" max="4"/>
    <col width="13" customWidth="1" style="1" min="5" max="5"/>
    <col width="12" customWidth="1" style="1" min="6" max="6"/>
    <col width="13" customWidth="1" style="1" min="7" max="7"/>
    <col width="12" customWidth="1" style="1" min="8" max="8"/>
    <col width="12" customWidth="1" style="1" min="9" max="9"/>
    <col width="14" customWidth="1" style="1" min="10" max="10"/>
    <col width="15" customWidth="1" style="1" min="11" max="11"/>
    <col width="10" customWidth="1" style="1" min="12" max="12"/>
    <col width="10" customWidth="1" style="1" min="13" max="13"/>
    <col width="11" customWidth="1" style="1" min="14" max="14"/>
    <col width="7" customWidth="1" style="1" min="15" max="15"/>
    <col width="9" customWidth="1" style="1" min="16" max="16"/>
    <col width="14" customWidth="1" style="1" min="17" max="17"/>
    <col width="12" customWidth="1" style="1" min="18" max="18"/>
    <col width="12" customWidth="1" style="1" min="19" max="19"/>
    <col width="14" customWidth="1" style="1" min="20" max="20"/>
    <col width="3" customWidth="1" style="1" min="21" max="21"/>
    <col hidden="1" outlineLevel="1" width="16" customWidth="1" style="1" min="22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STOCKS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62" t="inlineStr">
        <is>
          <t>◄ Dashboard</t>
        </is>
      </c>
      <c r="V1" s="85" t="inlineStr">
        <is>
          <t>Moeda padrão da classe</t>
        </is>
      </c>
      <c r="W1" s="86" t="str">
        <f>INDEX('10 Configurações'!$D$35:$D$41,MATCH("Stocks",'10 Configurações'!$B$35:$B$41,0))&amp;""</f>
        <v>USD</v>
      </c>
      <c r="X1" s="85" t="inlineStr">
        <is>
          <t>Sobra da 1ª passada (R$)</t>
        </is>
      </c>
      <c r="Y1" s="86">
        <f>MAX(0,$W$7-SUM($AE$9:$AE$208))</f>
        <v>100</v>
      </c>
    </row>
    <row r="2" ht="18" customHeight="1">
      <c r="A2" s="63" t="str">
        <f>"Moeda padrão: "&amp;$W$1&amp;"   ·   Fração: "&amp;$W$3&amp;" ("&amp;$W$4&amp;" casas)   ·   Lote: "&amp;$W$5&amp;"   ·   Custo efetivo de compra: "&amp;ROUND(($W$6-1)*100,2)&amp;"%   ·   Cotações: "&amp;p_ModoCot</f>
        <v>Moeda padrão: USD   ·   Fração: Sim (4 casas)   ·   Lote: 1   ·   Custo efetivo de compra: 1.88%   ·   Cotações: Automático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V2" s="85" t="inlineStr">
        <is>
          <t>Sufixo Yahoo</t>
        </is>
      </c>
      <c r="W2" s="86" t="str">
        <f>INDEX('10 Configurações'!$E$35:$E$41,MATCH("Stocks",'10 Configurações'!$B$35:$B$41,0))&amp;""</f>
        <v/>
      </c>
    </row>
    <row r="3" ht="16" customHeight="1">
      <c r="A3" s="11" t="inlineStr">
        <is>
          <t>VALOR DA CLASSE (R$)</t>
        </is>
      </c>
      <c r="B3" s="12" t="n"/>
      <c r="C3" s="11" t="inlineStr">
        <is>
          <t>Nº DE ATIVOS</t>
        </is>
      </c>
      <c r="D3" s="12" t="n"/>
      <c r="E3" s="12" t="n"/>
      <c r="F3" s="12" t="n"/>
      <c r="G3" s="13" t="inlineStr">
        <is>
          <t>APORTE DESTINADO (R$)</t>
        </is>
      </c>
      <c r="H3" s="14" t="n"/>
      <c r="I3" s="14" t="n"/>
      <c r="J3" s="14" t="n"/>
      <c r="K3" s="13" t="inlineStr">
        <is>
          <t>COMPRA EFETIVA (R$)</t>
        </is>
      </c>
      <c r="L3" s="14" t="n"/>
      <c r="M3" s="14" t="n"/>
      <c r="N3" s="14" t="n"/>
      <c r="O3" s="15" t="inlineStr">
        <is>
          <t>SOBRA DA CLASSE (R$)</t>
        </is>
      </c>
      <c r="P3" s="16" t="n"/>
      <c r="Q3" s="16" t="n"/>
      <c r="R3" s="16" t="n"/>
      <c r="S3" s="16" t="n"/>
      <c r="T3" s="15" t="inlineStr">
        <is>
          <t>SOMA DOS OBJETIVOS</t>
        </is>
      </c>
      <c r="V3" s="85" t="inlineStr">
        <is>
          <t>Permite fração?</t>
        </is>
      </c>
      <c r="W3" s="86" t="str">
        <f>INDEX('10 Configurações'!$G$35:$G$41,MATCH("Stocks",'10 Configurações'!$B$35:$B$41,0))&amp;""</f>
        <v>Sim</v>
      </c>
    </row>
    <row r="4" ht="26" customHeight="1">
      <c r="A4" s="64">
        <f>$K$6</f>
        <v>0</v>
      </c>
      <c r="B4" s="1" t="n"/>
      <c r="C4" s="65">
        <f>SUMPRODUCT(--($A$9:$A$208&lt;&gt;""))</f>
        <v>0</v>
      </c>
      <c r="D4" s="1" t="n"/>
      <c r="E4" s="1" t="n"/>
      <c r="F4" s="1" t="n"/>
      <c r="G4" s="64">
        <f>$W$7</f>
        <v>100</v>
      </c>
      <c r="H4" s="1" t="n"/>
      <c r="I4" s="1" t="n"/>
      <c r="J4" s="1" t="n"/>
      <c r="K4" s="64">
        <f>$T$6</f>
        <v>0</v>
      </c>
      <c r="L4" s="1" t="n"/>
      <c r="M4" s="1" t="n"/>
      <c r="N4" s="1" t="n"/>
      <c r="O4" s="64">
        <f>$W$7-$T$6</f>
        <v>100</v>
      </c>
      <c r="P4" s="1" t="n"/>
      <c r="Q4" s="1" t="n"/>
      <c r="R4" s="1" t="n"/>
      <c r="S4" s="1" t="n"/>
      <c r="T4" s="66">
        <f>$F$6</f>
        <v>0</v>
      </c>
      <c r="V4" s="85" t="inlineStr">
        <is>
          <t>Casas decimais</t>
        </is>
      </c>
      <c r="W4" s="86">
        <f>N(INDEX('10 Configurações'!$H$35:$H$41,MATCH("Stocks",'10 Configurações'!$B$35:$B$41,0)))</f>
        <v>4</v>
      </c>
    </row>
    <row r="5" ht="14" customHeight="1">
      <c r="A5" s="87" t="inlineStr">
        <is>
          <t>■ Azul = entrada de dados (você só altera Quantidade, Objetivo e, se quiser, Cotação Manual)     ■ Demais células = fórmulas     ■ Depois de comprar: copie 'Qtd. Após Compra' e cole como valores em 'Quantidade'</t>
        </is>
      </c>
      <c r="V5" s="85" t="inlineStr">
        <is>
          <t>Lote efetivo</t>
        </is>
      </c>
      <c r="W5" s="86">
        <f>IF(INDEX('10 Configurações'!$I$35:$I$41,MATCH("Stocks",'10 Configurações'!$B$35:$B$41,0))="Sim",MAX(1,N(INDEX('10 Configurações'!$J$35:$J$41,MATCH("Stocks",'10 Configurações'!$B$35:$B$41,0)))),1)</f>
        <v>1</v>
      </c>
    </row>
    <row r="6" ht="24" customHeight="1">
      <c r="A6" s="88" t="inlineStr">
        <is>
          <t>TOTAL</t>
        </is>
      </c>
      <c r="B6" s="31" t="n"/>
      <c r="C6" s="31" t="n"/>
      <c r="D6" s="31" t="n"/>
      <c r="E6" s="31" t="n"/>
      <c r="F6" s="55">
        <f>SUM($F$9:$F$208)</f>
        <v>0</v>
      </c>
      <c r="G6" s="31" t="n"/>
      <c r="H6" s="31" t="n"/>
      <c r="I6" s="31" t="n"/>
      <c r="J6" s="31" t="n"/>
      <c r="K6" s="75">
        <f>SUM($K$9:$K$208)</f>
        <v>0</v>
      </c>
      <c r="L6" s="55">
        <f>SUM($L$9:$L$208)</f>
        <v>0</v>
      </c>
      <c r="M6" s="31" t="n"/>
      <c r="N6" s="55">
        <f>SUM($N$9:$N$208)</f>
        <v>0</v>
      </c>
      <c r="O6" s="31" t="n"/>
      <c r="P6" s="31" t="n"/>
      <c r="Q6" s="75">
        <f>SUM($Q$9:$Q$208)</f>
        <v>0</v>
      </c>
      <c r="R6" s="31" t="n"/>
      <c r="S6" s="31" t="n"/>
      <c r="T6" s="75">
        <f>SUM($T$9:$T$208)</f>
        <v>0</v>
      </c>
      <c r="V6" s="85" t="inlineStr">
        <is>
          <t>Fator de custo (1 + custos)</t>
        </is>
      </c>
      <c r="W6" s="86">
        <f>1+N(INDEX('10 Configurações'!$K$35:$K$41,MATCH("Stocks",'10 Configurações'!$B$35:$B$41,0)))</f>
        <v>1.0188</v>
      </c>
      <c r="AB6" s="89">
        <f>SUM($AB$9:$AB$208)</f>
        <v>0</v>
      </c>
      <c r="AC6" s="89">
        <f>SUM($AC$9:$AC$208)</f>
        <v>0</v>
      </c>
      <c r="AH6" s="89">
        <f>MAX($AH$9:$AH$208)</f>
        <v>0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1" t="inlineStr">
        <is>
          <t>POSIÇÃO E OBJETIVO</t>
        </is>
      </c>
      <c r="F7" s="91" t="n"/>
      <c r="G7" s="92" t="inlineStr">
        <is>
          <t>COTAÇÃO</t>
        </is>
      </c>
      <c r="H7" s="92" t="n"/>
      <c r="I7" s="92" t="n"/>
      <c r="J7" s="93" t="inlineStr">
        <is>
          <t>VALOR</t>
        </is>
      </c>
      <c r="K7" s="93" t="n"/>
      <c r="L7" s="93" t="n"/>
      <c r="M7" s="94" t="inlineStr">
        <is>
          <t>REBALANCEAMENTO</t>
        </is>
      </c>
      <c r="N7" s="94" t="n"/>
      <c r="O7" s="94" t="n"/>
      <c r="P7" s="94" t="n"/>
      <c r="Q7" s="94" t="n"/>
      <c r="R7" s="94" t="n"/>
      <c r="S7" s="94" t="n"/>
      <c r="T7" s="94" t="n"/>
      <c r="V7" s="85" t="inlineStr">
        <is>
          <t>Aporte destinado à classe (R$)</t>
        </is>
      </c>
      <c r="W7" s="86">
        <f>'02 Macro Alocação'!$M$12</f>
        <v>100</v>
      </c>
    </row>
    <row r="8" ht="34" customHeight="1">
      <c r="A8" s="68" t="inlineStr">
        <is>
          <t>Ticker</t>
        </is>
      </c>
      <c r="B8" s="68" t="inlineStr">
        <is>
          <t>Nome / Descrição</t>
        </is>
      </c>
      <c r="C8" s="68" t="inlineStr">
        <is>
          <t>Setor / Segmento</t>
        </is>
      </c>
      <c r="D8" s="68" t="inlineStr">
        <is>
          <t>Moeda</t>
        </is>
      </c>
      <c r="E8" s="68" t="inlineStr">
        <is>
          <t>Quantidade</t>
        </is>
      </c>
      <c r="F8" s="68" t="inlineStr">
        <is>
          <t>Objetivo (% da classe)</t>
        </is>
      </c>
      <c r="G8" s="68" t="inlineStr">
        <is>
          <t>Cotação Manual (opcional)</t>
        </is>
      </c>
      <c r="H8" s="67" t="inlineStr">
        <is>
          <t>Cotação</t>
        </is>
      </c>
      <c r="I8" s="67" t="inlineStr">
        <is>
          <t>Fonte</t>
        </is>
      </c>
      <c r="J8" s="67" t="inlineStr">
        <is>
          <t>Valor Atual (Moeda)</t>
        </is>
      </c>
      <c r="K8" s="67" t="inlineStr">
        <is>
          <t>Valor Atual (R$)</t>
        </is>
      </c>
      <c r="L8" s="67" t="inlineStr">
        <is>
          <t>Part. na Classe</t>
        </is>
      </c>
      <c r="M8" s="67" t="inlineStr">
        <is>
          <t>Diferença</t>
        </is>
      </c>
      <c r="N8" s="67" t="inlineStr">
        <is>
          <t>Rebalance Score</t>
        </is>
      </c>
      <c r="O8" s="67" t="inlineStr">
        <is>
          <t>Prior.</t>
        </is>
      </c>
      <c r="P8" s="67" t="inlineStr">
        <is>
          <t>Ação</t>
        </is>
      </c>
      <c r="Q8" s="67" t="inlineStr">
        <is>
          <t>Valor Sugerido (R$)</t>
        </is>
      </c>
      <c r="R8" s="67" t="inlineStr">
        <is>
          <t>Qtd. Sugerida</t>
        </is>
      </c>
      <c r="S8" s="67" t="inlineStr">
        <is>
          <t>Qtd. Após Compra</t>
        </is>
      </c>
      <c r="T8" s="67" t="inlineStr">
        <is>
          <t>Valor Efetivo (R$)</t>
        </is>
      </c>
      <c r="V8" s="95" t="inlineStr">
        <is>
          <t>Moeda efetiva</t>
        </is>
      </c>
      <c r="W8" s="95" t="inlineStr">
        <is>
          <t>Câmbio (R$)</t>
        </is>
      </c>
      <c r="X8" s="95" t="inlineStr">
        <is>
          <t>Ticker Yahoo</t>
        </is>
      </c>
      <c r="Y8" s="95" t="inlineStr">
        <is>
          <t>Resposta da API</t>
        </is>
      </c>
      <c r="Z8" s="95" t="inlineStr">
        <is>
          <t>Cotação auto</t>
        </is>
      </c>
      <c r="AA8" s="95" t="inlineStr">
        <is>
          <t>Déficit (R$)</t>
        </is>
      </c>
      <c r="AB8" s="95" t="inlineStr">
        <is>
          <t>Déficit elegível</t>
        </is>
      </c>
      <c r="AC8" s="95" t="inlineStr">
        <is>
          <t>Déficit final</t>
        </is>
      </c>
      <c r="AD8" s="95" t="inlineStr">
        <is>
          <t>Qtd 1ª passada</t>
        </is>
      </c>
      <c r="AE8" s="95" t="inlineStr">
        <is>
          <t>Valor 1ª passada (R$)</t>
        </is>
      </c>
      <c r="AF8" s="95" t="inlineStr">
        <is>
          <t>Qtd extra (bruta)</t>
        </is>
      </c>
      <c r="AG8" s="95" t="inlineStr">
        <is>
          <t>Qtd extra</t>
        </is>
      </c>
      <c r="AH8" s="95" t="inlineStr">
        <is>
          <t>Prioridade extra</t>
        </is>
      </c>
      <c r="AI8" s="95" t="inlineStr">
        <is>
          <t>Recebe a sobra</t>
        </is>
      </c>
    </row>
    <row r="9">
      <c r="A9" s="96" t="n"/>
      <c r="B9" s="96" t="n"/>
      <c r="C9" s="96" t="n"/>
      <c r="D9" s="97" t="n"/>
      <c r="E9" s="98" t="n"/>
      <c r="F9" s="99" t="n"/>
      <c r="G9" s="100" t="n"/>
      <c r="H9" s="101" t="str">
        <f>IF(A9="","",IF(AND(p_ModoCot="Automático",ISNUMBER(Z9)),Z9,IF(N(G9)&gt;0,G9,0)))</f>
        <v/>
      </c>
      <c r="I9" s="73" t="str">
        <f>IF(A9="","",IF(W9=0,"Sem câmbio",IF(AND(p_ModoCot="Automático",ISNUMBER(Z9)),"Auto",IF(N(G9)&gt;0,"Manual","Sem cotação"))))</f>
        <v/>
      </c>
      <c r="J9" s="102" t="str">
        <f>IF(A9="","",N(E9)*H9)</f>
        <v/>
      </c>
      <c r="K9" s="70" t="str">
        <f>IF(A9="","",J9*W9)</f>
        <v/>
      </c>
      <c r="L9" s="30" t="str">
        <f>IF(A9="","",IF($K$6&gt;0,K9/$K$6,0))</f>
        <v/>
      </c>
      <c r="M9" s="72" t="str">
        <f>IF(A9="","",N(F9)-L9)</f>
        <v/>
      </c>
      <c r="N9" s="30" t="str">
        <f>IF(A9="","",IF($AB$6&gt;0,AB9/$AB$6,0))</f>
        <v/>
      </c>
      <c r="O9" s="74" t="str">
        <f>IF(A9="","",IF(AB9&lt;=0,"",COUNTIF($AB$9:$AB$208,"&gt;"&amp;AB9)+COUNTIF($AB$9:AB9,AB9)))</f>
        <v/>
      </c>
      <c r="P9" s="73" t="str">
        <f>IF(A9="","",IF(Q9&gt;0,"BUY","HOLD"))</f>
        <v/>
      </c>
      <c r="Q9" s="70" t="str">
        <f>IF(A9="","",IF($W$7&lt;=0,0,IF($AC$6&gt;0,$W$7*AC9/$AC$6,IF($F$6&gt;0,$W$7*N(F9)/$F$6,0))))</f>
        <v/>
      </c>
      <c r="R9" s="103" t="str">
        <f>IF(A9="","",N(AD9)+IF(AI9=1,N(AG9),0))</f>
        <v/>
      </c>
      <c r="S9" s="103" t="str">
        <f>IF(A9="","",N(E9)+N(R9))</f>
        <v/>
      </c>
      <c r="T9" s="70" t="str">
        <f>IF(A9="","",IF(N(R9)&gt;0,R9*H9*W9*$W$6+p_CorrFixa,0))</f>
        <v/>
      </c>
      <c r="V9" s="85" t="str">
        <f>IF(A9="","",IF(D9="",$W$1,D9))</f>
        <v/>
      </c>
      <c r="W9" s="85" t="str">
        <f>IF(A9="","",IFERROR(INDEX(moeda_fx,MATCH(V9,moeda_cod,0)),0))</f>
        <v/>
      </c>
      <c r="X9" s="85" t="str">
        <f>IF(A9="","",IF($W$2="",UPPER(TRIM(A9)),IF(RIGHT(UPPER(TRIM(A9)),LEN($W$2))=$W$2,UPPER(TRIM(A9)),UPPER(TRIM(A9))&amp;$W$2)))</f>
        <v/>
      </c>
      <c r="Y9" s="85" t="str">
        <f>IF(OR(A9="",p_ModoCot&lt;&gt;"Automático"),"",IFERROR(_xlfn.WEBSERVICE("https://query1.finance.yahoo.com/v8/finance/chart/"&amp;X9&amp;"?range=1d&amp;interval=1d"),""))</f>
        <v/>
      </c>
      <c r="Z9" s="85" t="str">
        <f>IF(Y9="","",IFERROR(_xlfn.NUMBERVALUE(MID(Y9,SEARCH("""regularMarketPrice"":",Y9)+21,SEARCH(",",Y9&amp;",",SEARCH("""regularMarketPrice"":",Y9)+21)-SEARCH("""regularMarketPrice"":",Y9)-21),".",","),""))</f>
        <v/>
      </c>
      <c r="AA9" s="85" t="str">
        <f>IF(A9="","",ROUND(MAX(0,N(F9)*($K$6+$W$7)-K9),2))</f>
        <v/>
      </c>
      <c r="AB9" s="85" t="str">
        <f>IF(A9="","",IF(AND(M9&gt;0,M9&gt;=p_DifMin),AA9,0))</f>
        <v/>
      </c>
      <c r="AC9" s="85" t="str">
        <f>IF(A9="","",IF(AND(AB9&gt;0,N(O9)&lt;=p_MaxAtivos),AB9,0))</f>
        <v/>
      </c>
      <c r="AD9" s="85" t="str">
        <f>IF(A9="","",IF(OR(Q9&lt;=0,Q9&lt;p_CompraMin,N(H9)&lt;=0,N(W9)&lt;=0),0,IF($W$3="Sim",TRUNC(ROUND(MAX(0,(Q9-p_CorrFixa)/(H9*W9*$W$6)),9),$W$4),TRUNC(ROUND(MAX(0,(Q9-p_CorrFixa)/(H9*W9*$W$6)),9)/$W$5)*$W$5)))</f>
        <v/>
      </c>
      <c r="AE9" s="85" t="str">
        <f>IF(A9="","",IF(N(AD9)&gt;0,AD9*H9*W9*$W$6+p_CorrFixa,0))</f>
        <v/>
      </c>
      <c r="AF9" s="85" t="str">
        <f>IF(A9="","",IF(OR($Y$1&lt;=0,N(H9)&lt;=0,N(W9)&lt;=0,N(AB9)&lt;=0),0,IF($W$3="Sim",TRUNC(ROUND(MAX(0,($Y$1-IF(N(AD9)&gt;0,0,p_CorrFixa))/(H9*W9*$W$6)),9),$W$4),TRUNC(ROUND(MAX(0,($Y$1-IF(N(AD9)&gt;0,0,p_CorrFixa))/(H9*W9*$W$6)),9)/$W$5)*$W$5)))</f>
        <v/>
      </c>
      <c r="AG9" s="85" t="str">
        <f>IF(A9="","",IF(AND(N(AD9)=0,N(AF9)*(H9*W9*$W$6)+p_CorrFixa&lt;p_CompraMin),0,AF9))</f>
        <v/>
      </c>
      <c r="AH9" s="85" t="str">
        <f>IF(A9="","",IF(N(AG9)&gt;0,AB9,0))</f>
        <v/>
      </c>
      <c r="AI9" s="85" t="str">
        <f>IF(A9="","",IF(AND(AH9&gt;0,AH9=$AH$6,COUNTIF($AH$9:AH9,AH9)=1),1,0))</f>
        <v/>
      </c>
    </row>
    <row r="10">
      <c r="A10" s="96" t="n"/>
      <c r="B10" s="96" t="n"/>
      <c r="C10" s="96" t="n"/>
      <c r="D10" s="97" t="n"/>
      <c r="E10" s="98" t="n"/>
      <c r="F10" s="99" t="n"/>
      <c r="G10" s="100" t="n"/>
      <c r="H10" s="104" t="str">
        <f>IF(A10="","",IF(AND(p_ModoCot="Automático",ISNUMBER(Z10)),Z10,IF(N(G10)&gt;0,G10,0)))</f>
        <v/>
      </c>
      <c r="I10" s="105" t="str">
        <f>IF(A10="","",IF(W10=0,"Sem câmbio",IF(AND(p_ModoCot="Automático",ISNUMBER(Z10)),"Auto",IF(N(G10)&gt;0,"Manual","Sem cotação"))))</f>
        <v/>
      </c>
      <c r="J10" s="106" t="str">
        <f>IF(A10="","",N(E10)*H10)</f>
        <v/>
      </c>
      <c r="K10" s="107" t="str">
        <f>IF(A10="","",J10*W10)</f>
        <v/>
      </c>
      <c r="L10" s="108" t="str">
        <f>IF(A10="","",IF($K$6&gt;0,K10/$K$6,0))</f>
        <v/>
      </c>
      <c r="M10" s="109" t="str">
        <f>IF(A10="","",N(F10)-L10)</f>
        <v/>
      </c>
      <c r="N10" s="108" t="str">
        <f>IF(A10="","",IF($AB$6&gt;0,AB10/$AB$6,0))</f>
        <v/>
      </c>
      <c r="O10" s="110" t="str">
        <f>IF(A10="","",IF(AB10&lt;=0,"",COUNTIF($AB$9:$AB$208,"&gt;"&amp;AB10)+COUNTIF($AB$9:AB10,AB10)))</f>
        <v/>
      </c>
      <c r="P10" s="105" t="str">
        <f>IF(A10="","",IF(Q10&gt;0,"BUY","HOLD"))</f>
        <v/>
      </c>
      <c r="Q10" s="107" t="str">
        <f>IF(A10="","",IF($W$7&lt;=0,0,IF($AC$6&gt;0,$W$7*AC10/$AC$6,IF($F$6&gt;0,$W$7*N(F10)/$F$6,0))))</f>
        <v/>
      </c>
      <c r="R10" s="111" t="str">
        <f>IF(A10="","",N(AD10)+IF(AI10=1,N(AG10),0))</f>
        <v/>
      </c>
      <c r="S10" s="111" t="str">
        <f>IF(A10="","",N(E10)+N(R10))</f>
        <v/>
      </c>
      <c r="T10" s="107" t="str">
        <f>IF(A10="","",IF(N(R10)&gt;0,R10*H10*W10*$W$6+p_CorrFixa,0))</f>
        <v/>
      </c>
      <c r="V10" s="85" t="str">
        <f>IF(A10="","",IF(D10="",$W$1,D10))</f>
        <v/>
      </c>
      <c r="W10" s="85" t="str">
        <f>IF(A10="","",IFERROR(INDEX(moeda_fx,MATCH(V10,moeda_cod,0)),0))</f>
        <v/>
      </c>
      <c r="X10" s="85" t="str">
        <f>IF(A10="","",IF($W$2="",UPPER(TRIM(A10)),IF(RIGHT(UPPER(TRIM(A10)),LEN($W$2))=$W$2,UPPER(TRIM(A10)),UPPER(TRIM(A10))&amp;$W$2)))</f>
        <v/>
      </c>
      <c r="Y10" s="85" t="str">
        <f>IF(OR(A10="",p_ModoCot&lt;&gt;"Automático"),"",IFERROR(_xlfn.WEBSERVICE("https://query1.finance.yahoo.com/v8/finance/chart/"&amp;X10&amp;"?range=1d&amp;interval=1d"),""))</f>
        <v/>
      </c>
      <c r="Z10" s="85" t="str">
        <f>IF(Y10="","",IFERROR(_xlfn.NUMBERVALUE(MID(Y10,SEARCH("""regularMarketPrice"":",Y10)+21,SEARCH(",",Y10&amp;",",SEARCH("""regularMarketPrice"":",Y10)+21)-SEARCH("""regularMarketPrice"":",Y10)-21),".",","),""))</f>
        <v/>
      </c>
      <c r="AA10" s="85" t="str">
        <f>IF(A10="","",ROUND(MAX(0,N(F10)*($K$6+$W$7)-K10),2))</f>
        <v/>
      </c>
      <c r="AB10" s="85" t="str">
        <f>IF(A10="","",IF(AND(M10&gt;0,M10&gt;=p_DifMin),AA10,0))</f>
        <v/>
      </c>
      <c r="AC10" s="85" t="str">
        <f>IF(A10="","",IF(AND(AB10&gt;0,N(O10)&lt;=p_MaxAtivos),AB10,0))</f>
        <v/>
      </c>
      <c r="AD10" s="85" t="str">
        <f>IF(A10="","",IF(OR(Q10&lt;=0,Q10&lt;p_CompraMin,N(H10)&lt;=0,N(W10)&lt;=0),0,IF($W$3="Sim",TRUNC(ROUND(MAX(0,(Q10-p_CorrFixa)/(H10*W10*$W$6)),9),$W$4),TRUNC(ROUND(MAX(0,(Q10-p_CorrFixa)/(H10*W10*$W$6)),9)/$W$5)*$W$5)))</f>
        <v/>
      </c>
      <c r="AE10" s="85" t="str">
        <f>IF(A10="","",IF(N(AD10)&gt;0,AD10*H10*W10*$W$6+p_CorrFixa,0))</f>
        <v/>
      </c>
      <c r="AF10" s="85" t="str">
        <f>IF(A10="","",IF(OR($Y$1&lt;=0,N(H10)&lt;=0,N(W10)&lt;=0,N(AB10)&lt;=0),0,IF($W$3="Sim",TRUNC(ROUND(MAX(0,($Y$1-IF(N(AD10)&gt;0,0,p_CorrFixa))/(H10*W10*$W$6)),9),$W$4),TRUNC(ROUND(MAX(0,($Y$1-IF(N(AD10)&gt;0,0,p_CorrFixa))/(H10*W10*$W$6)),9)/$W$5)*$W$5)))</f>
        <v/>
      </c>
      <c r="AG10" s="85" t="str">
        <f>IF(A10="","",IF(AND(N(AD10)=0,N(AF10)*(H10*W10*$W$6)+p_CorrFixa&lt;p_CompraMin),0,AF10))</f>
        <v/>
      </c>
      <c r="AH10" s="85" t="str">
        <f>IF(A10="","",IF(N(AG10)&gt;0,AB10,0))</f>
        <v/>
      </c>
      <c r="AI10" s="85" t="str">
        <f>IF(A10="","",IF(AND(AH10&gt;0,AH10=$AH$6,COUNTIF($AH$9:AH10,AH10)=1),1,0))</f>
        <v/>
      </c>
    </row>
    <row r="11">
      <c r="A11" s="96" t="n"/>
      <c r="B11" s="96" t="n"/>
      <c r="C11" s="96" t="n"/>
      <c r="D11" s="97" t="n"/>
      <c r="E11" s="98" t="n"/>
      <c r="F11" s="99" t="n"/>
      <c r="G11" s="100" t="n"/>
      <c r="H11" s="101" t="str">
        <f>IF(A11="","",IF(AND(p_ModoCot="Automático",ISNUMBER(Z11)),Z11,IF(N(G11)&gt;0,G11,0)))</f>
        <v/>
      </c>
      <c r="I11" s="73" t="str">
        <f>IF(A11="","",IF(W11=0,"Sem câmbio",IF(AND(p_ModoCot="Automático",ISNUMBER(Z11)),"Auto",IF(N(G11)&gt;0,"Manual","Sem cotação"))))</f>
        <v/>
      </c>
      <c r="J11" s="102" t="str">
        <f>IF(A11="","",N(E11)*H11)</f>
        <v/>
      </c>
      <c r="K11" s="70" t="str">
        <f>IF(A11="","",J11*W11)</f>
        <v/>
      </c>
      <c r="L11" s="30" t="str">
        <f>IF(A11="","",IF($K$6&gt;0,K11/$K$6,0))</f>
        <v/>
      </c>
      <c r="M11" s="72" t="str">
        <f>IF(A11="","",N(F11)-L11)</f>
        <v/>
      </c>
      <c r="N11" s="30" t="str">
        <f>IF(A11="","",IF($AB$6&gt;0,AB11/$AB$6,0))</f>
        <v/>
      </c>
      <c r="O11" s="74" t="str">
        <f>IF(A11="","",IF(AB11&lt;=0,"",COUNTIF($AB$9:$AB$208,"&gt;"&amp;AB11)+COUNTIF($AB$9:AB11,AB11)))</f>
        <v/>
      </c>
      <c r="P11" s="73" t="str">
        <f>IF(A11="","",IF(Q11&gt;0,"BUY","HOLD"))</f>
        <v/>
      </c>
      <c r="Q11" s="70" t="str">
        <f>IF(A11="","",IF($W$7&lt;=0,0,IF($AC$6&gt;0,$W$7*AC11/$AC$6,IF($F$6&gt;0,$W$7*N(F11)/$F$6,0))))</f>
        <v/>
      </c>
      <c r="R11" s="103" t="str">
        <f>IF(A11="","",N(AD11)+IF(AI11=1,N(AG11),0))</f>
        <v/>
      </c>
      <c r="S11" s="103" t="str">
        <f>IF(A11="","",N(E11)+N(R11))</f>
        <v/>
      </c>
      <c r="T11" s="70" t="str">
        <f>IF(A11="","",IF(N(R11)&gt;0,R11*H11*W11*$W$6+p_CorrFixa,0))</f>
        <v/>
      </c>
      <c r="V11" s="85" t="str">
        <f>IF(A11="","",IF(D11="",$W$1,D11))</f>
        <v/>
      </c>
      <c r="W11" s="85" t="str">
        <f>IF(A11="","",IFERROR(INDEX(moeda_fx,MATCH(V11,moeda_cod,0)),0))</f>
        <v/>
      </c>
      <c r="X11" s="85" t="str">
        <f>IF(A11="","",IF($W$2="",UPPER(TRIM(A11)),IF(RIGHT(UPPER(TRIM(A11)),LEN($W$2))=$W$2,UPPER(TRIM(A11)),UPPER(TRIM(A11))&amp;$W$2)))</f>
        <v/>
      </c>
      <c r="Y11" s="85" t="str">
        <f>IF(OR(A11="",p_ModoCot&lt;&gt;"Automático"),"",IFERROR(_xlfn.WEBSERVICE("https://query1.finance.yahoo.com/v8/finance/chart/"&amp;X11&amp;"?range=1d&amp;interval=1d"),""))</f>
        <v/>
      </c>
      <c r="Z11" s="85" t="str">
        <f>IF(Y11="","",IFERROR(_xlfn.NUMBERVALUE(MID(Y11,SEARCH("""regularMarketPrice"":",Y11)+21,SEARCH(",",Y11&amp;",",SEARCH("""regularMarketPrice"":",Y11)+21)-SEARCH("""regularMarketPrice"":",Y11)-21),".",","),""))</f>
        <v/>
      </c>
      <c r="AA11" s="85" t="str">
        <f>IF(A11="","",ROUND(MAX(0,N(F11)*($K$6+$W$7)-K11),2))</f>
        <v/>
      </c>
      <c r="AB11" s="85" t="str">
        <f>IF(A11="","",IF(AND(M11&gt;0,M11&gt;=p_DifMin),AA11,0))</f>
        <v/>
      </c>
      <c r="AC11" s="85" t="str">
        <f>IF(A11="","",IF(AND(AB11&gt;0,N(O11)&lt;=p_MaxAtivos),AB11,0))</f>
        <v/>
      </c>
      <c r="AD11" s="85" t="str">
        <f>IF(A11="","",IF(OR(Q11&lt;=0,Q11&lt;p_CompraMin,N(H11)&lt;=0,N(W11)&lt;=0),0,IF($W$3="Sim",TRUNC(ROUND(MAX(0,(Q11-p_CorrFixa)/(H11*W11*$W$6)),9),$W$4),TRUNC(ROUND(MAX(0,(Q11-p_CorrFixa)/(H11*W11*$W$6)),9)/$W$5)*$W$5)))</f>
        <v/>
      </c>
      <c r="AE11" s="85" t="str">
        <f>IF(A11="","",IF(N(AD11)&gt;0,AD11*H11*W11*$W$6+p_CorrFixa,0))</f>
        <v/>
      </c>
      <c r="AF11" s="85" t="str">
        <f>IF(A11="","",IF(OR($Y$1&lt;=0,N(H11)&lt;=0,N(W11)&lt;=0,N(AB11)&lt;=0),0,IF($W$3="Sim",TRUNC(ROUND(MAX(0,($Y$1-IF(N(AD11)&gt;0,0,p_CorrFixa))/(H11*W11*$W$6)),9),$W$4),TRUNC(ROUND(MAX(0,($Y$1-IF(N(AD11)&gt;0,0,p_CorrFixa))/(H11*W11*$W$6)),9)/$W$5)*$W$5)))</f>
        <v/>
      </c>
      <c r="AG11" s="85" t="str">
        <f>IF(A11="","",IF(AND(N(AD11)=0,N(AF11)*(H11*W11*$W$6)+p_CorrFixa&lt;p_CompraMin),0,AF11))</f>
        <v/>
      </c>
      <c r="AH11" s="85" t="str">
        <f>IF(A11="","",IF(N(AG11)&gt;0,AB11,0))</f>
        <v/>
      </c>
      <c r="AI11" s="85" t="str">
        <f>IF(A11="","",IF(AND(AH11&gt;0,AH11=$AH$6,COUNTIF($AH$9:AH11,AH11)=1),1,0))</f>
        <v/>
      </c>
    </row>
    <row r="12">
      <c r="A12" s="96" t="n"/>
      <c r="B12" s="96" t="n"/>
      <c r="C12" s="96" t="n"/>
      <c r="D12" s="97" t="n"/>
      <c r="E12" s="98" t="n"/>
      <c r="F12" s="99" t="n"/>
      <c r="G12" s="100" t="n"/>
      <c r="H12" s="104" t="str">
        <f>IF(A12="","",IF(AND(p_ModoCot="Automático",ISNUMBER(Z12)),Z12,IF(N(G12)&gt;0,G12,0)))</f>
        <v/>
      </c>
      <c r="I12" s="105" t="str">
        <f>IF(A12="","",IF(W12=0,"Sem câmbio",IF(AND(p_ModoCot="Automático",ISNUMBER(Z12)),"Auto",IF(N(G12)&gt;0,"Manual","Sem cotação"))))</f>
        <v/>
      </c>
      <c r="J12" s="106" t="str">
        <f>IF(A12="","",N(E12)*H12)</f>
        <v/>
      </c>
      <c r="K12" s="107" t="str">
        <f>IF(A12="","",J12*W12)</f>
        <v/>
      </c>
      <c r="L12" s="108" t="str">
        <f>IF(A12="","",IF($K$6&gt;0,K12/$K$6,0))</f>
        <v/>
      </c>
      <c r="M12" s="109" t="str">
        <f>IF(A12="","",N(F12)-L12)</f>
        <v/>
      </c>
      <c r="N12" s="108" t="str">
        <f>IF(A12="","",IF($AB$6&gt;0,AB12/$AB$6,0))</f>
        <v/>
      </c>
      <c r="O12" s="110" t="str">
        <f>IF(A12="","",IF(AB12&lt;=0,"",COUNTIF($AB$9:$AB$208,"&gt;"&amp;AB12)+COUNTIF($AB$9:AB12,AB12)))</f>
        <v/>
      </c>
      <c r="P12" s="105" t="str">
        <f>IF(A12="","",IF(Q12&gt;0,"BUY","HOLD"))</f>
        <v/>
      </c>
      <c r="Q12" s="107" t="str">
        <f>IF(A12="","",IF($W$7&lt;=0,0,IF($AC$6&gt;0,$W$7*AC12/$AC$6,IF($F$6&gt;0,$W$7*N(F12)/$F$6,0))))</f>
        <v/>
      </c>
      <c r="R12" s="111" t="str">
        <f>IF(A12="","",N(AD12)+IF(AI12=1,N(AG12),0))</f>
        <v/>
      </c>
      <c r="S12" s="111" t="str">
        <f>IF(A12="","",N(E12)+N(R12))</f>
        <v/>
      </c>
      <c r="T12" s="107" t="str">
        <f>IF(A12="","",IF(N(R12)&gt;0,R12*H12*W12*$W$6+p_CorrFixa,0))</f>
        <v/>
      </c>
      <c r="V12" s="85" t="str">
        <f>IF(A12="","",IF(D12="",$W$1,D12))</f>
        <v/>
      </c>
      <c r="W12" s="85" t="str">
        <f>IF(A12="","",IFERROR(INDEX(moeda_fx,MATCH(V12,moeda_cod,0)),0))</f>
        <v/>
      </c>
      <c r="X12" s="85" t="str">
        <f>IF(A12="","",IF($W$2="",UPPER(TRIM(A12)),IF(RIGHT(UPPER(TRIM(A12)),LEN($W$2))=$W$2,UPPER(TRIM(A12)),UPPER(TRIM(A12))&amp;$W$2)))</f>
        <v/>
      </c>
      <c r="Y12" s="85" t="str">
        <f>IF(OR(A12="",p_ModoCot&lt;&gt;"Automático"),"",IFERROR(_xlfn.WEBSERVICE("https://query1.finance.yahoo.com/v8/finance/chart/"&amp;X12&amp;"?range=1d&amp;interval=1d"),""))</f>
        <v/>
      </c>
      <c r="Z12" s="85" t="str">
        <f>IF(Y12="","",IFERROR(_xlfn.NUMBERVALUE(MID(Y12,SEARCH("""regularMarketPrice"":",Y12)+21,SEARCH(",",Y12&amp;",",SEARCH("""regularMarketPrice"":",Y12)+21)-SEARCH("""regularMarketPrice"":",Y12)-21),".",","),""))</f>
        <v/>
      </c>
      <c r="AA12" s="85" t="str">
        <f>IF(A12="","",ROUND(MAX(0,N(F12)*($K$6+$W$7)-K12),2))</f>
        <v/>
      </c>
      <c r="AB12" s="85" t="str">
        <f>IF(A12="","",IF(AND(M12&gt;0,M12&gt;=p_DifMin),AA12,0))</f>
        <v/>
      </c>
      <c r="AC12" s="85" t="str">
        <f>IF(A12="","",IF(AND(AB12&gt;0,N(O12)&lt;=p_MaxAtivos),AB12,0))</f>
        <v/>
      </c>
      <c r="AD12" s="85" t="str">
        <f>IF(A12="","",IF(OR(Q12&lt;=0,Q12&lt;p_CompraMin,N(H12)&lt;=0,N(W12)&lt;=0),0,IF($W$3="Sim",TRUNC(ROUND(MAX(0,(Q12-p_CorrFixa)/(H12*W12*$W$6)),9),$W$4),TRUNC(ROUND(MAX(0,(Q12-p_CorrFixa)/(H12*W12*$W$6)),9)/$W$5)*$W$5)))</f>
        <v/>
      </c>
      <c r="AE12" s="85" t="str">
        <f>IF(A12="","",IF(N(AD12)&gt;0,AD12*H12*W12*$W$6+p_CorrFixa,0))</f>
        <v/>
      </c>
      <c r="AF12" s="85" t="str">
        <f>IF(A12="","",IF(OR($Y$1&lt;=0,N(H12)&lt;=0,N(W12)&lt;=0,N(AB12)&lt;=0),0,IF($W$3="Sim",TRUNC(ROUND(MAX(0,($Y$1-IF(N(AD12)&gt;0,0,p_CorrFixa))/(H12*W12*$W$6)),9),$W$4),TRUNC(ROUND(MAX(0,($Y$1-IF(N(AD12)&gt;0,0,p_CorrFixa))/(H12*W12*$W$6)),9)/$W$5)*$W$5)))</f>
        <v/>
      </c>
      <c r="AG12" s="85" t="str">
        <f>IF(A12="","",IF(AND(N(AD12)=0,N(AF12)*(H12*W12*$W$6)+p_CorrFixa&lt;p_CompraMin),0,AF12))</f>
        <v/>
      </c>
      <c r="AH12" s="85" t="str">
        <f>IF(A12="","",IF(N(AG12)&gt;0,AB12,0))</f>
        <v/>
      </c>
      <c r="AI12" s="85" t="str">
        <f>IF(A12="","",IF(AND(AH12&gt;0,AH12=$AH$6,COUNTIF($AH$9:AH12,AH12)=1),1,0))</f>
        <v/>
      </c>
    </row>
    <row r="13">
      <c r="A13" s="96" t="n"/>
      <c r="B13" s="96" t="n"/>
      <c r="C13" s="96" t="n"/>
      <c r="D13" s="97" t="n"/>
      <c r="E13" s="98" t="n"/>
      <c r="F13" s="99" t="n"/>
      <c r="G13" s="100" t="n"/>
      <c r="H13" s="101" t="str">
        <f>IF(A13="","",IF(AND(p_ModoCot="Automático",ISNUMBER(Z13)),Z13,IF(N(G13)&gt;0,G13,0)))</f>
        <v/>
      </c>
      <c r="I13" s="73" t="str">
        <f>IF(A13="","",IF(W13=0,"Sem câmbio",IF(AND(p_ModoCot="Automático",ISNUMBER(Z13)),"Auto",IF(N(G13)&gt;0,"Manual","Sem cotação"))))</f>
        <v/>
      </c>
      <c r="J13" s="102" t="str">
        <f>IF(A13="","",N(E13)*H13)</f>
        <v/>
      </c>
      <c r="K13" s="70" t="str">
        <f>IF(A13="","",J13*W13)</f>
        <v/>
      </c>
      <c r="L13" s="30" t="str">
        <f>IF(A13="","",IF($K$6&gt;0,K13/$K$6,0))</f>
        <v/>
      </c>
      <c r="M13" s="72" t="str">
        <f>IF(A13="","",N(F13)-L13)</f>
        <v/>
      </c>
      <c r="N13" s="30" t="str">
        <f>IF(A13="","",IF($AB$6&gt;0,AB13/$AB$6,0))</f>
        <v/>
      </c>
      <c r="O13" s="74" t="str">
        <f>IF(A13="","",IF(AB13&lt;=0,"",COUNTIF($AB$9:$AB$208,"&gt;"&amp;AB13)+COUNTIF($AB$9:AB13,AB13)))</f>
        <v/>
      </c>
      <c r="P13" s="73" t="str">
        <f>IF(A13="","",IF(Q13&gt;0,"BUY","HOLD"))</f>
        <v/>
      </c>
      <c r="Q13" s="70" t="str">
        <f>IF(A13="","",IF($W$7&lt;=0,0,IF($AC$6&gt;0,$W$7*AC13/$AC$6,IF($F$6&gt;0,$W$7*N(F13)/$F$6,0))))</f>
        <v/>
      </c>
      <c r="R13" s="103" t="str">
        <f>IF(A13="","",N(AD13)+IF(AI13=1,N(AG13),0))</f>
        <v/>
      </c>
      <c r="S13" s="103" t="str">
        <f>IF(A13="","",N(E13)+N(R13))</f>
        <v/>
      </c>
      <c r="T13" s="70" t="str">
        <f>IF(A13="","",IF(N(R13)&gt;0,R13*H13*W13*$W$6+p_CorrFixa,0))</f>
        <v/>
      </c>
      <c r="V13" s="85" t="str">
        <f>IF(A13="","",IF(D13="",$W$1,D13))</f>
        <v/>
      </c>
      <c r="W13" s="85" t="str">
        <f>IF(A13="","",IFERROR(INDEX(moeda_fx,MATCH(V13,moeda_cod,0)),0))</f>
        <v/>
      </c>
      <c r="X13" s="85" t="str">
        <f>IF(A13="","",IF($W$2="",UPPER(TRIM(A13)),IF(RIGHT(UPPER(TRIM(A13)),LEN($W$2))=$W$2,UPPER(TRIM(A13)),UPPER(TRIM(A13))&amp;$W$2)))</f>
        <v/>
      </c>
      <c r="Y13" s="85" t="str">
        <f>IF(OR(A13="",p_ModoCot&lt;&gt;"Automático"),"",IFERROR(_xlfn.WEBSERVICE("https://query1.finance.yahoo.com/v8/finance/chart/"&amp;X13&amp;"?range=1d&amp;interval=1d"),""))</f>
        <v/>
      </c>
      <c r="Z13" s="85" t="str">
        <f>IF(Y13="","",IFERROR(_xlfn.NUMBERVALUE(MID(Y13,SEARCH("""regularMarketPrice"":",Y13)+21,SEARCH(",",Y13&amp;",",SEARCH("""regularMarketPrice"":",Y13)+21)-SEARCH("""regularMarketPrice"":",Y13)-21),".",","),""))</f>
        <v/>
      </c>
      <c r="AA13" s="85" t="str">
        <f>IF(A13="","",ROUND(MAX(0,N(F13)*($K$6+$W$7)-K13),2))</f>
        <v/>
      </c>
      <c r="AB13" s="85" t="str">
        <f>IF(A13="","",IF(AND(M13&gt;0,M13&gt;=p_DifMin),AA13,0))</f>
        <v/>
      </c>
      <c r="AC13" s="85" t="str">
        <f>IF(A13="","",IF(AND(AB13&gt;0,N(O13)&lt;=p_MaxAtivos),AB13,0))</f>
        <v/>
      </c>
      <c r="AD13" s="85" t="str">
        <f>IF(A13="","",IF(OR(Q13&lt;=0,Q13&lt;p_CompraMin,N(H13)&lt;=0,N(W13)&lt;=0),0,IF($W$3="Sim",TRUNC(ROUND(MAX(0,(Q13-p_CorrFixa)/(H13*W13*$W$6)),9),$W$4),TRUNC(ROUND(MAX(0,(Q13-p_CorrFixa)/(H13*W13*$W$6)),9)/$W$5)*$W$5)))</f>
        <v/>
      </c>
      <c r="AE13" s="85" t="str">
        <f>IF(A13="","",IF(N(AD13)&gt;0,AD13*H13*W13*$W$6+p_CorrFixa,0))</f>
        <v/>
      </c>
      <c r="AF13" s="85" t="str">
        <f>IF(A13="","",IF(OR($Y$1&lt;=0,N(H13)&lt;=0,N(W13)&lt;=0,N(AB13)&lt;=0),0,IF($W$3="Sim",TRUNC(ROUND(MAX(0,($Y$1-IF(N(AD13)&gt;0,0,p_CorrFixa))/(H13*W13*$W$6)),9),$W$4),TRUNC(ROUND(MAX(0,($Y$1-IF(N(AD13)&gt;0,0,p_CorrFixa))/(H13*W13*$W$6)),9)/$W$5)*$W$5)))</f>
        <v/>
      </c>
      <c r="AG13" s="85" t="str">
        <f>IF(A13="","",IF(AND(N(AD13)=0,N(AF13)*(H13*W13*$W$6)+p_CorrFixa&lt;p_CompraMin),0,AF13))</f>
        <v/>
      </c>
      <c r="AH13" s="85" t="str">
        <f>IF(A13="","",IF(N(AG13)&gt;0,AB13,0))</f>
        <v/>
      </c>
      <c r="AI13" s="85" t="str">
        <f>IF(A13="","",IF(AND(AH13&gt;0,AH13=$AH$6,COUNTIF($AH$9:AH13,AH13)=1),1,0))</f>
        <v/>
      </c>
    </row>
    <row r="14">
      <c r="A14" s="96" t="n"/>
      <c r="B14" s="96" t="n"/>
      <c r="C14" s="96" t="n"/>
      <c r="D14" s="97" t="n"/>
      <c r="E14" s="98" t="n"/>
      <c r="F14" s="99" t="n"/>
      <c r="G14" s="100" t="n"/>
      <c r="H14" s="104" t="str">
        <f>IF(A14="","",IF(AND(p_ModoCot="Automático",ISNUMBER(Z14)),Z14,IF(N(G14)&gt;0,G14,0)))</f>
        <v/>
      </c>
      <c r="I14" s="105" t="str">
        <f>IF(A14="","",IF(W14=0,"Sem câmbio",IF(AND(p_ModoCot="Automático",ISNUMBER(Z14)),"Auto",IF(N(G14)&gt;0,"Manual","Sem cotação"))))</f>
        <v/>
      </c>
      <c r="J14" s="106" t="str">
        <f>IF(A14="","",N(E14)*H14)</f>
        <v/>
      </c>
      <c r="K14" s="107" t="str">
        <f>IF(A14="","",J14*W14)</f>
        <v/>
      </c>
      <c r="L14" s="108" t="str">
        <f>IF(A14="","",IF($K$6&gt;0,K14/$K$6,0))</f>
        <v/>
      </c>
      <c r="M14" s="109" t="str">
        <f>IF(A14="","",N(F14)-L14)</f>
        <v/>
      </c>
      <c r="N14" s="108" t="str">
        <f>IF(A14="","",IF($AB$6&gt;0,AB14/$AB$6,0))</f>
        <v/>
      </c>
      <c r="O14" s="110" t="str">
        <f>IF(A14="","",IF(AB14&lt;=0,"",COUNTIF($AB$9:$AB$208,"&gt;"&amp;AB14)+COUNTIF($AB$9:AB14,AB14)))</f>
        <v/>
      </c>
      <c r="P14" s="105" t="str">
        <f>IF(A14="","",IF(Q14&gt;0,"BUY","HOLD"))</f>
        <v/>
      </c>
      <c r="Q14" s="107" t="str">
        <f>IF(A14="","",IF($W$7&lt;=0,0,IF($AC$6&gt;0,$W$7*AC14/$AC$6,IF($F$6&gt;0,$W$7*N(F14)/$F$6,0))))</f>
        <v/>
      </c>
      <c r="R14" s="111" t="str">
        <f>IF(A14="","",N(AD14)+IF(AI14=1,N(AG14),0))</f>
        <v/>
      </c>
      <c r="S14" s="111" t="str">
        <f>IF(A14="","",N(E14)+N(R14))</f>
        <v/>
      </c>
      <c r="T14" s="107" t="str">
        <f>IF(A14="","",IF(N(R14)&gt;0,R14*H14*W14*$W$6+p_CorrFixa,0))</f>
        <v/>
      </c>
      <c r="V14" s="85" t="str">
        <f>IF(A14="","",IF(D14="",$W$1,D14))</f>
        <v/>
      </c>
      <c r="W14" s="85" t="str">
        <f>IF(A14="","",IFERROR(INDEX(moeda_fx,MATCH(V14,moeda_cod,0)),0))</f>
        <v/>
      </c>
      <c r="X14" s="85" t="str">
        <f>IF(A14="","",IF($W$2="",UPPER(TRIM(A14)),IF(RIGHT(UPPER(TRIM(A14)),LEN($W$2))=$W$2,UPPER(TRIM(A14)),UPPER(TRIM(A14))&amp;$W$2)))</f>
        <v/>
      </c>
      <c r="Y14" s="85" t="str">
        <f>IF(OR(A14="",p_ModoCot&lt;&gt;"Automático"),"",IFERROR(_xlfn.WEBSERVICE("https://query1.finance.yahoo.com/v8/finance/chart/"&amp;X14&amp;"?range=1d&amp;interval=1d"),""))</f>
        <v/>
      </c>
      <c r="Z14" s="85" t="str">
        <f>IF(Y14="","",IFERROR(_xlfn.NUMBERVALUE(MID(Y14,SEARCH("""regularMarketPrice"":",Y14)+21,SEARCH(",",Y14&amp;",",SEARCH("""regularMarketPrice"":",Y14)+21)-SEARCH("""regularMarketPrice"":",Y14)-21),".",","),""))</f>
        <v/>
      </c>
      <c r="AA14" s="85" t="str">
        <f>IF(A14="","",ROUND(MAX(0,N(F14)*($K$6+$W$7)-K14),2))</f>
        <v/>
      </c>
      <c r="AB14" s="85" t="str">
        <f>IF(A14="","",IF(AND(M14&gt;0,M14&gt;=p_DifMin),AA14,0))</f>
        <v/>
      </c>
      <c r="AC14" s="85" t="str">
        <f>IF(A14="","",IF(AND(AB14&gt;0,N(O14)&lt;=p_MaxAtivos),AB14,0))</f>
        <v/>
      </c>
      <c r="AD14" s="85" t="str">
        <f>IF(A14="","",IF(OR(Q14&lt;=0,Q14&lt;p_CompraMin,N(H14)&lt;=0,N(W14)&lt;=0),0,IF($W$3="Sim",TRUNC(ROUND(MAX(0,(Q14-p_CorrFixa)/(H14*W14*$W$6)),9),$W$4),TRUNC(ROUND(MAX(0,(Q14-p_CorrFixa)/(H14*W14*$W$6)),9)/$W$5)*$W$5)))</f>
        <v/>
      </c>
      <c r="AE14" s="85" t="str">
        <f>IF(A14="","",IF(N(AD14)&gt;0,AD14*H14*W14*$W$6+p_CorrFixa,0))</f>
        <v/>
      </c>
      <c r="AF14" s="85" t="str">
        <f>IF(A14="","",IF(OR($Y$1&lt;=0,N(H14)&lt;=0,N(W14)&lt;=0,N(AB14)&lt;=0),0,IF($W$3="Sim",TRUNC(ROUND(MAX(0,($Y$1-IF(N(AD14)&gt;0,0,p_CorrFixa))/(H14*W14*$W$6)),9),$W$4),TRUNC(ROUND(MAX(0,($Y$1-IF(N(AD14)&gt;0,0,p_CorrFixa))/(H14*W14*$W$6)),9)/$W$5)*$W$5)))</f>
        <v/>
      </c>
      <c r="AG14" s="85" t="str">
        <f>IF(A14="","",IF(AND(N(AD14)=0,N(AF14)*(H14*W14*$W$6)+p_CorrFixa&lt;p_CompraMin),0,AF14))</f>
        <v/>
      </c>
      <c r="AH14" s="85" t="str">
        <f>IF(A14="","",IF(N(AG14)&gt;0,AB14,0))</f>
        <v/>
      </c>
      <c r="AI14" s="85" t="str">
        <f>IF(A14="","",IF(AND(AH14&gt;0,AH14=$AH$6,COUNTIF($AH$9:AH14,AH14)=1),1,0))</f>
        <v/>
      </c>
    </row>
    <row r="15">
      <c r="A15" s="96" t="n"/>
      <c r="B15" s="96" t="n"/>
      <c r="C15" s="96" t="n"/>
      <c r="D15" s="97" t="n"/>
      <c r="E15" s="98" t="n"/>
      <c r="F15" s="99" t="n"/>
      <c r="G15" s="100" t="n"/>
      <c r="H15" s="101" t="str">
        <f>IF(A15="","",IF(AND(p_ModoCot="Automático",ISNUMBER(Z15)),Z15,IF(N(G15)&gt;0,G15,0)))</f>
        <v/>
      </c>
      <c r="I15" s="73" t="str">
        <f>IF(A15="","",IF(W15=0,"Sem câmbio",IF(AND(p_ModoCot="Automático",ISNUMBER(Z15)),"Auto",IF(N(G15)&gt;0,"Manual","Sem cotação"))))</f>
        <v/>
      </c>
      <c r="J15" s="102" t="str">
        <f>IF(A15="","",N(E15)*H15)</f>
        <v/>
      </c>
      <c r="K15" s="70" t="str">
        <f>IF(A15="","",J15*W15)</f>
        <v/>
      </c>
      <c r="L15" s="30" t="str">
        <f>IF(A15="","",IF($K$6&gt;0,K15/$K$6,0))</f>
        <v/>
      </c>
      <c r="M15" s="72" t="str">
        <f>IF(A15="","",N(F15)-L15)</f>
        <v/>
      </c>
      <c r="N15" s="30" t="str">
        <f>IF(A15="","",IF($AB$6&gt;0,AB15/$AB$6,0))</f>
        <v/>
      </c>
      <c r="O15" s="74" t="str">
        <f>IF(A15="","",IF(AB15&lt;=0,"",COUNTIF($AB$9:$AB$208,"&gt;"&amp;AB15)+COUNTIF($AB$9:AB15,AB15)))</f>
        <v/>
      </c>
      <c r="P15" s="73" t="str">
        <f>IF(A15="","",IF(Q15&gt;0,"BUY","HOLD"))</f>
        <v/>
      </c>
      <c r="Q15" s="70" t="str">
        <f>IF(A15="","",IF($W$7&lt;=0,0,IF($AC$6&gt;0,$W$7*AC15/$AC$6,IF($F$6&gt;0,$W$7*N(F15)/$F$6,0))))</f>
        <v/>
      </c>
      <c r="R15" s="103" t="str">
        <f>IF(A15="","",N(AD15)+IF(AI15=1,N(AG15),0))</f>
        <v/>
      </c>
      <c r="S15" s="103" t="str">
        <f>IF(A15="","",N(E15)+N(R15))</f>
        <v/>
      </c>
      <c r="T15" s="70" t="str">
        <f>IF(A15="","",IF(N(R15)&gt;0,R15*H15*W15*$W$6+p_CorrFixa,0))</f>
        <v/>
      </c>
      <c r="V15" s="85" t="str">
        <f>IF(A15="","",IF(D15="",$W$1,D15))</f>
        <v/>
      </c>
      <c r="W15" s="85" t="str">
        <f>IF(A15="","",IFERROR(INDEX(moeda_fx,MATCH(V15,moeda_cod,0)),0))</f>
        <v/>
      </c>
      <c r="X15" s="85" t="str">
        <f>IF(A15="","",IF($W$2="",UPPER(TRIM(A15)),IF(RIGHT(UPPER(TRIM(A15)),LEN($W$2))=$W$2,UPPER(TRIM(A15)),UPPER(TRIM(A15))&amp;$W$2)))</f>
        <v/>
      </c>
      <c r="Y15" s="85" t="str">
        <f>IF(OR(A15="",p_ModoCot&lt;&gt;"Automático"),"",IFERROR(_xlfn.WEBSERVICE("https://query1.finance.yahoo.com/v8/finance/chart/"&amp;X15&amp;"?range=1d&amp;interval=1d"),""))</f>
        <v/>
      </c>
      <c r="Z15" s="85" t="str">
        <f>IF(Y15="","",IFERROR(_xlfn.NUMBERVALUE(MID(Y15,SEARCH("""regularMarketPrice"":",Y15)+21,SEARCH(",",Y15&amp;",",SEARCH("""regularMarketPrice"":",Y15)+21)-SEARCH("""regularMarketPrice"":",Y15)-21),".",","),""))</f>
        <v/>
      </c>
      <c r="AA15" s="85" t="str">
        <f>IF(A15="","",ROUND(MAX(0,N(F15)*($K$6+$W$7)-K15),2))</f>
        <v/>
      </c>
      <c r="AB15" s="85" t="str">
        <f>IF(A15="","",IF(AND(M15&gt;0,M15&gt;=p_DifMin),AA15,0))</f>
        <v/>
      </c>
      <c r="AC15" s="85" t="str">
        <f>IF(A15="","",IF(AND(AB15&gt;0,N(O15)&lt;=p_MaxAtivos),AB15,0))</f>
        <v/>
      </c>
      <c r="AD15" s="85" t="str">
        <f>IF(A15="","",IF(OR(Q15&lt;=0,Q15&lt;p_CompraMin,N(H15)&lt;=0,N(W15)&lt;=0),0,IF($W$3="Sim",TRUNC(ROUND(MAX(0,(Q15-p_CorrFixa)/(H15*W15*$W$6)),9),$W$4),TRUNC(ROUND(MAX(0,(Q15-p_CorrFixa)/(H15*W15*$W$6)),9)/$W$5)*$W$5)))</f>
        <v/>
      </c>
      <c r="AE15" s="85" t="str">
        <f>IF(A15="","",IF(N(AD15)&gt;0,AD15*H15*W15*$W$6+p_CorrFixa,0))</f>
        <v/>
      </c>
      <c r="AF15" s="85" t="str">
        <f>IF(A15="","",IF(OR($Y$1&lt;=0,N(H15)&lt;=0,N(W15)&lt;=0,N(AB15)&lt;=0),0,IF($W$3="Sim",TRUNC(ROUND(MAX(0,($Y$1-IF(N(AD15)&gt;0,0,p_CorrFixa))/(H15*W15*$W$6)),9),$W$4),TRUNC(ROUND(MAX(0,($Y$1-IF(N(AD15)&gt;0,0,p_CorrFixa))/(H15*W15*$W$6)),9)/$W$5)*$W$5)))</f>
        <v/>
      </c>
      <c r="AG15" s="85" t="str">
        <f>IF(A15="","",IF(AND(N(AD15)=0,N(AF15)*(H15*W15*$W$6)+p_CorrFixa&lt;p_CompraMin),0,AF15))</f>
        <v/>
      </c>
      <c r="AH15" s="85" t="str">
        <f>IF(A15="","",IF(N(AG15)&gt;0,AB15,0))</f>
        <v/>
      </c>
      <c r="AI15" s="85" t="str">
        <f>IF(A15="","",IF(AND(AH15&gt;0,AH15=$AH$6,COUNTIF($AH$9:AH15,AH15)=1),1,0))</f>
        <v/>
      </c>
    </row>
    <row r="16">
      <c r="A16" s="96" t="n"/>
      <c r="B16" s="96" t="n"/>
      <c r="C16" s="96" t="n"/>
      <c r="D16" s="97" t="n"/>
      <c r="E16" s="98" t="n"/>
      <c r="F16" s="99" t="n"/>
      <c r="G16" s="100" t="n"/>
      <c r="H16" s="104" t="str">
        <f>IF(A16="","",IF(AND(p_ModoCot="Automático",ISNUMBER(Z16)),Z16,IF(N(G16)&gt;0,G16,0)))</f>
        <v/>
      </c>
      <c r="I16" s="105" t="str">
        <f>IF(A16="","",IF(W16=0,"Sem câmbio",IF(AND(p_ModoCot="Automático",ISNUMBER(Z16)),"Auto",IF(N(G16)&gt;0,"Manual","Sem cotação"))))</f>
        <v/>
      </c>
      <c r="J16" s="106" t="str">
        <f>IF(A16="","",N(E16)*H16)</f>
        <v/>
      </c>
      <c r="K16" s="107" t="str">
        <f>IF(A16="","",J16*W16)</f>
        <v/>
      </c>
      <c r="L16" s="108" t="str">
        <f>IF(A16="","",IF($K$6&gt;0,K16/$K$6,0))</f>
        <v/>
      </c>
      <c r="M16" s="109" t="str">
        <f>IF(A16="","",N(F16)-L16)</f>
        <v/>
      </c>
      <c r="N16" s="108" t="str">
        <f>IF(A16="","",IF($AB$6&gt;0,AB16/$AB$6,0))</f>
        <v/>
      </c>
      <c r="O16" s="110" t="str">
        <f>IF(A16="","",IF(AB16&lt;=0,"",COUNTIF($AB$9:$AB$208,"&gt;"&amp;AB16)+COUNTIF($AB$9:AB16,AB16)))</f>
        <v/>
      </c>
      <c r="P16" s="105" t="str">
        <f>IF(A16="","",IF(Q16&gt;0,"BUY","HOLD"))</f>
        <v/>
      </c>
      <c r="Q16" s="107" t="str">
        <f>IF(A16="","",IF($W$7&lt;=0,0,IF($AC$6&gt;0,$W$7*AC16/$AC$6,IF($F$6&gt;0,$W$7*N(F16)/$F$6,0))))</f>
        <v/>
      </c>
      <c r="R16" s="111" t="str">
        <f>IF(A16="","",N(AD16)+IF(AI16=1,N(AG16),0))</f>
        <v/>
      </c>
      <c r="S16" s="111" t="str">
        <f>IF(A16="","",N(E16)+N(R16))</f>
        <v/>
      </c>
      <c r="T16" s="107" t="str">
        <f>IF(A16="","",IF(N(R16)&gt;0,R16*H16*W16*$W$6+p_CorrFixa,0))</f>
        <v/>
      </c>
      <c r="V16" s="85" t="str">
        <f>IF(A16="","",IF(D16="",$W$1,D16))</f>
        <v/>
      </c>
      <c r="W16" s="85" t="str">
        <f>IF(A16="","",IFERROR(INDEX(moeda_fx,MATCH(V16,moeda_cod,0)),0))</f>
        <v/>
      </c>
      <c r="X16" s="85" t="str">
        <f>IF(A16="","",IF($W$2="",UPPER(TRIM(A16)),IF(RIGHT(UPPER(TRIM(A16)),LEN($W$2))=$W$2,UPPER(TRIM(A16)),UPPER(TRIM(A16))&amp;$W$2)))</f>
        <v/>
      </c>
      <c r="Y16" s="85" t="str">
        <f>IF(OR(A16="",p_ModoCot&lt;&gt;"Automático"),"",IFERROR(_xlfn.WEBSERVICE("https://query1.finance.yahoo.com/v8/finance/chart/"&amp;X16&amp;"?range=1d&amp;interval=1d"),""))</f>
        <v/>
      </c>
      <c r="Z16" s="85" t="str">
        <f>IF(Y16="","",IFERROR(_xlfn.NUMBERVALUE(MID(Y16,SEARCH("""regularMarketPrice"":",Y16)+21,SEARCH(",",Y16&amp;",",SEARCH("""regularMarketPrice"":",Y16)+21)-SEARCH("""regularMarketPrice"":",Y16)-21),".",","),""))</f>
        <v/>
      </c>
      <c r="AA16" s="85" t="str">
        <f>IF(A16="","",ROUND(MAX(0,N(F16)*($K$6+$W$7)-K16),2))</f>
        <v/>
      </c>
      <c r="AB16" s="85" t="str">
        <f>IF(A16="","",IF(AND(M16&gt;0,M16&gt;=p_DifMin),AA16,0))</f>
        <v/>
      </c>
      <c r="AC16" s="85" t="str">
        <f>IF(A16="","",IF(AND(AB16&gt;0,N(O16)&lt;=p_MaxAtivos),AB16,0))</f>
        <v/>
      </c>
      <c r="AD16" s="85" t="str">
        <f>IF(A16="","",IF(OR(Q16&lt;=0,Q16&lt;p_CompraMin,N(H16)&lt;=0,N(W16)&lt;=0),0,IF($W$3="Sim",TRUNC(ROUND(MAX(0,(Q16-p_CorrFixa)/(H16*W16*$W$6)),9),$W$4),TRUNC(ROUND(MAX(0,(Q16-p_CorrFixa)/(H16*W16*$W$6)),9)/$W$5)*$W$5)))</f>
        <v/>
      </c>
      <c r="AE16" s="85" t="str">
        <f>IF(A16="","",IF(N(AD16)&gt;0,AD16*H16*W16*$W$6+p_CorrFixa,0))</f>
        <v/>
      </c>
      <c r="AF16" s="85" t="str">
        <f>IF(A16="","",IF(OR($Y$1&lt;=0,N(H16)&lt;=0,N(W16)&lt;=0,N(AB16)&lt;=0),0,IF($W$3="Sim",TRUNC(ROUND(MAX(0,($Y$1-IF(N(AD16)&gt;0,0,p_CorrFixa))/(H16*W16*$W$6)),9),$W$4),TRUNC(ROUND(MAX(0,($Y$1-IF(N(AD16)&gt;0,0,p_CorrFixa))/(H16*W16*$W$6)),9)/$W$5)*$W$5)))</f>
        <v/>
      </c>
      <c r="AG16" s="85" t="str">
        <f>IF(A16="","",IF(AND(N(AD16)=0,N(AF16)*(H16*W16*$W$6)+p_CorrFixa&lt;p_CompraMin),0,AF16))</f>
        <v/>
      </c>
      <c r="AH16" s="85" t="str">
        <f>IF(A16="","",IF(N(AG16)&gt;0,AB16,0))</f>
        <v/>
      </c>
      <c r="AI16" s="85" t="str">
        <f>IF(A16="","",IF(AND(AH16&gt;0,AH16=$AH$6,COUNTIF($AH$9:AH16,AH16)=1),1,0))</f>
        <v/>
      </c>
    </row>
    <row r="17">
      <c r="A17" s="96" t="n"/>
      <c r="B17" s="96" t="n"/>
      <c r="C17" s="96" t="n"/>
      <c r="D17" s="97" t="n"/>
      <c r="E17" s="98" t="n"/>
      <c r="F17" s="99" t="n"/>
      <c r="G17" s="100" t="n"/>
      <c r="H17" s="101" t="str">
        <f>IF(A17="","",IF(AND(p_ModoCot="Automático",ISNUMBER(Z17)),Z17,IF(N(G17)&gt;0,G17,0)))</f>
        <v/>
      </c>
      <c r="I17" s="73" t="str">
        <f>IF(A17="","",IF(W17=0,"Sem câmbio",IF(AND(p_ModoCot="Automático",ISNUMBER(Z17)),"Auto",IF(N(G17)&gt;0,"Manual","Sem cotação"))))</f>
        <v/>
      </c>
      <c r="J17" s="102" t="str">
        <f>IF(A17="","",N(E17)*H17)</f>
        <v/>
      </c>
      <c r="K17" s="70" t="str">
        <f>IF(A17="","",J17*W17)</f>
        <v/>
      </c>
      <c r="L17" s="30" t="str">
        <f>IF(A17="","",IF($K$6&gt;0,K17/$K$6,0))</f>
        <v/>
      </c>
      <c r="M17" s="72" t="str">
        <f>IF(A17="","",N(F17)-L17)</f>
        <v/>
      </c>
      <c r="N17" s="30" t="str">
        <f>IF(A17="","",IF($AB$6&gt;0,AB17/$AB$6,0))</f>
        <v/>
      </c>
      <c r="O17" s="74" t="str">
        <f>IF(A17="","",IF(AB17&lt;=0,"",COUNTIF($AB$9:$AB$208,"&gt;"&amp;AB17)+COUNTIF($AB$9:AB17,AB17)))</f>
        <v/>
      </c>
      <c r="P17" s="73" t="str">
        <f>IF(A17="","",IF(Q17&gt;0,"BUY","HOLD"))</f>
        <v/>
      </c>
      <c r="Q17" s="70" t="str">
        <f>IF(A17="","",IF($W$7&lt;=0,0,IF($AC$6&gt;0,$W$7*AC17/$AC$6,IF($F$6&gt;0,$W$7*N(F17)/$F$6,0))))</f>
        <v/>
      </c>
      <c r="R17" s="103" t="str">
        <f>IF(A17="","",N(AD17)+IF(AI17=1,N(AG17),0))</f>
        <v/>
      </c>
      <c r="S17" s="103" t="str">
        <f>IF(A17="","",N(E17)+N(R17))</f>
        <v/>
      </c>
      <c r="T17" s="70" t="str">
        <f>IF(A17="","",IF(N(R17)&gt;0,R17*H17*W17*$W$6+p_CorrFixa,0))</f>
        <v/>
      </c>
      <c r="V17" s="85" t="str">
        <f>IF(A17="","",IF(D17="",$W$1,D17))</f>
        <v/>
      </c>
      <c r="W17" s="85" t="str">
        <f>IF(A17="","",IFERROR(INDEX(moeda_fx,MATCH(V17,moeda_cod,0)),0))</f>
        <v/>
      </c>
      <c r="X17" s="85" t="str">
        <f>IF(A17="","",IF($W$2="",UPPER(TRIM(A17)),IF(RIGHT(UPPER(TRIM(A17)),LEN($W$2))=$W$2,UPPER(TRIM(A17)),UPPER(TRIM(A17))&amp;$W$2)))</f>
        <v/>
      </c>
      <c r="Y17" s="85" t="str">
        <f>IF(OR(A17="",p_ModoCot&lt;&gt;"Automático"),"",IFERROR(_xlfn.WEBSERVICE("https://query1.finance.yahoo.com/v8/finance/chart/"&amp;X17&amp;"?range=1d&amp;interval=1d"),""))</f>
        <v/>
      </c>
      <c r="Z17" s="85" t="str">
        <f>IF(Y17="","",IFERROR(_xlfn.NUMBERVALUE(MID(Y17,SEARCH("""regularMarketPrice"":",Y17)+21,SEARCH(",",Y17&amp;",",SEARCH("""regularMarketPrice"":",Y17)+21)-SEARCH("""regularMarketPrice"":",Y17)-21),".",","),""))</f>
        <v/>
      </c>
      <c r="AA17" s="85" t="str">
        <f>IF(A17="","",ROUND(MAX(0,N(F17)*($K$6+$W$7)-K17),2))</f>
        <v/>
      </c>
      <c r="AB17" s="85" t="str">
        <f>IF(A17="","",IF(AND(M17&gt;0,M17&gt;=p_DifMin),AA17,0))</f>
        <v/>
      </c>
      <c r="AC17" s="85" t="str">
        <f>IF(A17="","",IF(AND(AB17&gt;0,N(O17)&lt;=p_MaxAtivos),AB17,0))</f>
        <v/>
      </c>
      <c r="AD17" s="85" t="str">
        <f>IF(A17="","",IF(OR(Q17&lt;=0,Q17&lt;p_CompraMin,N(H17)&lt;=0,N(W17)&lt;=0),0,IF($W$3="Sim",TRUNC(ROUND(MAX(0,(Q17-p_CorrFixa)/(H17*W17*$W$6)),9),$W$4),TRUNC(ROUND(MAX(0,(Q17-p_CorrFixa)/(H17*W17*$W$6)),9)/$W$5)*$W$5)))</f>
        <v/>
      </c>
      <c r="AE17" s="85" t="str">
        <f>IF(A17="","",IF(N(AD17)&gt;0,AD17*H17*W17*$W$6+p_CorrFixa,0))</f>
        <v/>
      </c>
      <c r="AF17" s="85" t="str">
        <f>IF(A17="","",IF(OR($Y$1&lt;=0,N(H17)&lt;=0,N(W17)&lt;=0,N(AB17)&lt;=0),0,IF($W$3="Sim",TRUNC(ROUND(MAX(0,($Y$1-IF(N(AD17)&gt;0,0,p_CorrFixa))/(H17*W17*$W$6)),9),$W$4),TRUNC(ROUND(MAX(0,($Y$1-IF(N(AD17)&gt;0,0,p_CorrFixa))/(H17*W17*$W$6)),9)/$W$5)*$W$5)))</f>
        <v/>
      </c>
      <c r="AG17" s="85" t="str">
        <f>IF(A17="","",IF(AND(N(AD17)=0,N(AF17)*(H17*W17*$W$6)+p_CorrFixa&lt;p_CompraMin),0,AF17))</f>
        <v/>
      </c>
      <c r="AH17" s="85" t="str">
        <f>IF(A17="","",IF(N(AG17)&gt;0,AB17,0))</f>
        <v/>
      </c>
      <c r="AI17" s="85" t="str">
        <f>IF(A17="","",IF(AND(AH17&gt;0,AH17=$AH$6,COUNTIF($AH$9:AH17,AH17)=1),1,0))</f>
        <v/>
      </c>
    </row>
    <row r="18">
      <c r="A18" s="96" t="n"/>
      <c r="B18" s="96" t="n"/>
      <c r="C18" s="96" t="n"/>
      <c r="D18" s="97" t="n"/>
      <c r="E18" s="98" t="n"/>
      <c r="F18" s="99" t="n"/>
      <c r="G18" s="100" t="n"/>
      <c r="H18" s="104" t="str">
        <f>IF(A18="","",IF(AND(p_ModoCot="Automático",ISNUMBER(Z18)),Z18,IF(N(G18)&gt;0,G18,0)))</f>
        <v/>
      </c>
      <c r="I18" s="105" t="str">
        <f>IF(A18="","",IF(W18=0,"Sem câmbio",IF(AND(p_ModoCot="Automático",ISNUMBER(Z18)),"Auto",IF(N(G18)&gt;0,"Manual","Sem cotação"))))</f>
        <v/>
      </c>
      <c r="J18" s="106" t="str">
        <f>IF(A18="","",N(E18)*H18)</f>
        <v/>
      </c>
      <c r="K18" s="107" t="str">
        <f>IF(A18="","",J18*W18)</f>
        <v/>
      </c>
      <c r="L18" s="108" t="str">
        <f>IF(A18="","",IF($K$6&gt;0,K18/$K$6,0))</f>
        <v/>
      </c>
      <c r="M18" s="109" t="str">
        <f>IF(A18="","",N(F18)-L18)</f>
        <v/>
      </c>
      <c r="N18" s="108" t="str">
        <f>IF(A18="","",IF($AB$6&gt;0,AB18/$AB$6,0))</f>
        <v/>
      </c>
      <c r="O18" s="110" t="str">
        <f>IF(A18="","",IF(AB18&lt;=0,"",COUNTIF($AB$9:$AB$208,"&gt;"&amp;AB18)+COUNTIF($AB$9:AB18,AB18)))</f>
        <v/>
      </c>
      <c r="P18" s="105" t="str">
        <f>IF(A18="","",IF(Q18&gt;0,"BUY","HOLD"))</f>
        <v/>
      </c>
      <c r="Q18" s="107" t="str">
        <f>IF(A18="","",IF($W$7&lt;=0,0,IF($AC$6&gt;0,$W$7*AC18/$AC$6,IF($F$6&gt;0,$W$7*N(F18)/$F$6,0))))</f>
        <v/>
      </c>
      <c r="R18" s="111" t="str">
        <f>IF(A18="","",N(AD18)+IF(AI18=1,N(AG18),0))</f>
        <v/>
      </c>
      <c r="S18" s="111" t="str">
        <f>IF(A18="","",N(E18)+N(R18))</f>
        <v/>
      </c>
      <c r="T18" s="107" t="str">
        <f>IF(A18="","",IF(N(R18)&gt;0,R18*H18*W18*$W$6+p_CorrFixa,0))</f>
        <v/>
      </c>
      <c r="V18" s="85" t="str">
        <f>IF(A18="","",IF(D18="",$W$1,D18))</f>
        <v/>
      </c>
      <c r="W18" s="85" t="str">
        <f>IF(A18="","",IFERROR(INDEX(moeda_fx,MATCH(V18,moeda_cod,0)),0))</f>
        <v/>
      </c>
      <c r="X18" s="85" t="str">
        <f>IF(A18="","",IF($W$2="",UPPER(TRIM(A18)),IF(RIGHT(UPPER(TRIM(A18)),LEN($W$2))=$W$2,UPPER(TRIM(A18)),UPPER(TRIM(A18))&amp;$W$2)))</f>
        <v/>
      </c>
      <c r="Y18" s="85" t="str">
        <f>IF(OR(A18="",p_ModoCot&lt;&gt;"Automático"),"",IFERROR(_xlfn.WEBSERVICE("https://query1.finance.yahoo.com/v8/finance/chart/"&amp;X18&amp;"?range=1d&amp;interval=1d"),""))</f>
        <v/>
      </c>
      <c r="Z18" s="85" t="str">
        <f>IF(Y18="","",IFERROR(_xlfn.NUMBERVALUE(MID(Y18,SEARCH("""regularMarketPrice"":",Y18)+21,SEARCH(",",Y18&amp;",",SEARCH("""regularMarketPrice"":",Y18)+21)-SEARCH("""regularMarketPrice"":",Y18)-21),".",","),""))</f>
        <v/>
      </c>
      <c r="AA18" s="85" t="str">
        <f>IF(A18="","",ROUND(MAX(0,N(F18)*($K$6+$W$7)-K18),2))</f>
        <v/>
      </c>
      <c r="AB18" s="85" t="str">
        <f>IF(A18="","",IF(AND(M18&gt;0,M18&gt;=p_DifMin),AA18,0))</f>
        <v/>
      </c>
      <c r="AC18" s="85" t="str">
        <f>IF(A18="","",IF(AND(AB18&gt;0,N(O18)&lt;=p_MaxAtivos),AB18,0))</f>
        <v/>
      </c>
      <c r="AD18" s="85" t="str">
        <f>IF(A18="","",IF(OR(Q18&lt;=0,Q18&lt;p_CompraMin,N(H18)&lt;=0,N(W18)&lt;=0),0,IF($W$3="Sim",TRUNC(ROUND(MAX(0,(Q18-p_CorrFixa)/(H18*W18*$W$6)),9),$W$4),TRUNC(ROUND(MAX(0,(Q18-p_CorrFixa)/(H18*W18*$W$6)),9)/$W$5)*$W$5)))</f>
        <v/>
      </c>
      <c r="AE18" s="85" t="str">
        <f>IF(A18="","",IF(N(AD18)&gt;0,AD18*H18*W18*$W$6+p_CorrFixa,0))</f>
        <v/>
      </c>
      <c r="AF18" s="85" t="str">
        <f>IF(A18="","",IF(OR($Y$1&lt;=0,N(H18)&lt;=0,N(W18)&lt;=0,N(AB18)&lt;=0),0,IF($W$3="Sim",TRUNC(ROUND(MAX(0,($Y$1-IF(N(AD18)&gt;0,0,p_CorrFixa))/(H18*W18*$W$6)),9),$W$4),TRUNC(ROUND(MAX(0,($Y$1-IF(N(AD18)&gt;0,0,p_CorrFixa))/(H18*W18*$W$6)),9)/$W$5)*$W$5)))</f>
        <v/>
      </c>
      <c r="AG18" s="85" t="str">
        <f>IF(A18="","",IF(AND(N(AD18)=0,N(AF18)*(H18*W18*$W$6)+p_CorrFixa&lt;p_CompraMin),0,AF18))</f>
        <v/>
      </c>
      <c r="AH18" s="85" t="str">
        <f>IF(A18="","",IF(N(AG18)&gt;0,AB18,0))</f>
        <v/>
      </c>
      <c r="AI18" s="85" t="str">
        <f>IF(A18="","",IF(AND(AH18&gt;0,AH18=$AH$6,COUNTIF($AH$9:AH18,AH18)=1),1,0))</f>
        <v/>
      </c>
    </row>
    <row r="19">
      <c r="A19" s="96" t="n"/>
      <c r="B19" s="96" t="n"/>
      <c r="C19" s="96" t="n"/>
      <c r="D19" s="97" t="n"/>
      <c r="E19" s="98" t="n"/>
      <c r="F19" s="99" t="n"/>
      <c r="G19" s="100" t="n"/>
      <c r="H19" s="101" t="str">
        <f>IF(A19="","",IF(AND(p_ModoCot="Automático",ISNUMBER(Z19)),Z19,IF(N(G19)&gt;0,G19,0)))</f>
        <v/>
      </c>
      <c r="I19" s="73" t="str">
        <f>IF(A19="","",IF(W19=0,"Sem câmbio",IF(AND(p_ModoCot="Automático",ISNUMBER(Z19)),"Auto",IF(N(G19)&gt;0,"Manual","Sem cotação"))))</f>
        <v/>
      </c>
      <c r="J19" s="102" t="str">
        <f>IF(A19="","",N(E19)*H19)</f>
        <v/>
      </c>
      <c r="K19" s="70" t="str">
        <f>IF(A19="","",J19*W19)</f>
        <v/>
      </c>
      <c r="L19" s="30" t="str">
        <f>IF(A19="","",IF($K$6&gt;0,K19/$K$6,0))</f>
        <v/>
      </c>
      <c r="M19" s="72" t="str">
        <f>IF(A19="","",N(F19)-L19)</f>
        <v/>
      </c>
      <c r="N19" s="30" t="str">
        <f>IF(A19="","",IF($AB$6&gt;0,AB19/$AB$6,0))</f>
        <v/>
      </c>
      <c r="O19" s="74" t="str">
        <f>IF(A19="","",IF(AB19&lt;=0,"",COUNTIF($AB$9:$AB$208,"&gt;"&amp;AB19)+COUNTIF($AB$9:AB19,AB19)))</f>
        <v/>
      </c>
      <c r="P19" s="73" t="str">
        <f>IF(A19="","",IF(Q19&gt;0,"BUY","HOLD"))</f>
        <v/>
      </c>
      <c r="Q19" s="70" t="str">
        <f>IF(A19="","",IF($W$7&lt;=0,0,IF($AC$6&gt;0,$W$7*AC19/$AC$6,IF($F$6&gt;0,$W$7*N(F19)/$F$6,0))))</f>
        <v/>
      </c>
      <c r="R19" s="103" t="str">
        <f>IF(A19="","",N(AD19)+IF(AI19=1,N(AG19),0))</f>
        <v/>
      </c>
      <c r="S19" s="103" t="str">
        <f>IF(A19="","",N(E19)+N(R19))</f>
        <v/>
      </c>
      <c r="T19" s="70" t="str">
        <f>IF(A19="","",IF(N(R19)&gt;0,R19*H19*W19*$W$6+p_CorrFixa,0))</f>
        <v/>
      </c>
      <c r="V19" s="85" t="str">
        <f>IF(A19="","",IF(D19="",$W$1,D19))</f>
        <v/>
      </c>
      <c r="W19" s="85" t="str">
        <f>IF(A19="","",IFERROR(INDEX(moeda_fx,MATCH(V19,moeda_cod,0)),0))</f>
        <v/>
      </c>
      <c r="X19" s="85" t="str">
        <f>IF(A19="","",IF($W$2="",UPPER(TRIM(A19)),IF(RIGHT(UPPER(TRIM(A19)),LEN($W$2))=$W$2,UPPER(TRIM(A19)),UPPER(TRIM(A19))&amp;$W$2)))</f>
        <v/>
      </c>
      <c r="Y19" s="85" t="str">
        <f>IF(OR(A19="",p_ModoCot&lt;&gt;"Automático"),"",IFERROR(_xlfn.WEBSERVICE("https://query1.finance.yahoo.com/v8/finance/chart/"&amp;X19&amp;"?range=1d&amp;interval=1d"),""))</f>
        <v/>
      </c>
      <c r="Z19" s="85" t="str">
        <f>IF(Y19="","",IFERROR(_xlfn.NUMBERVALUE(MID(Y19,SEARCH("""regularMarketPrice"":",Y19)+21,SEARCH(",",Y19&amp;",",SEARCH("""regularMarketPrice"":",Y19)+21)-SEARCH("""regularMarketPrice"":",Y19)-21),".",","),""))</f>
        <v/>
      </c>
      <c r="AA19" s="85" t="str">
        <f>IF(A19="","",ROUND(MAX(0,N(F19)*($K$6+$W$7)-K19),2))</f>
        <v/>
      </c>
      <c r="AB19" s="85" t="str">
        <f>IF(A19="","",IF(AND(M19&gt;0,M19&gt;=p_DifMin),AA19,0))</f>
        <v/>
      </c>
      <c r="AC19" s="85" t="str">
        <f>IF(A19="","",IF(AND(AB19&gt;0,N(O19)&lt;=p_MaxAtivos),AB19,0))</f>
        <v/>
      </c>
      <c r="AD19" s="85" t="str">
        <f>IF(A19="","",IF(OR(Q19&lt;=0,Q19&lt;p_CompraMin,N(H19)&lt;=0,N(W19)&lt;=0),0,IF($W$3="Sim",TRUNC(ROUND(MAX(0,(Q19-p_CorrFixa)/(H19*W19*$W$6)),9),$W$4),TRUNC(ROUND(MAX(0,(Q19-p_CorrFixa)/(H19*W19*$W$6)),9)/$W$5)*$W$5)))</f>
        <v/>
      </c>
      <c r="AE19" s="85" t="str">
        <f>IF(A19="","",IF(N(AD19)&gt;0,AD19*H19*W19*$W$6+p_CorrFixa,0))</f>
        <v/>
      </c>
      <c r="AF19" s="85" t="str">
        <f>IF(A19="","",IF(OR($Y$1&lt;=0,N(H19)&lt;=0,N(W19)&lt;=0,N(AB19)&lt;=0),0,IF($W$3="Sim",TRUNC(ROUND(MAX(0,($Y$1-IF(N(AD19)&gt;0,0,p_CorrFixa))/(H19*W19*$W$6)),9),$W$4),TRUNC(ROUND(MAX(0,($Y$1-IF(N(AD19)&gt;0,0,p_CorrFixa))/(H19*W19*$W$6)),9)/$W$5)*$W$5)))</f>
        <v/>
      </c>
      <c r="AG19" s="85" t="str">
        <f>IF(A19="","",IF(AND(N(AD19)=0,N(AF19)*(H19*W19*$W$6)+p_CorrFixa&lt;p_CompraMin),0,AF19))</f>
        <v/>
      </c>
      <c r="AH19" s="85" t="str">
        <f>IF(A19="","",IF(N(AG19)&gt;0,AB19,0))</f>
        <v/>
      </c>
      <c r="AI19" s="85" t="str">
        <f>IF(A19="","",IF(AND(AH19&gt;0,AH19=$AH$6,COUNTIF($AH$9:AH19,AH19)=1),1,0))</f>
        <v/>
      </c>
    </row>
    <row r="20">
      <c r="A20" s="96" t="n"/>
      <c r="B20" s="96" t="n"/>
      <c r="C20" s="96" t="n"/>
      <c r="D20" s="97" t="n"/>
      <c r="E20" s="98" t="n"/>
      <c r="F20" s="99" t="n"/>
      <c r="G20" s="100" t="n"/>
      <c r="H20" s="104" t="str">
        <f>IF(A20="","",IF(AND(p_ModoCot="Automático",ISNUMBER(Z20)),Z20,IF(N(G20)&gt;0,G20,0)))</f>
        <v/>
      </c>
      <c r="I20" s="105" t="str">
        <f>IF(A20="","",IF(W20=0,"Sem câmbio",IF(AND(p_ModoCot="Automático",ISNUMBER(Z20)),"Auto",IF(N(G20)&gt;0,"Manual","Sem cotação"))))</f>
        <v/>
      </c>
      <c r="J20" s="106" t="str">
        <f>IF(A20="","",N(E20)*H20)</f>
        <v/>
      </c>
      <c r="K20" s="107" t="str">
        <f>IF(A20="","",J20*W20)</f>
        <v/>
      </c>
      <c r="L20" s="108" t="str">
        <f>IF(A20="","",IF($K$6&gt;0,K20/$K$6,0))</f>
        <v/>
      </c>
      <c r="M20" s="109" t="str">
        <f>IF(A20="","",N(F20)-L20)</f>
        <v/>
      </c>
      <c r="N20" s="108" t="str">
        <f>IF(A20="","",IF($AB$6&gt;0,AB20/$AB$6,0))</f>
        <v/>
      </c>
      <c r="O20" s="110" t="str">
        <f>IF(A20="","",IF(AB20&lt;=0,"",COUNTIF($AB$9:$AB$208,"&gt;"&amp;AB20)+COUNTIF($AB$9:AB20,AB20)))</f>
        <v/>
      </c>
      <c r="P20" s="105" t="str">
        <f>IF(A20="","",IF(Q20&gt;0,"BUY","HOLD"))</f>
        <v/>
      </c>
      <c r="Q20" s="107" t="str">
        <f>IF(A20="","",IF($W$7&lt;=0,0,IF($AC$6&gt;0,$W$7*AC20/$AC$6,IF($F$6&gt;0,$W$7*N(F20)/$F$6,0))))</f>
        <v/>
      </c>
      <c r="R20" s="111" t="str">
        <f>IF(A20="","",N(AD20)+IF(AI20=1,N(AG20),0))</f>
        <v/>
      </c>
      <c r="S20" s="111" t="str">
        <f>IF(A20="","",N(E20)+N(R20))</f>
        <v/>
      </c>
      <c r="T20" s="107" t="str">
        <f>IF(A20="","",IF(N(R20)&gt;0,R20*H20*W20*$W$6+p_CorrFixa,0))</f>
        <v/>
      </c>
      <c r="V20" s="85" t="str">
        <f>IF(A20="","",IF(D20="",$W$1,D20))</f>
        <v/>
      </c>
      <c r="W20" s="85" t="str">
        <f>IF(A20="","",IFERROR(INDEX(moeda_fx,MATCH(V20,moeda_cod,0)),0))</f>
        <v/>
      </c>
      <c r="X20" s="85" t="str">
        <f>IF(A20="","",IF($W$2="",UPPER(TRIM(A20)),IF(RIGHT(UPPER(TRIM(A20)),LEN($W$2))=$W$2,UPPER(TRIM(A20)),UPPER(TRIM(A20))&amp;$W$2)))</f>
        <v/>
      </c>
      <c r="Y20" s="85" t="str">
        <f>IF(OR(A20="",p_ModoCot&lt;&gt;"Automático"),"",IFERROR(_xlfn.WEBSERVICE("https://query1.finance.yahoo.com/v8/finance/chart/"&amp;X20&amp;"?range=1d&amp;interval=1d"),""))</f>
        <v/>
      </c>
      <c r="Z20" s="85" t="str">
        <f>IF(Y20="","",IFERROR(_xlfn.NUMBERVALUE(MID(Y20,SEARCH("""regularMarketPrice"":",Y20)+21,SEARCH(",",Y20&amp;",",SEARCH("""regularMarketPrice"":",Y20)+21)-SEARCH("""regularMarketPrice"":",Y20)-21),".",","),""))</f>
        <v/>
      </c>
      <c r="AA20" s="85" t="str">
        <f>IF(A20="","",ROUND(MAX(0,N(F20)*($K$6+$W$7)-K20),2))</f>
        <v/>
      </c>
      <c r="AB20" s="85" t="str">
        <f>IF(A20="","",IF(AND(M20&gt;0,M20&gt;=p_DifMin),AA20,0))</f>
        <v/>
      </c>
      <c r="AC20" s="85" t="str">
        <f>IF(A20="","",IF(AND(AB20&gt;0,N(O20)&lt;=p_MaxAtivos),AB20,0))</f>
        <v/>
      </c>
      <c r="AD20" s="85" t="str">
        <f>IF(A20="","",IF(OR(Q20&lt;=0,Q20&lt;p_CompraMin,N(H20)&lt;=0,N(W20)&lt;=0),0,IF($W$3="Sim",TRUNC(ROUND(MAX(0,(Q20-p_CorrFixa)/(H20*W20*$W$6)),9),$W$4),TRUNC(ROUND(MAX(0,(Q20-p_CorrFixa)/(H20*W20*$W$6)),9)/$W$5)*$W$5)))</f>
        <v/>
      </c>
      <c r="AE20" s="85" t="str">
        <f>IF(A20="","",IF(N(AD20)&gt;0,AD20*H20*W20*$W$6+p_CorrFixa,0))</f>
        <v/>
      </c>
      <c r="AF20" s="85" t="str">
        <f>IF(A20="","",IF(OR($Y$1&lt;=0,N(H20)&lt;=0,N(W20)&lt;=0,N(AB20)&lt;=0),0,IF($W$3="Sim",TRUNC(ROUND(MAX(0,($Y$1-IF(N(AD20)&gt;0,0,p_CorrFixa))/(H20*W20*$W$6)),9),$W$4),TRUNC(ROUND(MAX(0,($Y$1-IF(N(AD20)&gt;0,0,p_CorrFixa))/(H20*W20*$W$6)),9)/$W$5)*$W$5)))</f>
        <v/>
      </c>
      <c r="AG20" s="85" t="str">
        <f>IF(A20="","",IF(AND(N(AD20)=0,N(AF20)*(H20*W20*$W$6)+p_CorrFixa&lt;p_CompraMin),0,AF20))</f>
        <v/>
      </c>
      <c r="AH20" s="85" t="str">
        <f>IF(A20="","",IF(N(AG20)&gt;0,AB20,0))</f>
        <v/>
      </c>
      <c r="AI20" s="85" t="str">
        <f>IF(A20="","",IF(AND(AH20&gt;0,AH20=$AH$6,COUNTIF($AH$9:AH20,AH20)=1),1,0))</f>
        <v/>
      </c>
    </row>
    <row r="21">
      <c r="A21" s="96" t="n"/>
      <c r="B21" s="96" t="n"/>
      <c r="C21" s="96" t="n"/>
      <c r="D21" s="97" t="n"/>
      <c r="E21" s="98" t="n"/>
      <c r="F21" s="99" t="n"/>
      <c r="G21" s="100" t="n"/>
      <c r="H21" s="101" t="str">
        <f>IF(A21="","",IF(AND(p_ModoCot="Automático",ISNUMBER(Z21)),Z21,IF(N(G21)&gt;0,G21,0)))</f>
        <v/>
      </c>
      <c r="I21" s="73" t="str">
        <f>IF(A21="","",IF(W21=0,"Sem câmbio",IF(AND(p_ModoCot="Automático",ISNUMBER(Z21)),"Auto",IF(N(G21)&gt;0,"Manual","Sem cotação"))))</f>
        <v/>
      </c>
      <c r="J21" s="102" t="str">
        <f>IF(A21="","",N(E21)*H21)</f>
        <v/>
      </c>
      <c r="K21" s="70" t="str">
        <f>IF(A21="","",J21*W21)</f>
        <v/>
      </c>
      <c r="L21" s="30" t="str">
        <f>IF(A21="","",IF($K$6&gt;0,K21/$K$6,0))</f>
        <v/>
      </c>
      <c r="M21" s="72" t="str">
        <f>IF(A21="","",N(F21)-L21)</f>
        <v/>
      </c>
      <c r="N21" s="30" t="str">
        <f>IF(A21="","",IF($AB$6&gt;0,AB21/$AB$6,0))</f>
        <v/>
      </c>
      <c r="O21" s="74" t="str">
        <f>IF(A21="","",IF(AB21&lt;=0,"",COUNTIF($AB$9:$AB$208,"&gt;"&amp;AB21)+COUNTIF($AB$9:AB21,AB21)))</f>
        <v/>
      </c>
      <c r="P21" s="73" t="str">
        <f>IF(A21="","",IF(Q21&gt;0,"BUY","HOLD"))</f>
        <v/>
      </c>
      <c r="Q21" s="70" t="str">
        <f>IF(A21="","",IF($W$7&lt;=0,0,IF($AC$6&gt;0,$W$7*AC21/$AC$6,IF($F$6&gt;0,$W$7*N(F21)/$F$6,0))))</f>
        <v/>
      </c>
      <c r="R21" s="103" t="str">
        <f>IF(A21="","",N(AD21)+IF(AI21=1,N(AG21),0))</f>
        <v/>
      </c>
      <c r="S21" s="103" t="str">
        <f>IF(A21="","",N(E21)+N(R21))</f>
        <v/>
      </c>
      <c r="T21" s="70" t="str">
        <f>IF(A21="","",IF(N(R21)&gt;0,R21*H21*W21*$W$6+p_CorrFixa,0))</f>
        <v/>
      </c>
      <c r="V21" s="85" t="str">
        <f>IF(A21="","",IF(D21="",$W$1,D21))</f>
        <v/>
      </c>
      <c r="W21" s="85" t="str">
        <f>IF(A21="","",IFERROR(INDEX(moeda_fx,MATCH(V21,moeda_cod,0)),0))</f>
        <v/>
      </c>
      <c r="X21" s="85" t="str">
        <f>IF(A21="","",IF($W$2="",UPPER(TRIM(A21)),IF(RIGHT(UPPER(TRIM(A21)),LEN($W$2))=$W$2,UPPER(TRIM(A21)),UPPER(TRIM(A21))&amp;$W$2)))</f>
        <v/>
      </c>
      <c r="Y21" s="85" t="str">
        <f>IF(OR(A21="",p_ModoCot&lt;&gt;"Automático"),"",IFERROR(_xlfn.WEBSERVICE("https://query1.finance.yahoo.com/v8/finance/chart/"&amp;X21&amp;"?range=1d&amp;interval=1d"),""))</f>
        <v/>
      </c>
      <c r="Z21" s="85" t="str">
        <f>IF(Y21="","",IFERROR(_xlfn.NUMBERVALUE(MID(Y21,SEARCH("""regularMarketPrice"":",Y21)+21,SEARCH(",",Y21&amp;",",SEARCH("""regularMarketPrice"":",Y21)+21)-SEARCH("""regularMarketPrice"":",Y21)-21),".",","),""))</f>
        <v/>
      </c>
      <c r="AA21" s="85" t="str">
        <f>IF(A21="","",ROUND(MAX(0,N(F21)*($K$6+$W$7)-K21),2))</f>
        <v/>
      </c>
      <c r="AB21" s="85" t="str">
        <f>IF(A21="","",IF(AND(M21&gt;0,M21&gt;=p_DifMin),AA21,0))</f>
        <v/>
      </c>
      <c r="AC21" s="85" t="str">
        <f>IF(A21="","",IF(AND(AB21&gt;0,N(O21)&lt;=p_MaxAtivos),AB21,0))</f>
        <v/>
      </c>
      <c r="AD21" s="85" t="str">
        <f>IF(A21="","",IF(OR(Q21&lt;=0,Q21&lt;p_CompraMin,N(H21)&lt;=0,N(W21)&lt;=0),0,IF($W$3="Sim",TRUNC(ROUND(MAX(0,(Q21-p_CorrFixa)/(H21*W21*$W$6)),9),$W$4),TRUNC(ROUND(MAX(0,(Q21-p_CorrFixa)/(H21*W21*$W$6)),9)/$W$5)*$W$5)))</f>
        <v/>
      </c>
      <c r="AE21" s="85" t="str">
        <f>IF(A21="","",IF(N(AD21)&gt;0,AD21*H21*W21*$W$6+p_CorrFixa,0))</f>
        <v/>
      </c>
      <c r="AF21" s="85" t="str">
        <f>IF(A21="","",IF(OR($Y$1&lt;=0,N(H21)&lt;=0,N(W21)&lt;=0,N(AB21)&lt;=0),0,IF($W$3="Sim",TRUNC(ROUND(MAX(0,($Y$1-IF(N(AD21)&gt;0,0,p_CorrFixa))/(H21*W21*$W$6)),9),$W$4),TRUNC(ROUND(MAX(0,($Y$1-IF(N(AD21)&gt;0,0,p_CorrFixa))/(H21*W21*$W$6)),9)/$W$5)*$W$5)))</f>
        <v/>
      </c>
      <c r="AG21" s="85" t="str">
        <f>IF(A21="","",IF(AND(N(AD21)=0,N(AF21)*(H21*W21*$W$6)+p_CorrFixa&lt;p_CompraMin),0,AF21))</f>
        <v/>
      </c>
      <c r="AH21" s="85" t="str">
        <f>IF(A21="","",IF(N(AG21)&gt;0,AB21,0))</f>
        <v/>
      </c>
      <c r="AI21" s="85" t="str">
        <f>IF(A21="","",IF(AND(AH21&gt;0,AH21=$AH$6,COUNTIF($AH$9:AH21,AH21)=1),1,0))</f>
        <v/>
      </c>
    </row>
    <row r="22">
      <c r="A22" s="96" t="n"/>
      <c r="B22" s="96" t="n"/>
      <c r="C22" s="96" t="n"/>
      <c r="D22" s="97" t="n"/>
      <c r="E22" s="98" t="n"/>
      <c r="F22" s="99" t="n"/>
      <c r="G22" s="100" t="n"/>
      <c r="H22" s="104" t="str">
        <f>IF(A22="","",IF(AND(p_ModoCot="Automático",ISNUMBER(Z22)),Z22,IF(N(G22)&gt;0,G22,0)))</f>
        <v/>
      </c>
      <c r="I22" s="105" t="str">
        <f>IF(A22="","",IF(W22=0,"Sem câmbio",IF(AND(p_ModoCot="Automático",ISNUMBER(Z22)),"Auto",IF(N(G22)&gt;0,"Manual","Sem cotação"))))</f>
        <v/>
      </c>
      <c r="J22" s="106" t="str">
        <f>IF(A22="","",N(E22)*H22)</f>
        <v/>
      </c>
      <c r="K22" s="107" t="str">
        <f>IF(A22="","",J22*W22)</f>
        <v/>
      </c>
      <c r="L22" s="108" t="str">
        <f>IF(A22="","",IF($K$6&gt;0,K22/$K$6,0))</f>
        <v/>
      </c>
      <c r="M22" s="109" t="str">
        <f>IF(A22="","",N(F22)-L22)</f>
        <v/>
      </c>
      <c r="N22" s="108" t="str">
        <f>IF(A22="","",IF($AB$6&gt;0,AB22/$AB$6,0))</f>
        <v/>
      </c>
      <c r="O22" s="110" t="str">
        <f>IF(A22="","",IF(AB22&lt;=0,"",COUNTIF($AB$9:$AB$208,"&gt;"&amp;AB22)+COUNTIF($AB$9:AB22,AB22)))</f>
        <v/>
      </c>
      <c r="P22" s="105" t="str">
        <f>IF(A22="","",IF(Q22&gt;0,"BUY","HOLD"))</f>
        <v/>
      </c>
      <c r="Q22" s="107" t="str">
        <f>IF(A22="","",IF($W$7&lt;=0,0,IF($AC$6&gt;0,$W$7*AC22/$AC$6,IF($F$6&gt;0,$W$7*N(F22)/$F$6,0))))</f>
        <v/>
      </c>
      <c r="R22" s="111" t="str">
        <f>IF(A22="","",N(AD22)+IF(AI22=1,N(AG22),0))</f>
        <v/>
      </c>
      <c r="S22" s="111" t="str">
        <f>IF(A22="","",N(E22)+N(R22))</f>
        <v/>
      </c>
      <c r="T22" s="107" t="str">
        <f>IF(A22="","",IF(N(R22)&gt;0,R22*H22*W22*$W$6+p_CorrFixa,0))</f>
        <v/>
      </c>
      <c r="V22" s="85" t="str">
        <f>IF(A22="","",IF(D22="",$W$1,D22))</f>
        <v/>
      </c>
      <c r="W22" s="85" t="str">
        <f>IF(A22="","",IFERROR(INDEX(moeda_fx,MATCH(V22,moeda_cod,0)),0))</f>
        <v/>
      </c>
      <c r="X22" s="85" t="str">
        <f>IF(A22="","",IF($W$2="",UPPER(TRIM(A22)),IF(RIGHT(UPPER(TRIM(A22)),LEN($W$2))=$W$2,UPPER(TRIM(A22)),UPPER(TRIM(A22))&amp;$W$2)))</f>
        <v/>
      </c>
      <c r="Y22" s="85" t="str">
        <f>IF(OR(A22="",p_ModoCot&lt;&gt;"Automático"),"",IFERROR(_xlfn.WEBSERVICE("https://query1.finance.yahoo.com/v8/finance/chart/"&amp;X22&amp;"?range=1d&amp;interval=1d"),""))</f>
        <v/>
      </c>
      <c r="Z22" s="85" t="str">
        <f>IF(Y22="","",IFERROR(_xlfn.NUMBERVALUE(MID(Y22,SEARCH("""regularMarketPrice"":",Y22)+21,SEARCH(",",Y22&amp;",",SEARCH("""regularMarketPrice"":",Y22)+21)-SEARCH("""regularMarketPrice"":",Y22)-21),".",","),""))</f>
        <v/>
      </c>
      <c r="AA22" s="85" t="str">
        <f>IF(A22="","",ROUND(MAX(0,N(F22)*($K$6+$W$7)-K22),2))</f>
        <v/>
      </c>
      <c r="AB22" s="85" t="str">
        <f>IF(A22="","",IF(AND(M22&gt;0,M22&gt;=p_DifMin),AA22,0))</f>
        <v/>
      </c>
      <c r="AC22" s="85" t="str">
        <f>IF(A22="","",IF(AND(AB22&gt;0,N(O22)&lt;=p_MaxAtivos),AB22,0))</f>
        <v/>
      </c>
      <c r="AD22" s="85" t="str">
        <f>IF(A22="","",IF(OR(Q22&lt;=0,Q22&lt;p_CompraMin,N(H22)&lt;=0,N(W22)&lt;=0),0,IF($W$3="Sim",TRUNC(ROUND(MAX(0,(Q22-p_CorrFixa)/(H22*W22*$W$6)),9),$W$4),TRUNC(ROUND(MAX(0,(Q22-p_CorrFixa)/(H22*W22*$W$6)),9)/$W$5)*$W$5)))</f>
        <v/>
      </c>
      <c r="AE22" s="85" t="str">
        <f>IF(A22="","",IF(N(AD22)&gt;0,AD22*H22*W22*$W$6+p_CorrFixa,0))</f>
        <v/>
      </c>
      <c r="AF22" s="85" t="str">
        <f>IF(A22="","",IF(OR($Y$1&lt;=0,N(H22)&lt;=0,N(W22)&lt;=0,N(AB22)&lt;=0),0,IF($W$3="Sim",TRUNC(ROUND(MAX(0,($Y$1-IF(N(AD22)&gt;0,0,p_CorrFixa))/(H22*W22*$W$6)),9),$W$4),TRUNC(ROUND(MAX(0,($Y$1-IF(N(AD22)&gt;0,0,p_CorrFixa))/(H22*W22*$W$6)),9)/$W$5)*$W$5)))</f>
        <v/>
      </c>
      <c r="AG22" s="85" t="str">
        <f>IF(A22="","",IF(AND(N(AD22)=0,N(AF22)*(H22*W22*$W$6)+p_CorrFixa&lt;p_CompraMin),0,AF22))</f>
        <v/>
      </c>
      <c r="AH22" s="85" t="str">
        <f>IF(A22="","",IF(N(AG22)&gt;0,AB22,0))</f>
        <v/>
      </c>
      <c r="AI22" s="85" t="str">
        <f>IF(A22="","",IF(AND(AH22&gt;0,AH22=$AH$6,COUNTIF($AH$9:AH22,AH22)=1),1,0))</f>
        <v/>
      </c>
    </row>
    <row r="23">
      <c r="A23" s="96" t="n"/>
      <c r="B23" s="96" t="n"/>
      <c r="C23" s="96" t="n"/>
      <c r="D23" s="97" t="n"/>
      <c r="E23" s="98" t="n"/>
      <c r="F23" s="99" t="n"/>
      <c r="G23" s="100" t="n"/>
      <c r="H23" s="101" t="str">
        <f>IF(A23="","",IF(AND(p_ModoCot="Automático",ISNUMBER(Z23)),Z23,IF(N(G23)&gt;0,G23,0)))</f>
        <v/>
      </c>
      <c r="I23" s="73" t="str">
        <f>IF(A23="","",IF(W23=0,"Sem câmbio",IF(AND(p_ModoCot="Automático",ISNUMBER(Z23)),"Auto",IF(N(G23)&gt;0,"Manual","Sem cotação"))))</f>
        <v/>
      </c>
      <c r="J23" s="102" t="str">
        <f>IF(A23="","",N(E23)*H23)</f>
        <v/>
      </c>
      <c r="K23" s="70" t="str">
        <f>IF(A23="","",J23*W23)</f>
        <v/>
      </c>
      <c r="L23" s="30" t="str">
        <f>IF(A23="","",IF($K$6&gt;0,K23/$K$6,0))</f>
        <v/>
      </c>
      <c r="M23" s="72" t="str">
        <f>IF(A23="","",N(F23)-L23)</f>
        <v/>
      </c>
      <c r="N23" s="30" t="str">
        <f>IF(A23="","",IF($AB$6&gt;0,AB23/$AB$6,0))</f>
        <v/>
      </c>
      <c r="O23" s="74" t="str">
        <f>IF(A23="","",IF(AB23&lt;=0,"",COUNTIF($AB$9:$AB$208,"&gt;"&amp;AB23)+COUNTIF($AB$9:AB23,AB23)))</f>
        <v/>
      </c>
      <c r="P23" s="73" t="str">
        <f>IF(A23="","",IF(Q23&gt;0,"BUY","HOLD"))</f>
        <v/>
      </c>
      <c r="Q23" s="70" t="str">
        <f>IF(A23="","",IF($W$7&lt;=0,0,IF($AC$6&gt;0,$W$7*AC23/$AC$6,IF($F$6&gt;0,$W$7*N(F23)/$F$6,0))))</f>
        <v/>
      </c>
      <c r="R23" s="103" t="str">
        <f>IF(A23="","",N(AD23)+IF(AI23=1,N(AG23),0))</f>
        <v/>
      </c>
      <c r="S23" s="103" t="str">
        <f>IF(A23="","",N(E23)+N(R23))</f>
        <v/>
      </c>
      <c r="T23" s="70" t="str">
        <f>IF(A23="","",IF(N(R23)&gt;0,R23*H23*W23*$W$6+p_CorrFixa,0))</f>
        <v/>
      </c>
      <c r="V23" s="85" t="str">
        <f>IF(A23="","",IF(D23="",$W$1,D23))</f>
        <v/>
      </c>
      <c r="W23" s="85" t="str">
        <f>IF(A23="","",IFERROR(INDEX(moeda_fx,MATCH(V23,moeda_cod,0)),0))</f>
        <v/>
      </c>
      <c r="X23" s="85" t="str">
        <f>IF(A23="","",IF($W$2="",UPPER(TRIM(A23)),IF(RIGHT(UPPER(TRIM(A23)),LEN($W$2))=$W$2,UPPER(TRIM(A23)),UPPER(TRIM(A23))&amp;$W$2)))</f>
        <v/>
      </c>
      <c r="Y23" s="85" t="str">
        <f>IF(OR(A23="",p_ModoCot&lt;&gt;"Automático"),"",IFERROR(_xlfn.WEBSERVICE("https://query1.finance.yahoo.com/v8/finance/chart/"&amp;X23&amp;"?range=1d&amp;interval=1d"),""))</f>
        <v/>
      </c>
      <c r="Z23" s="85" t="str">
        <f>IF(Y23="","",IFERROR(_xlfn.NUMBERVALUE(MID(Y23,SEARCH("""regularMarketPrice"":",Y23)+21,SEARCH(",",Y23&amp;",",SEARCH("""regularMarketPrice"":",Y23)+21)-SEARCH("""regularMarketPrice"":",Y23)-21),".",","),""))</f>
        <v/>
      </c>
      <c r="AA23" s="85" t="str">
        <f>IF(A23="","",ROUND(MAX(0,N(F23)*($K$6+$W$7)-K23),2))</f>
        <v/>
      </c>
      <c r="AB23" s="85" t="str">
        <f>IF(A23="","",IF(AND(M23&gt;0,M23&gt;=p_DifMin),AA23,0))</f>
        <v/>
      </c>
      <c r="AC23" s="85" t="str">
        <f>IF(A23="","",IF(AND(AB23&gt;0,N(O23)&lt;=p_MaxAtivos),AB23,0))</f>
        <v/>
      </c>
      <c r="AD23" s="85" t="str">
        <f>IF(A23="","",IF(OR(Q23&lt;=0,Q23&lt;p_CompraMin,N(H23)&lt;=0,N(W23)&lt;=0),0,IF($W$3="Sim",TRUNC(ROUND(MAX(0,(Q23-p_CorrFixa)/(H23*W23*$W$6)),9),$W$4),TRUNC(ROUND(MAX(0,(Q23-p_CorrFixa)/(H23*W23*$W$6)),9)/$W$5)*$W$5)))</f>
        <v/>
      </c>
      <c r="AE23" s="85" t="str">
        <f>IF(A23="","",IF(N(AD23)&gt;0,AD23*H23*W23*$W$6+p_CorrFixa,0))</f>
        <v/>
      </c>
      <c r="AF23" s="85" t="str">
        <f>IF(A23="","",IF(OR($Y$1&lt;=0,N(H23)&lt;=0,N(W23)&lt;=0,N(AB23)&lt;=0),0,IF($W$3="Sim",TRUNC(ROUND(MAX(0,($Y$1-IF(N(AD23)&gt;0,0,p_CorrFixa))/(H23*W23*$W$6)),9),$W$4),TRUNC(ROUND(MAX(0,($Y$1-IF(N(AD23)&gt;0,0,p_CorrFixa))/(H23*W23*$W$6)),9)/$W$5)*$W$5)))</f>
        <v/>
      </c>
      <c r="AG23" s="85" t="str">
        <f>IF(A23="","",IF(AND(N(AD23)=0,N(AF23)*(H23*W23*$W$6)+p_CorrFixa&lt;p_CompraMin),0,AF23))</f>
        <v/>
      </c>
      <c r="AH23" s="85" t="str">
        <f>IF(A23="","",IF(N(AG23)&gt;0,AB23,0))</f>
        <v/>
      </c>
      <c r="AI23" s="85" t="str">
        <f>IF(A23="","",IF(AND(AH23&gt;0,AH23=$AH$6,COUNTIF($AH$9:AH23,AH23)=1),1,0))</f>
        <v/>
      </c>
    </row>
    <row r="24">
      <c r="A24" s="96" t="n"/>
      <c r="B24" s="96" t="n"/>
      <c r="C24" s="96" t="n"/>
      <c r="D24" s="97" t="n"/>
      <c r="E24" s="98" t="n"/>
      <c r="F24" s="99" t="n"/>
      <c r="G24" s="100" t="n"/>
      <c r="H24" s="104" t="str">
        <f>IF(A24="","",IF(AND(p_ModoCot="Automático",ISNUMBER(Z24)),Z24,IF(N(G24)&gt;0,G24,0)))</f>
        <v/>
      </c>
      <c r="I24" s="105" t="str">
        <f>IF(A24="","",IF(W24=0,"Sem câmbio",IF(AND(p_ModoCot="Automático",ISNUMBER(Z24)),"Auto",IF(N(G24)&gt;0,"Manual","Sem cotação"))))</f>
        <v/>
      </c>
      <c r="J24" s="106" t="str">
        <f>IF(A24="","",N(E24)*H24)</f>
        <v/>
      </c>
      <c r="K24" s="107" t="str">
        <f>IF(A24="","",J24*W24)</f>
        <v/>
      </c>
      <c r="L24" s="108" t="str">
        <f>IF(A24="","",IF($K$6&gt;0,K24/$K$6,0))</f>
        <v/>
      </c>
      <c r="M24" s="109" t="str">
        <f>IF(A24="","",N(F24)-L24)</f>
        <v/>
      </c>
      <c r="N24" s="108" t="str">
        <f>IF(A24="","",IF($AB$6&gt;0,AB24/$AB$6,0))</f>
        <v/>
      </c>
      <c r="O24" s="110" t="str">
        <f>IF(A24="","",IF(AB24&lt;=0,"",COUNTIF($AB$9:$AB$208,"&gt;"&amp;AB24)+COUNTIF($AB$9:AB24,AB24)))</f>
        <v/>
      </c>
      <c r="P24" s="105" t="str">
        <f>IF(A24="","",IF(Q24&gt;0,"BUY","HOLD"))</f>
        <v/>
      </c>
      <c r="Q24" s="107" t="str">
        <f>IF(A24="","",IF($W$7&lt;=0,0,IF($AC$6&gt;0,$W$7*AC24/$AC$6,IF($F$6&gt;0,$W$7*N(F24)/$F$6,0))))</f>
        <v/>
      </c>
      <c r="R24" s="111" t="str">
        <f>IF(A24="","",N(AD24)+IF(AI24=1,N(AG24),0))</f>
        <v/>
      </c>
      <c r="S24" s="111" t="str">
        <f>IF(A24="","",N(E24)+N(R24))</f>
        <v/>
      </c>
      <c r="T24" s="107" t="str">
        <f>IF(A24="","",IF(N(R24)&gt;0,R24*H24*W24*$W$6+p_CorrFixa,0))</f>
        <v/>
      </c>
      <c r="V24" s="85" t="str">
        <f>IF(A24="","",IF(D24="",$W$1,D24))</f>
        <v/>
      </c>
      <c r="W24" s="85" t="str">
        <f>IF(A24="","",IFERROR(INDEX(moeda_fx,MATCH(V24,moeda_cod,0)),0))</f>
        <v/>
      </c>
      <c r="X24" s="85" t="str">
        <f>IF(A24="","",IF($W$2="",UPPER(TRIM(A24)),IF(RIGHT(UPPER(TRIM(A24)),LEN($W$2))=$W$2,UPPER(TRIM(A24)),UPPER(TRIM(A24))&amp;$W$2)))</f>
        <v/>
      </c>
      <c r="Y24" s="85" t="str">
        <f>IF(OR(A24="",p_ModoCot&lt;&gt;"Automático"),"",IFERROR(_xlfn.WEBSERVICE("https://query1.finance.yahoo.com/v8/finance/chart/"&amp;X24&amp;"?range=1d&amp;interval=1d"),""))</f>
        <v/>
      </c>
      <c r="Z24" s="85" t="str">
        <f>IF(Y24="","",IFERROR(_xlfn.NUMBERVALUE(MID(Y24,SEARCH("""regularMarketPrice"":",Y24)+21,SEARCH(",",Y24&amp;",",SEARCH("""regularMarketPrice"":",Y24)+21)-SEARCH("""regularMarketPrice"":",Y24)-21),".",","),""))</f>
        <v/>
      </c>
      <c r="AA24" s="85" t="str">
        <f>IF(A24="","",ROUND(MAX(0,N(F24)*($K$6+$W$7)-K24),2))</f>
        <v/>
      </c>
      <c r="AB24" s="85" t="str">
        <f>IF(A24="","",IF(AND(M24&gt;0,M24&gt;=p_DifMin),AA24,0))</f>
        <v/>
      </c>
      <c r="AC24" s="85" t="str">
        <f>IF(A24="","",IF(AND(AB24&gt;0,N(O24)&lt;=p_MaxAtivos),AB24,0))</f>
        <v/>
      </c>
      <c r="AD24" s="85" t="str">
        <f>IF(A24="","",IF(OR(Q24&lt;=0,Q24&lt;p_CompraMin,N(H24)&lt;=0,N(W24)&lt;=0),0,IF($W$3="Sim",TRUNC(ROUND(MAX(0,(Q24-p_CorrFixa)/(H24*W24*$W$6)),9),$W$4),TRUNC(ROUND(MAX(0,(Q24-p_CorrFixa)/(H24*W24*$W$6)),9)/$W$5)*$W$5)))</f>
        <v/>
      </c>
      <c r="AE24" s="85" t="str">
        <f>IF(A24="","",IF(N(AD24)&gt;0,AD24*H24*W24*$W$6+p_CorrFixa,0))</f>
        <v/>
      </c>
      <c r="AF24" s="85" t="str">
        <f>IF(A24="","",IF(OR($Y$1&lt;=0,N(H24)&lt;=0,N(W24)&lt;=0,N(AB24)&lt;=0),0,IF($W$3="Sim",TRUNC(ROUND(MAX(0,($Y$1-IF(N(AD24)&gt;0,0,p_CorrFixa))/(H24*W24*$W$6)),9),$W$4),TRUNC(ROUND(MAX(0,($Y$1-IF(N(AD24)&gt;0,0,p_CorrFixa))/(H24*W24*$W$6)),9)/$W$5)*$W$5)))</f>
        <v/>
      </c>
      <c r="AG24" s="85" t="str">
        <f>IF(A24="","",IF(AND(N(AD24)=0,N(AF24)*(H24*W24*$W$6)+p_CorrFixa&lt;p_CompraMin),0,AF24))</f>
        <v/>
      </c>
      <c r="AH24" s="85" t="str">
        <f>IF(A24="","",IF(N(AG24)&gt;0,AB24,0))</f>
        <v/>
      </c>
      <c r="AI24" s="85" t="str">
        <f>IF(A24="","",IF(AND(AH24&gt;0,AH24=$AH$6,COUNTIF($AH$9:AH24,AH24)=1),1,0))</f>
        <v/>
      </c>
    </row>
    <row r="25">
      <c r="A25" s="96" t="n"/>
      <c r="B25" s="96" t="n"/>
      <c r="C25" s="96" t="n"/>
      <c r="D25" s="97" t="n"/>
      <c r="E25" s="98" t="n"/>
      <c r="F25" s="99" t="n"/>
      <c r="G25" s="100" t="n"/>
      <c r="H25" s="101" t="str">
        <f>IF(A25="","",IF(AND(p_ModoCot="Automático",ISNUMBER(Z25)),Z25,IF(N(G25)&gt;0,G25,0)))</f>
        <v/>
      </c>
      <c r="I25" s="73" t="str">
        <f>IF(A25="","",IF(W25=0,"Sem câmbio",IF(AND(p_ModoCot="Automático",ISNUMBER(Z25)),"Auto",IF(N(G25)&gt;0,"Manual","Sem cotação"))))</f>
        <v/>
      </c>
      <c r="J25" s="102" t="str">
        <f>IF(A25="","",N(E25)*H25)</f>
        <v/>
      </c>
      <c r="K25" s="70" t="str">
        <f>IF(A25="","",J25*W25)</f>
        <v/>
      </c>
      <c r="L25" s="30" t="str">
        <f>IF(A25="","",IF($K$6&gt;0,K25/$K$6,0))</f>
        <v/>
      </c>
      <c r="M25" s="72" t="str">
        <f>IF(A25="","",N(F25)-L25)</f>
        <v/>
      </c>
      <c r="N25" s="30" t="str">
        <f>IF(A25="","",IF($AB$6&gt;0,AB25/$AB$6,0))</f>
        <v/>
      </c>
      <c r="O25" s="74" t="str">
        <f>IF(A25="","",IF(AB25&lt;=0,"",COUNTIF($AB$9:$AB$208,"&gt;"&amp;AB25)+COUNTIF($AB$9:AB25,AB25)))</f>
        <v/>
      </c>
      <c r="P25" s="73" t="str">
        <f>IF(A25="","",IF(Q25&gt;0,"BUY","HOLD"))</f>
        <v/>
      </c>
      <c r="Q25" s="70" t="str">
        <f>IF(A25="","",IF($W$7&lt;=0,0,IF($AC$6&gt;0,$W$7*AC25/$AC$6,IF($F$6&gt;0,$W$7*N(F25)/$F$6,0))))</f>
        <v/>
      </c>
      <c r="R25" s="103" t="str">
        <f>IF(A25="","",N(AD25)+IF(AI25=1,N(AG25),0))</f>
        <v/>
      </c>
      <c r="S25" s="103" t="str">
        <f>IF(A25="","",N(E25)+N(R25))</f>
        <v/>
      </c>
      <c r="T25" s="70" t="str">
        <f>IF(A25="","",IF(N(R25)&gt;0,R25*H25*W25*$W$6+p_CorrFixa,0))</f>
        <v/>
      </c>
      <c r="V25" s="85" t="str">
        <f>IF(A25="","",IF(D25="",$W$1,D25))</f>
        <v/>
      </c>
      <c r="W25" s="85" t="str">
        <f>IF(A25="","",IFERROR(INDEX(moeda_fx,MATCH(V25,moeda_cod,0)),0))</f>
        <v/>
      </c>
      <c r="X25" s="85" t="str">
        <f>IF(A25="","",IF($W$2="",UPPER(TRIM(A25)),IF(RIGHT(UPPER(TRIM(A25)),LEN($W$2))=$W$2,UPPER(TRIM(A25)),UPPER(TRIM(A25))&amp;$W$2)))</f>
        <v/>
      </c>
      <c r="Y25" s="85" t="str">
        <f>IF(OR(A25="",p_ModoCot&lt;&gt;"Automático"),"",IFERROR(_xlfn.WEBSERVICE("https://query1.finance.yahoo.com/v8/finance/chart/"&amp;X25&amp;"?range=1d&amp;interval=1d"),""))</f>
        <v/>
      </c>
      <c r="Z25" s="85" t="str">
        <f>IF(Y25="","",IFERROR(_xlfn.NUMBERVALUE(MID(Y25,SEARCH("""regularMarketPrice"":",Y25)+21,SEARCH(",",Y25&amp;",",SEARCH("""regularMarketPrice"":",Y25)+21)-SEARCH("""regularMarketPrice"":",Y25)-21),".",","),""))</f>
        <v/>
      </c>
      <c r="AA25" s="85" t="str">
        <f>IF(A25="","",ROUND(MAX(0,N(F25)*($K$6+$W$7)-K25),2))</f>
        <v/>
      </c>
      <c r="AB25" s="85" t="str">
        <f>IF(A25="","",IF(AND(M25&gt;0,M25&gt;=p_DifMin),AA25,0))</f>
        <v/>
      </c>
      <c r="AC25" s="85" t="str">
        <f>IF(A25="","",IF(AND(AB25&gt;0,N(O25)&lt;=p_MaxAtivos),AB25,0))</f>
        <v/>
      </c>
      <c r="AD25" s="85" t="str">
        <f>IF(A25="","",IF(OR(Q25&lt;=0,Q25&lt;p_CompraMin,N(H25)&lt;=0,N(W25)&lt;=0),0,IF($W$3="Sim",TRUNC(ROUND(MAX(0,(Q25-p_CorrFixa)/(H25*W25*$W$6)),9),$W$4),TRUNC(ROUND(MAX(0,(Q25-p_CorrFixa)/(H25*W25*$W$6)),9)/$W$5)*$W$5)))</f>
        <v/>
      </c>
      <c r="AE25" s="85" t="str">
        <f>IF(A25="","",IF(N(AD25)&gt;0,AD25*H25*W25*$W$6+p_CorrFixa,0))</f>
        <v/>
      </c>
      <c r="AF25" s="85" t="str">
        <f>IF(A25="","",IF(OR($Y$1&lt;=0,N(H25)&lt;=0,N(W25)&lt;=0,N(AB25)&lt;=0),0,IF($W$3="Sim",TRUNC(ROUND(MAX(0,($Y$1-IF(N(AD25)&gt;0,0,p_CorrFixa))/(H25*W25*$W$6)),9),$W$4),TRUNC(ROUND(MAX(0,($Y$1-IF(N(AD25)&gt;0,0,p_CorrFixa))/(H25*W25*$W$6)),9)/$W$5)*$W$5)))</f>
        <v/>
      </c>
      <c r="AG25" s="85" t="str">
        <f>IF(A25="","",IF(AND(N(AD25)=0,N(AF25)*(H25*W25*$W$6)+p_CorrFixa&lt;p_CompraMin),0,AF25))</f>
        <v/>
      </c>
      <c r="AH25" s="85" t="str">
        <f>IF(A25="","",IF(N(AG25)&gt;0,AB25,0))</f>
        <v/>
      </c>
      <c r="AI25" s="85" t="str">
        <f>IF(A25="","",IF(AND(AH25&gt;0,AH25=$AH$6,COUNTIF($AH$9:AH25,AH25)=1),1,0))</f>
        <v/>
      </c>
    </row>
    <row r="26">
      <c r="A26" s="96" t="n"/>
      <c r="B26" s="96" t="n"/>
      <c r="C26" s="96" t="n"/>
      <c r="D26" s="97" t="n"/>
      <c r="E26" s="98" t="n"/>
      <c r="F26" s="99" t="n"/>
      <c r="G26" s="100" t="n"/>
      <c r="H26" s="104" t="str">
        <f>IF(A26="","",IF(AND(p_ModoCot="Automático",ISNUMBER(Z26)),Z26,IF(N(G26)&gt;0,G26,0)))</f>
        <v/>
      </c>
      <c r="I26" s="105" t="str">
        <f>IF(A26="","",IF(W26=0,"Sem câmbio",IF(AND(p_ModoCot="Automático",ISNUMBER(Z26)),"Auto",IF(N(G26)&gt;0,"Manual","Sem cotação"))))</f>
        <v/>
      </c>
      <c r="J26" s="106" t="str">
        <f>IF(A26="","",N(E26)*H26)</f>
        <v/>
      </c>
      <c r="K26" s="107" t="str">
        <f>IF(A26="","",J26*W26)</f>
        <v/>
      </c>
      <c r="L26" s="108" t="str">
        <f>IF(A26="","",IF($K$6&gt;0,K26/$K$6,0))</f>
        <v/>
      </c>
      <c r="M26" s="109" t="str">
        <f>IF(A26="","",N(F26)-L26)</f>
        <v/>
      </c>
      <c r="N26" s="108" t="str">
        <f>IF(A26="","",IF($AB$6&gt;0,AB26/$AB$6,0))</f>
        <v/>
      </c>
      <c r="O26" s="110" t="str">
        <f>IF(A26="","",IF(AB26&lt;=0,"",COUNTIF($AB$9:$AB$208,"&gt;"&amp;AB26)+COUNTIF($AB$9:AB26,AB26)))</f>
        <v/>
      </c>
      <c r="P26" s="105" t="str">
        <f>IF(A26="","",IF(Q26&gt;0,"BUY","HOLD"))</f>
        <v/>
      </c>
      <c r="Q26" s="107" t="str">
        <f>IF(A26="","",IF($W$7&lt;=0,0,IF($AC$6&gt;0,$W$7*AC26/$AC$6,IF($F$6&gt;0,$W$7*N(F26)/$F$6,0))))</f>
        <v/>
      </c>
      <c r="R26" s="111" t="str">
        <f>IF(A26="","",N(AD26)+IF(AI26=1,N(AG26),0))</f>
        <v/>
      </c>
      <c r="S26" s="111" t="str">
        <f>IF(A26="","",N(E26)+N(R26))</f>
        <v/>
      </c>
      <c r="T26" s="107" t="str">
        <f>IF(A26="","",IF(N(R26)&gt;0,R26*H26*W26*$W$6+p_CorrFixa,0))</f>
        <v/>
      </c>
      <c r="V26" s="85" t="str">
        <f>IF(A26="","",IF(D26="",$W$1,D26))</f>
        <v/>
      </c>
      <c r="W26" s="85" t="str">
        <f>IF(A26="","",IFERROR(INDEX(moeda_fx,MATCH(V26,moeda_cod,0)),0))</f>
        <v/>
      </c>
      <c r="X26" s="85" t="str">
        <f>IF(A26="","",IF($W$2="",UPPER(TRIM(A26)),IF(RIGHT(UPPER(TRIM(A26)),LEN($W$2))=$W$2,UPPER(TRIM(A26)),UPPER(TRIM(A26))&amp;$W$2)))</f>
        <v/>
      </c>
      <c r="Y26" s="85" t="str">
        <f>IF(OR(A26="",p_ModoCot&lt;&gt;"Automático"),"",IFERROR(_xlfn.WEBSERVICE("https://query1.finance.yahoo.com/v8/finance/chart/"&amp;X26&amp;"?range=1d&amp;interval=1d"),""))</f>
        <v/>
      </c>
      <c r="Z26" s="85" t="str">
        <f>IF(Y26="","",IFERROR(_xlfn.NUMBERVALUE(MID(Y26,SEARCH("""regularMarketPrice"":",Y26)+21,SEARCH(",",Y26&amp;",",SEARCH("""regularMarketPrice"":",Y26)+21)-SEARCH("""regularMarketPrice"":",Y26)-21),".",","),""))</f>
        <v/>
      </c>
      <c r="AA26" s="85" t="str">
        <f>IF(A26="","",ROUND(MAX(0,N(F26)*($K$6+$W$7)-K26),2))</f>
        <v/>
      </c>
      <c r="AB26" s="85" t="str">
        <f>IF(A26="","",IF(AND(M26&gt;0,M26&gt;=p_DifMin),AA26,0))</f>
        <v/>
      </c>
      <c r="AC26" s="85" t="str">
        <f>IF(A26="","",IF(AND(AB26&gt;0,N(O26)&lt;=p_MaxAtivos),AB26,0))</f>
        <v/>
      </c>
      <c r="AD26" s="85" t="str">
        <f>IF(A26="","",IF(OR(Q26&lt;=0,Q26&lt;p_CompraMin,N(H26)&lt;=0,N(W26)&lt;=0),0,IF($W$3="Sim",TRUNC(ROUND(MAX(0,(Q26-p_CorrFixa)/(H26*W26*$W$6)),9),$W$4),TRUNC(ROUND(MAX(0,(Q26-p_CorrFixa)/(H26*W26*$W$6)),9)/$W$5)*$W$5)))</f>
        <v/>
      </c>
      <c r="AE26" s="85" t="str">
        <f>IF(A26="","",IF(N(AD26)&gt;0,AD26*H26*W26*$W$6+p_CorrFixa,0))</f>
        <v/>
      </c>
      <c r="AF26" s="85" t="str">
        <f>IF(A26="","",IF(OR($Y$1&lt;=0,N(H26)&lt;=0,N(W26)&lt;=0,N(AB26)&lt;=0),0,IF($W$3="Sim",TRUNC(ROUND(MAX(0,($Y$1-IF(N(AD26)&gt;0,0,p_CorrFixa))/(H26*W26*$W$6)),9),$W$4),TRUNC(ROUND(MAX(0,($Y$1-IF(N(AD26)&gt;0,0,p_CorrFixa))/(H26*W26*$W$6)),9)/$W$5)*$W$5)))</f>
        <v/>
      </c>
      <c r="AG26" s="85" t="str">
        <f>IF(A26="","",IF(AND(N(AD26)=0,N(AF26)*(H26*W26*$W$6)+p_CorrFixa&lt;p_CompraMin),0,AF26))</f>
        <v/>
      </c>
      <c r="AH26" s="85" t="str">
        <f>IF(A26="","",IF(N(AG26)&gt;0,AB26,0))</f>
        <v/>
      </c>
      <c r="AI26" s="85" t="str">
        <f>IF(A26="","",IF(AND(AH26&gt;0,AH26=$AH$6,COUNTIF($AH$9:AH26,AH26)=1),1,0))</f>
        <v/>
      </c>
    </row>
    <row r="27">
      <c r="A27" s="96" t="n"/>
      <c r="B27" s="96" t="n"/>
      <c r="C27" s="96" t="n"/>
      <c r="D27" s="97" t="n"/>
      <c r="E27" s="98" t="n"/>
      <c r="F27" s="99" t="n"/>
      <c r="G27" s="100" t="n"/>
      <c r="H27" s="101" t="str">
        <f>IF(A27="","",IF(AND(p_ModoCot="Automático",ISNUMBER(Z27)),Z27,IF(N(G27)&gt;0,G27,0)))</f>
        <v/>
      </c>
      <c r="I27" s="73" t="str">
        <f>IF(A27="","",IF(W27=0,"Sem câmbio",IF(AND(p_ModoCot="Automático",ISNUMBER(Z27)),"Auto",IF(N(G27)&gt;0,"Manual","Sem cotação"))))</f>
        <v/>
      </c>
      <c r="J27" s="102" t="str">
        <f>IF(A27="","",N(E27)*H27)</f>
        <v/>
      </c>
      <c r="K27" s="70" t="str">
        <f>IF(A27="","",J27*W27)</f>
        <v/>
      </c>
      <c r="L27" s="30" t="str">
        <f>IF(A27="","",IF($K$6&gt;0,K27/$K$6,0))</f>
        <v/>
      </c>
      <c r="M27" s="72" t="str">
        <f>IF(A27="","",N(F27)-L27)</f>
        <v/>
      </c>
      <c r="N27" s="30" t="str">
        <f>IF(A27="","",IF($AB$6&gt;0,AB27/$AB$6,0))</f>
        <v/>
      </c>
      <c r="O27" s="74" t="str">
        <f>IF(A27="","",IF(AB27&lt;=0,"",COUNTIF($AB$9:$AB$208,"&gt;"&amp;AB27)+COUNTIF($AB$9:AB27,AB27)))</f>
        <v/>
      </c>
      <c r="P27" s="73" t="str">
        <f>IF(A27="","",IF(Q27&gt;0,"BUY","HOLD"))</f>
        <v/>
      </c>
      <c r="Q27" s="70" t="str">
        <f>IF(A27="","",IF($W$7&lt;=0,0,IF($AC$6&gt;0,$W$7*AC27/$AC$6,IF($F$6&gt;0,$W$7*N(F27)/$F$6,0))))</f>
        <v/>
      </c>
      <c r="R27" s="103" t="str">
        <f>IF(A27="","",N(AD27)+IF(AI27=1,N(AG27),0))</f>
        <v/>
      </c>
      <c r="S27" s="103" t="str">
        <f>IF(A27="","",N(E27)+N(R27))</f>
        <v/>
      </c>
      <c r="T27" s="70" t="str">
        <f>IF(A27="","",IF(N(R27)&gt;0,R27*H27*W27*$W$6+p_CorrFixa,0))</f>
        <v/>
      </c>
      <c r="V27" s="85" t="str">
        <f>IF(A27="","",IF(D27="",$W$1,D27))</f>
        <v/>
      </c>
      <c r="W27" s="85" t="str">
        <f>IF(A27="","",IFERROR(INDEX(moeda_fx,MATCH(V27,moeda_cod,0)),0))</f>
        <v/>
      </c>
      <c r="X27" s="85" t="str">
        <f>IF(A27="","",IF($W$2="",UPPER(TRIM(A27)),IF(RIGHT(UPPER(TRIM(A27)),LEN($W$2))=$W$2,UPPER(TRIM(A27)),UPPER(TRIM(A27))&amp;$W$2)))</f>
        <v/>
      </c>
      <c r="Y27" s="85" t="str">
        <f>IF(OR(A27="",p_ModoCot&lt;&gt;"Automático"),"",IFERROR(_xlfn.WEBSERVICE("https://query1.finance.yahoo.com/v8/finance/chart/"&amp;X27&amp;"?range=1d&amp;interval=1d"),""))</f>
        <v/>
      </c>
      <c r="Z27" s="85" t="str">
        <f>IF(Y27="","",IFERROR(_xlfn.NUMBERVALUE(MID(Y27,SEARCH("""regularMarketPrice"":",Y27)+21,SEARCH(",",Y27&amp;",",SEARCH("""regularMarketPrice"":",Y27)+21)-SEARCH("""regularMarketPrice"":",Y27)-21),".",","),""))</f>
        <v/>
      </c>
      <c r="AA27" s="85" t="str">
        <f>IF(A27="","",ROUND(MAX(0,N(F27)*($K$6+$W$7)-K27),2))</f>
        <v/>
      </c>
      <c r="AB27" s="85" t="str">
        <f>IF(A27="","",IF(AND(M27&gt;0,M27&gt;=p_DifMin),AA27,0))</f>
        <v/>
      </c>
      <c r="AC27" s="85" t="str">
        <f>IF(A27="","",IF(AND(AB27&gt;0,N(O27)&lt;=p_MaxAtivos),AB27,0))</f>
        <v/>
      </c>
      <c r="AD27" s="85" t="str">
        <f>IF(A27="","",IF(OR(Q27&lt;=0,Q27&lt;p_CompraMin,N(H27)&lt;=0,N(W27)&lt;=0),0,IF($W$3="Sim",TRUNC(ROUND(MAX(0,(Q27-p_CorrFixa)/(H27*W27*$W$6)),9),$W$4),TRUNC(ROUND(MAX(0,(Q27-p_CorrFixa)/(H27*W27*$W$6)),9)/$W$5)*$W$5)))</f>
        <v/>
      </c>
      <c r="AE27" s="85" t="str">
        <f>IF(A27="","",IF(N(AD27)&gt;0,AD27*H27*W27*$W$6+p_CorrFixa,0))</f>
        <v/>
      </c>
      <c r="AF27" s="85" t="str">
        <f>IF(A27="","",IF(OR($Y$1&lt;=0,N(H27)&lt;=0,N(W27)&lt;=0,N(AB27)&lt;=0),0,IF($W$3="Sim",TRUNC(ROUND(MAX(0,($Y$1-IF(N(AD27)&gt;0,0,p_CorrFixa))/(H27*W27*$W$6)),9),$W$4),TRUNC(ROUND(MAX(0,($Y$1-IF(N(AD27)&gt;0,0,p_CorrFixa))/(H27*W27*$W$6)),9)/$W$5)*$W$5)))</f>
        <v/>
      </c>
      <c r="AG27" s="85" t="str">
        <f>IF(A27="","",IF(AND(N(AD27)=0,N(AF27)*(H27*W27*$W$6)+p_CorrFixa&lt;p_CompraMin),0,AF27))</f>
        <v/>
      </c>
      <c r="AH27" s="85" t="str">
        <f>IF(A27="","",IF(N(AG27)&gt;0,AB27,0))</f>
        <v/>
      </c>
      <c r="AI27" s="85" t="str">
        <f>IF(A27="","",IF(AND(AH27&gt;0,AH27=$AH$6,COUNTIF($AH$9:AH27,AH27)=1),1,0))</f>
        <v/>
      </c>
    </row>
    <row r="28">
      <c r="A28" s="96" t="n"/>
      <c r="B28" s="96" t="n"/>
      <c r="C28" s="96" t="n"/>
      <c r="D28" s="97" t="n"/>
      <c r="E28" s="98" t="n"/>
      <c r="F28" s="99" t="n"/>
      <c r="G28" s="100" t="n"/>
      <c r="H28" s="104" t="str">
        <f>IF(A28="","",IF(AND(p_ModoCot="Automático",ISNUMBER(Z28)),Z28,IF(N(G28)&gt;0,G28,0)))</f>
        <v/>
      </c>
      <c r="I28" s="105" t="str">
        <f>IF(A28="","",IF(W28=0,"Sem câmbio",IF(AND(p_ModoCot="Automático",ISNUMBER(Z28)),"Auto",IF(N(G28)&gt;0,"Manual","Sem cotação"))))</f>
        <v/>
      </c>
      <c r="J28" s="106" t="str">
        <f>IF(A28="","",N(E28)*H28)</f>
        <v/>
      </c>
      <c r="K28" s="107" t="str">
        <f>IF(A28="","",J28*W28)</f>
        <v/>
      </c>
      <c r="L28" s="108" t="str">
        <f>IF(A28="","",IF($K$6&gt;0,K28/$K$6,0))</f>
        <v/>
      </c>
      <c r="M28" s="109" t="str">
        <f>IF(A28="","",N(F28)-L28)</f>
        <v/>
      </c>
      <c r="N28" s="108" t="str">
        <f>IF(A28="","",IF($AB$6&gt;0,AB28/$AB$6,0))</f>
        <v/>
      </c>
      <c r="O28" s="110" t="str">
        <f>IF(A28="","",IF(AB28&lt;=0,"",COUNTIF($AB$9:$AB$208,"&gt;"&amp;AB28)+COUNTIF($AB$9:AB28,AB28)))</f>
        <v/>
      </c>
      <c r="P28" s="105" t="str">
        <f>IF(A28="","",IF(Q28&gt;0,"BUY","HOLD"))</f>
        <v/>
      </c>
      <c r="Q28" s="107" t="str">
        <f>IF(A28="","",IF($W$7&lt;=0,0,IF($AC$6&gt;0,$W$7*AC28/$AC$6,IF($F$6&gt;0,$W$7*N(F28)/$F$6,0))))</f>
        <v/>
      </c>
      <c r="R28" s="111" t="str">
        <f>IF(A28="","",N(AD28)+IF(AI28=1,N(AG28),0))</f>
        <v/>
      </c>
      <c r="S28" s="111" t="str">
        <f>IF(A28="","",N(E28)+N(R28))</f>
        <v/>
      </c>
      <c r="T28" s="107" t="str">
        <f>IF(A28="","",IF(N(R28)&gt;0,R28*H28*W28*$W$6+p_CorrFixa,0))</f>
        <v/>
      </c>
      <c r="V28" s="85" t="str">
        <f>IF(A28="","",IF(D28="",$W$1,D28))</f>
        <v/>
      </c>
      <c r="W28" s="85" t="str">
        <f>IF(A28="","",IFERROR(INDEX(moeda_fx,MATCH(V28,moeda_cod,0)),0))</f>
        <v/>
      </c>
      <c r="X28" s="85" t="str">
        <f>IF(A28="","",IF($W$2="",UPPER(TRIM(A28)),IF(RIGHT(UPPER(TRIM(A28)),LEN($W$2))=$W$2,UPPER(TRIM(A28)),UPPER(TRIM(A28))&amp;$W$2)))</f>
        <v/>
      </c>
      <c r="Y28" s="85" t="str">
        <f>IF(OR(A28="",p_ModoCot&lt;&gt;"Automático"),"",IFERROR(_xlfn.WEBSERVICE("https://query1.finance.yahoo.com/v8/finance/chart/"&amp;X28&amp;"?range=1d&amp;interval=1d"),""))</f>
        <v/>
      </c>
      <c r="Z28" s="85" t="str">
        <f>IF(Y28="","",IFERROR(_xlfn.NUMBERVALUE(MID(Y28,SEARCH("""regularMarketPrice"":",Y28)+21,SEARCH(",",Y28&amp;",",SEARCH("""regularMarketPrice"":",Y28)+21)-SEARCH("""regularMarketPrice"":",Y28)-21),".",","),""))</f>
        <v/>
      </c>
      <c r="AA28" s="85" t="str">
        <f>IF(A28="","",ROUND(MAX(0,N(F28)*($K$6+$W$7)-K28),2))</f>
        <v/>
      </c>
      <c r="AB28" s="85" t="str">
        <f>IF(A28="","",IF(AND(M28&gt;0,M28&gt;=p_DifMin),AA28,0))</f>
        <v/>
      </c>
      <c r="AC28" s="85" t="str">
        <f>IF(A28="","",IF(AND(AB28&gt;0,N(O28)&lt;=p_MaxAtivos),AB28,0))</f>
        <v/>
      </c>
      <c r="AD28" s="85" t="str">
        <f>IF(A28="","",IF(OR(Q28&lt;=0,Q28&lt;p_CompraMin,N(H28)&lt;=0,N(W28)&lt;=0),0,IF($W$3="Sim",TRUNC(ROUND(MAX(0,(Q28-p_CorrFixa)/(H28*W28*$W$6)),9),$W$4),TRUNC(ROUND(MAX(0,(Q28-p_CorrFixa)/(H28*W28*$W$6)),9)/$W$5)*$W$5)))</f>
        <v/>
      </c>
      <c r="AE28" s="85" t="str">
        <f>IF(A28="","",IF(N(AD28)&gt;0,AD28*H28*W28*$W$6+p_CorrFixa,0))</f>
        <v/>
      </c>
      <c r="AF28" s="85" t="str">
        <f>IF(A28="","",IF(OR($Y$1&lt;=0,N(H28)&lt;=0,N(W28)&lt;=0,N(AB28)&lt;=0),0,IF($W$3="Sim",TRUNC(ROUND(MAX(0,($Y$1-IF(N(AD28)&gt;0,0,p_CorrFixa))/(H28*W28*$W$6)),9),$W$4),TRUNC(ROUND(MAX(0,($Y$1-IF(N(AD28)&gt;0,0,p_CorrFixa))/(H28*W28*$W$6)),9)/$W$5)*$W$5)))</f>
        <v/>
      </c>
      <c r="AG28" s="85" t="str">
        <f>IF(A28="","",IF(AND(N(AD28)=0,N(AF28)*(H28*W28*$W$6)+p_CorrFixa&lt;p_CompraMin),0,AF28))</f>
        <v/>
      </c>
      <c r="AH28" s="85" t="str">
        <f>IF(A28="","",IF(N(AG28)&gt;0,AB28,0))</f>
        <v/>
      </c>
      <c r="AI28" s="85" t="str">
        <f>IF(A28="","",IF(AND(AH28&gt;0,AH28=$AH$6,COUNTIF($AH$9:AH28,AH28)=1),1,0))</f>
        <v/>
      </c>
    </row>
    <row r="29">
      <c r="A29" s="96" t="n"/>
      <c r="B29" s="96" t="n"/>
      <c r="C29" s="96" t="n"/>
      <c r="D29" s="97" t="n"/>
      <c r="E29" s="98" t="n"/>
      <c r="F29" s="99" t="n"/>
      <c r="G29" s="100" t="n"/>
      <c r="H29" s="101" t="str">
        <f>IF(A29="","",IF(AND(p_ModoCot="Automático",ISNUMBER(Z29)),Z29,IF(N(G29)&gt;0,G29,0)))</f>
        <v/>
      </c>
      <c r="I29" s="73" t="str">
        <f>IF(A29="","",IF(W29=0,"Sem câmbio",IF(AND(p_ModoCot="Automático",ISNUMBER(Z29)),"Auto",IF(N(G29)&gt;0,"Manual","Sem cotação"))))</f>
        <v/>
      </c>
      <c r="J29" s="102" t="str">
        <f>IF(A29="","",N(E29)*H29)</f>
        <v/>
      </c>
      <c r="K29" s="70" t="str">
        <f>IF(A29="","",J29*W29)</f>
        <v/>
      </c>
      <c r="L29" s="30" t="str">
        <f>IF(A29="","",IF($K$6&gt;0,K29/$K$6,0))</f>
        <v/>
      </c>
      <c r="M29" s="72" t="str">
        <f>IF(A29="","",N(F29)-L29)</f>
        <v/>
      </c>
      <c r="N29" s="30" t="str">
        <f>IF(A29="","",IF($AB$6&gt;0,AB29/$AB$6,0))</f>
        <v/>
      </c>
      <c r="O29" s="74" t="str">
        <f>IF(A29="","",IF(AB29&lt;=0,"",COUNTIF($AB$9:$AB$208,"&gt;"&amp;AB29)+COUNTIF($AB$9:AB29,AB29)))</f>
        <v/>
      </c>
      <c r="P29" s="73" t="str">
        <f>IF(A29="","",IF(Q29&gt;0,"BUY","HOLD"))</f>
        <v/>
      </c>
      <c r="Q29" s="70" t="str">
        <f>IF(A29="","",IF($W$7&lt;=0,0,IF($AC$6&gt;0,$W$7*AC29/$AC$6,IF($F$6&gt;0,$W$7*N(F29)/$F$6,0))))</f>
        <v/>
      </c>
      <c r="R29" s="103" t="str">
        <f>IF(A29="","",N(AD29)+IF(AI29=1,N(AG29),0))</f>
        <v/>
      </c>
      <c r="S29" s="103" t="str">
        <f>IF(A29="","",N(E29)+N(R29))</f>
        <v/>
      </c>
      <c r="T29" s="70" t="str">
        <f>IF(A29="","",IF(N(R29)&gt;0,R29*H29*W29*$W$6+p_CorrFixa,0))</f>
        <v/>
      </c>
      <c r="V29" s="85" t="str">
        <f>IF(A29="","",IF(D29="",$W$1,D29))</f>
        <v/>
      </c>
      <c r="W29" s="85" t="str">
        <f>IF(A29="","",IFERROR(INDEX(moeda_fx,MATCH(V29,moeda_cod,0)),0))</f>
        <v/>
      </c>
      <c r="X29" s="85" t="str">
        <f>IF(A29="","",IF($W$2="",UPPER(TRIM(A29)),IF(RIGHT(UPPER(TRIM(A29)),LEN($W$2))=$W$2,UPPER(TRIM(A29)),UPPER(TRIM(A29))&amp;$W$2)))</f>
        <v/>
      </c>
      <c r="Y29" s="85" t="str">
        <f>IF(OR(A29="",p_ModoCot&lt;&gt;"Automático"),"",IFERROR(_xlfn.WEBSERVICE("https://query1.finance.yahoo.com/v8/finance/chart/"&amp;X29&amp;"?range=1d&amp;interval=1d"),""))</f>
        <v/>
      </c>
      <c r="Z29" s="85" t="str">
        <f>IF(Y29="","",IFERROR(_xlfn.NUMBERVALUE(MID(Y29,SEARCH("""regularMarketPrice"":",Y29)+21,SEARCH(",",Y29&amp;",",SEARCH("""regularMarketPrice"":",Y29)+21)-SEARCH("""regularMarketPrice"":",Y29)-21),".",","),""))</f>
        <v/>
      </c>
      <c r="AA29" s="85" t="str">
        <f>IF(A29="","",ROUND(MAX(0,N(F29)*($K$6+$W$7)-K29),2))</f>
        <v/>
      </c>
      <c r="AB29" s="85" t="str">
        <f>IF(A29="","",IF(AND(M29&gt;0,M29&gt;=p_DifMin),AA29,0))</f>
        <v/>
      </c>
      <c r="AC29" s="85" t="str">
        <f>IF(A29="","",IF(AND(AB29&gt;0,N(O29)&lt;=p_MaxAtivos),AB29,0))</f>
        <v/>
      </c>
      <c r="AD29" s="85" t="str">
        <f>IF(A29="","",IF(OR(Q29&lt;=0,Q29&lt;p_CompraMin,N(H29)&lt;=0,N(W29)&lt;=0),0,IF($W$3="Sim",TRUNC(ROUND(MAX(0,(Q29-p_CorrFixa)/(H29*W29*$W$6)),9),$W$4),TRUNC(ROUND(MAX(0,(Q29-p_CorrFixa)/(H29*W29*$W$6)),9)/$W$5)*$W$5)))</f>
        <v/>
      </c>
      <c r="AE29" s="85" t="str">
        <f>IF(A29="","",IF(N(AD29)&gt;0,AD29*H29*W29*$W$6+p_CorrFixa,0))</f>
        <v/>
      </c>
      <c r="AF29" s="85" t="str">
        <f>IF(A29="","",IF(OR($Y$1&lt;=0,N(H29)&lt;=0,N(W29)&lt;=0,N(AB29)&lt;=0),0,IF($W$3="Sim",TRUNC(ROUND(MAX(0,($Y$1-IF(N(AD29)&gt;0,0,p_CorrFixa))/(H29*W29*$W$6)),9),$W$4),TRUNC(ROUND(MAX(0,($Y$1-IF(N(AD29)&gt;0,0,p_CorrFixa))/(H29*W29*$W$6)),9)/$W$5)*$W$5)))</f>
        <v/>
      </c>
      <c r="AG29" s="85" t="str">
        <f>IF(A29="","",IF(AND(N(AD29)=0,N(AF29)*(H29*W29*$W$6)+p_CorrFixa&lt;p_CompraMin),0,AF29))</f>
        <v/>
      </c>
      <c r="AH29" s="85" t="str">
        <f>IF(A29="","",IF(N(AG29)&gt;0,AB29,0))</f>
        <v/>
      </c>
      <c r="AI29" s="85" t="str">
        <f>IF(A29="","",IF(AND(AH29&gt;0,AH29=$AH$6,COUNTIF($AH$9:AH29,AH29)=1),1,0))</f>
        <v/>
      </c>
    </row>
    <row r="30">
      <c r="A30" s="96" t="n"/>
      <c r="B30" s="96" t="n"/>
      <c r="C30" s="96" t="n"/>
      <c r="D30" s="97" t="n"/>
      <c r="E30" s="98" t="n"/>
      <c r="F30" s="99" t="n"/>
      <c r="G30" s="100" t="n"/>
      <c r="H30" s="104" t="str">
        <f>IF(A30="","",IF(AND(p_ModoCot="Automático",ISNUMBER(Z30)),Z30,IF(N(G30)&gt;0,G30,0)))</f>
        <v/>
      </c>
      <c r="I30" s="105" t="str">
        <f>IF(A30="","",IF(W30=0,"Sem câmbio",IF(AND(p_ModoCot="Automático",ISNUMBER(Z30)),"Auto",IF(N(G30)&gt;0,"Manual","Sem cotação"))))</f>
        <v/>
      </c>
      <c r="J30" s="106" t="str">
        <f>IF(A30="","",N(E30)*H30)</f>
        <v/>
      </c>
      <c r="K30" s="107" t="str">
        <f>IF(A30="","",J30*W30)</f>
        <v/>
      </c>
      <c r="L30" s="108" t="str">
        <f>IF(A30="","",IF($K$6&gt;0,K30/$K$6,0))</f>
        <v/>
      </c>
      <c r="M30" s="109" t="str">
        <f>IF(A30="","",N(F30)-L30)</f>
        <v/>
      </c>
      <c r="N30" s="108" t="str">
        <f>IF(A30="","",IF($AB$6&gt;0,AB30/$AB$6,0))</f>
        <v/>
      </c>
      <c r="O30" s="110" t="str">
        <f>IF(A30="","",IF(AB30&lt;=0,"",COUNTIF($AB$9:$AB$208,"&gt;"&amp;AB30)+COUNTIF($AB$9:AB30,AB30)))</f>
        <v/>
      </c>
      <c r="P30" s="105" t="str">
        <f>IF(A30="","",IF(Q30&gt;0,"BUY","HOLD"))</f>
        <v/>
      </c>
      <c r="Q30" s="107" t="str">
        <f>IF(A30="","",IF($W$7&lt;=0,0,IF($AC$6&gt;0,$W$7*AC30/$AC$6,IF($F$6&gt;0,$W$7*N(F30)/$F$6,0))))</f>
        <v/>
      </c>
      <c r="R30" s="111" t="str">
        <f>IF(A30="","",N(AD30)+IF(AI30=1,N(AG30),0))</f>
        <v/>
      </c>
      <c r="S30" s="111" t="str">
        <f>IF(A30="","",N(E30)+N(R30))</f>
        <v/>
      </c>
      <c r="T30" s="107" t="str">
        <f>IF(A30="","",IF(N(R30)&gt;0,R30*H30*W30*$W$6+p_CorrFixa,0))</f>
        <v/>
      </c>
      <c r="V30" s="85" t="str">
        <f>IF(A30="","",IF(D30="",$W$1,D30))</f>
        <v/>
      </c>
      <c r="W30" s="85" t="str">
        <f>IF(A30="","",IFERROR(INDEX(moeda_fx,MATCH(V30,moeda_cod,0)),0))</f>
        <v/>
      </c>
      <c r="X30" s="85" t="str">
        <f>IF(A30="","",IF($W$2="",UPPER(TRIM(A30)),IF(RIGHT(UPPER(TRIM(A30)),LEN($W$2))=$W$2,UPPER(TRIM(A30)),UPPER(TRIM(A30))&amp;$W$2)))</f>
        <v/>
      </c>
      <c r="Y30" s="85" t="str">
        <f>IF(OR(A30="",p_ModoCot&lt;&gt;"Automático"),"",IFERROR(_xlfn.WEBSERVICE("https://query1.finance.yahoo.com/v8/finance/chart/"&amp;X30&amp;"?range=1d&amp;interval=1d"),""))</f>
        <v/>
      </c>
      <c r="Z30" s="85" t="str">
        <f>IF(Y30="","",IFERROR(_xlfn.NUMBERVALUE(MID(Y30,SEARCH("""regularMarketPrice"":",Y30)+21,SEARCH(",",Y30&amp;",",SEARCH("""regularMarketPrice"":",Y30)+21)-SEARCH("""regularMarketPrice"":",Y30)-21),".",","),""))</f>
        <v/>
      </c>
      <c r="AA30" s="85" t="str">
        <f>IF(A30="","",ROUND(MAX(0,N(F30)*($K$6+$W$7)-K30),2))</f>
        <v/>
      </c>
      <c r="AB30" s="85" t="str">
        <f>IF(A30="","",IF(AND(M30&gt;0,M30&gt;=p_DifMin),AA30,0))</f>
        <v/>
      </c>
      <c r="AC30" s="85" t="str">
        <f>IF(A30="","",IF(AND(AB30&gt;0,N(O30)&lt;=p_MaxAtivos),AB30,0))</f>
        <v/>
      </c>
      <c r="AD30" s="85" t="str">
        <f>IF(A30="","",IF(OR(Q30&lt;=0,Q30&lt;p_CompraMin,N(H30)&lt;=0,N(W30)&lt;=0),0,IF($W$3="Sim",TRUNC(ROUND(MAX(0,(Q30-p_CorrFixa)/(H30*W30*$W$6)),9),$W$4),TRUNC(ROUND(MAX(0,(Q30-p_CorrFixa)/(H30*W30*$W$6)),9)/$W$5)*$W$5)))</f>
        <v/>
      </c>
      <c r="AE30" s="85" t="str">
        <f>IF(A30="","",IF(N(AD30)&gt;0,AD30*H30*W30*$W$6+p_CorrFixa,0))</f>
        <v/>
      </c>
      <c r="AF30" s="85" t="str">
        <f>IF(A30="","",IF(OR($Y$1&lt;=0,N(H30)&lt;=0,N(W30)&lt;=0,N(AB30)&lt;=0),0,IF($W$3="Sim",TRUNC(ROUND(MAX(0,($Y$1-IF(N(AD30)&gt;0,0,p_CorrFixa))/(H30*W30*$W$6)),9),$W$4),TRUNC(ROUND(MAX(0,($Y$1-IF(N(AD30)&gt;0,0,p_CorrFixa))/(H30*W30*$W$6)),9)/$W$5)*$W$5)))</f>
        <v/>
      </c>
      <c r="AG30" s="85" t="str">
        <f>IF(A30="","",IF(AND(N(AD30)=0,N(AF30)*(H30*W30*$W$6)+p_CorrFixa&lt;p_CompraMin),0,AF30))</f>
        <v/>
      </c>
      <c r="AH30" s="85" t="str">
        <f>IF(A30="","",IF(N(AG30)&gt;0,AB30,0))</f>
        <v/>
      </c>
      <c r="AI30" s="85" t="str">
        <f>IF(A30="","",IF(AND(AH30&gt;0,AH30=$AH$6,COUNTIF($AH$9:AH30,AH30)=1),1,0))</f>
        <v/>
      </c>
    </row>
    <row r="31">
      <c r="A31" s="96" t="n"/>
      <c r="B31" s="96" t="n"/>
      <c r="C31" s="96" t="n"/>
      <c r="D31" s="97" t="n"/>
      <c r="E31" s="98" t="n"/>
      <c r="F31" s="99" t="n"/>
      <c r="G31" s="100" t="n"/>
      <c r="H31" s="101" t="str">
        <f>IF(A31="","",IF(AND(p_ModoCot="Automático",ISNUMBER(Z31)),Z31,IF(N(G31)&gt;0,G31,0)))</f>
        <v/>
      </c>
      <c r="I31" s="73" t="str">
        <f>IF(A31="","",IF(W31=0,"Sem câmbio",IF(AND(p_ModoCot="Automático",ISNUMBER(Z31)),"Auto",IF(N(G31)&gt;0,"Manual","Sem cotação"))))</f>
        <v/>
      </c>
      <c r="J31" s="102" t="str">
        <f>IF(A31="","",N(E31)*H31)</f>
        <v/>
      </c>
      <c r="K31" s="70" t="str">
        <f>IF(A31="","",J31*W31)</f>
        <v/>
      </c>
      <c r="L31" s="30" t="str">
        <f>IF(A31="","",IF($K$6&gt;0,K31/$K$6,0))</f>
        <v/>
      </c>
      <c r="M31" s="72" t="str">
        <f>IF(A31="","",N(F31)-L31)</f>
        <v/>
      </c>
      <c r="N31" s="30" t="str">
        <f>IF(A31="","",IF($AB$6&gt;0,AB31/$AB$6,0))</f>
        <v/>
      </c>
      <c r="O31" s="74" t="str">
        <f>IF(A31="","",IF(AB31&lt;=0,"",COUNTIF($AB$9:$AB$208,"&gt;"&amp;AB31)+COUNTIF($AB$9:AB31,AB31)))</f>
        <v/>
      </c>
      <c r="P31" s="73" t="str">
        <f>IF(A31="","",IF(Q31&gt;0,"BUY","HOLD"))</f>
        <v/>
      </c>
      <c r="Q31" s="70" t="str">
        <f>IF(A31="","",IF($W$7&lt;=0,0,IF($AC$6&gt;0,$W$7*AC31/$AC$6,IF($F$6&gt;0,$W$7*N(F31)/$F$6,0))))</f>
        <v/>
      </c>
      <c r="R31" s="103" t="str">
        <f>IF(A31="","",N(AD31)+IF(AI31=1,N(AG31),0))</f>
        <v/>
      </c>
      <c r="S31" s="103" t="str">
        <f>IF(A31="","",N(E31)+N(R31))</f>
        <v/>
      </c>
      <c r="T31" s="70" t="str">
        <f>IF(A31="","",IF(N(R31)&gt;0,R31*H31*W31*$W$6+p_CorrFixa,0))</f>
        <v/>
      </c>
      <c r="V31" s="85" t="str">
        <f>IF(A31="","",IF(D31="",$W$1,D31))</f>
        <v/>
      </c>
      <c r="W31" s="85" t="str">
        <f>IF(A31="","",IFERROR(INDEX(moeda_fx,MATCH(V31,moeda_cod,0)),0))</f>
        <v/>
      </c>
      <c r="X31" s="85" t="str">
        <f>IF(A31="","",IF($W$2="",UPPER(TRIM(A31)),IF(RIGHT(UPPER(TRIM(A31)),LEN($W$2))=$W$2,UPPER(TRIM(A31)),UPPER(TRIM(A31))&amp;$W$2)))</f>
        <v/>
      </c>
      <c r="Y31" s="85" t="str">
        <f>IF(OR(A31="",p_ModoCot&lt;&gt;"Automático"),"",IFERROR(_xlfn.WEBSERVICE("https://query1.finance.yahoo.com/v8/finance/chart/"&amp;X31&amp;"?range=1d&amp;interval=1d"),""))</f>
        <v/>
      </c>
      <c r="Z31" s="85" t="str">
        <f>IF(Y31="","",IFERROR(_xlfn.NUMBERVALUE(MID(Y31,SEARCH("""regularMarketPrice"":",Y31)+21,SEARCH(",",Y31&amp;",",SEARCH("""regularMarketPrice"":",Y31)+21)-SEARCH("""regularMarketPrice"":",Y31)-21),".",","),""))</f>
        <v/>
      </c>
      <c r="AA31" s="85" t="str">
        <f>IF(A31="","",ROUND(MAX(0,N(F31)*($K$6+$W$7)-K31),2))</f>
        <v/>
      </c>
      <c r="AB31" s="85" t="str">
        <f>IF(A31="","",IF(AND(M31&gt;0,M31&gt;=p_DifMin),AA31,0))</f>
        <v/>
      </c>
      <c r="AC31" s="85" t="str">
        <f>IF(A31="","",IF(AND(AB31&gt;0,N(O31)&lt;=p_MaxAtivos),AB31,0))</f>
        <v/>
      </c>
      <c r="AD31" s="85" t="str">
        <f>IF(A31="","",IF(OR(Q31&lt;=0,Q31&lt;p_CompraMin,N(H31)&lt;=0,N(W31)&lt;=0),0,IF($W$3="Sim",TRUNC(ROUND(MAX(0,(Q31-p_CorrFixa)/(H31*W31*$W$6)),9),$W$4),TRUNC(ROUND(MAX(0,(Q31-p_CorrFixa)/(H31*W31*$W$6)),9)/$W$5)*$W$5)))</f>
        <v/>
      </c>
      <c r="AE31" s="85" t="str">
        <f>IF(A31="","",IF(N(AD31)&gt;0,AD31*H31*W31*$W$6+p_CorrFixa,0))</f>
        <v/>
      </c>
      <c r="AF31" s="85" t="str">
        <f>IF(A31="","",IF(OR($Y$1&lt;=0,N(H31)&lt;=0,N(W31)&lt;=0,N(AB31)&lt;=0),0,IF($W$3="Sim",TRUNC(ROUND(MAX(0,($Y$1-IF(N(AD31)&gt;0,0,p_CorrFixa))/(H31*W31*$W$6)),9),$W$4),TRUNC(ROUND(MAX(0,($Y$1-IF(N(AD31)&gt;0,0,p_CorrFixa))/(H31*W31*$W$6)),9)/$W$5)*$W$5)))</f>
        <v/>
      </c>
      <c r="AG31" s="85" t="str">
        <f>IF(A31="","",IF(AND(N(AD31)=0,N(AF31)*(H31*W31*$W$6)+p_CorrFixa&lt;p_CompraMin),0,AF31))</f>
        <v/>
      </c>
      <c r="AH31" s="85" t="str">
        <f>IF(A31="","",IF(N(AG31)&gt;0,AB31,0))</f>
        <v/>
      </c>
      <c r="AI31" s="85" t="str">
        <f>IF(A31="","",IF(AND(AH31&gt;0,AH31=$AH$6,COUNTIF($AH$9:AH31,AH31)=1),1,0))</f>
        <v/>
      </c>
    </row>
    <row r="32">
      <c r="A32" s="96" t="n"/>
      <c r="B32" s="96" t="n"/>
      <c r="C32" s="96" t="n"/>
      <c r="D32" s="97" t="n"/>
      <c r="E32" s="98" t="n"/>
      <c r="F32" s="99" t="n"/>
      <c r="G32" s="100" t="n"/>
      <c r="H32" s="104" t="str">
        <f>IF(A32="","",IF(AND(p_ModoCot="Automático",ISNUMBER(Z32)),Z32,IF(N(G32)&gt;0,G32,0)))</f>
        <v/>
      </c>
      <c r="I32" s="105" t="str">
        <f>IF(A32="","",IF(W32=0,"Sem câmbio",IF(AND(p_ModoCot="Automático",ISNUMBER(Z32)),"Auto",IF(N(G32)&gt;0,"Manual","Sem cotação"))))</f>
        <v/>
      </c>
      <c r="J32" s="106" t="str">
        <f>IF(A32="","",N(E32)*H32)</f>
        <v/>
      </c>
      <c r="K32" s="107" t="str">
        <f>IF(A32="","",J32*W32)</f>
        <v/>
      </c>
      <c r="L32" s="108" t="str">
        <f>IF(A32="","",IF($K$6&gt;0,K32/$K$6,0))</f>
        <v/>
      </c>
      <c r="M32" s="109" t="str">
        <f>IF(A32="","",N(F32)-L32)</f>
        <v/>
      </c>
      <c r="N32" s="108" t="str">
        <f>IF(A32="","",IF($AB$6&gt;0,AB32/$AB$6,0))</f>
        <v/>
      </c>
      <c r="O32" s="110" t="str">
        <f>IF(A32="","",IF(AB32&lt;=0,"",COUNTIF($AB$9:$AB$208,"&gt;"&amp;AB32)+COUNTIF($AB$9:AB32,AB32)))</f>
        <v/>
      </c>
      <c r="P32" s="105" t="str">
        <f>IF(A32="","",IF(Q32&gt;0,"BUY","HOLD"))</f>
        <v/>
      </c>
      <c r="Q32" s="107" t="str">
        <f>IF(A32="","",IF($W$7&lt;=0,0,IF($AC$6&gt;0,$W$7*AC32/$AC$6,IF($F$6&gt;0,$W$7*N(F32)/$F$6,0))))</f>
        <v/>
      </c>
      <c r="R32" s="111" t="str">
        <f>IF(A32="","",N(AD32)+IF(AI32=1,N(AG32),0))</f>
        <v/>
      </c>
      <c r="S32" s="111" t="str">
        <f>IF(A32="","",N(E32)+N(R32))</f>
        <v/>
      </c>
      <c r="T32" s="107" t="str">
        <f>IF(A32="","",IF(N(R32)&gt;0,R32*H32*W32*$W$6+p_CorrFixa,0))</f>
        <v/>
      </c>
      <c r="V32" s="85" t="str">
        <f>IF(A32="","",IF(D32="",$W$1,D32))</f>
        <v/>
      </c>
      <c r="W32" s="85" t="str">
        <f>IF(A32="","",IFERROR(INDEX(moeda_fx,MATCH(V32,moeda_cod,0)),0))</f>
        <v/>
      </c>
      <c r="X32" s="85" t="str">
        <f>IF(A32="","",IF($W$2="",UPPER(TRIM(A32)),IF(RIGHT(UPPER(TRIM(A32)),LEN($W$2))=$W$2,UPPER(TRIM(A32)),UPPER(TRIM(A32))&amp;$W$2)))</f>
        <v/>
      </c>
      <c r="Y32" s="85" t="str">
        <f>IF(OR(A32="",p_ModoCot&lt;&gt;"Automático"),"",IFERROR(_xlfn.WEBSERVICE("https://query1.finance.yahoo.com/v8/finance/chart/"&amp;X32&amp;"?range=1d&amp;interval=1d"),""))</f>
        <v/>
      </c>
      <c r="Z32" s="85" t="str">
        <f>IF(Y32="","",IFERROR(_xlfn.NUMBERVALUE(MID(Y32,SEARCH("""regularMarketPrice"":",Y32)+21,SEARCH(",",Y32&amp;",",SEARCH("""regularMarketPrice"":",Y32)+21)-SEARCH("""regularMarketPrice"":",Y32)-21),".",","),""))</f>
        <v/>
      </c>
      <c r="AA32" s="85" t="str">
        <f>IF(A32="","",ROUND(MAX(0,N(F32)*($K$6+$W$7)-K32),2))</f>
        <v/>
      </c>
      <c r="AB32" s="85" t="str">
        <f>IF(A32="","",IF(AND(M32&gt;0,M32&gt;=p_DifMin),AA32,0))</f>
        <v/>
      </c>
      <c r="AC32" s="85" t="str">
        <f>IF(A32="","",IF(AND(AB32&gt;0,N(O32)&lt;=p_MaxAtivos),AB32,0))</f>
        <v/>
      </c>
      <c r="AD32" s="85" t="str">
        <f>IF(A32="","",IF(OR(Q32&lt;=0,Q32&lt;p_CompraMin,N(H32)&lt;=0,N(W32)&lt;=0),0,IF($W$3="Sim",TRUNC(ROUND(MAX(0,(Q32-p_CorrFixa)/(H32*W32*$W$6)),9),$W$4),TRUNC(ROUND(MAX(0,(Q32-p_CorrFixa)/(H32*W32*$W$6)),9)/$W$5)*$W$5)))</f>
        <v/>
      </c>
      <c r="AE32" s="85" t="str">
        <f>IF(A32="","",IF(N(AD32)&gt;0,AD32*H32*W32*$W$6+p_CorrFixa,0))</f>
        <v/>
      </c>
      <c r="AF32" s="85" t="str">
        <f>IF(A32="","",IF(OR($Y$1&lt;=0,N(H32)&lt;=0,N(W32)&lt;=0,N(AB32)&lt;=0),0,IF($W$3="Sim",TRUNC(ROUND(MAX(0,($Y$1-IF(N(AD32)&gt;0,0,p_CorrFixa))/(H32*W32*$W$6)),9),$W$4),TRUNC(ROUND(MAX(0,($Y$1-IF(N(AD32)&gt;0,0,p_CorrFixa))/(H32*W32*$W$6)),9)/$W$5)*$W$5)))</f>
        <v/>
      </c>
      <c r="AG32" s="85" t="str">
        <f>IF(A32="","",IF(AND(N(AD32)=0,N(AF32)*(H32*W32*$W$6)+p_CorrFixa&lt;p_CompraMin),0,AF32))</f>
        <v/>
      </c>
      <c r="AH32" s="85" t="str">
        <f>IF(A32="","",IF(N(AG32)&gt;0,AB32,0))</f>
        <v/>
      </c>
      <c r="AI32" s="85" t="str">
        <f>IF(A32="","",IF(AND(AH32&gt;0,AH32=$AH$6,COUNTIF($AH$9:AH32,AH32)=1),1,0))</f>
        <v/>
      </c>
    </row>
    <row r="33">
      <c r="A33" s="96" t="n"/>
      <c r="B33" s="96" t="n"/>
      <c r="C33" s="96" t="n"/>
      <c r="D33" s="97" t="n"/>
      <c r="E33" s="98" t="n"/>
      <c r="F33" s="99" t="n"/>
      <c r="G33" s="100" t="n"/>
      <c r="H33" s="101" t="str">
        <f>IF(A33="","",IF(AND(p_ModoCot="Automático",ISNUMBER(Z33)),Z33,IF(N(G33)&gt;0,G33,0)))</f>
        <v/>
      </c>
      <c r="I33" s="73" t="str">
        <f>IF(A33="","",IF(W33=0,"Sem câmbio",IF(AND(p_ModoCot="Automático",ISNUMBER(Z33)),"Auto",IF(N(G33)&gt;0,"Manual","Sem cotação"))))</f>
        <v/>
      </c>
      <c r="J33" s="102" t="str">
        <f>IF(A33="","",N(E33)*H33)</f>
        <v/>
      </c>
      <c r="K33" s="70" t="str">
        <f>IF(A33="","",J33*W33)</f>
        <v/>
      </c>
      <c r="L33" s="30" t="str">
        <f>IF(A33="","",IF($K$6&gt;0,K33/$K$6,0))</f>
        <v/>
      </c>
      <c r="M33" s="72" t="str">
        <f>IF(A33="","",N(F33)-L33)</f>
        <v/>
      </c>
      <c r="N33" s="30" t="str">
        <f>IF(A33="","",IF($AB$6&gt;0,AB33/$AB$6,0))</f>
        <v/>
      </c>
      <c r="O33" s="74" t="str">
        <f>IF(A33="","",IF(AB33&lt;=0,"",COUNTIF($AB$9:$AB$208,"&gt;"&amp;AB33)+COUNTIF($AB$9:AB33,AB33)))</f>
        <v/>
      </c>
      <c r="P33" s="73" t="str">
        <f>IF(A33="","",IF(Q33&gt;0,"BUY","HOLD"))</f>
        <v/>
      </c>
      <c r="Q33" s="70" t="str">
        <f>IF(A33="","",IF($W$7&lt;=0,0,IF($AC$6&gt;0,$W$7*AC33/$AC$6,IF($F$6&gt;0,$W$7*N(F33)/$F$6,0))))</f>
        <v/>
      </c>
      <c r="R33" s="103" t="str">
        <f>IF(A33="","",N(AD33)+IF(AI33=1,N(AG33),0))</f>
        <v/>
      </c>
      <c r="S33" s="103" t="str">
        <f>IF(A33="","",N(E33)+N(R33))</f>
        <v/>
      </c>
      <c r="T33" s="70" t="str">
        <f>IF(A33="","",IF(N(R33)&gt;0,R33*H33*W33*$W$6+p_CorrFixa,0))</f>
        <v/>
      </c>
      <c r="V33" s="85" t="str">
        <f>IF(A33="","",IF(D33="",$W$1,D33))</f>
        <v/>
      </c>
      <c r="W33" s="85" t="str">
        <f>IF(A33="","",IFERROR(INDEX(moeda_fx,MATCH(V33,moeda_cod,0)),0))</f>
        <v/>
      </c>
      <c r="X33" s="85" t="str">
        <f>IF(A33="","",IF($W$2="",UPPER(TRIM(A33)),IF(RIGHT(UPPER(TRIM(A33)),LEN($W$2))=$W$2,UPPER(TRIM(A33)),UPPER(TRIM(A33))&amp;$W$2)))</f>
        <v/>
      </c>
      <c r="Y33" s="85" t="str">
        <f>IF(OR(A33="",p_ModoCot&lt;&gt;"Automático"),"",IFERROR(_xlfn.WEBSERVICE("https://query1.finance.yahoo.com/v8/finance/chart/"&amp;X33&amp;"?range=1d&amp;interval=1d"),""))</f>
        <v/>
      </c>
      <c r="Z33" s="85" t="str">
        <f>IF(Y33="","",IFERROR(_xlfn.NUMBERVALUE(MID(Y33,SEARCH("""regularMarketPrice"":",Y33)+21,SEARCH(",",Y33&amp;",",SEARCH("""regularMarketPrice"":",Y33)+21)-SEARCH("""regularMarketPrice"":",Y33)-21),".",","),""))</f>
        <v/>
      </c>
      <c r="AA33" s="85" t="str">
        <f>IF(A33="","",ROUND(MAX(0,N(F33)*($K$6+$W$7)-K33),2))</f>
        <v/>
      </c>
      <c r="AB33" s="85" t="str">
        <f>IF(A33="","",IF(AND(M33&gt;0,M33&gt;=p_DifMin),AA33,0))</f>
        <v/>
      </c>
      <c r="AC33" s="85" t="str">
        <f>IF(A33="","",IF(AND(AB33&gt;0,N(O33)&lt;=p_MaxAtivos),AB33,0))</f>
        <v/>
      </c>
      <c r="AD33" s="85" t="str">
        <f>IF(A33="","",IF(OR(Q33&lt;=0,Q33&lt;p_CompraMin,N(H33)&lt;=0,N(W33)&lt;=0),0,IF($W$3="Sim",TRUNC(ROUND(MAX(0,(Q33-p_CorrFixa)/(H33*W33*$W$6)),9),$W$4),TRUNC(ROUND(MAX(0,(Q33-p_CorrFixa)/(H33*W33*$W$6)),9)/$W$5)*$W$5)))</f>
        <v/>
      </c>
      <c r="AE33" s="85" t="str">
        <f>IF(A33="","",IF(N(AD33)&gt;0,AD33*H33*W33*$W$6+p_CorrFixa,0))</f>
        <v/>
      </c>
      <c r="AF33" s="85" t="str">
        <f>IF(A33="","",IF(OR($Y$1&lt;=0,N(H33)&lt;=0,N(W33)&lt;=0,N(AB33)&lt;=0),0,IF($W$3="Sim",TRUNC(ROUND(MAX(0,($Y$1-IF(N(AD33)&gt;0,0,p_CorrFixa))/(H33*W33*$W$6)),9),$W$4),TRUNC(ROUND(MAX(0,($Y$1-IF(N(AD33)&gt;0,0,p_CorrFixa))/(H33*W33*$W$6)),9)/$W$5)*$W$5)))</f>
        <v/>
      </c>
      <c r="AG33" s="85" t="str">
        <f>IF(A33="","",IF(AND(N(AD33)=0,N(AF33)*(H33*W33*$W$6)+p_CorrFixa&lt;p_CompraMin),0,AF33))</f>
        <v/>
      </c>
      <c r="AH33" s="85" t="str">
        <f>IF(A33="","",IF(N(AG33)&gt;0,AB33,0))</f>
        <v/>
      </c>
      <c r="AI33" s="85" t="str">
        <f>IF(A33="","",IF(AND(AH33&gt;0,AH33=$AH$6,COUNTIF($AH$9:AH33,AH33)=1),1,0))</f>
        <v/>
      </c>
    </row>
    <row r="34">
      <c r="A34" s="96" t="n"/>
      <c r="B34" s="96" t="n"/>
      <c r="C34" s="96" t="n"/>
      <c r="D34" s="97" t="n"/>
      <c r="E34" s="98" t="n"/>
      <c r="F34" s="99" t="n"/>
      <c r="G34" s="100" t="n"/>
      <c r="H34" s="104" t="str">
        <f>IF(A34="","",IF(AND(p_ModoCot="Automático",ISNUMBER(Z34)),Z34,IF(N(G34)&gt;0,G34,0)))</f>
        <v/>
      </c>
      <c r="I34" s="105" t="str">
        <f>IF(A34="","",IF(W34=0,"Sem câmbio",IF(AND(p_ModoCot="Automático",ISNUMBER(Z34)),"Auto",IF(N(G34)&gt;0,"Manual","Sem cotação"))))</f>
        <v/>
      </c>
      <c r="J34" s="106" t="str">
        <f>IF(A34="","",N(E34)*H34)</f>
        <v/>
      </c>
      <c r="K34" s="107" t="str">
        <f>IF(A34="","",J34*W34)</f>
        <v/>
      </c>
      <c r="L34" s="108" t="str">
        <f>IF(A34="","",IF($K$6&gt;0,K34/$K$6,0))</f>
        <v/>
      </c>
      <c r="M34" s="109" t="str">
        <f>IF(A34="","",N(F34)-L34)</f>
        <v/>
      </c>
      <c r="N34" s="108" t="str">
        <f>IF(A34="","",IF($AB$6&gt;0,AB34/$AB$6,0))</f>
        <v/>
      </c>
      <c r="O34" s="110" t="str">
        <f>IF(A34="","",IF(AB34&lt;=0,"",COUNTIF($AB$9:$AB$208,"&gt;"&amp;AB34)+COUNTIF($AB$9:AB34,AB34)))</f>
        <v/>
      </c>
      <c r="P34" s="105" t="str">
        <f>IF(A34="","",IF(Q34&gt;0,"BUY","HOLD"))</f>
        <v/>
      </c>
      <c r="Q34" s="107" t="str">
        <f>IF(A34="","",IF($W$7&lt;=0,0,IF($AC$6&gt;0,$W$7*AC34/$AC$6,IF($F$6&gt;0,$W$7*N(F34)/$F$6,0))))</f>
        <v/>
      </c>
      <c r="R34" s="111" t="str">
        <f>IF(A34="","",N(AD34)+IF(AI34=1,N(AG34),0))</f>
        <v/>
      </c>
      <c r="S34" s="111" t="str">
        <f>IF(A34="","",N(E34)+N(R34))</f>
        <v/>
      </c>
      <c r="T34" s="107" t="str">
        <f>IF(A34="","",IF(N(R34)&gt;0,R34*H34*W34*$W$6+p_CorrFixa,0))</f>
        <v/>
      </c>
      <c r="V34" s="85" t="str">
        <f>IF(A34="","",IF(D34="",$W$1,D34))</f>
        <v/>
      </c>
      <c r="W34" s="85" t="str">
        <f>IF(A34="","",IFERROR(INDEX(moeda_fx,MATCH(V34,moeda_cod,0)),0))</f>
        <v/>
      </c>
      <c r="X34" s="85" t="str">
        <f>IF(A34="","",IF($W$2="",UPPER(TRIM(A34)),IF(RIGHT(UPPER(TRIM(A34)),LEN($W$2))=$W$2,UPPER(TRIM(A34)),UPPER(TRIM(A34))&amp;$W$2)))</f>
        <v/>
      </c>
      <c r="Y34" s="85" t="str">
        <f>IF(OR(A34="",p_ModoCot&lt;&gt;"Automático"),"",IFERROR(_xlfn.WEBSERVICE("https://query1.finance.yahoo.com/v8/finance/chart/"&amp;X34&amp;"?range=1d&amp;interval=1d"),""))</f>
        <v/>
      </c>
      <c r="Z34" s="85" t="str">
        <f>IF(Y34="","",IFERROR(_xlfn.NUMBERVALUE(MID(Y34,SEARCH("""regularMarketPrice"":",Y34)+21,SEARCH(",",Y34&amp;",",SEARCH("""regularMarketPrice"":",Y34)+21)-SEARCH("""regularMarketPrice"":",Y34)-21),".",","),""))</f>
        <v/>
      </c>
      <c r="AA34" s="85" t="str">
        <f>IF(A34="","",ROUND(MAX(0,N(F34)*($K$6+$W$7)-K34),2))</f>
        <v/>
      </c>
      <c r="AB34" s="85" t="str">
        <f>IF(A34="","",IF(AND(M34&gt;0,M34&gt;=p_DifMin),AA34,0))</f>
        <v/>
      </c>
      <c r="AC34" s="85" t="str">
        <f>IF(A34="","",IF(AND(AB34&gt;0,N(O34)&lt;=p_MaxAtivos),AB34,0))</f>
        <v/>
      </c>
      <c r="AD34" s="85" t="str">
        <f>IF(A34="","",IF(OR(Q34&lt;=0,Q34&lt;p_CompraMin,N(H34)&lt;=0,N(W34)&lt;=0),0,IF($W$3="Sim",TRUNC(ROUND(MAX(0,(Q34-p_CorrFixa)/(H34*W34*$W$6)),9),$W$4),TRUNC(ROUND(MAX(0,(Q34-p_CorrFixa)/(H34*W34*$W$6)),9)/$W$5)*$W$5)))</f>
        <v/>
      </c>
      <c r="AE34" s="85" t="str">
        <f>IF(A34="","",IF(N(AD34)&gt;0,AD34*H34*W34*$W$6+p_CorrFixa,0))</f>
        <v/>
      </c>
      <c r="AF34" s="85" t="str">
        <f>IF(A34="","",IF(OR($Y$1&lt;=0,N(H34)&lt;=0,N(W34)&lt;=0,N(AB34)&lt;=0),0,IF($W$3="Sim",TRUNC(ROUND(MAX(0,($Y$1-IF(N(AD34)&gt;0,0,p_CorrFixa))/(H34*W34*$W$6)),9),$W$4),TRUNC(ROUND(MAX(0,($Y$1-IF(N(AD34)&gt;0,0,p_CorrFixa))/(H34*W34*$W$6)),9)/$W$5)*$W$5)))</f>
        <v/>
      </c>
      <c r="AG34" s="85" t="str">
        <f>IF(A34="","",IF(AND(N(AD34)=0,N(AF34)*(H34*W34*$W$6)+p_CorrFixa&lt;p_CompraMin),0,AF34))</f>
        <v/>
      </c>
      <c r="AH34" s="85" t="str">
        <f>IF(A34="","",IF(N(AG34)&gt;0,AB34,0))</f>
        <v/>
      </c>
      <c r="AI34" s="85" t="str">
        <f>IF(A34="","",IF(AND(AH34&gt;0,AH34=$AH$6,COUNTIF($AH$9:AH34,AH34)=1),1,0))</f>
        <v/>
      </c>
    </row>
    <row r="35">
      <c r="A35" s="96" t="n"/>
      <c r="B35" s="96" t="n"/>
      <c r="C35" s="96" t="n"/>
      <c r="D35" s="97" t="n"/>
      <c r="E35" s="98" t="n"/>
      <c r="F35" s="99" t="n"/>
      <c r="G35" s="100" t="n"/>
      <c r="H35" s="101" t="str">
        <f>IF(A35="","",IF(AND(p_ModoCot="Automático",ISNUMBER(Z35)),Z35,IF(N(G35)&gt;0,G35,0)))</f>
        <v/>
      </c>
      <c r="I35" s="73" t="str">
        <f>IF(A35="","",IF(W35=0,"Sem câmbio",IF(AND(p_ModoCot="Automático",ISNUMBER(Z35)),"Auto",IF(N(G35)&gt;0,"Manual","Sem cotação"))))</f>
        <v/>
      </c>
      <c r="J35" s="102" t="str">
        <f>IF(A35="","",N(E35)*H35)</f>
        <v/>
      </c>
      <c r="K35" s="70" t="str">
        <f>IF(A35="","",J35*W35)</f>
        <v/>
      </c>
      <c r="L35" s="30" t="str">
        <f>IF(A35="","",IF($K$6&gt;0,K35/$K$6,0))</f>
        <v/>
      </c>
      <c r="M35" s="72" t="str">
        <f>IF(A35="","",N(F35)-L35)</f>
        <v/>
      </c>
      <c r="N35" s="30" t="str">
        <f>IF(A35="","",IF($AB$6&gt;0,AB35/$AB$6,0))</f>
        <v/>
      </c>
      <c r="O35" s="74" t="str">
        <f>IF(A35="","",IF(AB35&lt;=0,"",COUNTIF($AB$9:$AB$208,"&gt;"&amp;AB35)+COUNTIF($AB$9:AB35,AB35)))</f>
        <v/>
      </c>
      <c r="P35" s="73" t="str">
        <f>IF(A35="","",IF(Q35&gt;0,"BUY","HOLD"))</f>
        <v/>
      </c>
      <c r="Q35" s="70" t="str">
        <f>IF(A35="","",IF($W$7&lt;=0,0,IF($AC$6&gt;0,$W$7*AC35/$AC$6,IF($F$6&gt;0,$W$7*N(F35)/$F$6,0))))</f>
        <v/>
      </c>
      <c r="R35" s="103" t="str">
        <f>IF(A35="","",N(AD35)+IF(AI35=1,N(AG35),0))</f>
        <v/>
      </c>
      <c r="S35" s="103" t="str">
        <f>IF(A35="","",N(E35)+N(R35))</f>
        <v/>
      </c>
      <c r="T35" s="70" t="str">
        <f>IF(A35="","",IF(N(R35)&gt;0,R35*H35*W35*$W$6+p_CorrFixa,0))</f>
        <v/>
      </c>
      <c r="V35" s="85" t="str">
        <f>IF(A35="","",IF(D35="",$W$1,D35))</f>
        <v/>
      </c>
      <c r="W35" s="85" t="str">
        <f>IF(A35="","",IFERROR(INDEX(moeda_fx,MATCH(V35,moeda_cod,0)),0))</f>
        <v/>
      </c>
      <c r="X35" s="85" t="str">
        <f>IF(A35="","",IF($W$2="",UPPER(TRIM(A35)),IF(RIGHT(UPPER(TRIM(A35)),LEN($W$2))=$W$2,UPPER(TRIM(A35)),UPPER(TRIM(A35))&amp;$W$2)))</f>
        <v/>
      </c>
      <c r="Y35" s="85" t="str">
        <f>IF(OR(A35="",p_ModoCot&lt;&gt;"Automático"),"",IFERROR(_xlfn.WEBSERVICE("https://query1.finance.yahoo.com/v8/finance/chart/"&amp;X35&amp;"?range=1d&amp;interval=1d"),""))</f>
        <v/>
      </c>
      <c r="Z35" s="85" t="str">
        <f>IF(Y35="","",IFERROR(_xlfn.NUMBERVALUE(MID(Y35,SEARCH("""regularMarketPrice"":",Y35)+21,SEARCH(",",Y35&amp;",",SEARCH("""regularMarketPrice"":",Y35)+21)-SEARCH("""regularMarketPrice"":",Y35)-21),".",","),""))</f>
        <v/>
      </c>
      <c r="AA35" s="85" t="str">
        <f>IF(A35="","",ROUND(MAX(0,N(F35)*($K$6+$W$7)-K35),2))</f>
        <v/>
      </c>
      <c r="AB35" s="85" t="str">
        <f>IF(A35="","",IF(AND(M35&gt;0,M35&gt;=p_DifMin),AA35,0))</f>
        <v/>
      </c>
      <c r="AC35" s="85" t="str">
        <f>IF(A35="","",IF(AND(AB35&gt;0,N(O35)&lt;=p_MaxAtivos),AB35,0))</f>
        <v/>
      </c>
      <c r="AD35" s="85" t="str">
        <f>IF(A35="","",IF(OR(Q35&lt;=0,Q35&lt;p_CompraMin,N(H35)&lt;=0,N(W35)&lt;=0),0,IF($W$3="Sim",TRUNC(ROUND(MAX(0,(Q35-p_CorrFixa)/(H35*W35*$W$6)),9),$W$4),TRUNC(ROUND(MAX(0,(Q35-p_CorrFixa)/(H35*W35*$W$6)),9)/$W$5)*$W$5)))</f>
        <v/>
      </c>
      <c r="AE35" s="85" t="str">
        <f>IF(A35="","",IF(N(AD35)&gt;0,AD35*H35*W35*$W$6+p_CorrFixa,0))</f>
        <v/>
      </c>
      <c r="AF35" s="85" t="str">
        <f>IF(A35="","",IF(OR($Y$1&lt;=0,N(H35)&lt;=0,N(W35)&lt;=0,N(AB35)&lt;=0),0,IF($W$3="Sim",TRUNC(ROUND(MAX(0,($Y$1-IF(N(AD35)&gt;0,0,p_CorrFixa))/(H35*W35*$W$6)),9),$W$4),TRUNC(ROUND(MAX(0,($Y$1-IF(N(AD35)&gt;0,0,p_CorrFixa))/(H35*W35*$W$6)),9)/$W$5)*$W$5)))</f>
        <v/>
      </c>
      <c r="AG35" s="85" t="str">
        <f>IF(A35="","",IF(AND(N(AD35)=0,N(AF35)*(H35*W35*$W$6)+p_CorrFixa&lt;p_CompraMin),0,AF35))</f>
        <v/>
      </c>
      <c r="AH35" s="85" t="str">
        <f>IF(A35="","",IF(N(AG35)&gt;0,AB35,0))</f>
        <v/>
      </c>
      <c r="AI35" s="85" t="str">
        <f>IF(A35="","",IF(AND(AH35&gt;0,AH35=$AH$6,COUNTIF($AH$9:AH35,AH35)=1),1,0))</f>
        <v/>
      </c>
    </row>
    <row r="36">
      <c r="A36" s="96" t="n"/>
      <c r="B36" s="96" t="n"/>
      <c r="C36" s="96" t="n"/>
      <c r="D36" s="97" t="n"/>
      <c r="E36" s="98" t="n"/>
      <c r="F36" s="99" t="n"/>
      <c r="G36" s="100" t="n"/>
      <c r="H36" s="104" t="str">
        <f>IF(A36="","",IF(AND(p_ModoCot="Automático",ISNUMBER(Z36)),Z36,IF(N(G36)&gt;0,G36,0)))</f>
        <v/>
      </c>
      <c r="I36" s="105" t="str">
        <f>IF(A36="","",IF(W36=0,"Sem câmbio",IF(AND(p_ModoCot="Automático",ISNUMBER(Z36)),"Auto",IF(N(G36)&gt;0,"Manual","Sem cotação"))))</f>
        <v/>
      </c>
      <c r="J36" s="106" t="str">
        <f>IF(A36="","",N(E36)*H36)</f>
        <v/>
      </c>
      <c r="K36" s="107" t="str">
        <f>IF(A36="","",J36*W36)</f>
        <v/>
      </c>
      <c r="L36" s="108" t="str">
        <f>IF(A36="","",IF($K$6&gt;0,K36/$K$6,0))</f>
        <v/>
      </c>
      <c r="M36" s="109" t="str">
        <f>IF(A36="","",N(F36)-L36)</f>
        <v/>
      </c>
      <c r="N36" s="108" t="str">
        <f>IF(A36="","",IF($AB$6&gt;0,AB36/$AB$6,0))</f>
        <v/>
      </c>
      <c r="O36" s="110" t="str">
        <f>IF(A36="","",IF(AB36&lt;=0,"",COUNTIF($AB$9:$AB$208,"&gt;"&amp;AB36)+COUNTIF($AB$9:AB36,AB36)))</f>
        <v/>
      </c>
      <c r="P36" s="105" t="str">
        <f>IF(A36="","",IF(Q36&gt;0,"BUY","HOLD"))</f>
        <v/>
      </c>
      <c r="Q36" s="107" t="str">
        <f>IF(A36="","",IF($W$7&lt;=0,0,IF($AC$6&gt;0,$W$7*AC36/$AC$6,IF($F$6&gt;0,$W$7*N(F36)/$F$6,0))))</f>
        <v/>
      </c>
      <c r="R36" s="111" t="str">
        <f>IF(A36="","",N(AD36)+IF(AI36=1,N(AG36),0))</f>
        <v/>
      </c>
      <c r="S36" s="111" t="str">
        <f>IF(A36="","",N(E36)+N(R36))</f>
        <v/>
      </c>
      <c r="T36" s="107" t="str">
        <f>IF(A36="","",IF(N(R36)&gt;0,R36*H36*W36*$W$6+p_CorrFixa,0))</f>
        <v/>
      </c>
      <c r="V36" s="85" t="str">
        <f>IF(A36="","",IF(D36="",$W$1,D36))</f>
        <v/>
      </c>
      <c r="W36" s="85" t="str">
        <f>IF(A36="","",IFERROR(INDEX(moeda_fx,MATCH(V36,moeda_cod,0)),0))</f>
        <v/>
      </c>
      <c r="X36" s="85" t="str">
        <f>IF(A36="","",IF($W$2="",UPPER(TRIM(A36)),IF(RIGHT(UPPER(TRIM(A36)),LEN($W$2))=$W$2,UPPER(TRIM(A36)),UPPER(TRIM(A36))&amp;$W$2)))</f>
        <v/>
      </c>
      <c r="Y36" s="85" t="str">
        <f>IF(OR(A36="",p_ModoCot&lt;&gt;"Automático"),"",IFERROR(_xlfn.WEBSERVICE("https://query1.finance.yahoo.com/v8/finance/chart/"&amp;X36&amp;"?range=1d&amp;interval=1d"),""))</f>
        <v/>
      </c>
      <c r="Z36" s="85" t="str">
        <f>IF(Y36="","",IFERROR(_xlfn.NUMBERVALUE(MID(Y36,SEARCH("""regularMarketPrice"":",Y36)+21,SEARCH(",",Y36&amp;",",SEARCH("""regularMarketPrice"":",Y36)+21)-SEARCH("""regularMarketPrice"":",Y36)-21),".",","),""))</f>
        <v/>
      </c>
      <c r="AA36" s="85" t="str">
        <f>IF(A36="","",ROUND(MAX(0,N(F36)*($K$6+$W$7)-K36),2))</f>
        <v/>
      </c>
      <c r="AB36" s="85" t="str">
        <f>IF(A36="","",IF(AND(M36&gt;0,M36&gt;=p_DifMin),AA36,0))</f>
        <v/>
      </c>
      <c r="AC36" s="85" t="str">
        <f>IF(A36="","",IF(AND(AB36&gt;0,N(O36)&lt;=p_MaxAtivos),AB36,0))</f>
        <v/>
      </c>
      <c r="AD36" s="85" t="str">
        <f>IF(A36="","",IF(OR(Q36&lt;=0,Q36&lt;p_CompraMin,N(H36)&lt;=0,N(W36)&lt;=0),0,IF($W$3="Sim",TRUNC(ROUND(MAX(0,(Q36-p_CorrFixa)/(H36*W36*$W$6)),9),$W$4),TRUNC(ROUND(MAX(0,(Q36-p_CorrFixa)/(H36*W36*$W$6)),9)/$W$5)*$W$5)))</f>
        <v/>
      </c>
      <c r="AE36" s="85" t="str">
        <f>IF(A36="","",IF(N(AD36)&gt;0,AD36*H36*W36*$W$6+p_CorrFixa,0))</f>
        <v/>
      </c>
      <c r="AF36" s="85" t="str">
        <f>IF(A36="","",IF(OR($Y$1&lt;=0,N(H36)&lt;=0,N(W36)&lt;=0,N(AB36)&lt;=0),0,IF($W$3="Sim",TRUNC(ROUND(MAX(0,($Y$1-IF(N(AD36)&gt;0,0,p_CorrFixa))/(H36*W36*$W$6)),9),$W$4),TRUNC(ROUND(MAX(0,($Y$1-IF(N(AD36)&gt;0,0,p_CorrFixa))/(H36*W36*$W$6)),9)/$W$5)*$W$5)))</f>
        <v/>
      </c>
      <c r="AG36" s="85" t="str">
        <f>IF(A36="","",IF(AND(N(AD36)=0,N(AF36)*(H36*W36*$W$6)+p_CorrFixa&lt;p_CompraMin),0,AF36))</f>
        <v/>
      </c>
      <c r="AH36" s="85" t="str">
        <f>IF(A36="","",IF(N(AG36)&gt;0,AB36,0))</f>
        <v/>
      </c>
      <c r="AI36" s="85" t="str">
        <f>IF(A36="","",IF(AND(AH36&gt;0,AH36=$AH$6,COUNTIF($AH$9:AH36,AH36)=1),1,0))</f>
        <v/>
      </c>
    </row>
    <row r="37">
      <c r="A37" s="96" t="n"/>
      <c r="B37" s="96" t="n"/>
      <c r="C37" s="96" t="n"/>
      <c r="D37" s="97" t="n"/>
      <c r="E37" s="98" t="n"/>
      <c r="F37" s="99" t="n"/>
      <c r="G37" s="100" t="n"/>
      <c r="H37" s="101" t="str">
        <f>IF(A37="","",IF(AND(p_ModoCot="Automático",ISNUMBER(Z37)),Z37,IF(N(G37)&gt;0,G37,0)))</f>
        <v/>
      </c>
      <c r="I37" s="73" t="str">
        <f>IF(A37="","",IF(W37=0,"Sem câmbio",IF(AND(p_ModoCot="Automático",ISNUMBER(Z37)),"Auto",IF(N(G37)&gt;0,"Manual","Sem cotação"))))</f>
        <v/>
      </c>
      <c r="J37" s="102" t="str">
        <f>IF(A37="","",N(E37)*H37)</f>
        <v/>
      </c>
      <c r="K37" s="70" t="str">
        <f>IF(A37="","",J37*W37)</f>
        <v/>
      </c>
      <c r="L37" s="30" t="str">
        <f>IF(A37="","",IF($K$6&gt;0,K37/$K$6,0))</f>
        <v/>
      </c>
      <c r="M37" s="72" t="str">
        <f>IF(A37="","",N(F37)-L37)</f>
        <v/>
      </c>
      <c r="N37" s="30" t="str">
        <f>IF(A37="","",IF($AB$6&gt;0,AB37/$AB$6,0))</f>
        <v/>
      </c>
      <c r="O37" s="74" t="str">
        <f>IF(A37="","",IF(AB37&lt;=0,"",COUNTIF($AB$9:$AB$208,"&gt;"&amp;AB37)+COUNTIF($AB$9:AB37,AB37)))</f>
        <v/>
      </c>
      <c r="P37" s="73" t="str">
        <f>IF(A37="","",IF(Q37&gt;0,"BUY","HOLD"))</f>
        <v/>
      </c>
      <c r="Q37" s="70" t="str">
        <f>IF(A37="","",IF($W$7&lt;=0,0,IF($AC$6&gt;0,$W$7*AC37/$AC$6,IF($F$6&gt;0,$W$7*N(F37)/$F$6,0))))</f>
        <v/>
      </c>
      <c r="R37" s="103" t="str">
        <f>IF(A37="","",N(AD37)+IF(AI37=1,N(AG37),0))</f>
        <v/>
      </c>
      <c r="S37" s="103" t="str">
        <f>IF(A37="","",N(E37)+N(R37))</f>
        <v/>
      </c>
      <c r="T37" s="70" t="str">
        <f>IF(A37="","",IF(N(R37)&gt;0,R37*H37*W37*$W$6+p_CorrFixa,0))</f>
        <v/>
      </c>
      <c r="V37" s="85" t="str">
        <f>IF(A37="","",IF(D37="",$W$1,D37))</f>
        <v/>
      </c>
      <c r="W37" s="85" t="str">
        <f>IF(A37="","",IFERROR(INDEX(moeda_fx,MATCH(V37,moeda_cod,0)),0))</f>
        <v/>
      </c>
      <c r="X37" s="85" t="str">
        <f>IF(A37="","",IF($W$2="",UPPER(TRIM(A37)),IF(RIGHT(UPPER(TRIM(A37)),LEN($W$2))=$W$2,UPPER(TRIM(A37)),UPPER(TRIM(A37))&amp;$W$2)))</f>
        <v/>
      </c>
      <c r="Y37" s="85" t="str">
        <f>IF(OR(A37="",p_ModoCot&lt;&gt;"Automático"),"",IFERROR(_xlfn.WEBSERVICE("https://query1.finance.yahoo.com/v8/finance/chart/"&amp;X37&amp;"?range=1d&amp;interval=1d"),""))</f>
        <v/>
      </c>
      <c r="Z37" s="85" t="str">
        <f>IF(Y37="","",IFERROR(_xlfn.NUMBERVALUE(MID(Y37,SEARCH("""regularMarketPrice"":",Y37)+21,SEARCH(",",Y37&amp;",",SEARCH("""regularMarketPrice"":",Y37)+21)-SEARCH("""regularMarketPrice"":",Y37)-21),".",","),""))</f>
        <v/>
      </c>
      <c r="AA37" s="85" t="str">
        <f>IF(A37="","",ROUND(MAX(0,N(F37)*($K$6+$W$7)-K37),2))</f>
        <v/>
      </c>
      <c r="AB37" s="85" t="str">
        <f>IF(A37="","",IF(AND(M37&gt;0,M37&gt;=p_DifMin),AA37,0))</f>
        <v/>
      </c>
      <c r="AC37" s="85" t="str">
        <f>IF(A37="","",IF(AND(AB37&gt;0,N(O37)&lt;=p_MaxAtivos),AB37,0))</f>
        <v/>
      </c>
      <c r="AD37" s="85" t="str">
        <f>IF(A37="","",IF(OR(Q37&lt;=0,Q37&lt;p_CompraMin,N(H37)&lt;=0,N(W37)&lt;=0),0,IF($W$3="Sim",TRUNC(ROUND(MAX(0,(Q37-p_CorrFixa)/(H37*W37*$W$6)),9),$W$4),TRUNC(ROUND(MAX(0,(Q37-p_CorrFixa)/(H37*W37*$W$6)),9)/$W$5)*$W$5)))</f>
        <v/>
      </c>
      <c r="AE37" s="85" t="str">
        <f>IF(A37="","",IF(N(AD37)&gt;0,AD37*H37*W37*$W$6+p_CorrFixa,0))</f>
        <v/>
      </c>
      <c r="AF37" s="85" t="str">
        <f>IF(A37="","",IF(OR($Y$1&lt;=0,N(H37)&lt;=0,N(W37)&lt;=0,N(AB37)&lt;=0),0,IF($W$3="Sim",TRUNC(ROUND(MAX(0,($Y$1-IF(N(AD37)&gt;0,0,p_CorrFixa))/(H37*W37*$W$6)),9),$W$4),TRUNC(ROUND(MAX(0,($Y$1-IF(N(AD37)&gt;0,0,p_CorrFixa))/(H37*W37*$W$6)),9)/$W$5)*$W$5)))</f>
        <v/>
      </c>
      <c r="AG37" s="85" t="str">
        <f>IF(A37="","",IF(AND(N(AD37)=0,N(AF37)*(H37*W37*$W$6)+p_CorrFixa&lt;p_CompraMin),0,AF37))</f>
        <v/>
      </c>
      <c r="AH37" s="85" t="str">
        <f>IF(A37="","",IF(N(AG37)&gt;0,AB37,0))</f>
        <v/>
      </c>
      <c r="AI37" s="85" t="str">
        <f>IF(A37="","",IF(AND(AH37&gt;0,AH37=$AH$6,COUNTIF($AH$9:AH37,AH37)=1),1,0))</f>
        <v/>
      </c>
    </row>
    <row r="38">
      <c r="A38" s="96" t="n"/>
      <c r="B38" s="96" t="n"/>
      <c r="C38" s="96" t="n"/>
      <c r="D38" s="97" t="n"/>
      <c r="E38" s="98" t="n"/>
      <c r="F38" s="99" t="n"/>
      <c r="G38" s="100" t="n"/>
      <c r="H38" s="104" t="str">
        <f>IF(A38="","",IF(AND(p_ModoCot="Automático",ISNUMBER(Z38)),Z38,IF(N(G38)&gt;0,G38,0)))</f>
        <v/>
      </c>
      <c r="I38" s="105" t="str">
        <f>IF(A38="","",IF(W38=0,"Sem câmbio",IF(AND(p_ModoCot="Automático",ISNUMBER(Z38)),"Auto",IF(N(G38)&gt;0,"Manual","Sem cotação"))))</f>
        <v/>
      </c>
      <c r="J38" s="106" t="str">
        <f>IF(A38="","",N(E38)*H38)</f>
        <v/>
      </c>
      <c r="K38" s="107" t="str">
        <f>IF(A38="","",J38*W38)</f>
        <v/>
      </c>
      <c r="L38" s="108" t="str">
        <f>IF(A38="","",IF($K$6&gt;0,K38/$K$6,0))</f>
        <v/>
      </c>
      <c r="M38" s="109" t="str">
        <f>IF(A38="","",N(F38)-L38)</f>
        <v/>
      </c>
      <c r="N38" s="108" t="str">
        <f>IF(A38="","",IF($AB$6&gt;0,AB38/$AB$6,0))</f>
        <v/>
      </c>
      <c r="O38" s="110" t="str">
        <f>IF(A38="","",IF(AB38&lt;=0,"",COUNTIF($AB$9:$AB$208,"&gt;"&amp;AB38)+COUNTIF($AB$9:AB38,AB38)))</f>
        <v/>
      </c>
      <c r="P38" s="105" t="str">
        <f>IF(A38="","",IF(Q38&gt;0,"BUY","HOLD"))</f>
        <v/>
      </c>
      <c r="Q38" s="107" t="str">
        <f>IF(A38="","",IF($W$7&lt;=0,0,IF($AC$6&gt;0,$W$7*AC38/$AC$6,IF($F$6&gt;0,$W$7*N(F38)/$F$6,0))))</f>
        <v/>
      </c>
      <c r="R38" s="111" t="str">
        <f>IF(A38="","",N(AD38)+IF(AI38=1,N(AG38),0))</f>
        <v/>
      </c>
      <c r="S38" s="111" t="str">
        <f>IF(A38="","",N(E38)+N(R38))</f>
        <v/>
      </c>
      <c r="T38" s="107" t="str">
        <f>IF(A38="","",IF(N(R38)&gt;0,R38*H38*W38*$W$6+p_CorrFixa,0))</f>
        <v/>
      </c>
      <c r="V38" s="85" t="str">
        <f>IF(A38="","",IF(D38="",$W$1,D38))</f>
        <v/>
      </c>
      <c r="W38" s="85" t="str">
        <f>IF(A38="","",IFERROR(INDEX(moeda_fx,MATCH(V38,moeda_cod,0)),0))</f>
        <v/>
      </c>
      <c r="X38" s="85" t="str">
        <f>IF(A38="","",IF($W$2="",UPPER(TRIM(A38)),IF(RIGHT(UPPER(TRIM(A38)),LEN($W$2))=$W$2,UPPER(TRIM(A38)),UPPER(TRIM(A38))&amp;$W$2)))</f>
        <v/>
      </c>
      <c r="Y38" s="85" t="str">
        <f>IF(OR(A38="",p_ModoCot&lt;&gt;"Automático"),"",IFERROR(_xlfn.WEBSERVICE("https://query1.finance.yahoo.com/v8/finance/chart/"&amp;X38&amp;"?range=1d&amp;interval=1d"),""))</f>
        <v/>
      </c>
      <c r="Z38" s="85" t="str">
        <f>IF(Y38="","",IFERROR(_xlfn.NUMBERVALUE(MID(Y38,SEARCH("""regularMarketPrice"":",Y38)+21,SEARCH(",",Y38&amp;",",SEARCH("""regularMarketPrice"":",Y38)+21)-SEARCH("""regularMarketPrice"":",Y38)-21),".",","),""))</f>
        <v/>
      </c>
      <c r="AA38" s="85" t="str">
        <f>IF(A38="","",ROUND(MAX(0,N(F38)*($K$6+$W$7)-K38),2))</f>
        <v/>
      </c>
      <c r="AB38" s="85" t="str">
        <f>IF(A38="","",IF(AND(M38&gt;0,M38&gt;=p_DifMin),AA38,0))</f>
        <v/>
      </c>
      <c r="AC38" s="85" t="str">
        <f>IF(A38="","",IF(AND(AB38&gt;0,N(O38)&lt;=p_MaxAtivos),AB38,0))</f>
        <v/>
      </c>
      <c r="AD38" s="85" t="str">
        <f>IF(A38="","",IF(OR(Q38&lt;=0,Q38&lt;p_CompraMin,N(H38)&lt;=0,N(W38)&lt;=0),0,IF($W$3="Sim",TRUNC(ROUND(MAX(0,(Q38-p_CorrFixa)/(H38*W38*$W$6)),9),$W$4),TRUNC(ROUND(MAX(0,(Q38-p_CorrFixa)/(H38*W38*$W$6)),9)/$W$5)*$W$5)))</f>
        <v/>
      </c>
      <c r="AE38" s="85" t="str">
        <f>IF(A38="","",IF(N(AD38)&gt;0,AD38*H38*W38*$W$6+p_CorrFixa,0))</f>
        <v/>
      </c>
      <c r="AF38" s="85" t="str">
        <f>IF(A38="","",IF(OR($Y$1&lt;=0,N(H38)&lt;=0,N(W38)&lt;=0,N(AB38)&lt;=0),0,IF($W$3="Sim",TRUNC(ROUND(MAX(0,($Y$1-IF(N(AD38)&gt;0,0,p_CorrFixa))/(H38*W38*$W$6)),9),$W$4),TRUNC(ROUND(MAX(0,($Y$1-IF(N(AD38)&gt;0,0,p_CorrFixa))/(H38*W38*$W$6)),9)/$W$5)*$W$5)))</f>
        <v/>
      </c>
      <c r="AG38" s="85" t="str">
        <f>IF(A38="","",IF(AND(N(AD38)=0,N(AF38)*(H38*W38*$W$6)+p_CorrFixa&lt;p_CompraMin),0,AF38))</f>
        <v/>
      </c>
      <c r="AH38" s="85" t="str">
        <f>IF(A38="","",IF(N(AG38)&gt;0,AB38,0))</f>
        <v/>
      </c>
      <c r="AI38" s="85" t="str">
        <f>IF(A38="","",IF(AND(AH38&gt;0,AH38=$AH$6,COUNTIF($AH$9:AH38,AH38)=1),1,0))</f>
        <v/>
      </c>
    </row>
    <row r="39">
      <c r="A39" s="96" t="n"/>
      <c r="B39" s="96" t="n"/>
      <c r="C39" s="96" t="n"/>
      <c r="D39" s="97" t="n"/>
      <c r="E39" s="98" t="n"/>
      <c r="F39" s="99" t="n"/>
      <c r="G39" s="100" t="n"/>
      <c r="H39" s="101" t="str">
        <f>IF(A39="","",IF(AND(p_ModoCot="Automático",ISNUMBER(Z39)),Z39,IF(N(G39)&gt;0,G39,0)))</f>
        <v/>
      </c>
      <c r="I39" s="73" t="str">
        <f>IF(A39="","",IF(W39=0,"Sem câmbio",IF(AND(p_ModoCot="Automático",ISNUMBER(Z39)),"Auto",IF(N(G39)&gt;0,"Manual","Sem cotação"))))</f>
        <v/>
      </c>
      <c r="J39" s="102" t="str">
        <f>IF(A39="","",N(E39)*H39)</f>
        <v/>
      </c>
      <c r="K39" s="70" t="str">
        <f>IF(A39="","",J39*W39)</f>
        <v/>
      </c>
      <c r="L39" s="30" t="str">
        <f>IF(A39="","",IF($K$6&gt;0,K39/$K$6,0))</f>
        <v/>
      </c>
      <c r="M39" s="72" t="str">
        <f>IF(A39="","",N(F39)-L39)</f>
        <v/>
      </c>
      <c r="N39" s="30" t="str">
        <f>IF(A39="","",IF($AB$6&gt;0,AB39/$AB$6,0))</f>
        <v/>
      </c>
      <c r="O39" s="74" t="str">
        <f>IF(A39="","",IF(AB39&lt;=0,"",COUNTIF($AB$9:$AB$208,"&gt;"&amp;AB39)+COUNTIF($AB$9:AB39,AB39)))</f>
        <v/>
      </c>
      <c r="P39" s="73" t="str">
        <f>IF(A39="","",IF(Q39&gt;0,"BUY","HOLD"))</f>
        <v/>
      </c>
      <c r="Q39" s="70" t="str">
        <f>IF(A39="","",IF($W$7&lt;=0,0,IF($AC$6&gt;0,$W$7*AC39/$AC$6,IF($F$6&gt;0,$W$7*N(F39)/$F$6,0))))</f>
        <v/>
      </c>
      <c r="R39" s="103" t="str">
        <f>IF(A39="","",N(AD39)+IF(AI39=1,N(AG39),0))</f>
        <v/>
      </c>
      <c r="S39" s="103" t="str">
        <f>IF(A39="","",N(E39)+N(R39))</f>
        <v/>
      </c>
      <c r="T39" s="70" t="str">
        <f>IF(A39="","",IF(N(R39)&gt;0,R39*H39*W39*$W$6+p_CorrFixa,0))</f>
        <v/>
      </c>
      <c r="V39" s="85" t="str">
        <f>IF(A39="","",IF(D39="",$W$1,D39))</f>
        <v/>
      </c>
      <c r="W39" s="85" t="str">
        <f>IF(A39="","",IFERROR(INDEX(moeda_fx,MATCH(V39,moeda_cod,0)),0))</f>
        <v/>
      </c>
      <c r="X39" s="85" t="str">
        <f>IF(A39="","",IF($W$2="",UPPER(TRIM(A39)),IF(RIGHT(UPPER(TRIM(A39)),LEN($W$2))=$W$2,UPPER(TRIM(A39)),UPPER(TRIM(A39))&amp;$W$2)))</f>
        <v/>
      </c>
      <c r="Y39" s="85" t="str">
        <f>IF(OR(A39="",p_ModoCot&lt;&gt;"Automático"),"",IFERROR(_xlfn.WEBSERVICE("https://query1.finance.yahoo.com/v8/finance/chart/"&amp;X39&amp;"?range=1d&amp;interval=1d"),""))</f>
        <v/>
      </c>
      <c r="Z39" s="85" t="str">
        <f>IF(Y39="","",IFERROR(_xlfn.NUMBERVALUE(MID(Y39,SEARCH("""regularMarketPrice"":",Y39)+21,SEARCH(",",Y39&amp;",",SEARCH("""regularMarketPrice"":",Y39)+21)-SEARCH("""regularMarketPrice"":",Y39)-21),".",","),""))</f>
        <v/>
      </c>
      <c r="AA39" s="85" t="str">
        <f>IF(A39="","",ROUND(MAX(0,N(F39)*($K$6+$W$7)-K39),2))</f>
        <v/>
      </c>
      <c r="AB39" s="85" t="str">
        <f>IF(A39="","",IF(AND(M39&gt;0,M39&gt;=p_DifMin),AA39,0))</f>
        <v/>
      </c>
      <c r="AC39" s="85" t="str">
        <f>IF(A39="","",IF(AND(AB39&gt;0,N(O39)&lt;=p_MaxAtivos),AB39,0))</f>
        <v/>
      </c>
      <c r="AD39" s="85" t="str">
        <f>IF(A39="","",IF(OR(Q39&lt;=0,Q39&lt;p_CompraMin,N(H39)&lt;=0,N(W39)&lt;=0),0,IF($W$3="Sim",TRUNC(ROUND(MAX(0,(Q39-p_CorrFixa)/(H39*W39*$W$6)),9),$W$4),TRUNC(ROUND(MAX(0,(Q39-p_CorrFixa)/(H39*W39*$W$6)),9)/$W$5)*$W$5)))</f>
        <v/>
      </c>
      <c r="AE39" s="85" t="str">
        <f>IF(A39="","",IF(N(AD39)&gt;0,AD39*H39*W39*$W$6+p_CorrFixa,0))</f>
        <v/>
      </c>
      <c r="AF39" s="85" t="str">
        <f>IF(A39="","",IF(OR($Y$1&lt;=0,N(H39)&lt;=0,N(W39)&lt;=0,N(AB39)&lt;=0),0,IF($W$3="Sim",TRUNC(ROUND(MAX(0,($Y$1-IF(N(AD39)&gt;0,0,p_CorrFixa))/(H39*W39*$W$6)),9),$W$4),TRUNC(ROUND(MAX(0,($Y$1-IF(N(AD39)&gt;0,0,p_CorrFixa))/(H39*W39*$W$6)),9)/$W$5)*$W$5)))</f>
        <v/>
      </c>
      <c r="AG39" s="85" t="str">
        <f>IF(A39="","",IF(AND(N(AD39)=0,N(AF39)*(H39*W39*$W$6)+p_CorrFixa&lt;p_CompraMin),0,AF39))</f>
        <v/>
      </c>
      <c r="AH39" s="85" t="str">
        <f>IF(A39="","",IF(N(AG39)&gt;0,AB39,0))</f>
        <v/>
      </c>
      <c r="AI39" s="85" t="str">
        <f>IF(A39="","",IF(AND(AH39&gt;0,AH39=$AH$6,COUNTIF($AH$9:AH39,AH39)=1),1,0))</f>
        <v/>
      </c>
    </row>
    <row r="40">
      <c r="A40" s="96" t="n"/>
      <c r="B40" s="96" t="n"/>
      <c r="C40" s="96" t="n"/>
      <c r="D40" s="97" t="n"/>
      <c r="E40" s="98" t="n"/>
      <c r="F40" s="99" t="n"/>
      <c r="G40" s="100" t="n"/>
      <c r="H40" s="104" t="str">
        <f>IF(A40="","",IF(AND(p_ModoCot="Automático",ISNUMBER(Z40)),Z40,IF(N(G40)&gt;0,G40,0)))</f>
        <v/>
      </c>
      <c r="I40" s="105" t="str">
        <f>IF(A40="","",IF(W40=0,"Sem câmbio",IF(AND(p_ModoCot="Automático",ISNUMBER(Z40)),"Auto",IF(N(G40)&gt;0,"Manual","Sem cotação"))))</f>
        <v/>
      </c>
      <c r="J40" s="106" t="str">
        <f>IF(A40="","",N(E40)*H40)</f>
        <v/>
      </c>
      <c r="K40" s="107" t="str">
        <f>IF(A40="","",J40*W40)</f>
        <v/>
      </c>
      <c r="L40" s="108" t="str">
        <f>IF(A40="","",IF($K$6&gt;0,K40/$K$6,0))</f>
        <v/>
      </c>
      <c r="M40" s="109" t="str">
        <f>IF(A40="","",N(F40)-L40)</f>
        <v/>
      </c>
      <c r="N40" s="108" t="str">
        <f>IF(A40="","",IF($AB$6&gt;0,AB40/$AB$6,0))</f>
        <v/>
      </c>
      <c r="O40" s="110" t="str">
        <f>IF(A40="","",IF(AB40&lt;=0,"",COUNTIF($AB$9:$AB$208,"&gt;"&amp;AB40)+COUNTIF($AB$9:AB40,AB40)))</f>
        <v/>
      </c>
      <c r="P40" s="105" t="str">
        <f>IF(A40="","",IF(Q40&gt;0,"BUY","HOLD"))</f>
        <v/>
      </c>
      <c r="Q40" s="107" t="str">
        <f>IF(A40="","",IF($W$7&lt;=0,0,IF($AC$6&gt;0,$W$7*AC40/$AC$6,IF($F$6&gt;0,$W$7*N(F40)/$F$6,0))))</f>
        <v/>
      </c>
      <c r="R40" s="111" t="str">
        <f>IF(A40="","",N(AD40)+IF(AI40=1,N(AG40),0))</f>
        <v/>
      </c>
      <c r="S40" s="111" t="str">
        <f>IF(A40="","",N(E40)+N(R40))</f>
        <v/>
      </c>
      <c r="T40" s="107" t="str">
        <f>IF(A40="","",IF(N(R40)&gt;0,R40*H40*W40*$W$6+p_CorrFixa,0))</f>
        <v/>
      </c>
      <c r="V40" s="85" t="str">
        <f>IF(A40="","",IF(D40="",$W$1,D40))</f>
        <v/>
      </c>
      <c r="W40" s="85" t="str">
        <f>IF(A40="","",IFERROR(INDEX(moeda_fx,MATCH(V40,moeda_cod,0)),0))</f>
        <v/>
      </c>
      <c r="X40" s="85" t="str">
        <f>IF(A40="","",IF($W$2="",UPPER(TRIM(A40)),IF(RIGHT(UPPER(TRIM(A40)),LEN($W$2))=$W$2,UPPER(TRIM(A40)),UPPER(TRIM(A40))&amp;$W$2)))</f>
        <v/>
      </c>
      <c r="Y40" s="85" t="str">
        <f>IF(OR(A40="",p_ModoCot&lt;&gt;"Automático"),"",IFERROR(_xlfn.WEBSERVICE("https://query1.finance.yahoo.com/v8/finance/chart/"&amp;X40&amp;"?range=1d&amp;interval=1d"),""))</f>
        <v/>
      </c>
      <c r="Z40" s="85" t="str">
        <f>IF(Y40="","",IFERROR(_xlfn.NUMBERVALUE(MID(Y40,SEARCH("""regularMarketPrice"":",Y40)+21,SEARCH(",",Y40&amp;",",SEARCH("""regularMarketPrice"":",Y40)+21)-SEARCH("""regularMarketPrice"":",Y40)-21),".",","),""))</f>
        <v/>
      </c>
      <c r="AA40" s="85" t="str">
        <f>IF(A40="","",ROUND(MAX(0,N(F40)*($K$6+$W$7)-K40),2))</f>
        <v/>
      </c>
      <c r="AB40" s="85" t="str">
        <f>IF(A40="","",IF(AND(M40&gt;0,M40&gt;=p_DifMin),AA40,0))</f>
        <v/>
      </c>
      <c r="AC40" s="85" t="str">
        <f>IF(A40="","",IF(AND(AB40&gt;0,N(O40)&lt;=p_MaxAtivos),AB40,0))</f>
        <v/>
      </c>
      <c r="AD40" s="85" t="str">
        <f>IF(A40="","",IF(OR(Q40&lt;=0,Q40&lt;p_CompraMin,N(H40)&lt;=0,N(W40)&lt;=0),0,IF($W$3="Sim",TRUNC(ROUND(MAX(0,(Q40-p_CorrFixa)/(H40*W40*$W$6)),9),$W$4),TRUNC(ROUND(MAX(0,(Q40-p_CorrFixa)/(H40*W40*$W$6)),9)/$W$5)*$W$5)))</f>
        <v/>
      </c>
      <c r="AE40" s="85" t="str">
        <f>IF(A40="","",IF(N(AD40)&gt;0,AD40*H40*W40*$W$6+p_CorrFixa,0))</f>
        <v/>
      </c>
      <c r="AF40" s="85" t="str">
        <f>IF(A40="","",IF(OR($Y$1&lt;=0,N(H40)&lt;=0,N(W40)&lt;=0,N(AB40)&lt;=0),0,IF($W$3="Sim",TRUNC(ROUND(MAX(0,($Y$1-IF(N(AD40)&gt;0,0,p_CorrFixa))/(H40*W40*$W$6)),9),$W$4),TRUNC(ROUND(MAX(0,($Y$1-IF(N(AD40)&gt;0,0,p_CorrFixa))/(H40*W40*$W$6)),9)/$W$5)*$W$5)))</f>
        <v/>
      </c>
      <c r="AG40" s="85" t="str">
        <f>IF(A40="","",IF(AND(N(AD40)=0,N(AF40)*(H40*W40*$W$6)+p_CorrFixa&lt;p_CompraMin),0,AF40))</f>
        <v/>
      </c>
      <c r="AH40" s="85" t="str">
        <f>IF(A40="","",IF(N(AG40)&gt;0,AB40,0))</f>
        <v/>
      </c>
      <c r="AI40" s="85" t="str">
        <f>IF(A40="","",IF(AND(AH40&gt;0,AH40=$AH$6,COUNTIF($AH$9:AH40,AH40)=1),1,0))</f>
        <v/>
      </c>
    </row>
    <row r="41">
      <c r="A41" s="96" t="n"/>
      <c r="B41" s="96" t="n"/>
      <c r="C41" s="96" t="n"/>
      <c r="D41" s="97" t="n"/>
      <c r="E41" s="98" t="n"/>
      <c r="F41" s="99" t="n"/>
      <c r="G41" s="100" t="n"/>
      <c r="H41" s="101" t="str">
        <f>IF(A41="","",IF(AND(p_ModoCot="Automático",ISNUMBER(Z41)),Z41,IF(N(G41)&gt;0,G41,0)))</f>
        <v/>
      </c>
      <c r="I41" s="73" t="str">
        <f>IF(A41="","",IF(W41=0,"Sem câmbio",IF(AND(p_ModoCot="Automático",ISNUMBER(Z41)),"Auto",IF(N(G41)&gt;0,"Manual","Sem cotação"))))</f>
        <v/>
      </c>
      <c r="J41" s="102" t="str">
        <f>IF(A41="","",N(E41)*H41)</f>
        <v/>
      </c>
      <c r="K41" s="70" t="str">
        <f>IF(A41="","",J41*W41)</f>
        <v/>
      </c>
      <c r="L41" s="30" t="str">
        <f>IF(A41="","",IF($K$6&gt;0,K41/$K$6,0))</f>
        <v/>
      </c>
      <c r="M41" s="72" t="str">
        <f>IF(A41="","",N(F41)-L41)</f>
        <v/>
      </c>
      <c r="N41" s="30" t="str">
        <f>IF(A41="","",IF($AB$6&gt;0,AB41/$AB$6,0))</f>
        <v/>
      </c>
      <c r="O41" s="74" t="str">
        <f>IF(A41="","",IF(AB41&lt;=0,"",COUNTIF($AB$9:$AB$208,"&gt;"&amp;AB41)+COUNTIF($AB$9:AB41,AB41)))</f>
        <v/>
      </c>
      <c r="P41" s="73" t="str">
        <f>IF(A41="","",IF(Q41&gt;0,"BUY","HOLD"))</f>
        <v/>
      </c>
      <c r="Q41" s="70" t="str">
        <f>IF(A41="","",IF($W$7&lt;=0,0,IF($AC$6&gt;0,$W$7*AC41/$AC$6,IF($F$6&gt;0,$W$7*N(F41)/$F$6,0))))</f>
        <v/>
      </c>
      <c r="R41" s="103" t="str">
        <f>IF(A41="","",N(AD41)+IF(AI41=1,N(AG41),0))</f>
        <v/>
      </c>
      <c r="S41" s="103" t="str">
        <f>IF(A41="","",N(E41)+N(R41))</f>
        <v/>
      </c>
      <c r="T41" s="70" t="str">
        <f>IF(A41="","",IF(N(R41)&gt;0,R41*H41*W41*$W$6+p_CorrFixa,0))</f>
        <v/>
      </c>
      <c r="V41" s="85" t="str">
        <f>IF(A41="","",IF(D41="",$W$1,D41))</f>
        <v/>
      </c>
      <c r="W41" s="85" t="str">
        <f>IF(A41="","",IFERROR(INDEX(moeda_fx,MATCH(V41,moeda_cod,0)),0))</f>
        <v/>
      </c>
      <c r="X41" s="85" t="str">
        <f>IF(A41="","",IF($W$2="",UPPER(TRIM(A41)),IF(RIGHT(UPPER(TRIM(A41)),LEN($W$2))=$W$2,UPPER(TRIM(A41)),UPPER(TRIM(A41))&amp;$W$2)))</f>
        <v/>
      </c>
      <c r="Y41" s="85" t="str">
        <f>IF(OR(A41="",p_ModoCot&lt;&gt;"Automático"),"",IFERROR(_xlfn.WEBSERVICE("https://query1.finance.yahoo.com/v8/finance/chart/"&amp;X41&amp;"?range=1d&amp;interval=1d"),""))</f>
        <v/>
      </c>
      <c r="Z41" s="85" t="str">
        <f>IF(Y41="","",IFERROR(_xlfn.NUMBERVALUE(MID(Y41,SEARCH("""regularMarketPrice"":",Y41)+21,SEARCH(",",Y41&amp;",",SEARCH("""regularMarketPrice"":",Y41)+21)-SEARCH("""regularMarketPrice"":",Y41)-21),".",","),""))</f>
        <v/>
      </c>
      <c r="AA41" s="85" t="str">
        <f>IF(A41="","",ROUND(MAX(0,N(F41)*($K$6+$W$7)-K41),2))</f>
        <v/>
      </c>
      <c r="AB41" s="85" t="str">
        <f>IF(A41="","",IF(AND(M41&gt;0,M41&gt;=p_DifMin),AA41,0))</f>
        <v/>
      </c>
      <c r="AC41" s="85" t="str">
        <f>IF(A41="","",IF(AND(AB41&gt;0,N(O41)&lt;=p_MaxAtivos),AB41,0))</f>
        <v/>
      </c>
      <c r="AD41" s="85" t="str">
        <f>IF(A41="","",IF(OR(Q41&lt;=0,Q41&lt;p_CompraMin,N(H41)&lt;=0,N(W41)&lt;=0),0,IF($W$3="Sim",TRUNC(ROUND(MAX(0,(Q41-p_CorrFixa)/(H41*W41*$W$6)),9),$W$4),TRUNC(ROUND(MAX(0,(Q41-p_CorrFixa)/(H41*W41*$W$6)),9)/$W$5)*$W$5)))</f>
        <v/>
      </c>
      <c r="AE41" s="85" t="str">
        <f>IF(A41="","",IF(N(AD41)&gt;0,AD41*H41*W41*$W$6+p_CorrFixa,0))</f>
        <v/>
      </c>
      <c r="AF41" s="85" t="str">
        <f>IF(A41="","",IF(OR($Y$1&lt;=0,N(H41)&lt;=0,N(W41)&lt;=0,N(AB41)&lt;=0),0,IF($W$3="Sim",TRUNC(ROUND(MAX(0,($Y$1-IF(N(AD41)&gt;0,0,p_CorrFixa))/(H41*W41*$W$6)),9),$W$4),TRUNC(ROUND(MAX(0,($Y$1-IF(N(AD41)&gt;0,0,p_CorrFixa))/(H41*W41*$W$6)),9)/$W$5)*$W$5)))</f>
        <v/>
      </c>
      <c r="AG41" s="85" t="str">
        <f>IF(A41="","",IF(AND(N(AD41)=0,N(AF41)*(H41*W41*$W$6)+p_CorrFixa&lt;p_CompraMin),0,AF41))</f>
        <v/>
      </c>
      <c r="AH41" s="85" t="str">
        <f>IF(A41="","",IF(N(AG41)&gt;0,AB41,0))</f>
        <v/>
      </c>
      <c r="AI41" s="85" t="str">
        <f>IF(A41="","",IF(AND(AH41&gt;0,AH41=$AH$6,COUNTIF($AH$9:AH41,AH41)=1),1,0))</f>
        <v/>
      </c>
    </row>
    <row r="42">
      <c r="A42" s="96" t="n"/>
      <c r="B42" s="96" t="n"/>
      <c r="C42" s="96" t="n"/>
      <c r="D42" s="97" t="n"/>
      <c r="E42" s="98" t="n"/>
      <c r="F42" s="99" t="n"/>
      <c r="G42" s="100" t="n"/>
      <c r="H42" s="104" t="str">
        <f>IF(A42="","",IF(AND(p_ModoCot="Automático",ISNUMBER(Z42)),Z42,IF(N(G42)&gt;0,G42,0)))</f>
        <v/>
      </c>
      <c r="I42" s="105" t="str">
        <f>IF(A42="","",IF(W42=0,"Sem câmbio",IF(AND(p_ModoCot="Automático",ISNUMBER(Z42)),"Auto",IF(N(G42)&gt;0,"Manual","Sem cotação"))))</f>
        <v/>
      </c>
      <c r="J42" s="106" t="str">
        <f>IF(A42="","",N(E42)*H42)</f>
        <v/>
      </c>
      <c r="K42" s="107" t="str">
        <f>IF(A42="","",J42*W42)</f>
        <v/>
      </c>
      <c r="L42" s="108" t="str">
        <f>IF(A42="","",IF($K$6&gt;0,K42/$K$6,0))</f>
        <v/>
      </c>
      <c r="M42" s="109" t="str">
        <f>IF(A42="","",N(F42)-L42)</f>
        <v/>
      </c>
      <c r="N42" s="108" t="str">
        <f>IF(A42="","",IF($AB$6&gt;0,AB42/$AB$6,0))</f>
        <v/>
      </c>
      <c r="O42" s="110" t="str">
        <f>IF(A42="","",IF(AB42&lt;=0,"",COUNTIF($AB$9:$AB$208,"&gt;"&amp;AB42)+COUNTIF($AB$9:AB42,AB42)))</f>
        <v/>
      </c>
      <c r="P42" s="105" t="str">
        <f>IF(A42="","",IF(Q42&gt;0,"BUY","HOLD"))</f>
        <v/>
      </c>
      <c r="Q42" s="107" t="str">
        <f>IF(A42="","",IF($W$7&lt;=0,0,IF($AC$6&gt;0,$W$7*AC42/$AC$6,IF($F$6&gt;0,$W$7*N(F42)/$F$6,0))))</f>
        <v/>
      </c>
      <c r="R42" s="111" t="str">
        <f>IF(A42="","",N(AD42)+IF(AI42=1,N(AG42),0))</f>
        <v/>
      </c>
      <c r="S42" s="111" t="str">
        <f>IF(A42="","",N(E42)+N(R42))</f>
        <v/>
      </c>
      <c r="T42" s="107" t="str">
        <f>IF(A42="","",IF(N(R42)&gt;0,R42*H42*W42*$W$6+p_CorrFixa,0))</f>
        <v/>
      </c>
      <c r="V42" s="85" t="str">
        <f>IF(A42="","",IF(D42="",$W$1,D42))</f>
        <v/>
      </c>
      <c r="W42" s="85" t="str">
        <f>IF(A42="","",IFERROR(INDEX(moeda_fx,MATCH(V42,moeda_cod,0)),0))</f>
        <v/>
      </c>
      <c r="X42" s="85" t="str">
        <f>IF(A42="","",IF($W$2="",UPPER(TRIM(A42)),IF(RIGHT(UPPER(TRIM(A42)),LEN($W$2))=$W$2,UPPER(TRIM(A42)),UPPER(TRIM(A42))&amp;$W$2)))</f>
        <v/>
      </c>
      <c r="Y42" s="85" t="str">
        <f>IF(OR(A42="",p_ModoCot&lt;&gt;"Automático"),"",IFERROR(_xlfn.WEBSERVICE("https://query1.finance.yahoo.com/v8/finance/chart/"&amp;X42&amp;"?range=1d&amp;interval=1d"),""))</f>
        <v/>
      </c>
      <c r="Z42" s="85" t="str">
        <f>IF(Y42="","",IFERROR(_xlfn.NUMBERVALUE(MID(Y42,SEARCH("""regularMarketPrice"":",Y42)+21,SEARCH(",",Y42&amp;",",SEARCH("""regularMarketPrice"":",Y42)+21)-SEARCH("""regularMarketPrice"":",Y42)-21),".",","),""))</f>
        <v/>
      </c>
      <c r="AA42" s="85" t="str">
        <f>IF(A42="","",ROUND(MAX(0,N(F42)*($K$6+$W$7)-K42),2))</f>
        <v/>
      </c>
      <c r="AB42" s="85" t="str">
        <f>IF(A42="","",IF(AND(M42&gt;0,M42&gt;=p_DifMin),AA42,0))</f>
        <v/>
      </c>
      <c r="AC42" s="85" t="str">
        <f>IF(A42="","",IF(AND(AB42&gt;0,N(O42)&lt;=p_MaxAtivos),AB42,0))</f>
        <v/>
      </c>
      <c r="AD42" s="85" t="str">
        <f>IF(A42="","",IF(OR(Q42&lt;=0,Q42&lt;p_CompraMin,N(H42)&lt;=0,N(W42)&lt;=0),0,IF($W$3="Sim",TRUNC(ROUND(MAX(0,(Q42-p_CorrFixa)/(H42*W42*$W$6)),9),$W$4),TRUNC(ROUND(MAX(0,(Q42-p_CorrFixa)/(H42*W42*$W$6)),9)/$W$5)*$W$5)))</f>
        <v/>
      </c>
      <c r="AE42" s="85" t="str">
        <f>IF(A42="","",IF(N(AD42)&gt;0,AD42*H42*W42*$W$6+p_CorrFixa,0))</f>
        <v/>
      </c>
      <c r="AF42" s="85" t="str">
        <f>IF(A42="","",IF(OR($Y$1&lt;=0,N(H42)&lt;=0,N(W42)&lt;=0,N(AB42)&lt;=0),0,IF($W$3="Sim",TRUNC(ROUND(MAX(0,($Y$1-IF(N(AD42)&gt;0,0,p_CorrFixa))/(H42*W42*$W$6)),9),$W$4),TRUNC(ROUND(MAX(0,($Y$1-IF(N(AD42)&gt;0,0,p_CorrFixa))/(H42*W42*$W$6)),9)/$W$5)*$W$5)))</f>
        <v/>
      </c>
      <c r="AG42" s="85" t="str">
        <f>IF(A42="","",IF(AND(N(AD42)=0,N(AF42)*(H42*W42*$W$6)+p_CorrFixa&lt;p_CompraMin),0,AF42))</f>
        <v/>
      </c>
      <c r="AH42" s="85" t="str">
        <f>IF(A42="","",IF(N(AG42)&gt;0,AB42,0))</f>
        <v/>
      </c>
      <c r="AI42" s="85" t="str">
        <f>IF(A42="","",IF(AND(AH42&gt;0,AH42=$AH$6,COUNTIF($AH$9:AH42,AH42)=1),1,0))</f>
        <v/>
      </c>
    </row>
    <row r="43">
      <c r="A43" s="96" t="n"/>
      <c r="B43" s="96" t="n"/>
      <c r="C43" s="96" t="n"/>
      <c r="D43" s="97" t="n"/>
      <c r="E43" s="98" t="n"/>
      <c r="F43" s="99" t="n"/>
      <c r="G43" s="100" t="n"/>
      <c r="H43" s="101" t="str">
        <f>IF(A43="","",IF(AND(p_ModoCot="Automático",ISNUMBER(Z43)),Z43,IF(N(G43)&gt;0,G43,0)))</f>
        <v/>
      </c>
      <c r="I43" s="73" t="str">
        <f>IF(A43="","",IF(W43=0,"Sem câmbio",IF(AND(p_ModoCot="Automático",ISNUMBER(Z43)),"Auto",IF(N(G43)&gt;0,"Manual","Sem cotação"))))</f>
        <v/>
      </c>
      <c r="J43" s="102" t="str">
        <f>IF(A43="","",N(E43)*H43)</f>
        <v/>
      </c>
      <c r="K43" s="70" t="str">
        <f>IF(A43="","",J43*W43)</f>
        <v/>
      </c>
      <c r="L43" s="30" t="str">
        <f>IF(A43="","",IF($K$6&gt;0,K43/$K$6,0))</f>
        <v/>
      </c>
      <c r="M43" s="72" t="str">
        <f>IF(A43="","",N(F43)-L43)</f>
        <v/>
      </c>
      <c r="N43" s="30" t="str">
        <f>IF(A43="","",IF($AB$6&gt;0,AB43/$AB$6,0))</f>
        <v/>
      </c>
      <c r="O43" s="74" t="str">
        <f>IF(A43="","",IF(AB43&lt;=0,"",COUNTIF($AB$9:$AB$208,"&gt;"&amp;AB43)+COUNTIF($AB$9:AB43,AB43)))</f>
        <v/>
      </c>
      <c r="P43" s="73" t="str">
        <f>IF(A43="","",IF(Q43&gt;0,"BUY","HOLD"))</f>
        <v/>
      </c>
      <c r="Q43" s="70" t="str">
        <f>IF(A43="","",IF($W$7&lt;=0,0,IF($AC$6&gt;0,$W$7*AC43/$AC$6,IF($F$6&gt;0,$W$7*N(F43)/$F$6,0))))</f>
        <v/>
      </c>
      <c r="R43" s="103" t="str">
        <f>IF(A43="","",N(AD43)+IF(AI43=1,N(AG43),0))</f>
        <v/>
      </c>
      <c r="S43" s="103" t="str">
        <f>IF(A43="","",N(E43)+N(R43))</f>
        <v/>
      </c>
      <c r="T43" s="70" t="str">
        <f>IF(A43="","",IF(N(R43)&gt;0,R43*H43*W43*$W$6+p_CorrFixa,0))</f>
        <v/>
      </c>
      <c r="V43" s="85" t="str">
        <f>IF(A43="","",IF(D43="",$W$1,D43))</f>
        <v/>
      </c>
      <c r="W43" s="85" t="str">
        <f>IF(A43="","",IFERROR(INDEX(moeda_fx,MATCH(V43,moeda_cod,0)),0))</f>
        <v/>
      </c>
      <c r="X43" s="85" t="str">
        <f>IF(A43="","",IF($W$2="",UPPER(TRIM(A43)),IF(RIGHT(UPPER(TRIM(A43)),LEN($W$2))=$W$2,UPPER(TRIM(A43)),UPPER(TRIM(A43))&amp;$W$2)))</f>
        <v/>
      </c>
      <c r="Y43" s="85" t="str">
        <f>IF(OR(A43="",p_ModoCot&lt;&gt;"Automático"),"",IFERROR(_xlfn.WEBSERVICE("https://query1.finance.yahoo.com/v8/finance/chart/"&amp;X43&amp;"?range=1d&amp;interval=1d"),""))</f>
        <v/>
      </c>
      <c r="Z43" s="85" t="str">
        <f>IF(Y43="","",IFERROR(_xlfn.NUMBERVALUE(MID(Y43,SEARCH("""regularMarketPrice"":",Y43)+21,SEARCH(",",Y43&amp;",",SEARCH("""regularMarketPrice"":",Y43)+21)-SEARCH("""regularMarketPrice"":",Y43)-21),".",","),""))</f>
        <v/>
      </c>
      <c r="AA43" s="85" t="str">
        <f>IF(A43="","",ROUND(MAX(0,N(F43)*($K$6+$W$7)-K43),2))</f>
        <v/>
      </c>
      <c r="AB43" s="85" t="str">
        <f>IF(A43="","",IF(AND(M43&gt;0,M43&gt;=p_DifMin),AA43,0))</f>
        <v/>
      </c>
      <c r="AC43" s="85" t="str">
        <f>IF(A43="","",IF(AND(AB43&gt;0,N(O43)&lt;=p_MaxAtivos),AB43,0))</f>
        <v/>
      </c>
      <c r="AD43" s="85" t="str">
        <f>IF(A43="","",IF(OR(Q43&lt;=0,Q43&lt;p_CompraMin,N(H43)&lt;=0,N(W43)&lt;=0),0,IF($W$3="Sim",TRUNC(ROUND(MAX(0,(Q43-p_CorrFixa)/(H43*W43*$W$6)),9),$W$4),TRUNC(ROUND(MAX(0,(Q43-p_CorrFixa)/(H43*W43*$W$6)),9)/$W$5)*$W$5)))</f>
        <v/>
      </c>
      <c r="AE43" s="85" t="str">
        <f>IF(A43="","",IF(N(AD43)&gt;0,AD43*H43*W43*$W$6+p_CorrFixa,0))</f>
        <v/>
      </c>
      <c r="AF43" s="85" t="str">
        <f>IF(A43="","",IF(OR($Y$1&lt;=0,N(H43)&lt;=0,N(W43)&lt;=0,N(AB43)&lt;=0),0,IF($W$3="Sim",TRUNC(ROUND(MAX(0,($Y$1-IF(N(AD43)&gt;0,0,p_CorrFixa))/(H43*W43*$W$6)),9),$W$4),TRUNC(ROUND(MAX(0,($Y$1-IF(N(AD43)&gt;0,0,p_CorrFixa))/(H43*W43*$W$6)),9)/$W$5)*$W$5)))</f>
        <v/>
      </c>
      <c r="AG43" s="85" t="str">
        <f>IF(A43="","",IF(AND(N(AD43)=0,N(AF43)*(H43*W43*$W$6)+p_CorrFixa&lt;p_CompraMin),0,AF43))</f>
        <v/>
      </c>
      <c r="AH43" s="85" t="str">
        <f>IF(A43="","",IF(N(AG43)&gt;0,AB43,0))</f>
        <v/>
      </c>
      <c r="AI43" s="85" t="str">
        <f>IF(A43="","",IF(AND(AH43&gt;0,AH43=$AH$6,COUNTIF($AH$9:AH43,AH43)=1),1,0))</f>
        <v/>
      </c>
    </row>
    <row r="44">
      <c r="A44" s="96" t="n"/>
      <c r="B44" s="96" t="n"/>
      <c r="C44" s="96" t="n"/>
      <c r="D44" s="97" t="n"/>
      <c r="E44" s="98" t="n"/>
      <c r="F44" s="99" t="n"/>
      <c r="G44" s="100" t="n"/>
      <c r="H44" s="104" t="str">
        <f>IF(A44="","",IF(AND(p_ModoCot="Automático",ISNUMBER(Z44)),Z44,IF(N(G44)&gt;0,G44,0)))</f>
        <v/>
      </c>
      <c r="I44" s="105" t="str">
        <f>IF(A44="","",IF(W44=0,"Sem câmbio",IF(AND(p_ModoCot="Automático",ISNUMBER(Z44)),"Auto",IF(N(G44)&gt;0,"Manual","Sem cotação"))))</f>
        <v/>
      </c>
      <c r="J44" s="106" t="str">
        <f>IF(A44="","",N(E44)*H44)</f>
        <v/>
      </c>
      <c r="K44" s="107" t="str">
        <f>IF(A44="","",J44*W44)</f>
        <v/>
      </c>
      <c r="L44" s="108" t="str">
        <f>IF(A44="","",IF($K$6&gt;0,K44/$K$6,0))</f>
        <v/>
      </c>
      <c r="M44" s="109" t="str">
        <f>IF(A44="","",N(F44)-L44)</f>
        <v/>
      </c>
      <c r="N44" s="108" t="str">
        <f>IF(A44="","",IF($AB$6&gt;0,AB44/$AB$6,0))</f>
        <v/>
      </c>
      <c r="O44" s="110" t="str">
        <f>IF(A44="","",IF(AB44&lt;=0,"",COUNTIF($AB$9:$AB$208,"&gt;"&amp;AB44)+COUNTIF($AB$9:AB44,AB44)))</f>
        <v/>
      </c>
      <c r="P44" s="105" t="str">
        <f>IF(A44="","",IF(Q44&gt;0,"BUY","HOLD"))</f>
        <v/>
      </c>
      <c r="Q44" s="107" t="str">
        <f>IF(A44="","",IF($W$7&lt;=0,0,IF($AC$6&gt;0,$W$7*AC44/$AC$6,IF($F$6&gt;0,$W$7*N(F44)/$F$6,0))))</f>
        <v/>
      </c>
      <c r="R44" s="111" t="str">
        <f>IF(A44="","",N(AD44)+IF(AI44=1,N(AG44),0))</f>
        <v/>
      </c>
      <c r="S44" s="111" t="str">
        <f>IF(A44="","",N(E44)+N(R44))</f>
        <v/>
      </c>
      <c r="T44" s="107" t="str">
        <f>IF(A44="","",IF(N(R44)&gt;0,R44*H44*W44*$W$6+p_CorrFixa,0))</f>
        <v/>
      </c>
      <c r="V44" s="85" t="str">
        <f>IF(A44="","",IF(D44="",$W$1,D44))</f>
        <v/>
      </c>
      <c r="W44" s="85" t="str">
        <f>IF(A44="","",IFERROR(INDEX(moeda_fx,MATCH(V44,moeda_cod,0)),0))</f>
        <v/>
      </c>
      <c r="X44" s="85" t="str">
        <f>IF(A44="","",IF($W$2="",UPPER(TRIM(A44)),IF(RIGHT(UPPER(TRIM(A44)),LEN($W$2))=$W$2,UPPER(TRIM(A44)),UPPER(TRIM(A44))&amp;$W$2)))</f>
        <v/>
      </c>
      <c r="Y44" s="85" t="str">
        <f>IF(OR(A44="",p_ModoCot&lt;&gt;"Automático"),"",IFERROR(_xlfn.WEBSERVICE("https://query1.finance.yahoo.com/v8/finance/chart/"&amp;X44&amp;"?range=1d&amp;interval=1d"),""))</f>
        <v/>
      </c>
      <c r="Z44" s="85" t="str">
        <f>IF(Y44="","",IFERROR(_xlfn.NUMBERVALUE(MID(Y44,SEARCH("""regularMarketPrice"":",Y44)+21,SEARCH(",",Y44&amp;",",SEARCH("""regularMarketPrice"":",Y44)+21)-SEARCH("""regularMarketPrice"":",Y44)-21),".",","),""))</f>
        <v/>
      </c>
      <c r="AA44" s="85" t="str">
        <f>IF(A44="","",ROUND(MAX(0,N(F44)*($K$6+$W$7)-K44),2))</f>
        <v/>
      </c>
      <c r="AB44" s="85" t="str">
        <f>IF(A44="","",IF(AND(M44&gt;0,M44&gt;=p_DifMin),AA44,0))</f>
        <v/>
      </c>
      <c r="AC44" s="85" t="str">
        <f>IF(A44="","",IF(AND(AB44&gt;0,N(O44)&lt;=p_MaxAtivos),AB44,0))</f>
        <v/>
      </c>
      <c r="AD44" s="85" t="str">
        <f>IF(A44="","",IF(OR(Q44&lt;=0,Q44&lt;p_CompraMin,N(H44)&lt;=0,N(W44)&lt;=0),0,IF($W$3="Sim",TRUNC(ROUND(MAX(0,(Q44-p_CorrFixa)/(H44*W44*$W$6)),9),$W$4),TRUNC(ROUND(MAX(0,(Q44-p_CorrFixa)/(H44*W44*$W$6)),9)/$W$5)*$W$5)))</f>
        <v/>
      </c>
      <c r="AE44" s="85" t="str">
        <f>IF(A44="","",IF(N(AD44)&gt;0,AD44*H44*W44*$W$6+p_CorrFixa,0))</f>
        <v/>
      </c>
      <c r="AF44" s="85" t="str">
        <f>IF(A44="","",IF(OR($Y$1&lt;=0,N(H44)&lt;=0,N(W44)&lt;=0,N(AB44)&lt;=0),0,IF($W$3="Sim",TRUNC(ROUND(MAX(0,($Y$1-IF(N(AD44)&gt;0,0,p_CorrFixa))/(H44*W44*$W$6)),9),$W$4),TRUNC(ROUND(MAX(0,($Y$1-IF(N(AD44)&gt;0,0,p_CorrFixa))/(H44*W44*$W$6)),9)/$W$5)*$W$5)))</f>
        <v/>
      </c>
      <c r="AG44" s="85" t="str">
        <f>IF(A44="","",IF(AND(N(AD44)=0,N(AF44)*(H44*W44*$W$6)+p_CorrFixa&lt;p_CompraMin),0,AF44))</f>
        <v/>
      </c>
      <c r="AH44" s="85" t="str">
        <f>IF(A44="","",IF(N(AG44)&gt;0,AB44,0))</f>
        <v/>
      </c>
      <c r="AI44" s="85" t="str">
        <f>IF(A44="","",IF(AND(AH44&gt;0,AH44=$AH$6,COUNTIF($AH$9:AH44,AH44)=1),1,0))</f>
        <v/>
      </c>
    </row>
    <row r="45">
      <c r="A45" s="96" t="n"/>
      <c r="B45" s="96" t="n"/>
      <c r="C45" s="96" t="n"/>
      <c r="D45" s="97" t="n"/>
      <c r="E45" s="98" t="n"/>
      <c r="F45" s="99" t="n"/>
      <c r="G45" s="100" t="n"/>
      <c r="H45" s="101" t="str">
        <f>IF(A45="","",IF(AND(p_ModoCot="Automático",ISNUMBER(Z45)),Z45,IF(N(G45)&gt;0,G45,0)))</f>
        <v/>
      </c>
      <c r="I45" s="73" t="str">
        <f>IF(A45="","",IF(W45=0,"Sem câmbio",IF(AND(p_ModoCot="Automático",ISNUMBER(Z45)),"Auto",IF(N(G45)&gt;0,"Manual","Sem cotação"))))</f>
        <v/>
      </c>
      <c r="J45" s="102" t="str">
        <f>IF(A45="","",N(E45)*H45)</f>
        <v/>
      </c>
      <c r="K45" s="70" t="str">
        <f>IF(A45="","",J45*W45)</f>
        <v/>
      </c>
      <c r="L45" s="30" t="str">
        <f>IF(A45="","",IF($K$6&gt;0,K45/$K$6,0))</f>
        <v/>
      </c>
      <c r="M45" s="72" t="str">
        <f>IF(A45="","",N(F45)-L45)</f>
        <v/>
      </c>
      <c r="N45" s="30" t="str">
        <f>IF(A45="","",IF($AB$6&gt;0,AB45/$AB$6,0))</f>
        <v/>
      </c>
      <c r="O45" s="74" t="str">
        <f>IF(A45="","",IF(AB45&lt;=0,"",COUNTIF($AB$9:$AB$208,"&gt;"&amp;AB45)+COUNTIF($AB$9:AB45,AB45)))</f>
        <v/>
      </c>
      <c r="P45" s="73" t="str">
        <f>IF(A45="","",IF(Q45&gt;0,"BUY","HOLD"))</f>
        <v/>
      </c>
      <c r="Q45" s="70" t="str">
        <f>IF(A45="","",IF($W$7&lt;=0,0,IF($AC$6&gt;0,$W$7*AC45/$AC$6,IF($F$6&gt;0,$W$7*N(F45)/$F$6,0))))</f>
        <v/>
      </c>
      <c r="R45" s="103" t="str">
        <f>IF(A45="","",N(AD45)+IF(AI45=1,N(AG45),0))</f>
        <v/>
      </c>
      <c r="S45" s="103" t="str">
        <f>IF(A45="","",N(E45)+N(R45))</f>
        <v/>
      </c>
      <c r="T45" s="70" t="str">
        <f>IF(A45="","",IF(N(R45)&gt;0,R45*H45*W45*$W$6+p_CorrFixa,0))</f>
        <v/>
      </c>
      <c r="V45" s="85" t="str">
        <f>IF(A45="","",IF(D45="",$W$1,D45))</f>
        <v/>
      </c>
      <c r="W45" s="85" t="str">
        <f>IF(A45="","",IFERROR(INDEX(moeda_fx,MATCH(V45,moeda_cod,0)),0))</f>
        <v/>
      </c>
      <c r="X45" s="85" t="str">
        <f>IF(A45="","",IF($W$2="",UPPER(TRIM(A45)),IF(RIGHT(UPPER(TRIM(A45)),LEN($W$2))=$W$2,UPPER(TRIM(A45)),UPPER(TRIM(A45))&amp;$W$2)))</f>
        <v/>
      </c>
      <c r="Y45" s="85" t="str">
        <f>IF(OR(A45="",p_ModoCot&lt;&gt;"Automático"),"",IFERROR(_xlfn.WEBSERVICE("https://query1.finance.yahoo.com/v8/finance/chart/"&amp;X45&amp;"?range=1d&amp;interval=1d"),""))</f>
        <v/>
      </c>
      <c r="Z45" s="85" t="str">
        <f>IF(Y45="","",IFERROR(_xlfn.NUMBERVALUE(MID(Y45,SEARCH("""regularMarketPrice"":",Y45)+21,SEARCH(",",Y45&amp;",",SEARCH("""regularMarketPrice"":",Y45)+21)-SEARCH("""regularMarketPrice"":",Y45)-21),".",","),""))</f>
        <v/>
      </c>
      <c r="AA45" s="85" t="str">
        <f>IF(A45="","",ROUND(MAX(0,N(F45)*($K$6+$W$7)-K45),2))</f>
        <v/>
      </c>
      <c r="AB45" s="85" t="str">
        <f>IF(A45="","",IF(AND(M45&gt;0,M45&gt;=p_DifMin),AA45,0))</f>
        <v/>
      </c>
      <c r="AC45" s="85" t="str">
        <f>IF(A45="","",IF(AND(AB45&gt;0,N(O45)&lt;=p_MaxAtivos),AB45,0))</f>
        <v/>
      </c>
      <c r="AD45" s="85" t="str">
        <f>IF(A45="","",IF(OR(Q45&lt;=0,Q45&lt;p_CompraMin,N(H45)&lt;=0,N(W45)&lt;=0),0,IF($W$3="Sim",TRUNC(ROUND(MAX(0,(Q45-p_CorrFixa)/(H45*W45*$W$6)),9),$W$4),TRUNC(ROUND(MAX(0,(Q45-p_CorrFixa)/(H45*W45*$W$6)),9)/$W$5)*$W$5)))</f>
        <v/>
      </c>
      <c r="AE45" s="85" t="str">
        <f>IF(A45="","",IF(N(AD45)&gt;0,AD45*H45*W45*$W$6+p_CorrFixa,0))</f>
        <v/>
      </c>
      <c r="AF45" s="85" t="str">
        <f>IF(A45="","",IF(OR($Y$1&lt;=0,N(H45)&lt;=0,N(W45)&lt;=0,N(AB45)&lt;=0),0,IF($W$3="Sim",TRUNC(ROUND(MAX(0,($Y$1-IF(N(AD45)&gt;0,0,p_CorrFixa))/(H45*W45*$W$6)),9),$W$4),TRUNC(ROUND(MAX(0,($Y$1-IF(N(AD45)&gt;0,0,p_CorrFixa))/(H45*W45*$W$6)),9)/$W$5)*$W$5)))</f>
        <v/>
      </c>
      <c r="AG45" s="85" t="str">
        <f>IF(A45="","",IF(AND(N(AD45)=0,N(AF45)*(H45*W45*$W$6)+p_CorrFixa&lt;p_CompraMin),0,AF45))</f>
        <v/>
      </c>
      <c r="AH45" s="85" t="str">
        <f>IF(A45="","",IF(N(AG45)&gt;0,AB45,0))</f>
        <v/>
      </c>
      <c r="AI45" s="85" t="str">
        <f>IF(A45="","",IF(AND(AH45&gt;0,AH45=$AH$6,COUNTIF($AH$9:AH45,AH45)=1),1,0))</f>
        <v/>
      </c>
    </row>
    <row r="46">
      <c r="A46" s="96" t="n"/>
      <c r="B46" s="96" t="n"/>
      <c r="C46" s="96" t="n"/>
      <c r="D46" s="97" t="n"/>
      <c r="E46" s="98" t="n"/>
      <c r="F46" s="99" t="n"/>
      <c r="G46" s="100" t="n"/>
      <c r="H46" s="104" t="str">
        <f>IF(A46="","",IF(AND(p_ModoCot="Automático",ISNUMBER(Z46)),Z46,IF(N(G46)&gt;0,G46,0)))</f>
        <v/>
      </c>
      <c r="I46" s="105" t="str">
        <f>IF(A46="","",IF(W46=0,"Sem câmbio",IF(AND(p_ModoCot="Automático",ISNUMBER(Z46)),"Auto",IF(N(G46)&gt;0,"Manual","Sem cotação"))))</f>
        <v/>
      </c>
      <c r="J46" s="106" t="str">
        <f>IF(A46="","",N(E46)*H46)</f>
        <v/>
      </c>
      <c r="K46" s="107" t="str">
        <f>IF(A46="","",J46*W46)</f>
        <v/>
      </c>
      <c r="L46" s="108" t="str">
        <f>IF(A46="","",IF($K$6&gt;0,K46/$K$6,0))</f>
        <v/>
      </c>
      <c r="M46" s="109" t="str">
        <f>IF(A46="","",N(F46)-L46)</f>
        <v/>
      </c>
      <c r="N46" s="108" t="str">
        <f>IF(A46="","",IF($AB$6&gt;0,AB46/$AB$6,0))</f>
        <v/>
      </c>
      <c r="O46" s="110" t="str">
        <f>IF(A46="","",IF(AB46&lt;=0,"",COUNTIF($AB$9:$AB$208,"&gt;"&amp;AB46)+COUNTIF($AB$9:AB46,AB46)))</f>
        <v/>
      </c>
      <c r="P46" s="105" t="str">
        <f>IF(A46="","",IF(Q46&gt;0,"BUY","HOLD"))</f>
        <v/>
      </c>
      <c r="Q46" s="107" t="str">
        <f>IF(A46="","",IF($W$7&lt;=0,0,IF($AC$6&gt;0,$W$7*AC46/$AC$6,IF($F$6&gt;0,$W$7*N(F46)/$F$6,0))))</f>
        <v/>
      </c>
      <c r="R46" s="111" t="str">
        <f>IF(A46="","",N(AD46)+IF(AI46=1,N(AG46),0))</f>
        <v/>
      </c>
      <c r="S46" s="111" t="str">
        <f>IF(A46="","",N(E46)+N(R46))</f>
        <v/>
      </c>
      <c r="T46" s="107" t="str">
        <f>IF(A46="","",IF(N(R46)&gt;0,R46*H46*W46*$W$6+p_CorrFixa,0))</f>
        <v/>
      </c>
      <c r="V46" s="85" t="str">
        <f>IF(A46="","",IF(D46="",$W$1,D46))</f>
        <v/>
      </c>
      <c r="W46" s="85" t="str">
        <f>IF(A46="","",IFERROR(INDEX(moeda_fx,MATCH(V46,moeda_cod,0)),0))</f>
        <v/>
      </c>
      <c r="X46" s="85" t="str">
        <f>IF(A46="","",IF($W$2="",UPPER(TRIM(A46)),IF(RIGHT(UPPER(TRIM(A46)),LEN($W$2))=$W$2,UPPER(TRIM(A46)),UPPER(TRIM(A46))&amp;$W$2)))</f>
        <v/>
      </c>
      <c r="Y46" s="85" t="str">
        <f>IF(OR(A46="",p_ModoCot&lt;&gt;"Automático"),"",IFERROR(_xlfn.WEBSERVICE("https://query1.finance.yahoo.com/v8/finance/chart/"&amp;X46&amp;"?range=1d&amp;interval=1d"),""))</f>
        <v/>
      </c>
      <c r="Z46" s="85" t="str">
        <f>IF(Y46="","",IFERROR(_xlfn.NUMBERVALUE(MID(Y46,SEARCH("""regularMarketPrice"":",Y46)+21,SEARCH(",",Y46&amp;",",SEARCH("""regularMarketPrice"":",Y46)+21)-SEARCH("""regularMarketPrice"":",Y46)-21),".",","),""))</f>
        <v/>
      </c>
      <c r="AA46" s="85" t="str">
        <f>IF(A46="","",ROUND(MAX(0,N(F46)*($K$6+$W$7)-K46),2))</f>
        <v/>
      </c>
      <c r="AB46" s="85" t="str">
        <f>IF(A46="","",IF(AND(M46&gt;0,M46&gt;=p_DifMin),AA46,0))</f>
        <v/>
      </c>
      <c r="AC46" s="85" t="str">
        <f>IF(A46="","",IF(AND(AB46&gt;0,N(O46)&lt;=p_MaxAtivos),AB46,0))</f>
        <v/>
      </c>
      <c r="AD46" s="85" t="str">
        <f>IF(A46="","",IF(OR(Q46&lt;=0,Q46&lt;p_CompraMin,N(H46)&lt;=0,N(W46)&lt;=0),0,IF($W$3="Sim",TRUNC(ROUND(MAX(0,(Q46-p_CorrFixa)/(H46*W46*$W$6)),9),$W$4),TRUNC(ROUND(MAX(0,(Q46-p_CorrFixa)/(H46*W46*$W$6)),9)/$W$5)*$W$5)))</f>
        <v/>
      </c>
      <c r="AE46" s="85" t="str">
        <f>IF(A46="","",IF(N(AD46)&gt;0,AD46*H46*W46*$W$6+p_CorrFixa,0))</f>
        <v/>
      </c>
      <c r="AF46" s="85" t="str">
        <f>IF(A46="","",IF(OR($Y$1&lt;=0,N(H46)&lt;=0,N(W46)&lt;=0,N(AB46)&lt;=0),0,IF($W$3="Sim",TRUNC(ROUND(MAX(0,($Y$1-IF(N(AD46)&gt;0,0,p_CorrFixa))/(H46*W46*$W$6)),9),$W$4),TRUNC(ROUND(MAX(0,($Y$1-IF(N(AD46)&gt;0,0,p_CorrFixa))/(H46*W46*$W$6)),9)/$W$5)*$W$5)))</f>
        <v/>
      </c>
      <c r="AG46" s="85" t="str">
        <f>IF(A46="","",IF(AND(N(AD46)=0,N(AF46)*(H46*W46*$W$6)+p_CorrFixa&lt;p_CompraMin),0,AF46))</f>
        <v/>
      </c>
      <c r="AH46" s="85" t="str">
        <f>IF(A46="","",IF(N(AG46)&gt;0,AB46,0))</f>
        <v/>
      </c>
      <c r="AI46" s="85" t="str">
        <f>IF(A46="","",IF(AND(AH46&gt;0,AH46=$AH$6,COUNTIF($AH$9:AH46,AH46)=1),1,0))</f>
        <v/>
      </c>
    </row>
    <row r="47">
      <c r="A47" s="96" t="n"/>
      <c r="B47" s="96" t="n"/>
      <c r="C47" s="96" t="n"/>
      <c r="D47" s="97" t="n"/>
      <c r="E47" s="98" t="n"/>
      <c r="F47" s="99" t="n"/>
      <c r="G47" s="100" t="n"/>
      <c r="H47" s="101" t="str">
        <f>IF(A47="","",IF(AND(p_ModoCot="Automático",ISNUMBER(Z47)),Z47,IF(N(G47)&gt;0,G47,0)))</f>
        <v/>
      </c>
      <c r="I47" s="73" t="str">
        <f>IF(A47="","",IF(W47=0,"Sem câmbio",IF(AND(p_ModoCot="Automático",ISNUMBER(Z47)),"Auto",IF(N(G47)&gt;0,"Manual","Sem cotação"))))</f>
        <v/>
      </c>
      <c r="J47" s="102" t="str">
        <f>IF(A47="","",N(E47)*H47)</f>
        <v/>
      </c>
      <c r="K47" s="70" t="str">
        <f>IF(A47="","",J47*W47)</f>
        <v/>
      </c>
      <c r="L47" s="30" t="str">
        <f>IF(A47="","",IF($K$6&gt;0,K47/$K$6,0))</f>
        <v/>
      </c>
      <c r="M47" s="72" t="str">
        <f>IF(A47="","",N(F47)-L47)</f>
        <v/>
      </c>
      <c r="N47" s="30" t="str">
        <f>IF(A47="","",IF($AB$6&gt;0,AB47/$AB$6,0))</f>
        <v/>
      </c>
      <c r="O47" s="74" t="str">
        <f>IF(A47="","",IF(AB47&lt;=0,"",COUNTIF($AB$9:$AB$208,"&gt;"&amp;AB47)+COUNTIF($AB$9:AB47,AB47)))</f>
        <v/>
      </c>
      <c r="P47" s="73" t="str">
        <f>IF(A47="","",IF(Q47&gt;0,"BUY","HOLD"))</f>
        <v/>
      </c>
      <c r="Q47" s="70" t="str">
        <f>IF(A47="","",IF($W$7&lt;=0,0,IF($AC$6&gt;0,$W$7*AC47/$AC$6,IF($F$6&gt;0,$W$7*N(F47)/$F$6,0))))</f>
        <v/>
      </c>
      <c r="R47" s="103" t="str">
        <f>IF(A47="","",N(AD47)+IF(AI47=1,N(AG47),0))</f>
        <v/>
      </c>
      <c r="S47" s="103" t="str">
        <f>IF(A47="","",N(E47)+N(R47))</f>
        <v/>
      </c>
      <c r="T47" s="70" t="str">
        <f>IF(A47="","",IF(N(R47)&gt;0,R47*H47*W47*$W$6+p_CorrFixa,0))</f>
        <v/>
      </c>
      <c r="V47" s="85" t="str">
        <f>IF(A47="","",IF(D47="",$W$1,D47))</f>
        <v/>
      </c>
      <c r="W47" s="85" t="str">
        <f>IF(A47="","",IFERROR(INDEX(moeda_fx,MATCH(V47,moeda_cod,0)),0))</f>
        <v/>
      </c>
      <c r="X47" s="85" t="str">
        <f>IF(A47="","",IF($W$2="",UPPER(TRIM(A47)),IF(RIGHT(UPPER(TRIM(A47)),LEN($W$2))=$W$2,UPPER(TRIM(A47)),UPPER(TRIM(A47))&amp;$W$2)))</f>
        <v/>
      </c>
      <c r="Y47" s="85" t="str">
        <f>IF(OR(A47="",p_ModoCot&lt;&gt;"Automático"),"",IFERROR(_xlfn.WEBSERVICE("https://query1.finance.yahoo.com/v8/finance/chart/"&amp;X47&amp;"?range=1d&amp;interval=1d"),""))</f>
        <v/>
      </c>
      <c r="Z47" s="85" t="str">
        <f>IF(Y47="","",IFERROR(_xlfn.NUMBERVALUE(MID(Y47,SEARCH("""regularMarketPrice"":",Y47)+21,SEARCH(",",Y47&amp;",",SEARCH("""regularMarketPrice"":",Y47)+21)-SEARCH("""regularMarketPrice"":",Y47)-21),".",","),""))</f>
        <v/>
      </c>
      <c r="AA47" s="85" t="str">
        <f>IF(A47="","",ROUND(MAX(0,N(F47)*($K$6+$W$7)-K47),2))</f>
        <v/>
      </c>
      <c r="AB47" s="85" t="str">
        <f>IF(A47="","",IF(AND(M47&gt;0,M47&gt;=p_DifMin),AA47,0))</f>
        <v/>
      </c>
      <c r="AC47" s="85" t="str">
        <f>IF(A47="","",IF(AND(AB47&gt;0,N(O47)&lt;=p_MaxAtivos),AB47,0))</f>
        <v/>
      </c>
      <c r="AD47" s="85" t="str">
        <f>IF(A47="","",IF(OR(Q47&lt;=0,Q47&lt;p_CompraMin,N(H47)&lt;=0,N(W47)&lt;=0),0,IF($W$3="Sim",TRUNC(ROUND(MAX(0,(Q47-p_CorrFixa)/(H47*W47*$W$6)),9),$W$4),TRUNC(ROUND(MAX(0,(Q47-p_CorrFixa)/(H47*W47*$W$6)),9)/$W$5)*$W$5)))</f>
        <v/>
      </c>
      <c r="AE47" s="85" t="str">
        <f>IF(A47="","",IF(N(AD47)&gt;0,AD47*H47*W47*$W$6+p_CorrFixa,0))</f>
        <v/>
      </c>
      <c r="AF47" s="85" t="str">
        <f>IF(A47="","",IF(OR($Y$1&lt;=0,N(H47)&lt;=0,N(W47)&lt;=0,N(AB47)&lt;=0),0,IF($W$3="Sim",TRUNC(ROUND(MAX(0,($Y$1-IF(N(AD47)&gt;0,0,p_CorrFixa))/(H47*W47*$W$6)),9),$W$4),TRUNC(ROUND(MAX(0,($Y$1-IF(N(AD47)&gt;0,0,p_CorrFixa))/(H47*W47*$W$6)),9)/$W$5)*$W$5)))</f>
        <v/>
      </c>
      <c r="AG47" s="85" t="str">
        <f>IF(A47="","",IF(AND(N(AD47)=0,N(AF47)*(H47*W47*$W$6)+p_CorrFixa&lt;p_CompraMin),0,AF47))</f>
        <v/>
      </c>
      <c r="AH47" s="85" t="str">
        <f>IF(A47="","",IF(N(AG47)&gt;0,AB47,0))</f>
        <v/>
      </c>
      <c r="AI47" s="85" t="str">
        <f>IF(A47="","",IF(AND(AH47&gt;0,AH47=$AH$6,COUNTIF($AH$9:AH47,AH47)=1),1,0))</f>
        <v/>
      </c>
    </row>
    <row r="48">
      <c r="A48" s="96" t="n"/>
      <c r="B48" s="96" t="n"/>
      <c r="C48" s="96" t="n"/>
      <c r="D48" s="97" t="n"/>
      <c r="E48" s="98" t="n"/>
      <c r="F48" s="99" t="n"/>
      <c r="G48" s="100" t="n"/>
      <c r="H48" s="104" t="str">
        <f>IF(A48="","",IF(AND(p_ModoCot="Automático",ISNUMBER(Z48)),Z48,IF(N(G48)&gt;0,G48,0)))</f>
        <v/>
      </c>
      <c r="I48" s="105" t="str">
        <f>IF(A48="","",IF(W48=0,"Sem câmbio",IF(AND(p_ModoCot="Automático",ISNUMBER(Z48)),"Auto",IF(N(G48)&gt;0,"Manual","Sem cotação"))))</f>
        <v/>
      </c>
      <c r="J48" s="106" t="str">
        <f>IF(A48="","",N(E48)*H48)</f>
        <v/>
      </c>
      <c r="K48" s="107" t="str">
        <f>IF(A48="","",J48*W48)</f>
        <v/>
      </c>
      <c r="L48" s="108" t="str">
        <f>IF(A48="","",IF($K$6&gt;0,K48/$K$6,0))</f>
        <v/>
      </c>
      <c r="M48" s="109" t="str">
        <f>IF(A48="","",N(F48)-L48)</f>
        <v/>
      </c>
      <c r="N48" s="108" t="str">
        <f>IF(A48="","",IF($AB$6&gt;0,AB48/$AB$6,0))</f>
        <v/>
      </c>
      <c r="O48" s="110" t="str">
        <f>IF(A48="","",IF(AB48&lt;=0,"",COUNTIF($AB$9:$AB$208,"&gt;"&amp;AB48)+COUNTIF($AB$9:AB48,AB48)))</f>
        <v/>
      </c>
      <c r="P48" s="105" t="str">
        <f>IF(A48="","",IF(Q48&gt;0,"BUY","HOLD"))</f>
        <v/>
      </c>
      <c r="Q48" s="107" t="str">
        <f>IF(A48="","",IF($W$7&lt;=0,0,IF($AC$6&gt;0,$W$7*AC48/$AC$6,IF($F$6&gt;0,$W$7*N(F48)/$F$6,0))))</f>
        <v/>
      </c>
      <c r="R48" s="111" t="str">
        <f>IF(A48="","",N(AD48)+IF(AI48=1,N(AG48),0))</f>
        <v/>
      </c>
      <c r="S48" s="111" t="str">
        <f>IF(A48="","",N(E48)+N(R48))</f>
        <v/>
      </c>
      <c r="T48" s="107" t="str">
        <f>IF(A48="","",IF(N(R48)&gt;0,R48*H48*W48*$W$6+p_CorrFixa,0))</f>
        <v/>
      </c>
      <c r="V48" s="85" t="str">
        <f>IF(A48="","",IF(D48="",$W$1,D48))</f>
        <v/>
      </c>
      <c r="W48" s="85" t="str">
        <f>IF(A48="","",IFERROR(INDEX(moeda_fx,MATCH(V48,moeda_cod,0)),0))</f>
        <v/>
      </c>
      <c r="X48" s="85" t="str">
        <f>IF(A48="","",IF($W$2="",UPPER(TRIM(A48)),IF(RIGHT(UPPER(TRIM(A48)),LEN($W$2))=$W$2,UPPER(TRIM(A48)),UPPER(TRIM(A48))&amp;$W$2)))</f>
        <v/>
      </c>
      <c r="Y48" s="85" t="str">
        <f>IF(OR(A48="",p_ModoCot&lt;&gt;"Automático"),"",IFERROR(_xlfn.WEBSERVICE("https://query1.finance.yahoo.com/v8/finance/chart/"&amp;X48&amp;"?range=1d&amp;interval=1d"),""))</f>
        <v/>
      </c>
      <c r="Z48" s="85" t="str">
        <f>IF(Y48="","",IFERROR(_xlfn.NUMBERVALUE(MID(Y48,SEARCH("""regularMarketPrice"":",Y48)+21,SEARCH(",",Y48&amp;",",SEARCH("""regularMarketPrice"":",Y48)+21)-SEARCH("""regularMarketPrice"":",Y48)-21),".",","),""))</f>
        <v/>
      </c>
      <c r="AA48" s="85" t="str">
        <f>IF(A48="","",ROUND(MAX(0,N(F48)*($K$6+$W$7)-K48),2))</f>
        <v/>
      </c>
      <c r="AB48" s="85" t="str">
        <f>IF(A48="","",IF(AND(M48&gt;0,M48&gt;=p_DifMin),AA48,0))</f>
        <v/>
      </c>
      <c r="AC48" s="85" t="str">
        <f>IF(A48="","",IF(AND(AB48&gt;0,N(O48)&lt;=p_MaxAtivos),AB48,0))</f>
        <v/>
      </c>
      <c r="AD48" s="85" t="str">
        <f>IF(A48="","",IF(OR(Q48&lt;=0,Q48&lt;p_CompraMin,N(H48)&lt;=0,N(W48)&lt;=0),0,IF($W$3="Sim",TRUNC(ROUND(MAX(0,(Q48-p_CorrFixa)/(H48*W48*$W$6)),9),$W$4),TRUNC(ROUND(MAX(0,(Q48-p_CorrFixa)/(H48*W48*$W$6)),9)/$W$5)*$W$5)))</f>
        <v/>
      </c>
      <c r="AE48" s="85" t="str">
        <f>IF(A48="","",IF(N(AD48)&gt;0,AD48*H48*W48*$W$6+p_CorrFixa,0))</f>
        <v/>
      </c>
      <c r="AF48" s="85" t="str">
        <f>IF(A48="","",IF(OR($Y$1&lt;=0,N(H48)&lt;=0,N(W48)&lt;=0,N(AB48)&lt;=0),0,IF($W$3="Sim",TRUNC(ROUND(MAX(0,($Y$1-IF(N(AD48)&gt;0,0,p_CorrFixa))/(H48*W48*$W$6)),9),$W$4),TRUNC(ROUND(MAX(0,($Y$1-IF(N(AD48)&gt;0,0,p_CorrFixa))/(H48*W48*$W$6)),9)/$W$5)*$W$5)))</f>
        <v/>
      </c>
      <c r="AG48" s="85" t="str">
        <f>IF(A48="","",IF(AND(N(AD48)=0,N(AF48)*(H48*W48*$W$6)+p_CorrFixa&lt;p_CompraMin),0,AF48))</f>
        <v/>
      </c>
      <c r="AH48" s="85" t="str">
        <f>IF(A48="","",IF(N(AG48)&gt;0,AB48,0))</f>
        <v/>
      </c>
      <c r="AI48" s="85" t="str">
        <f>IF(A48="","",IF(AND(AH48&gt;0,AH48=$AH$6,COUNTIF($AH$9:AH48,AH48)=1),1,0))</f>
        <v/>
      </c>
    </row>
    <row r="49">
      <c r="A49" s="96" t="n"/>
      <c r="B49" s="96" t="n"/>
      <c r="C49" s="96" t="n"/>
      <c r="D49" s="97" t="n"/>
      <c r="E49" s="98" t="n"/>
      <c r="F49" s="99" t="n"/>
      <c r="G49" s="100" t="n"/>
      <c r="H49" s="101" t="str">
        <f>IF(A49="","",IF(AND(p_ModoCot="Automático",ISNUMBER(Z49)),Z49,IF(N(G49)&gt;0,G49,0)))</f>
        <v/>
      </c>
      <c r="I49" s="73" t="str">
        <f>IF(A49="","",IF(W49=0,"Sem câmbio",IF(AND(p_ModoCot="Automático",ISNUMBER(Z49)),"Auto",IF(N(G49)&gt;0,"Manual","Sem cotação"))))</f>
        <v/>
      </c>
      <c r="J49" s="102" t="str">
        <f>IF(A49="","",N(E49)*H49)</f>
        <v/>
      </c>
      <c r="K49" s="70" t="str">
        <f>IF(A49="","",J49*W49)</f>
        <v/>
      </c>
      <c r="L49" s="30" t="str">
        <f>IF(A49="","",IF($K$6&gt;0,K49/$K$6,0))</f>
        <v/>
      </c>
      <c r="M49" s="72" t="str">
        <f>IF(A49="","",N(F49)-L49)</f>
        <v/>
      </c>
      <c r="N49" s="30" t="str">
        <f>IF(A49="","",IF($AB$6&gt;0,AB49/$AB$6,0))</f>
        <v/>
      </c>
      <c r="O49" s="74" t="str">
        <f>IF(A49="","",IF(AB49&lt;=0,"",COUNTIF($AB$9:$AB$208,"&gt;"&amp;AB49)+COUNTIF($AB$9:AB49,AB49)))</f>
        <v/>
      </c>
      <c r="P49" s="73" t="str">
        <f>IF(A49="","",IF(Q49&gt;0,"BUY","HOLD"))</f>
        <v/>
      </c>
      <c r="Q49" s="70" t="str">
        <f>IF(A49="","",IF($W$7&lt;=0,0,IF($AC$6&gt;0,$W$7*AC49/$AC$6,IF($F$6&gt;0,$W$7*N(F49)/$F$6,0))))</f>
        <v/>
      </c>
      <c r="R49" s="103" t="str">
        <f>IF(A49="","",N(AD49)+IF(AI49=1,N(AG49),0))</f>
        <v/>
      </c>
      <c r="S49" s="103" t="str">
        <f>IF(A49="","",N(E49)+N(R49))</f>
        <v/>
      </c>
      <c r="T49" s="70" t="str">
        <f>IF(A49="","",IF(N(R49)&gt;0,R49*H49*W49*$W$6+p_CorrFixa,0))</f>
        <v/>
      </c>
      <c r="V49" s="85" t="str">
        <f>IF(A49="","",IF(D49="",$W$1,D49))</f>
        <v/>
      </c>
      <c r="W49" s="85" t="str">
        <f>IF(A49="","",IFERROR(INDEX(moeda_fx,MATCH(V49,moeda_cod,0)),0))</f>
        <v/>
      </c>
      <c r="X49" s="85" t="str">
        <f>IF(A49="","",IF($W$2="",UPPER(TRIM(A49)),IF(RIGHT(UPPER(TRIM(A49)),LEN($W$2))=$W$2,UPPER(TRIM(A49)),UPPER(TRIM(A49))&amp;$W$2)))</f>
        <v/>
      </c>
      <c r="Y49" s="85" t="str">
        <f>IF(OR(A49="",p_ModoCot&lt;&gt;"Automático"),"",IFERROR(_xlfn.WEBSERVICE("https://query1.finance.yahoo.com/v8/finance/chart/"&amp;X49&amp;"?range=1d&amp;interval=1d"),""))</f>
        <v/>
      </c>
      <c r="Z49" s="85" t="str">
        <f>IF(Y49="","",IFERROR(_xlfn.NUMBERVALUE(MID(Y49,SEARCH("""regularMarketPrice"":",Y49)+21,SEARCH(",",Y49&amp;",",SEARCH("""regularMarketPrice"":",Y49)+21)-SEARCH("""regularMarketPrice"":",Y49)-21),".",","),""))</f>
        <v/>
      </c>
      <c r="AA49" s="85" t="str">
        <f>IF(A49="","",ROUND(MAX(0,N(F49)*($K$6+$W$7)-K49),2))</f>
        <v/>
      </c>
      <c r="AB49" s="85" t="str">
        <f>IF(A49="","",IF(AND(M49&gt;0,M49&gt;=p_DifMin),AA49,0))</f>
        <v/>
      </c>
      <c r="AC49" s="85" t="str">
        <f>IF(A49="","",IF(AND(AB49&gt;0,N(O49)&lt;=p_MaxAtivos),AB49,0))</f>
        <v/>
      </c>
      <c r="AD49" s="85" t="str">
        <f>IF(A49="","",IF(OR(Q49&lt;=0,Q49&lt;p_CompraMin,N(H49)&lt;=0,N(W49)&lt;=0),0,IF($W$3="Sim",TRUNC(ROUND(MAX(0,(Q49-p_CorrFixa)/(H49*W49*$W$6)),9),$W$4),TRUNC(ROUND(MAX(0,(Q49-p_CorrFixa)/(H49*W49*$W$6)),9)/$W$5)*$W$5)))</f>
        <v/>
      </c>
      <c r="AE49" s="85" t="str">
        <f>IF(A49="","",IF(N(AD49)&gt;0,AD49*H49*W49*$W$6+p_CorrFixa,0))</f>
        <v/>
      </c>
      <c r="AF49" s="85" t="str">
        <f>IF(A49="","",IF(OR($Y$1&lt;=0,N(H49)&lt;=0,N(W49)&lt;=0,N(AB49)&lt;=0),0,IF($W$3="Sim",TRUNC(ROUND(MAX(0,($Y$1-IF(N(AD49)&gt;0,0,p_CorrFixa))/(H49*W49*$W$6)),9),$W$4),TRUNC(ROUND(MAX(0,($Y$1-IF(N(AD49)&gt;0,0,p_CorrFixa))/(H49*W49*$W$6)),9)/$W$5)*$W$5)))</f>
        <v/>
      </c>
      <c r="AG49" s="85" t="str">
        <f>IF(A49="","",IF(AND(N(AD49)=0,N(AF49)*(H49*W49*$W$6)+p_CorrFixa&lt;p_CompraMin),0,AF49))</f>
        <v/>
      </c>
      <c r="AH49" s="85" t="str">
        <f>IF(A49="","",IF(N(AG49)&gt;0,AB49,0))</f>
        <v/>
      </c>
      <c r="AI49" s="85" t="str">
        <f>IF(A49="","",IF(AND(AH49&gt;0,AH49=$AH$6,COUNTIF($AH$9:AH49,AH49)=1),1,0))</f>
        <v/>
      </c>
    </row>
    <row r="50">
      <c r="A50" s="96" t="n"/>
      <c r="B50" s="96" t="n"/>
      <c r="C50" s="96" t="n"/>
      <c r="D50" s="97" t="n"/>
      <c r="E50" s="98" t="n"/>
      <c r="F50" s="99" t="n"/>
      <c r="G50" s="100" t="n"/>
      <c r="H50" s="104" t="str">
        <f>IF(A50="","",IF(AND(p_ModoCot="Automático",ISNUMBER(Z50)),Z50,IF(N(G50)&gt;0,G50,0)))</f>
        <v/>
      </c>
      <c r="I50" s="105" t="str">
        <f>IF(A50="","",IF(W50=0,"Sem câmbio",IF(AND(p_ModoCot="Automático",ISNUMBER(Z50)),"Auto",IF(N(G50)&gt;0,"Manual","Sem cotação"))))</f>
        <v/>
      </c>
      <c r="J50" s="106" t="str">
        <f>IF(A50="","",N(E50)*H50)</f>
        <v/>
      </c>
      <c r="K50" s="107" t="str">
        <f>IF(A50="","",J50*W50)</f>
        <v/>
      </c>
      <c r="L50" s="108" t="str">
        <f>IF(A50="","",IF($K$6&gt;0,K50/$K$6,0))</f>
        <v/>
      </c>
      <c r="M50" s="109" t="str">
        <f>IF(A50="","",N(F50)-L50)</f>
        <v/>
      </c>
      <c r="N50" s="108" t="str">
        <f>IF(A50="","",IF($AB$6&gt;0,AB50/$AB$6,0))</f>
        <v/>
      </c>
      <c r="O50" s="110" t="str">
        <f>IF(A50="","",IF(AB50&lt;=0,"",COUNTIF($AB$9:$AB$208,"&gt;"&amp;AB50)+COUNTIF($AB$9:AB50,AB50)))</f>
        <v/>
      </c>
      <c r="P50" s="105" t="str">
        <f>IF(A50="","",IF(Q50&gt;0,"BUY","HOLD"))</f>
        <v/>
      </c>
      <c r="Q50" s="107" t="str">
        <f>IF(A50="","",IF($W$7&lt;=0,0,IF($AC$6&gt;0,$W$7*AC50/$AC$6,IF($F$6&gt;0,$W$7*N(F50)/$F$6,0))))</f>
        <v/>
      </c>
      <c r="R50" s="111" t="str">
        <f>IF(A50="","",N(AD50)+IF(AI50=1,N(AG50),0))</f>
        <v/>
      </c>
      <c r="S50" s="111" t="str">
        <f>IF(A50="","",N(E50)+N(R50))</f>
        <v/>
      </c>
      <c r="T50" s="107" t="str">
        <f>IF(A50="","",IF(N(R50)&gt;0,R50*H50*W50*$W$6+p_CorrFixa,0))</f>
        <v/>
      </c>
      <c r="V50" s="85" t="str">
        <f>IF(A50="","",IF(D50="",$W$1,D50))</f>
        <v/>
      </c>
      <c r="W50" s="85" t="str">
        <f>IF(A50="","",IFERROR(INDEX(moeda_fx,MATCH(V50,moeda_cod,0)),0))</f>
        <v/>
      </c>
      <c r="X50" s="85" t="str">
        <f>IF(A50="","",IF($W$2="",UPPER(TRIM(A50)),IF(RIGHT(UPPER(TRIM(A50)),LEN($W$2))=$W$2,UPPER(TRIM(A50)),UPPER(TRIM(A50))&amp;$W$2)))</f>
        <v/>
      </c>
      <c r="Y50" s="85" t="str">
        <f>IF(OR(A50="",p_ModoCot&lt;&gt;"Automático"),"",IFERROR(_xlfn.WEBSERVICE("https://query1.finance.yahoo.com/v8/finance/chart/"&amp;X50&amp;"?range=1d&amp;interval=1d"),""))</f>
        <v/>
      </c>
      <c r="Z50" s="85" t="str">
        <f>IF(Y50="","",IFERROR(_xlfn.NUMBERVALUE(MID(Y50,SEARCH("""regularMarketPrice"":",Y50)+21,SEARCH(",",Y50&amp;",",SEARCH("""regularMarketPrice"":",Y50)+21)-SEARCH("""regularMarketPrice"":",Y50)-21),".",","),""))</f>
        <v/>
      </c>
      <c r="AA50" s="85" t="str">
        <f>IF(A50="","",ROUND(MAX(0,N(F50)*($K$6+$W$7)-K50),2))</f>
        <v/>
      </c>
      <c r="AB50" s="85" t="str">
        <f>IF(A50="","",IF(AND(M50&gt;0,M50&gt;=p_DifMin),AA50,0))</f>
        <v/>
      </c>
      <c r="AC50" s="85" t="str">
        <f>IF(A50="","",IF(AND(AB50&gt;0,N(O50)&lt;=p_MaxAtivos),AB50,0))</f>
        <v/>
      </c>
      <c r="AD50" s="85" t="str">
        <f>IF(A50="","",IF(OR(Q50&lt;=0,Q50&lt;p_CompraMin,N(H50)&lt;=0,N(W50)&lt;=0),0,IF($W$3="Sim",TRUNC(ROUND(MAX(0,(Q50-p_CorrFixa)/(H50*W50*$W$6)),9),$W$4),TRUNC(ROUND(MAX(0,(Q50-p_CorrFixa)/(H50*W50*$W$6)),9)/$W$5)*$W$5)))</f>
        <v/>
      </c>
      <c r="AE50" s="85" t="str">
        <f>IF(A50="","",IF(N(AD50)&gt;0,AD50*H50*W50*$W$6+p_CorrFixa,0))</f>
        <v/>
      </c>
      <c r="AF50" s="85" t="str">
        <f>IF(A50="","",IF(OR($Y$1&lt;=0,N(H50)&lt;=0,N(W50)&lt;=0,N(AB50)&lt;=0),0,IF($W$3="Sim",TRUNC(ROUND(MAX(0,($Y$1-IF(N(AD50)&gt;0,0,p_CorrFixa))/(H50*W50*$W$6)),9),$W$4),TRUNC(ROUND(MAX(0,($Y$1-IF(N(AD50)&gt;0,0,p_CorrFixa))/(H50*W50*$W$6)),9)/$W$5)*$W$5)))</f>
        <v/>
      </c>
      <c r="AG50" s="85" t="str">
        <f>IF(A50="","",IF(AND(N(AD50)=0,N(AF50)*(H50*W50*$W$6)+p_CorrFixa&lt;p_CompraMin),0,AF50))</f>
        <v/>
      </c>
      <c r="AH50" s="85" t="str">
        <f>IF(A50="","",IF(N(AG50)&gt;0,AB50,0))</f>
        <v/>
      </c>
      <c r="AI50" s="85" t="str">
        <f>IF(A50="","",IF(AND(AH50&gt;0,AH50=$AH$6,COUNTIF($AH$9:AH50,AH50)=1),1,0))</f>
        <v/>
      </c>
    </row>
    <row r="51">
      <c r="A51" s="96" t="n"/>
      <c r="B51" s="96" t="n"/>
      <c r="C51" s="96" t="n"/>
      <c r="D51" s="97" t="n"/>
      <c r="E51" s="98" t="n"/>
      <c r="F51" s="99" t="n"/>
      <c r="G51" s="100" t="n"/>
      <c r="H51" s="101" t="str">
        <f>IF(A51="","",IF(AND(p_ModoCot="Automático",ISNUMBER(Z51)),Z51,IF(N(G51)&gt;0,G51,0)))</f>
        <v/>
      </c>
      <c r="I51" s="73" t="str">
        <f>IF(A51="","",IF(W51=0,"Sem câmbio",IF(AND(p_ModoCot="Automático",ISNUMBER(Z51)),"Auto",IF(N(G51)&gt;0,"Manual","Sem cotação"))))</f>
        <v/>
      </c>
      <c r="J51" s="102" t="str">
        <f>IF(A51="","",N(E51)*H51)</f>
        <v/>
      </c>
      <c r="K51" s="70" t="str">
        <f>IF(A51="","",J51*W51)</f>
        <v/>
      </c>
      <c r="L51" s="30" t="str">
        <f>IF(A51="","",IF($K$6&gt;0,K51/$K$6,0))</f>
        <v/>
      </c>
      <c r="M51" s="72" t="str">
        <f>IF(A51="","",N(F51)-L51)</f>
        <v/>
      </c>
      <c r="N51" s="30" t="str">
        <f>IF(A51="","",IF($AB$6&gt;0,AB51/$AB$6,0))</f>
        <v/>
      </c>
      <c r="O51" s="74" t="str">
        <f>IF(A51="","",IF(AB51&lt;=0,"",COUNTIF($AB$9:$AB$208,"&gt;"&amp;AB51)+COUNTIF($AB$9:AB51,AB51)))</f>
        <v/>
      </c>
      <c r="P51" s="73" t="str">
        <f>IF(A51="","",IF(Q51&gt;0,"BUY","HOLD"))</f>
        <v/>
      </c>
      <c r="Q51" s="70" t="str">
        <f>IF(A51="","",IF($W$7&lt;=0,0,IF($AC$6&gt;0,$W$7*AC51/$AC$6,IF($F$6&gt;0,$W$7*N(F51)/$F$6,0))))</f>
        <v/>
      </c>
      <c r="R51" s="103" t="str">
        <f>IF(A51="","",N(AD51)+IF(AI51=1,N(AG51),0))</f>
        <v/>
      </c>
      <c r="S51" s="103" t="str">
        <f>IF(A51="","",N(E51)+N(R51))</f>
        <v/>
      </c>
      <c r="T51" s="70" t="str">
        <f>IF(A51="","",IF(N(R51)&gt;0,R51*H51*W51*$W$6+p_CorrFixa,0))</f>
        <v/>
      </c>
      <c r="V51" s="85" t="str">
        <f>IF(A51="","",IF(D51="",$W$1,D51))</f>
        <v/>
      </c>
      <c r="W51" s="85" t="str">
        <f>IF(A51="","",IFERROR(INDEX(moeda_fx,MATCH(V51,moeda_cod,0)),0))</f>
        <v/>
      </c>
      <c r="X51" s="85" t="str">
        <f>IF(A51="","",IF($W$2="",UPPER(TRIM(A51)),IF(RIGHT(UPPER(TRIM(A51)),LEN($W$2))=$W$2,UPPER(TRIM(A51)),UPPER(TRIM(A51))&amp;$W$2)))</f>
        <v/>
      </c>
      <c r="Y51" s="85" t="str">
        <f>IF(OR(A51="",p_ModoCot&lt;&gt;"Automático"),"",IFERROR(_xlfn.WEBSERVICE("https://query1.finance.yahoo.com/v8/finance/chart/"&amp;X51&amp;"?range=1d&amp;interval=1d"),""))</f>
        <v/>
      </c>
      <c r="Z51" s="85" t="str">
        <f>IF(Y51="","",IFERROR(_xlfn.NUMBERVALUE(MID(Y51,SEARCH("""regularMarketPrice"":",Y51)+21,SEARCH(",",Y51&amp;",",SEARCH("""regularMarketPrice"":",Y51)+21)-SEARCH("""regularMarketPrice"":",Y51)-21),".",","),""))</f>
        <v/>
      </c>
      <c r="AA51" s="85" t="str">
        <f>IF(A51="","",ROUND(MAX(0,N(F51)*($K$6+$W$7)-K51),2))</f>
        <v/>
      </c>
      <c r="AB51" s="85" t="str">
        <f>IF(A51="","",IF(AND(M51&gt;0,M51&gt;=p_DifMin),AA51,0))</f>
        <v/>
      </c>
      <c r="AC51" s="85" t="str">
        <f>IF(A51="","",IF(AND(AB51&gt;0,N(O51)&lt;=p_MaxAtivos),AB51,0))</f>
        <v/>
      </c>
      <c r="AD51" s="85" t="str">
        <f>IF(A51="","",IF(OR(Q51&lt;=0,Q51&lt;p_CompraMin,N(H51)&lt;=0,N(W51)&lt;=0),0,IF($W$3="Sim",TRUNC(ROUND(MAX(0,(Q51-p_CorrFixa)/(H51*W51*$W$6)),9),$W$4),TRUNC(ROUND(MAX(0,(Q51-p_CorrFixa)/(H51*W51*$W$6)),9)/$W$5)*$W$5)))</f>
        <v/>
      </c>
      <c r="AE51" s="85" t="str">
        <f>IF(A51="","",IF(N(AD51)&gt;0,AD51*H51*W51*$W$6+p_CorrFixa,0))</f>
        <v/>
      </c>
      <c r="AF51" s="85" t="str">
        <f>IF(A51="","",IF(OR($Y$1&lt;=0,N(H51)&lt;=0,N(W51)&lt;=0,N(AB51)&lt;=0),0,IF($W$3="Sim",TRUNC(ROUND(MAX(0,($Y$1-IF(N(AD51)&gt;0,0,p_CorrFixa))/(H51*W51*$W$6)),9),$W$4),TRUNC(ROUND(MAX(0,($Y$1-IF(N(AD51)&gt;0,0,p_CorrFixa))/(H51*W51*$W$6)),9)/$W$5)*$W$5)))</f>
        <v/>
      </c>
      <c r="AG51" s="85" t="str">
        <f>IF(A51="","",IF(AND(N(AD51)=0,N(AF51)*(H51*W51*$W$6)+p_CorrFixa&lt;p_CompraMin),0,AF51))</f>
        <v/>
      </c>
      <c r="AH51" s="85" t="str">
        <f>IF(A51="","",IF(N(AG51)&gt;0,AB51,0))</f>
        <v/>
      </c>
      <c r="AI51" s="85" t="str">
        <f>IF(A51="","",IF(AND(AH51&gt;0,AH51=$AH$6,COUNTIF($AH$9:AH51,AH51)=1),1,0))</f>
        <v/>
      </c>
    </row>
    <row r="52">
      <c r="A52" s="96" t="n"/>
      <c r="B52" s="96" t="n"/>
      <c r="C52" s="96" t="n"/>
      <c r="D52" s="97" t="n"/>
      <c r="E52" s="98" t="n"/>
      <c r="F52" s="99" t="n"/>
      <c r="G52" s="100" t="n"/>
      <c r="H52" s="104" t="str">
        <f>IF(A52="","",IF(AND(p_ModoCot="Automático",ISNUMBER(Z52)),Z52,IF(N(G52)&gt;0,G52,0)))</f>
        <v/>
      </c>
      <c r="I52" s="105" t="str">
        <f>IF(A52="","",IF(W52=0,"Sem câmbio",IF(AND(p_ModoCot="Automático",ISNUMBER(Z52)),"Auto",IF(N(G52)&gt;0,"Manual","Sem cotação"))))</f>
        <v/>
      </c>
      <c r="J52" s="106" t="str">
        <f>IF(A52="","",N(E52)*H52)</f>
        <v/>
      </c>
      <c r="K52" s="107" t="str">
        <f>IF(A52="","",J52*W52)</f>
        <v/>
      </c>
      <c r="L52" s="108" t="str">
        <f>IF(A52="","",IF($K$6&gt;0,K52/$K$6,0))</f>
        <v/>
      </c>
      <c r="M52" s="109" t="str">
        <f>IF(A52="","",N(F52)-L52)</f>
        <v/>
      </c>
      <c r="N52" s="108" t="str">
        <f>IF(A52="","",IF($AB$6&gt;0,AB52/$AB$6,0))</f>
        <v/>
      </c>
      <c r="O52" s="110" t="str">
        <f>IF(A52="","",IF(AB52&lt;=0,"",COUNTIF($AB$9:$AB$208,"&gt;"&amp;AB52)+COUNTIF($AB$9:AB52,AB52)))</f>
        <v/>
      </c>
      <c r="P52" s="105" t="str">
        <f>IF(A52="","",IF(Q52&gt;0,"BUY","HOLD"))</f>
        <v/>
      </c>
      <c r="Q52" s="107" t="str">
        <f>IF(A52="","",IF($W$7&lt;=0,0,IF($AC$6&gt;0,$W$7*AC52/$AC$6,IF($F$6&gt;0,$W$7*N(F52)/$F$6,0))))</f>
        <v/>
      </c>
      <c r="R52" s="111" t="str">
        <f>IF(A52="","",N(AD52)+IF(AI52=1,N(AG52),0))</f>
        <v/>
      </c>
      <c r="S52" s="111" t="str">
        <f>IF(A52="","",N(E52)+N(R52))</f>
        <v/>
      </c>
      <c r="T52" s="107" t="str">
        <f>IF(A52="","",IF(N(R52)&gt;0,R52*H52*W52*$W$6+p_CorrFixa,0))</f>
        <v/>
      </c>
      <c r="V52" s="85" t="str">
        <f>IF(A52="","",IF(D52="",$W$1,D52))</f>
        <v/>
      </c>
      <c r="W52" s="85" t="str">
        <f>IF(A52="","",IFERROR(INDEX(moeda_fx,MATCH(V52,moeda_cod,0)),0))</f>
        <v/>
      </c>
      <c r="X52" s="85" t="str">
        <f>IF(A52="","",IF($W$2="",UPPER(TRIM(A52)),IF(RIGHT(UPPER(TRIM(A52)),LEN($W$2))=$W$2,UPPER(TRIM(A52)),UPPER(TRIM(A52))&amp;$W$2)))</f>
        <v/>
      </c>
      <c r="Y52" s="85" t="str">
        <f>IF(OR(A52="",p_ModoCot&lt;&gt;"Automático"),"",IFERROR(_xlfn.WEBSERVICE("https://query1.finance.yahoo.com/v8/finance/chart/"&amp;X52&amp;"?range=1d&amp;interval=1d"),""))</f>
        <v/>
      </c>
      <c r="Z52" s="85" t="str">
        <f>IF(Y52="","",IFERROR(_xlfn.NUMBERVALUE(MID(Y52,SEARCH("""regularMarketPrice"":",Y52)+21,SEARCH(",",Y52&amp;",",SEARCH("""regularMarketPrice"":",Y52)+21)-SEARCH("""regularMarketPrice"":",Y52)-21),".",","),""))</f>
        <v/>
      </c>
      <c r="AA52" s="85" t="str">
        <f>IF(A52="","",ROUND(MAX(0,N(F52)*($K$6+$W$7)-K52),2))</f>
        <v/>
      </c>
      <c r="AB52" s="85" t="str">
        <f>IF(A52="","",IF(AND(M52&gt;0,M52&gt;=p_DifMin),AA52,0))</f>
        <v/>
      </c>
      <c r="AC52" s="85" t="str">
        <f>IF(A52="","",IF(AND(AB52&gt;0,N(O52)&lt;=p_MaxAtivos),AB52,0))</f>
        <v/>
      </c>
      <c r="AD52" s="85" t="str">
        <f>IF(A52="","",IF(OR(Q52&lt;=0,Q52&lt;p_CompraMin,N(H52)&lt;=0,N(W52)&lt;=0),0,IF($W$3="Sim",TRUNC(ROUND(MAX(0,(Q52-p_CorrFixa)/(H52*W52*$W$6)),9),$W$4),TRUNC(ROUND(MAX(0,(Q52-p_CorrFixa)/(H52*W52*$W$6)),9)/$W$5)*$W$5)))</f>
        <v/>
      </c>
      <c r="AE52" s="85" t="str">
        <f>IF(A52="","",IF(N(AD52)&gt;0,AD52*H52*W52*$W$6+p_CorrFixa,0))</f>
        <v/>
      </c>
      <c r="AF52" s="85" t="str">
        <f>IF(A52="","",IF(OR($Y$1&lt;=0,N(H52)&lt;=0,N(W52)&lt;=0,N(AB52)&lt;=0),0,IF($W$3="Sim",TRUNC(ROUND(MAX(0,($Y$1-IF(N(AD52)&gt;0,0,p_CorrFixa))/(H52*W52*$W$6)),9),$W$4),TRUNC(ROUND(MAX(0,($Y$1-IF(N(AD52)&gt;0,0,p_CorrFixa))/(H52*W52*$W$6)),9)/$W$5)*$W$5)))</f>
        <v/>
      </c>
      <c r="AG52" s="85" t="str">
        <f>IF(A52="","",IF(AND(N(AD52)=0,N(AF52)*(H52*W52*$W$6)+p_CorrFixa&lt;p_CompraMin),0,AF52))</f>
        <v/>
      </c>
      <c r="AH52" s="85" t="str">
        <f>IF(A52="","",IF(N(AG52)&gt;0,AB52,0))</f>
        <v/>
      </c>
      <c r="AI52" s="85" t="str">
        <f>IF(A52="","",IF(AND(AH52&gt;0,AH52=$AH$6,COUNTIF($AH$9:AH52,AH52)=1),1,0))</f>
        <v/>
      </c>
    </row>
    <row r="53">
      <c r="A53" s="96" t="n"/>
      <c r="B53" s="96" t="n"/>
      <c r="C53" s="96" t="n"/>
      <c r="D53" s="97" t="n"/>
      <c r="E53" s="98" t="n"/>
      <c r="F53" s="99" t="n"/>
      <c r="G53" s="100" t="n"/>
      <c r="H53" s="101" t="str">
        <f>IF(A53="","",IF(AND(p_ModoCot="Automático",ISNUMBER(Z53)),Z53,IF(N(G53)&gt;0,G53,0)))</f>
        <v/>
      </c>
      <c r="I53" s="73" t="str">
        <f>IF(A53="","",IF(W53=0,"Sem câmbio",IF(AND(p_ModoCot="Automático",ISNUMBER(Z53)),"Auto",IF(N(G53)&gt;0,"Manual","Sem cotação"))))</f>
        <v/>
      </c>
      <c r="J53" s="102" t="str">
        <f>IF(A53="","",N(E53)*H53)</f>
        <v/>
      </c>
      <c r="K53" s="70" t="str">
        <f>IF(A53="","",J53*W53)</f>
        <v/>
      </c>
      <c r="L53" s="30" t="str">
        <f>IF(A53="","",IF($K$6&gt;0,K53/$K$6,0))</f>
        <v/>
      </c>
      <c r="M53" s="72" t="str">
        <f>IF(A53="","",N(F53)-L53)</f>
        <v/>
      </c>
      <c r="N53" s="30" t="str">
        <f>IF(A53="","",IF($AB$6&gt;0,AB53/$AB$6,0))</f>
        <v/>
      </c>
      <c r="O53" s="74" t="str">
        <f>IF(A53="","",IF(AB53&lt;=0,"",COUNTIF($AB$9:$AB$208,"&gt;"&amp;AB53)+COUNTIF($AB$9:AB53,AB53)))</f>
        <v/>
      </c>
      <c r="P53" s="73" t="str">
        <f>IF(A53="","",IF(Q53&gt;0,"BUY","HOLD"))</f>
        <v/>
      </c>
      <c r="Q53" s="70" t="str">
        <f>IF(A53="","",IF($W$7&lt;=0,0,IF($AC$6&gt;0,$W$7*AC53/$AC$6,IF($F$6&gt;0,$W$7*N(F53)/$F$6,0))))</f>
        <v/>
      </c>
      <c r="R53" s="103" t="str">
        <f>IF(A53="","",N(AD53)+IF(AI53=1,N(AG53),0))</f>
        <v/>
      </c>
      <c r="S53" s="103" t="str">
        <f>IF(A53="","",N(E53)+N(R53))</f>
        <v/>
      </c>
      <c r="T53" s="70" t="str">
        <f>IF(A53="","",IF(N(R53)&gt;0,R53*H53*W53*$W$6+p_CorrFixa,0))</f>
        <v/>
      </c>
      <c r="V53" s="85" t="str">
        <f>IF(A53="","",IF(D53="",$W$1,D53))</f>
        <v/>
      </c>
      <c r="W53" s="85" t="str">
        <f>IF(A53="","",IFERROR(INDEX(moeda_fx,MATCH(V53,moeda_cod,0)),0))</f>
        <v/>
      </c>
      <c r="X53" s="85" t="str">
        <f>IF(A53="","",IF($W$2="",UPPER(TRIM(A53)),IF(RIGHT(UPPER(TRIM(A53)),LEN($W$2))=$W$2,UPPER(TRIM(A53)),UPPER(TRIM(A53))&amp;$W$2)))</f>
        <v/>
      </c>
      <c r="Y53" s="85" t="str">
        <f>IF(OR(A53="",p_ModoCot&lt;&gt;"Automático"),"",IFERROR(_xlfn.WEBSERVICE("https://query1.finance.yahoo.com/v8/finance/chart/"&amp;X53&amp;"?range=1d&amp;interval=1d"),""))</f>
        <v/>
      </c>
      <c r="Z53" s="85" t="str">
        <f>IF(Y53="","",IFERROR(_xlfn.NUMBERVALUE(MID(Y53,SEARCH("""regularMarketPrice"":",Y53)+21,SEARCH(",",Y53&amp;",",SEARCH("""regularMarketPrice"":",Y53)+21)-SEARCH("""regularMarketPrice"":",Y53)-21),".",","),""))</f>
        <v/>
      </c>
      <c r="AA53" s="85" t="str">
        <f>IF(A53="","",ROUND(MAX(0,N(F53)*($K$6+$W$7)-K53),2))</f>
        <v/>
      </c>
      <c r="AB53" s="85" t="str">
        <f>IF(A53="","",IF(AND(M53&gt;0,M53&gt;=p_DifMin),AA53,0))</f>
        <v/>
      </c>
      <c r="AC53" s="85" t="str">
        <f>IF(A53="","",IF(AND(AB53&gt;0,N(O53)&lt;=p_MaxAtivos),AB53,0))</f>
        <v/>
      </c>
      <c r="AD53" s="85" t="str">
        <f>IF(A53="","",IF(OR(Q53&lt;=0,Q53&lt;p_CompraMin,N(H53)&lt;=0,N(W53)&lt;=0),0,IF($W$3="Sim",TRUNC(ROUND(MAX(0,(Q53-p_CorrFixa)/(H53*W53*$W$6)),9),$W$4),TRUNC(ROUND(MAX(0,(Q53-p_CorrFixa)/(H53*W53*$W$6)),9)/$W$5)*$W$5)))</f>
        <v/>
      </c>
      <c r="AE53" s="85" t="str">
        <f>IF(A53="","",IF(N(AD53)&gt;0,AD53*H53*W53*$W$6+p_CorrFixa,0))</f>
        <v/>
      </c>
      <c r="AF53" s="85" t="str">
        <f>IF(A53="","",IF(OR($Y$1&lt;=0,N(H53)&lt;=0,N(W53)&lt;=0,N(AB53)&lt;=0),0,IF($W$3="Sim",TRUNC(ROUND(MAX(0,($Y$1-IF(N(AD53)&gt;0,0,p_CorrFixa))/(H53*W53*$W$6)),9),$W$4),TRUNC(ROUND(MAX(0,($Y$1-IF(N(AD53)&gt;0,0,p_CorrFixa))/(H53*W53*$W$6)),9)/$W$5)*$W$5)))</f>
        <v/>
      </c>
      <c r="AG53" s="85" t="str">
        <f>IF(A53="","",IF(AND(N(AD53)=0,N(AF53)*(H53*W53*$W$6)+p_CorrFixa&lt;p_CompraMin),0,AF53))</f>
        <v/>
      </c>
      <c r="AH53" s="85" t="str">
        <f>IF(A53="","",IF(N(AG53)&gt;0,AB53,0))</f>
        <v/>
      </c>
      <c r="AI53" s="85" t="str">
        <f>IF(A53="","",IF(AND(AH53&gt;0,AH53=$AH$6,COUNTIF($AH$9:AH53,AH53)=1),1,0))</f>
        <v/>
      </c>
    </row>
    <row r="54">
      <c r="A54" s="96" t="n"/>
      <c r="B54" s="96" t="n"/>
      <c r="C54" s="96" t="n"/>
      <c r="D54" s="97" t="n"/>
      <c r="E54" s="98" t="n"/>
      <c r="F54" s="99" t="n"/>
      <c r="G54" s="100" t="n"/>
      <c r="H54" s="104" t="str">
        <f>IF(A54="","",IF(AND(p_ModoCot="Automático",ISNUMBER(Z54)),Z54,IF(N(G54)&gt;0,G54,0)))</f>
        <v/>
      </c>
      <c r="I54" s="105" t="str">
        <f>IF(A54="","",IF(W54=0,"Sem câmbio",IF(AND(p_ModoCot="Automático",ISNUMBER(Z54)),"Auto",IF(N(G54)&gt;0,"Manual","Sem cotação"))))</f>
        <v/>
      </c>
      <c r="J54" s="106" t="str">
        <f>IF(A54="","",N(E54)*H54)</f>
        <v/>
      </c>
      <c r="K54" s="107" t="str">
        <f>IF(A54="","",J54*W54)</f>
        <v/>
      </c>
      <c r="L54" s="108" t="str">
        <f>IF(A54="","",IF($K$6&gt;0,K54/$K$6,0))</f>
        <v/>
      </c>
      <c r="M54" s="109" t="str">
        <f>IF(A54="","",N(F54)-L54)</f>
        <v/>
      </c>
      <c r="N54" s="108" t="str">
        <f>IF(A54="","",IF($AB$6&gt;0,AB54/$AB$6,0))</f>
        <v/>
      </c>
      <c r="O54" s="110" t="str">
        <f>IF(A54="","",IF(AB54&lt;=0,"",COUNTIF($AB$9:$AB$208,"&gt;"&amp;AB54)+COUNTIF($AB$9:AB54,AB54)))</f>
        <v/>
      </c>
      <c r="P54" s="105" t="str">
        <f>IF(A54="","",IF(Q54&gt;0,"BUY","HOLD"))</f>
        <v/>
      </c>
      <c r="Q54" s="107" t="str">
        <f>IF(A54="","",IF($W$7&lt;=0,0,IF($AC$6&gt;0,$W$7*AC54/$AC$6,IF($F$6&gt;0,$W$7*N(F54)/$F$6,0))))</f>
        <v/>
      </c>
      <c r="R54" s="111" t="str">
        <f>IF(A54="","",N(AD54)+IF(AI54=1,N(AG54),0))</f>
        <v/>
      </c>
      <c r="S54" s="111" t="str">
        <f>IF(A54="","",N(E54)+N(R54))</f>
        <v/>
      </c>
      <c r="T54" s="107" t="str">
        <f>IF(A54="","",IF(N(R54)&gt;0,R54*H54*W54*$W$6+p_CorrFixa,0))</f>
        <v/>
      </c>
      <c r="V54" s="85" t="str">
        <f>IF(A54="","",IF(D54="",$W$1,D54))</f>
        <v/>
      </c>
      <c r="W54" s="85" t="str">
        <f>IF(A54="","",IFERROR(INDEX(moeda_fx,MATCH(V54,moeda_cod,0)),0))</f>
        <v/>
      </c>
      <c r="X54" s="85" t="str">
        <f>IF(A54="","",IF($W$2="",UPPER(TRIM(A54)),IF(RIGHT(UPPER(TRIM(A54)),LEN($W$2))=$W$2,UPPER(TRIM(A54)),UPPER(TRIM(A54))&amp;$W$2)))</f>
        <v/>
      </c>
      <c r="Y54" s="85" t="str">
        <f>IF(OR(A54="",p_ModoCot&lt;&gt;"Automático"),"",IFERROR(_xlfn.WEBSERVICE("https://query1.finance.yahoo.com/v8/finance/chart/"&amp;X54&amp;"?range=1d&amp;interval=1d"),""))</f>
        <v/>
      </c>
      <c r="Z54" s="85" t="str">
        <f>IF(Y54="","",IFERROR(_xlfn.NUMBERVALUE(MID(Y54,SEARCH("""regularMarketPrice"":",Y54)+21,SEARCH(",",Y54&amp;",",SEARCH("""regularMarketPrice"":",Y54)+21)-SEARCH("""regularMarketPrice"":",Y54)-21),".",","),""))</f>
        <v/>
      </c>
      <c r="AA54" s="85" t="str">
        <f>IF(A54="","",ROUND(MAX(0,N(F54)*($K$6+$W$7)-K54),2))</f>
        <v/>
      </c>
      <c r="AB54" s="85" t="str">
        <f>IF(A54="","",IF(AND(M54&gt;0,M54&gt;=p_DifMin),AA54,0))</f>
        <v/>
      </c>
      <c r="AC54" s="85" t="str">
        <f>IF(A54="","",IF(AND(AB54&gt;0,N(O54)&lt;=p_MaxAtivos),AB54,0))</f>
        <v/>
      </c>
      <c r="AD54" s="85" t="str">
        <f>IF(A54="","",IF(OR(Q54&lt;=0,Q54&lt;p_CompraMin,N(H54)&lt;=0,N(W54)&lt;=0),0,IF($W$3="Sim",TRUNC(ROUND(MAX(0,(Q54-p_CorrFixa)/(H54*W54*$W$6)),9),$W$4),TRUNC(ROUND(MAX(0,(Q54-p_CorrFixa)/(H54*W54*$W$6)),9)/$W$5)*$W$5)))</f>
        <v/>
      </c>
      <c r="AE54" s="85" t="str">
        <f>IF(A54="","",IF(N(AD54)&gt;0,AD54*H54*W54*$W$6+p_CorrFixa,0))</f>
        <v/>
      </c>
      <c r="AF54" s="85" t="str">
        <f>IF(A54="","",IF(OR($Y$1&lt;=0,N(H54)&lt;=0,N(W54)&lt;=0,N(AB54)&lt;=0),0,IF($W$3="Sim",TRUNC(ROUND(MAX(0,($Y$1-IF(N(AD54)&gt;0,0,p_CorrFixa))/(H54*W54*$W$6)),9),$W$4),TRUNC(ROUND(MAX(0,($Y$1-IF(N(AD54)&gt;0,0,p_CorrFixa))/(H54*W54*$W$6)),9)/$W$5)*$W$5)))</f>
        <v/>
      </c>
      <c r="AG54" s="85" t="str">
        <f>IF(A54="","",IF(AND(N(AD54)=0,N(AF54)*(H54*W54*$W$6)+p_CorrFixa&lt;p_CompraMin),0,AF54))</f>
        <v/>
      </c>
      <c r="AH54" s="85" t="str">
        <f>IF(A54="","",IF(N(AG54)&gt;0,AB54,0))</f>
        <v/>
      </c>
      <c r="AI54" s="85" t="str">
        <f>IF(A54="","",IF(AND(AH54&gt;0,AH54=$AH$6,COUNTIF($AH$9:AH54,AH54)=1),1,0))</f>
        <v/>
      </c>
    </row>
    <row r="55">
      <c r="A55" s="96" t="n"/>
      <c r="B55" s="96" t="n"/>
      <c r="C55" s="96" t="n"/>
      <c r="D55" s="97" t="n"/>
      <c r="E55" s="98" t="n"/>
      <c r="F55" s="99" t="n"/>
      <c r="G55" s="100" t="n"/>
      <c r="H55" s="101" t="str">
        <f>IF(A55="","",IF(AND(p_ModoCot="Automático",ISNUMBER(Z55)),Z55,IF(N(G55)&gt;0,G55,0)))</f>
        <v/>
      </c>
      <c r="I55" s="73" t="str">
        <f>IF(A55="","",IF(W55=0,"Sem câmbio",IF(AND(p_ModoCot="Automático",ISNUMBER(Z55)),"Auto",IF(N(G55)&gt;0,"Manual","Sem cotação"))))</f>
        <v/>
      </c>
      <c r="J55" s="102" t="str">
        <f>IF(A55="","",N(E55)*H55)</f>
        <v/>
      </c>
      <c r="K55" s="70" t="str">
        <f>IF(A55="","",J55*W55)</f>
        <v/>
      </c>
      <c r="L55" s="30" t="str">
        <f>IF(A55="","",IF($K$6&gt;0,K55/$K$6,0))</f>
        <v/>
      </c>
      <c r="M55" s="72" t="str">
        <f>IF(A55="","",N(F55)-L55)</f>
        <v/>
      </c>
      <c r="N55" s="30" t="str">
        <f>IF(A55="","",IF($AB$6&gt;0,AB55/$AB$6,0))</f>
        <v/>
      </c>
      <c r="O55" s="74" t="str">
        <f>IF(A55="","",IF(AB55&lt;=0,"",COUNTIF($AB$9:$AB$208,"&gt;"&amp;AB55)+COUNTIF($AB$9:AB55,AB55)))</f>
        <v/>
      </c>
      <c r="P55" s="73" t="str">
        <f>IF(A55="","",IF(Q55&gt;0,"BUY","HOLD"))</f>
        <v/>
      </c>
      <c r="Q55" s="70" t="str">
        <f>IF(A55="","",IF($W$7&lt;=0,0,IF($AC$6&gt;0,$W$7*AC55/$AC$6,IF($F$6&gt;0,$W$7*N(F55)/$F$6,0))))</f>
        <v/>
      </c>
      <c r="R55" s="103" t="str">
        <f>IF(A55="","",N(AD55)+IF(AI55=1,N(AG55),0))</f>
        <v/>
      </c>
      <c r="S55" s="103" t="str">
        <f>IF(A55="","",N(E55)+N(R55))</f>
        <v/>
      </c>
      <c r="T55" s="70" t="str">
        <f>IF(A55="","",IF(N(R55)&gt;0,R55*H55*W55*$W$6+p_CorrFixa,0))</f>
        <v/>
      </c>
      <c r="V55" s="85" t="str">
        <f>IF(A55="","",IF(D55="",$W$1,D55))</f>
        <v/>
      </c>
      <c r="W55" s="85" t="str">
        <f>IF(A55="","",IFERROR(INDEX(moeda_fx,MATCH(V55,moeda_cod,0)),0))</f>
        <v/>
      </c>
      <c r="X55" s="85" t="str">
        <f>IF(A55="","",IF($W$2="",UPPER(TRIM(A55)),IF(RIGHT(UPPER(TRIM(A55)),LEN($W$2))=$W$2,UPPER(TRIM(A55)),UPPER(TRIM(A55))&amp;$W$2)))</f>
        <v/>
      </c>
      <c r="Y55" s="85" t="str">
        <f>IF(OR(A55="",p_ModoCot&lt;&gt;"Automático"),"",IFERROR(_xlfn.WEBSERVICE("https://query1.finance.yahoo.com/v8/finance/chart/"&amp;X55&amp;"?range=1d&amp;interval=1d"),""))</f>
        <v/>
      </c>
      <c r="Z55" s="85" t="str">
        <f>IF(Y55="","",IFERROR(_xlfn.NUMBERVALUE(MID(Y55,SEARCH("""regularMarketPrice"":",Y55)+21,SEARCH(",",Y55&amp;",",SEARCH("""regularMarketPrice"":",Y55)+21)-SEARCH("""regularMarketPrice"":",Y55)-21),".",","),""))</f>
        <v/>
      </c>
      <c r="AA55" s="85" t="str">
        <f>IF(A55="","",ROUND(MAX(0,N(F55)*($K$6+$W$7)-K55),2))</f>
        <v/>
      </c>
      <c r="AB55" s="85" t="str">
        <f>IF(A55="","",IF(AND(M55&gt;0,M55&gt;=p_DifMin),AA55,0))</f>
        <v/>
      </c>
      <c r="AC55" s="85" t="str">
        <f>IF(A55="","",IF(AND(AB55&gt;0,N(O55)&lt;=p_MaxAtivos),AB55,0))</f>
        <v/>
      </c>
      <c r="AD55" s="85" t="str">
        <f>IF(A55="","",IF(OR(Q55&lt;=0,Q55&lt;p_CompraMin,N(H55)&lt;=0,N(W55)&lt;=0),0,IF($W$3="Sim",TRUNC(ROUND(MAX(0,(Q55-p_CorrFixa)/(H55*W55*$W$6)),9),$W$4),TRUNC(ROUND(MAX(0,(Q55-p_CorrFixa)/(H55*W55*$W$6)),9)/$W$5)*$W$5)))</f>
        <v/>
      </c>
      <c r="AE55" s="85" t="str">
        <f>IF(A55="","",IF(N(AD55)&gt;0,AD55*H55*W55*$W$6+p_CorrFixa,0))</f>
        <v/>
      </c>
      <c r="AF55" s="85" t="str">
        <f>IF(A55="","",IF(OR($Y$1&lt;=0,N(H55)&lt;=0,N(W55)&lt;=0,N(AB55)&lt;=0),0,IF($W$3="Sim",TRUNC(ROUND(MAX(0,($Y$1-IF(N(AD55)&gt;0,0,p_CorrFixa))/(H55*W55*$W$6)),9),$W$4),TRUNC(ROUND(MAX(0,($Y$1-IF(N(AD55)&gt;0,0,p_CorrFixa))/(H55*W55*$W$6)),9)/$W$5)*$W$5)))</f>
        <v/>
      </c>
      <c r="AG55" s="85" t="str">
        <f>IF(A55="","",IF(AND(N(AD55)=0,N(AF55)*(H55*W55*$W$6)+p_CorrFixa&lt;p_CompraMin),0,AF55))</f>
        <v/>
      </c>
      <c r="AH55" s="85" t="str">
        <f>IF(A55="","",IF(N(AG55)&gt;0,AB55,0))</f>
        <v/>
      </c>
      <c r="AI55" s="85" t="str">
        <f>IF(A55="","",IF(AND(AH55&gt;0,AH55=$AH$6,COUNTIF($AH$9:AH55,AH55)=1),1,0))</f>
        <v/>
      </c>
    </row>
    <row r="56">
      <c r="A56" s="96" t="n"/>
      <c r="B56" s="96" t="n"/>
      <c r="C56" s="96" t="n"/>
      <c r="D56" s="97" t="n"/>
      <c r="E56" s="98" t="n"/>
      <c r="F56" s="99" t="n"/>
      <c r="G56" s="100" t="n"/>
      <c r="H56" s="104" t="str">
        <f>IF(A56="","",IF(AND(p_ModoCot="Automático",ISNUMBER(Z56)),Z56,IF(N(G56)&gt;0,G56,0)))</f>
        <v/>
      </c>
      <c r="I56" s="105" t="str">
        <f>IF(A56="","",IF(W56=0,"Sem câmbio",IF(AND(p_ModoCot="Automático",ISNUMBER(Z56)),"Auto",IF(N(G56)&gt;0,"Manual","Sem cotação"))))</f>
        <v/>
      </c>
      <c r="J56" s="106" t="str">
        <f>IF(A56="","",N(E56)*H56)</f>
        <v/>
      </c>
      <c r="K56" s="107" t="str">
        <f>IF(A56="","",J56*W56)</f>
        <v/>
      </c>
      <c r="L56" s="108" t="str">
        <f>IF(A56="","",IF($K$6&gt;0,K56/$K$6,0))</f>
        <v/>
      </c>
      <c r="M56" s="109" t="str">
        <f>IF(A56="","",N(F56)-L56)</f>
        <v/>
      </c>
      <c r="N56" s="108" t="str">
        <f>IF(A56="","",IF($AB$6&gt;0,AB56/$AB$6,0))</f>
        <v/>
      </c>
      <c r="O56" s="110" t="str">
        <f>IF(A56="","",IF(AB56&lt;=0,"",COUNTIF($AB$9:$AB$208,"&gt;"&amp;AB56)+COUNTIF($AB$9:AB56,AB56)))</f>
        <v/>
      </c>
      <c r="P56" s="105" t="str">
        <f>IF(A56="","",IF(Q56&gt;0,"BUY","HOLD"))</f>
        <v/>
      </c>
      <c r="Q56" s="107" t="str">
        <f>IF(A56="","",IF($W$7&lt;=0,0,IF($AC$6&gt;0,$W$7*AC56/$AC$6,IF($F$6&gt;0,$W$7*N(F56)/$F$6,0))))</f>
        <v/>
      </c>
      <c r="R56" s="111" t="str">
        <f>IF(A56="","",N(AD56)+IF(AI56=1,N(AG56),0))</f>
        <v/>
      </c>
      <c r="S56" s="111" t="str">
        <f>IF(A56="","",N(E56)+N(R56))</f>
        <v/>
      </c>
      <c r="T56" s="107" t="str">
        <f>IF(A56="","",IF(N(R56)&gt;0,R56*H56*W56*$W$6+p_CorrFixa,0))</f>
        <v/>
      </c>
      <c r="V56" s="85" t="str">
        <f>IF(A56="","",IF(D56="",$W$1,D56))</f>
        <v/>
      </c>
      <c r="W56" s="85" t="str">
        <f>IF(A56="","",IFERROR(INDEX(moeda_fx,MATCH(V56,moeda_cod,0)),0))</f>
        <v/>
      </c>
      <c r="X56" s="85" t="str">
        <f>IF(A56="","",IF($W$2="",UPPER(TRIM(A56)),IF(RIGHT(UPPER(TRIM(A56)),LEN($W$2))=$W$2,UPPER(TRIM(A56)),UPPER(TRIM(A56))&amp;$W$2)))</f>
        <v/>
      </c>
      <c r="Y56" s="85" t="str">
        <f>IF(OR(A56="",p_ModoCot&lt;&gt;"Automático"),"",IFERROR(_xlfn.WEBSERVICE("https://query1.finance.yahoo.com/v8/finance/chart/"&amp;X56&amp;"?range=1d&amp;interval=1d"),""))</f>
        <v/>
      </c>
      <c r="Z56" s="85" t="str">
        <f>IF(Y56="","",IFERROR(_xlfn.NUMBERVALUE(MID(Y56,SEARCH("""regularMarketPrice"":",Y56)+21,SEARCH(",",Y56&amp;",",SEARCH("""regularMarketPrice"":",Y56)+21)-SEARCH("""regularMarketPrice"":",Y56)-21),".",","),""))</f>
        <v/>
      </c>
      <c r="AA56" s="85" t="str">
        <f>IF(A56="","",ROUND(MAX(0,N(F56)*($K$6+$W$7)-K56),2))</f>
        <v/>
      </c>
      <c r="AB56" s="85" t="str">
        <f>IF(A56="","",IF(AND(M56&gt;0,M56&gt;=p_DifMin),AA56,0))</f>
        <v/>
      </c>
      <c r="AC56" s="85" t="str">
        <f>IF(A56="","",IF(AND(AB56&gt;0,N(O56)&lt;=p_MaxAtivos),AB56,0))</f>
        <v/>
      </c>
      <c r="AD56" s="85" t="str">
        <f>IF(A56="","",IF(OR(Q56&lt;=0,Q56&lt;p_CompraMin,N(H56)&lt;=0,N(W56)&lt;=0),0,IF($W$3="Sim",TRUNC(ROUND(MAX(0,(Q56-p_CorrFixa)/(H56*W56*$W$6)),9),$W$4),TRUNC(ROUND(MAX(0,(Q56-p_CorrFixa)/(H56*W56*$W$6)),9)/$W$5)*$W$5)))</f>
        <v/>
      </c>
      <c r="AE56" s="85" t="str">
        <f>IF(A56="","",IF(N(AD56)&gt;0,AD56*H56*W56*$W$6+p_CorrFixa,0))</f>
        <v/>
      </c>
      <c r="AF56" s="85" t="str">
        <f>IF(A56="","",IF(OR($Y$1&lt;=0,N(H56)&lt;=0,N(W56)&lt;=0,N(AB56)&lt;=0),0,IF($W$3="Sim",TRUNC(ROUND(MAX(0,($Y$1-IF(N(AD56)&gt;0,0,p_CorrFixa))/(H56*W56*$W$6)),9),$W$4),TRUNC(ROUND(MAX(0,($Y$1-IF(N(AD56)&gt;0,0,p_CorrFixa))/(H56*W56*$W$6)),9)/$W$5)*$W$5)))</f>
        <v/>
      </c>
      <c r="AG56" s="85" t="str">
        <f>IF(A56="","",IF(AND(N(AD56)=0,N(AF56)*(H56*W56*$W$6)+p_CorrFixa&lt;p_CompraMin),0,AF56))</f>
        <v/>
      </c>
      <c r="AH56" s="85" t="str">
        <f>IF(A56="","",IF(N(AG56)&gt;0,AB56,0))</f>
        <v/>
      </c>
      <c r="AI56" s="85" t="str">
        <f>IF(A56="","",IF(AND(AH56&gt;0,AH56=$AH$6,COUNTIF($AH$9:AH56,AH56)=1),1,0))</f>
        <v/>
      </c>
    </row>
    <row r="57">
      <c r="A57" s="96" t="n"/>
      <c r="B57" s="96" t="n"/>
      <c r="C57" s="96" t="n"/>
      <c r="D57" s="97" t="n"/>
      <c r="E57" s="98" t="n"/>
      <c r="F57" s="99" t="n"/>
      <c r="G57" s="100" t="n"/>
      <c r="H57" s="101" t="str">
        <f>IF(A57="","",IF(AND(p_ModoCot="Automático",ISNUMBER(Z57)),Z57,IF(N(G57)&gt;0,G57,0)))</f>
        <v/>
      </c>
      <c r="I57" s="73" t="str">
        <f>IF(A57="","",IF(W57=0,"Sem câmbio",IF(AND(p_ModoCot="Automático",ISNUMBER(Z57)),"Auto",IF(N(G57)&gt;0,"Manual","Sem cotação"))))</f>
        <v/>
      </c>
      <c r="J57" s="102" t="str">
        <f>IF(A57="","",N(E57)*H57)</f>
        <v/>
      </c>
      <c r="K57" s="70" t="str">
        <f>IF(A57="","",J57*W57)</f>
        <v/>
      </c>
      <c r="L57" s="30" t="str">
        <f>IF(A57="","",IF($K$6&gt;0,K57/$K$6,0))</f>
        <v/>
      </c>
      <c r="M57" s="72" t="str">
        <f>IF(A57="","",N(F57)-L57)</f>
        <v/>
      </c>
      <c r="N57" s="30" t="str">
        <f>IF(A57="","",IF($AB$6&gt;0,AB57/$AB$6,0))</f>
        <v/>
      </c>
      <c r="O57" s="74" t="str">
        <f>IF(A57="","",IF(AB57&lt;=0,"",COUNTIF($AB$9:$AB$208,"&gt;"&amp;AB57)+COUNTIF($AB$9:AB57,AB57)))</f>
        <v/>
      </c>
      <c r="P57" s="73" t="str">
        <f>IF(A57="","",IF(Q57&gt;0,"BUY","HOLD"))</f>
        <v/>
      </c>
      <c r="Q57" s="70" t="str">
        <f>IF(A57="","",IF($W$7&lt;=0,0,IF($AC$6&gt;0,$W$7*AC57/$AC$6,IF($F$6&gt;0,$W$7*N(F57)/$F$6,0))))</f>
        <v/>
      </c>
      <c r="R57" s="103" t="str">
        <f>IF(A57="","",N(AD57)+IF(AI57=1,N(AG57),0))</f>
        <v/>
      </c>
      <c r="S57" s="103" t="str">
        <f>IF(A57="","",N(E57)+N(R57))</f>
        <v/>
      </c>
      <c r="T57" s="70" t="str">
        <f>IF(A57="","",IF(N(R57)&gt;0,R57*H57*W57*$W$6+p_CorrFixa,0))</f>
        <v/>
      </c>
      <c r="V57" s="85" t="str">
        <f>IF(A57="","",IF(D57="",$W$1,D57))</f>
        <v/>
      </c>
      <c r="W57" s="85" t="str">
        <f>IF(A57="","",IFERROR(INDEX(moeda_fx,MATCH(V57,moeda_cod,0)),0))</f>
        <v/>
      </c>
      <c r="X57" s="85" t="str">
        <f>IF(A57="","",IF($W$2="",UPPER(TRIM(A57)),IF(RIGHT(UPPER(TRIM(A57)),LEN($W$2))=$W$2,UPPER(TRIM(A57)),UPPER(TRIM(A57))&amp;$W$2)))</f>
        <v/>
      </c>
      <c r="Y57" s="85" t="str">
        <f>IF(OR(A57="",p_ModoCot&lt;&gt;"Automático"),"",IFERROR(_xlfn.WEBSERVICE("https://query1.finance.yahoo.com/v8/finance/chart/"&amp;X57&amp;"?range=1d&amp;interval=1d"),""))</f>
        <v/>
      </c>
      <c r="Z57" s="85" t="str">
        <f>IF(Y57="","",IFERROR(_xlfn.NUMBERVALUE(MID(Y57,SEARCH("""regularMarketPrice"":",Y57)+21,SEARCH(",",Y57&amp;",",SEARCH("""regularMarketPrice"":",Y57)+21)-SEARCH("""regularMarketPrice"":",Y57)-21),".",","),""))</f>
        <v/>
      </c>
      <c r="AA57" s="85" t="str">
        <f>IF(A57="","",ROUND(MAX(0,N(F57)*($K$6+$W$7)-K57),2))</f>
        <v/>
      </c>
      <c r="AB57" s="85" t="str">
        <f>IF(A57="","",IF(AND(M57&gt;0,M57&gt;=p_DifMin),AA57,0))</f>
        <v/>
      </c>
      <c r="AC57" s="85" t="str">
        <f>IF(A57="","",IF(AND(AB57&gt;0,N(O57)&lt;=p_MaxAtivos),AB57,0))</f>
        <v/>
      </c>
      <c r="AD57" s="85" t="str">
        <f>IF(A57="","",IF(OR(Q57&lt;=0,Q57&lt;p_CompraMin,N(H57)&lt;=0,N(W57)&lt;=0),0,IF($W$3="Sim",TRUNC(ROUND(MAX(0,(Q57-p_CorrFixa)/(H57*W57*$W$6)),9),$W$4),TRUNC(ROUND(MAX(0,(Q57-p_CorrFixa)/(H57*W57*$W$6)),9)/$W$5)*$W$5)))</f>
        <v/>
      </c>
      <c r="AE57" s="85" t="str">
        <f>IF(A57="","",IF(N(AD57)&gt;0,AD57*H57*W57*$W$6+p_CorrFixa,0))</f>
        <v/>
      </c>
      <c r="AF57" s="85" t="str">
        <f>IF(A57="","",IF(OR($Y$1&lt;=0,N(H57)&lt;=0,N(W57)&lt;=0,N(AB57)&lt;=0),0,IF($W$3="Sim",TRUNC(ROUND(MAX(0,($Y$1-IF(N(AD57)&gt;0,0,p_CorrFixa))/(H57*W57*$W$6)),9),$W$4),TRUNC(ROUND(MAX(0,($Y$1-IF(N(AD57)&gt;0,0,p_CorrFixa))/(H57*W57*$W$6)),9)/$W$5)*$W$5)))</f>
        <v/>
      </c>
      <c r="AG57" s="85" t="str">
        <f>IF(A57="","",IF(AND(N(AD57)=0,N(AF57)*(H57*W57*$W$6)+p_CorrFixa&lt;p_CompraMin),0,AF57))</f>
        <v/>
      </c>
      <c r="AH57" s="85" t="str">
        <f>IF(A57="","",IF(N(AG57)&gt;0,AB57,0))</f>
        <v/>
      </c>
      <c r="AI57" s="85" t="str">
        <f>IF(A57="","",IF(AND(AH57&gt;0,AH57=$AH$6,COUNTIF($AH$9:AH57,AH57)=1),1,0))</f>
        <v/>
      </c>
    </row>
    <row r="58">
      <c r="A58" s="96" t="n"/>
      <c r="B58" s="96" t="n"/>
      <c r="C58" s="96" t="n"/>
      <c r="D58" s="97" t="n"/>
      <c r="E58" s="98" t="n"/>
      <c r="F58" s="99" t="n"/>
      <c r="G58" s="100" t="n"/>
      <c r="H58" s="104" t="str">
        <f>IF(A58="","",IF(AND(p_ModoCot="Automático",ISNUMBER(Z58)),Z58,IF(N(G58)&gt;0,G58,0)))</f>
        <v/>
      </c>
      <c r="I58" s="105" t="str">
        <f>IF(A58="","",IF(W58=0,"Sem câmbio",IF(AND(p_ModoCot="Automático",ISNUMBER(Z58)),"Auto",IF(N(G58)&gt;0,"Manual","Sem cotação"))))</f>
        <v/>
      </c>
      <c r="J58" s="106" t="str">
        <f>IF(A58="","",N(E58)*H58)</f>
        <v/>
      </c>
      <c r="K58" s="107" t="str">
        <f>IF(A58="","",J58*W58)</f>
        <v/>
      </c>
      <c r="L58" s="108" t="str">
        <f>IF(A58="","",IF($K$6&gt;0,K58/$K$6,0))</f>
        <v/>
      </c>
      <c r="M58" s="109" t="str">
        <f>IF(A58="","",N(F58)-L58)</f>
        <v/>
      </c>
      <c r="N58" s="108" t="str">
        <f>IF(A58="","",IF($AB$6&gt;0,AB58/$AB$6,0))</f>
        <v/>
      </c>
      <c r="O58" s="110" t="str">
        <f>IF(A58="","",IF(AB58&lt;=0,"",COUNTIF($AB$9:$AB$208,"&gt;"&amp;AB58)+COUNTIF($AB$9:AB58,AB58)))</f>
        <v/>
      </c>
      <c r="P58" s="105" t="str">
        <f>IF(A58="","",IF(Q58&gt;0,"BUY","HOLD"))</f>
        <v/>
      </c>
      <c r="Q58" s="107" t="str">
        <f>IF(A58="","",IF($W$7&lt;=0,0,IF($AC$6&gt;0,$W$7*AC58/$AC$6,IF($F$6&gt;0,$W$7*N(F58)/$F$6,0))))</f>
        <v/>
      </c>
      <c r="R58" s="111" t="str">
        <f>IF(A58="","",N(AD58)+IF(AI58=1,N(AG58),0))</f>
        <v/>
      </c>
      <c r="S58" s="111" t="str">
        <f>IF(A58="","",N(E58)+N(R58))</f>
        <v/>
      </c>
      <c r="T58" s="107" t="str">
        <f>IF(A58="","",IF(N(R58)&gt;0,R58*H58*W58*$W$6+p_CorrFixa,0))</f>
        <v/>
      </c>
      <c r="V58" s="85" t="str">
        <f>IF(A58="","",IF(D58="",$W$1,D58))</f>
        <v/>
      </c>
      <c r="W58" s="85" t="str">
        <f>IF(A58="","",IFERROR(INDEX(moeda_fx,MATCH(V58,moeda_cod,0)),0))</f>
        <v/>
      </c>
      <c r="X58" s="85" t="str">
        <f>IF(A58="","",IF($W$2="",UPPER(TRIM(A58)),IF(RIGHT(UPPER(TRIM(A58)),LEN($W$2))=$W$2,UPPER(TRIM(A58)),UPPER(TRIM(A58))&amp;$W$2)))</f>
        <v/>
      </c>
      <c r="Y58" s="85" t="str">
        <f>IF(OR(A58="",p_ModoCot&lt;&gt;"Automático"),"",IFERROR(_xlfn.WEBSERVICE("https://query1.finance.yahoo.com/v8/finance/chart/"&amp;X58&amp;"?range=1d&amp;interval=1d"),""))</f>
        <v/>
      </c>
      <c r="Z58" s="85" t="str">
        <f>IF(Y58="","",IFERROR(_xlfn.NUMBERVALUE(MID(Y58,SEARCH("""regularMarketPrice"":",Y58)+21,SEARCH(",",Y58&amp;",",SEARCH("""regularMarketPrice"":",Y58)+21)-SEARCH("""regularMarketPrice"":",Y58)-21),".",","),""))</f>
        <v/>
      </c>
      <c r="AA58" s="85" t="str">
        <f>IF(A58="","",ROUND(MAX(0,N(F58)*($K$6+$W$7)-K58),2))</f>
        <v/>
      </c>
      <c r="AB58" s="85" t="str">
        <f>IF(A58="","",IF(AND(M58&gt;0,M58&gt;=p_DifMin),AA58,0))</f>
        <v/>
      </c>
      <c r="AC58" s="85" t="str">
        <f>IF(A58="","",IF(AND(AB58&gt;0,N(O58)&lt;=p_MaxAtivos),AB58,0))</f>
        <v/>
      </c>
      <c r="AD58" s="85" t="str">
        <f>IF(A58="","",IF(OR(Q58&lt;=0,Q58&lt;p_CompraMin,N(H58)&lt;=0,N(W58)&lt;=0),0,IF($W$3="Sim",TRUNC(ROUND(MAX(0,(Q58-p_CorrFixa)/(H58*W58*$W$6)),9),$W$4),TRUNC(ROUND(MAX(0,(Q58-p_CorrFixa)/(H58*W58*$W$6)),9)/$W$5)*$W$5)))</f>
        <v/>
      </c>
      <c r="AE58" s="85" t="str">
        <f>IF(A58="","",IF(N(AD58)&gt;0,AD58*H58*W58*$W$6+p_CorrFixa,0))</f>
        <v/>
      </c>
      <c r="AF58" s="85" t="str">
        <f>IF(A58="","",IF(OR($Y$1&lt;=0,N(H58)&lt;=0,N(W58)&lt;=0,N(AB58)&lt;=0),0,IF($W$3="Sim",TRUNC(ROUND(MAX(0,($Y$1-IF(N(AD58)&gt;0,0,p_CorrFixa))/(H58*W58*$W$6)),9),$W$4),TRUNC(ROUND(MAX(0,($Y$1-IF(N(AD58)&gt;0,0,p_CorrFixa))/(H58*W58*$W$6)),9)/$W$5)*$W$5)))</f>
        <v/>
      </c>
      <c r="AG58" s="85" t="str">
        <f>IF(A58="","",IF(AND(N(AD58)=0,N(AF58)*(H58*W58*$W$6)+p_CorrFixa&lt;p_CompraMin),0,AF58))</f>
        <v/>
      </c>
      <c r="AH58" s="85" t="str">
        <f>IF(A58="","",IF(N(AG58)&gt;0,AB58,0))</f>
        <v/>
      </c>
      <c r="AI58" s="85" t="str">
        <f>IF(A58="","",IF(AND(AH58&gt;0,AH58=$AH$6,COUNTIF($AH$9:AH58,AH58)=1),1,0))</f>
        <v/>
      </c>
    </row>
    <row r="59">
      <c r="A59" s="96" t="n"/>
      <c r="B59" s="96" t="n"/>
      <c r="C59" s="96" t="n"/>
      <c r="D59" s="97" t="n"/>
      <c r="E59" s="98" t="n"/>
      <c r="F59" s="99" t="n"/>
      <c r="G59" s="100" t="n"/>
      <c r="H59" s="101" t="str">
        <f>IF(A59="","",IF(AND(p_ModoCot="Automático",ISNUMBER(Z59)),Z59,IF(N(G59)&gt;0,G59,0)))</f>
        <v/>
      </c>
      <c r="I59" s="73" t="str">
        <f>IF(A59="","",IF(W59=0,"Sem câmbio",IF(AND(p_ModoCot="Automático",ISNUMBER(Z59)),"Auto",IF(N(G59)&gt;0,"Manual","Sem cotação"))))</f>
        <v/>
      </c>
      <c r="J59" s="102" t="str">
        <f>IF(A59="","",N(E59)*H59)</f>
        <v/>
      </c>
      <c r="K59" s="70" t="str">
        <f>IF(A59="","",J59*W59)</f>
        <v/>
      </c>
      <c r="L59" s="30" t="str">
        <f>IF(A59="","",IF($K$6&gt;0,K59/$K$6,0))</f>
        <v/>
      </c>
      <c r="M59" s="72" t="str">
        <f>IF(A59="","",N(F59)-L59)</f>
        <v/>
      </c>
      <c r="N59" s="30" t="str">
        <f>IF(A59="","",IF($AB$6&gt;0,AB59/$AB$6,0))</f>
        <v/>
      </c>
      <c r="O59" s="74" t="str">
        <f>IF(A59="","",IF(AB59&lt;=0,"",COUNTIF($AB$9:$AB$208,"&gt;"&amp;AB59)+COUNTIF($AB$9:AB59,AB59)))</f>
        <v/>
      </c>
      <c r="P59" s="73" t="str">
        <f>IF(A59="","",IF(Q59&gt;0,"BUY","HOLD"))</f>
        <v/>
      </c>
      <c r="Q59" s="70" t="str">
        <f>IF(A59="","",IF($W$7&lt;=0,0,IF($AC$6&gt;0,$W$7*AC59/$AC$6,IF($F$6&gt;0,$W$7*N(F59)/$F$6,0))))</f>
        <v/>
      </c>
      <c r="R59" s="103" t="str">
        <f>IF(A59="","",N(AD59)+IF(AI59=1,N(AG59),0))</f>
        <v/>
      </c>
      <c r="S59" s="103" t="str">
        <f>IF(A59="","",N(E59)+N(R59))</f>
        <v/>
      </c>
      <c r="T59" s="70" t="str">
        <f>IF(A59="","",IF(N(R59)&gt;0,R59*H59*W59*$W$6+p_CorrFixa,0))</f>
        <v/>
      </c>
      <c r="V59" s="85" t="str">
        <f>IF(A59="","",IF(D59="",$W$1,D59))</f>
        <v/>
      </c>
      <c r="W59" s="85" t="str">
        <f>IF(A59="","",IFERROR(INDEX(moeda_fx,MATCH(V59,moeda_cod,0)),0))</f>
        <v/>
      </c>
      <c r="X59" s="85" t="str">
        <f>IF(A59="","",IF($W$2="",UPPER(TRIM(A59)),IF(RIGHT(UPPER(TRIM(A59)),LEN($W$2))=$W$2,UPPER(TRIM(A59)),UPPER(TRIM(A59))&amp;$W$2)))</f>
        <v/>
      </c>
      <c r="Y59" s="85" t="str">
        <f>IF(OR(A59="",p_ModoCot&lt;&gt;"Automático"),"",IFERROR(_xlfn.WEBSERVICE("https://query1.finance.yahoo.com/v8/finance/chart/"&amp;X59&amp;"?range=1d&amp;interval=1d"),""))</f>
        <v/>
      </c>
      <c r="Z59" s="85" t="str">
        <f>IF(Y59="","",IFERROR(_xlfn.NUMBERVALUE(MID(Y59,SEARCH("""regularMarketPrice"":",Y59)+21,SEARCH(",",Y59&amp;",",SEARCH("""regularMarketPrice"":",Y59)+21)-SEARCH("""regularMarketPrice"":",Y59)-21),".",","),""))</f>
        <v/>
      </c>
      <c r="AA59" s="85" t="str">
        <f>IF(A59="","",ROUND(MAX(0,N(F59)*($K$6+$W$7)-K59),2))</f>
        <v/>
      </c>
      <c r="AB59" s="85" t="str">
        <f>IF(A59="","",IF(AND(M59&gt;0,M59&gt;=p_DifMin),AA59,0))</f>
        <v/>
      </c>
      <c r="AC59" s="85" t="str">
        <f>IF(A59="","",IF(AND(AB59&gt;0,N(O59)&lt;=p_MaxAtivos),AB59,0))</f>
        <v/>
      </c>
      <c r="AD59" s="85" t="str">
        <f>IF(A59="","",IF(OR(Q59&lt;=0,Q59&lt;p_CompraMin,N(H59)&lt;=0,N(W59)&lt;=0),0,IF($W$3="Sim",TRUNC(ROUND(MAX(0,(Q59-p_CorrFixa)/(H59*W59*$W$6)),9),$W$4),TRUNC(ROUND(MAX(0,(Q59-p_CorrFixa)/(H59*W59*$W$6)),9)/$W$5)*$W$5)))</f>
        <v/>
      </c>
      <c r="AE59" s="85" t="str">
        <f>IF(A59="","",IF(N(AD59)&gt;0,AD59*H59*W59*$W$6+p_CorrFixa,0))</f>
        <v/>
      </c>
      <c r="AF59" s="85" t="str">
        <f>IF(A59="","",IF(OR($Y$1&lt;=0,N(H59)&lt;=0,N(W59)&lt;=0,N(AB59)&lt;=0),0,IF($W$3="Sim",TRUNC(ROUND(MAX(0,($Y$1-IF(N(AD59)&gt;0,0,p_CorrFixa))/(H59*W59*$W$6)),9),$W$4),TRUNC(ROUND(MAX(0,($Y$1-IF(N(AD59)&gt;0,0,p_CorrFixa))/(H59*W59*$W$6)),9)/$W$5)*$W$5)))</f>
        <v/>
      </c>
      <c r="AG59" s="85" t="str">
        <f>IF(A59="","",IF(AND(N(AD59)=0,N(AF59)*(H59*W59*$W$6)+p_CorrFixa&lt;p_CompraMin),0,AF59))</f>
        <v/>
      </c>
      <c r="AH59" s="85" t="str">
        <f>IF(A59="","",IF(N(AG59)&gt;0,AB59,0))</f>
        <v/>
      </c>
      <c r="AI59" s="85" t="str">
        <f>IF(A59="","",IF(AND(AH59&gt;0,AH59=$AH$6,COUNTIF($AH$9:AH59,AH59)=1),1,0))</f>
        <v/>
      </c>
    </row>
    <row r="60">
      <c r="A60" s="96" t="n"/>
      <c r="B60" s="96" t="n"/>
      <c r="C60" s="96" t="n"/>
      <c r="D60" s="97" t="n"/>
      <c r="E60" s="98" t="n"/>
      <c r="F60" s="99" t="n"/>
      <c r="G60" s="100" t="n"/>
      <c r="H60" s="104" t="str">
        <f>IF(A60="","",IF(AND(p_ModoCot="Automático",ISNUMBER(Z60)),Z60,IF(N(G60)&gt;0,G60,0)))</f>
        <v/>
      </c>
      <c r="I60" s="105" t="str">
        <f>IF(A60="","",IF(W60=0,"Sem câmbio",IF(AND(p_ModoCot="Automático",ISNUMBER(Z60)),"Auto",IF(N(G60)&gt;0,"Manual","Sem cotação"))))</f>
        <v/>
      </c>
      <c r="J60" s="106" t="str">
        <f>IF(A60="","",N(E60)*H60)</f>
        <v/>
      </c>
      <c r="K60" s="107" t="str">
        <f>IF(A60="","",J60*W60)</f>
        <v/>
      </c>
      <c r="L60" s="108" t="str">
        <f>IF(A60="","",IF($K$6&gt;0,K60/$K$6,0))</f>
        <v/>
      </c>
      <c r="M60" s="109" t="str">
        <f>IF(A60="","",N(F60)-L60)</f>
        <v/>
      </c>
      <c r="N60" s="108" t="str">
        <f>IF(A60="","",IF($AB$6&gt;0,AB60/$AB$6,0))</f>
        <v/>
      </c>
      <c r="O60" s="110" t="str">
        <f>IF(A60="","",IF(AB60&lt;=0,"",COUNTIF($AB$9:$AB$208,"&gt;"&amp;AB60)+COUNTIF($AB$9:AB60,AB60)))</f>
        <v/>
      </c>
      <c r="P60" s="105" t="str">
        <f>IF(A60="","",IF(Q60&gt;0,"BUY","HOLD"))</f>
        <v/>
      </c>
      <c r="Q60" s="107" t="str">
        <f>IF(A60="","",IF($W$7&lt;=0,0,IF($AC$6&gt;0,$W$7*AC60/$AC$6,IF($F$6&gt;0,$W$7*N(F60)/$F$6,0))))</f>
        <v/>
      </c>
      <c r="R60" s="111" t="str">
        <f>IF(A60="","",N(AD60)+IF(AI60=1,N(AG60),0))</f>
        <v/>
      </c>
      <c r="S60" s="111" t="str">
        <f>IF(A60="","",N(E60)+N(R60))</f>
        <v/>
      </c>
      <c r="T60" s="107" t="str">
        <f>IF(A60="","",IF(N(R60)&gt;0,R60*H60*W60*$W$6+p_CorrFixa,0))</f>
        <v/>
      </c>
      <c r="V60" s="85" t="str">
        <f>IF(A60="","",IF(D60="",$W$1,D60))</f>
        <v/>
      </c>
      <c r="W60" s="85" t="str">
        <f>IF(A60="","",IFERROR(INDEX(moeda_fx,MATCH(V60,moeda_cod,0)),0))</f>
        <v/>
      </c>
      <c r="X60" s="85" t="str">
        <f>IF(A60="","",IF($W$2="",UPPER(TRIM(A60)),IF(RIGHT(UPPER(TRIM(A60)),LEN($W$2))=$W$2,UPPER(TRIM(A60)),UPPER(TRIM(A60))&amp;$W$2)))</f>
        <v/>
      </c>
      <c r="Y60" s="85" t="str">
        <f>IF(OR(A60="",p_ModoCot&lt;&gt;"Automático"),"",IFERROR(_xlfn.WEBSERVICE("https://query1.finance.yahoo.com/v8/finance/chart/"&amp;X60&amp;"?range=1d&amp;interval=1d"),""))</f>
        <v/>
      </c>
      <c r="Z60" s="85" t="str">
        <f>IF(Y60="","",IFERROR(_xlfn.NUMBERVALUE(MID(Y60,SEARCH("""regularMarketPrice"":",Y60)+21,SEARCH(",",Y60&amp;",",SEARCH("""regularMarketPrice"":",Y60)+21)-SEARCH("""regularMarketPrice"":",Y60)-21),".",","),""))</f>
        <v/>
      </c>
      <c r="AA60" s="85" t="str">
        <f>IF(A60="","",ROUND(MAX(0,N(F60)*($K$6+$W$7)-K60),2))</f>
        <v/>
      </c>
      <c r="AB60" s="85" t="str">
        <f>IF(A60="","",IF(AND(M60&gt;0,M60&gt;=p_DifMin),AA60,0))</f>
        <v/>
      </c>
      <c r="AC60" s="85" t="str">
        <f>IF(A60="","",IF(AND(AB60&gt;0,N(O60)&lt;=p_MaxAtivos),AB60,0))</f>
        <v/>
      </c>
      <c r="AD60" s="85" t="str">
        <f>IF(A60="","",IF(OR(Q60&lt;=0,Q60&lt;p_CompraMin,N(H60)&lt;=0,N(W60)&lt;=0),0,IF($W$3="Sim",TRUNC(ROUND(MAX(0,(Q60-p_CorrFixa)/(H60*W60*$W$6)),9),$W$4),TRUNC(ROUND(MAX(0,(Q60-p_CorrFixa)/(H60*W60*$W$6)),9)/$W$5)*$W$5)))</f>
        <v/>
      </c>
      <c r="AE60" s="85" t="str">
        <f>IF(A60="","",IF(N(AD60)&gt;0,AD60*H60*W60*$W$6+p_CorrFixa,0))</f>
        <v/>
      </c>
      <c r="AF60" s="85" t="str">
        <f>IF(A60="","",IF(OR($Y$1&lt;=0,N(H60)&lt;=0,N(W60)&lt;=0,N(AB60)&lt;=0),0,IF($W$3="Sim",TRUNC(ROUND(MAX(0,($Y$1-IF(N(AD60)&gt;0,0,p_CorrFixa))/(H60*W60*$W$6)),9),$W$4),TRUNC(ROUND(MAX(0,($Y$1-IF(N(AD60)&gt;0,0,p_CorrFixa))/(H60*W60*$W$6)),9)/$W$5)*$W$5)))</f>
        <v/>
      </c>
      <c r="AG60" s="85" t="str">
        <f>IF(A60="","",IF(AND(N(AD60)=0,N(AF60)*(H60*W60*$W$6)+p_CorrFixa&lt;p_CompraMin),0,AF60))</f>
        <v/>
      </c>
      <c r="AH60" s="85" t="str">
        <f>IF(A60="","",IF(N(AG60)&gt;0,AB60,0))</f>
        <v/>
      </c>
      <c r="AI60" s="85" t="str">
        <f>IF(A60="","",IF(AND(AH60&gt;0,AH60=$AH$6,COUNTIF($AH$9:AH60,AH60)=1),1,0))</f>
        <v/>
      </c>
    </row>
    <row r="61">
      <c r="A61" s="96" t="n"/>
      <c r="B61" s="96" t="n"/>
      <c r="C61" s="96" t="n"/>
      <c r="D61" s="97" t="n"/>
      <c r="E61" s="98" t="n"/>
      <c r="F61" s="99" t="n"/>
      <c r="G61" s="100" t="n"/>
      <c r="H61" s="101" t="str">
        <f>IF(A61="","",IF(AND(p_ModoCot="Automático",ISNUMBER(Z61)),Z61,IF(N(G61)&gt;0,G61,0)))</f>
        <v/>
      </c>
      <c r="I61" s="73" t="str">
        <f>IF(A61="","",IF(W61=0,"Sem câmbio",IF(AND(p_ModoCot="Automático",ISNUMBER(Z61)),"Auto",IF(N(G61)&gt;0,"Manual","Sem cotação"))))</f>
        <v/>
      </c>
      <c r="J61" s="102" t="str">
        <f>IF(A61="","",N(E61)*H61)</f>
        <v/>
      </c>
      <c r="K61" s="70" t="str">
        <f>IF(A61="","",J61*W61)</f>
        <v/>
      </c>
      <c r="L61" s="30" t="str">
        <f>IF(A61="","",IF($K$6&gt;0,K61/$K$6,0))</f>
        <v/>
      </c>
      <c r="M61" s="72" t="str">
        <f>IF(A61="","",N(F61)-L61)</f>
        <v/>
      </c>
      <c r="N61" s="30" t="str">
        <f>IF(A61="","",IF($AB$6&gt;0,AB61/$AB$6,0))</f>
        <v/>
      </c>
      <c r="O61" s="74" t="str">
        <f>IF(A61="","",IF(AB61&lt;=0,"",COUNTIF($AB$9:$AB$208,"&gt;"&amp;AB61)+COUNTIF($AB$9:AB61,AB61)))</f>
        <v/>
      </c>
      <c r="P61" s="73" t="str">
        <f>IF(A61="","",IF(Q61&gt;0,"BUY","HOLD"))</f>
        <v/>
      </c>
      <c r="Q61" s="70" t="str">
        <f>IF(A61="","",IF($W$7&lt;=0,0,IF($AC$6&gt;0,$W$7*AC61/$AC$6,IF($F$6&gt;0,$W$7*N(F61)/$F$6,0))))</f>
        <v/>
      </c>
      <c r="R61" s="103" t="str">
        <f>IF(A61="","",N(AD61)+IF(AI61=1,N(AG61),0))</f>
        <v/>
      </c>
      <c r="S61" s="103" t="str">
        <f>IF(A61="","",N(E61)+N(R61))</f>
        <v/>
      </c>
      <c r="T61" s="70" t="str">
        <f>IF(A61="","",IF(N(R61)&gt;0,R61*H61*W61*$W$6+p_CorrFixa,0))</f>
        <v/>
      </c>
      <c r="V61" s="85" t="str">
        <f>IF(A61="","",IF(D61="",$W$1,D61))</f>
        <v/>
      </c>
      <c r="W61" s="85" t="str">
        <f>IF(A61="","",IFERROR(INDEX(moeda_fx,MATCH(V61,moeda_cod,0)),0))</f>
        <v/>
      </c>
      <c r="X61" s="85" t="str">
        <f>IF(A61="","",IF($W$2="",UPPER(TRIM(A61)),IF(RIGHT(UPPER(TRIM(A61)),LEN($W$2))=$W$2,UPPER(TRIM(A61)),UPPER(TRIM(A61))&amp;$W$2)))</f>
        <v/>
      </c>
      <c r="Y61" s="85" t="str">
        <f>IF(OR(A61="",p_ModoCot&lt;&gt;"Automático"),"",IFERROR(_xlfn.WEBSERVICE("https://query1.finance.yahoo.com/v8/finance/chart/"&amp;X61&amp;"?range=1d&amp;interval=1d"),""))</f>
        <v/>
      </c>
      <c r="Z61" s="85" t="str">
        <f>IF(Y61="","",IFERROR(_xlfn.NUMBERVALUE(MID(Y61,SEARCH("""regularMarketPrice"":",Y61)+21,SEARCH(",",Y61&amp;",",SEARCH("""regularMarketPrice"":",Y61)+21)-SEARCH("""regularMarketPrice"":",Y61)-21),".",","),""))</f>
        <v/>
      </c>
      <c r="AA61" s="85" t="str">
        <f>IF(A61="","",ROUND(MAX(0,N(F61)*($K$6+$W$7)-K61),2))</f>
        <v/>
      </c>
      <c r="AB61" s="85" t="str">
        <f>IF(A61="","",IF(AND(M61&gt;0,M61&gt;=p_DifMin),AA61,0))</f>
        <v/>
      </c>
      <c r="AC61" s="85" t="str">
        <f>IF(A61="","",IF(AND(AB61&gt;0,N(O61)&lt;=p_MaxAtivos),AB61,0))</f>
        <v/>
      </c>
      <c r="AD61" s="85" t="str">
        <f>IF(A61="","",IF(OR(Q61&lt;=0,Q61&lt;p_CompraMin,N(H61)&lt;=0,N(W61)&lt;=0),0,IF($W$3="Sim",TRUNC(ROUND(MAX(0,(Q61-p_CorrFixa)/(H61*W61*$W$6)),9),$W$4),TRUNC(ROUND(MAX(0,(Q61-p_CorrFixa)/(H61*W61*$W$6)),9)/$W$5)*$W$5)))</f>
        <v/>
      </c>
      <c r="AE61" s="85" t="str">
        <f>IF(A61="","",IF(N(AD61)&gt;0,AD61*H61*W61*$W$6+p_CorrFixa,0))</f>
        <v/>
      </c>
      <c r="AF61" s="85" t="str">
        <f>IF(A61="","",IF(OR($Y$1&lt;=0,N(H61)&lt;=0,N(W61)&lt;=0,N(AB61)&lt;=0),0,IF($W$3="Sim",TRUNC(ROUND(MAX(0,($Y$1-IF(N(AD61)&gt;0,0,p_CorrFixa))/(H61*W61*$W$6)),9),$W$4),TRUNC(ROUND(MAX(0,($Y$1-IF(N(AD61)&gt;0,0,p_CorrFixa))/(H61*W61*$W$6)),9)/$W$5)*$W$5)))</f>
        <v/>
      </c>
      <c r="AG61" s="85" t="str">
        <f>IF(A61="","",IF(AND(N(AD61)=0,N(AF61)*(H61*W61*$W$6)+p_CorrFixa&lt;p_CompraMin),0,AF61))</f>
        <v/>
      </c>
      <c r="AH61" s="85" t="str">
        <f>IF(A61="","",IF(N(AG61)&gt;0,AB61,0))</f>
        <v/>
      </c>
      <c r="AI61" s="85" t="str">
        <f>IF(A61="","",IF(AND(AH61&gt;0,AH61=$AH$6,COUNTIF($AH$9:AH61,AH61)=1),1,0))</f>
        <v/>
      </c>
    </row>
    <row r="62">
      <c r="A62" s="96" t="n"/>
      <c r="B62" s="96" t="n"/>
      <c r="C62" s="96" t="n"/>
      <c r="D62" s="97" t="n"/>
      <c r="E62" s="98" t="n"/>
      <c r="F62" s="99" t="n"/>
      <c r="G62" s="100" t="n"/>
      <c r="H62" s="104" t="str">
        <f>IF(A62="","",IF(AND(p_ModoCot="Automático",ISNUMBER(Z62)),Z62,IF(N(G62)&gt;0,G62,0)))</f>
        <v/>
      </c>
      <c r="I62" s="105" t="str">
        <f>IF(A62="","",IF(W62=0,"Sem câmbio",IF(AND(p_ModoCot="Automático",ISNUMBER(Z62)),"Auto",IF(N(G62)&gt;0,"Manual","Sem cotação"))))</f>
        <v/>
      </c>
      <c r="J62" s="106" t="str">
        <f>IF(A62="","",N(E62)*H62)</f>
        <v/>
      </c>
      <c r="K62" s="107" t="str">
        <f>IF(A62="","",J62*W62)</f>
        <v/>
      </c>
      <c r="L62" s="108" t="str">
        <f>IF(A62="","",IF($K$6&gt;0,K62/$K$6,0))</f>
        <v/>
      </c>
      <c r="M62" s="109" t="str">
        <f>IF(A62="","",N(F62)-L62)</f>
        <v/>
      </c>
      <c r="N62" s="108" t="str">
        <f>IF(A62="","",IF($AB$6&gt;0,AB62/$AB$6,0))</f>
        <v/>
      </c>
      <c r="O62" s="110" t="str">
        <f>IF(A62="","",IF(AB62&lt;=0,"",COUNTIF($AB$9:$AB$208,"&gt;"&amp;AB62)+COUNTIF($AB$9:AB62,AB62)))</f>
        <v/>
      </c>
      <c r="P62" s="105" t="str">
        <f>IF(A62="","",IF(Q62&gt;0,"BUY","HOLD"))</f>
        <v/>
      </c>
      <c r="Q62" s="107" t="str">
        <f>IF(A62="","",IF($W$7&lt;=0,0,IF($AC$6&gt;0,$W$7*AC62/$AC$6,IF($F$6&gt;0,$W$7*N(F62)/$F$6,0))))</f>
        <v/>
      </c>
      <c r="R62" s="111" t="str">
        <f>IF(A62="","",N(AD62)+IF(AI62=1,N(AG62),0))</f>
        <v/>
      </c>
      <c r="S62" s="111" t="str">
        <f>IF(A62="","",N(E62)+N(R62))</f>
        <v/>
      </c>
      <c r="T62" s="107" t="str">
        <f>IF(A62="","",IF(N(R62)&gt;0,R62*H62*W62*$W$6+p_CorrFixa,0))</f>
        <v/>
      </c>
      <c r="V62" s="85" t="str">
        <f>IF(A62="","",IF(D62="",$W$1,D62))</f>
        <v/>
      </c>
      <c r="W62" s="85" t="str">
        <f>IF(A62="","",IFERROR(INDEX(moeda_fx,MATCH(V62,moeda_cod,0)),0))</f>
        <v/>
      </c>
      <c r="X62" s="85" t="str">
        <f>IF(A62="","",IF($W$2="",UPPER(TRIM(A62)),IF(RIGHT(UPPER(TRIM(A62)),LEN($W$2))=$W$2,UPPER(TRIM(A62)),UPPER(TRIM(A62))&amp;$W$2)))</f>
        <v/>
      </c>
      <c r="Y62" s="85" t="str">
        <f>IF(OR(A62="",p_ModoCot&lt;&gt;"Automático"),"",IFERROR(_xlfn.WEBSERVICE("https://query1.finance.yahoo.com/v8/finance/chart/"&amp;X62&amp;"?range=1d&amp;interval=1d"),""))</f>
        <v/>
      </c>
      <c r="Z62" s="85" t="str">
        <f>IF(Y62="","",IFERROR(_xlfn.NUMBERVALUE(MID(Y62,SEARCH("""regularMarketPrice"":",Y62)+21,SEARCH(",",Y62&amp;",",SEARCH("""regularMarketPrice"":",Y62)+21)-SEARCH("""regularMarketPrice"":",Y62)-21),".",","),""))</f>
        <v/>
      </c>
      <c r="AA62" s="85" t="str">
        <f>IF(A62="","",ROUND(MAX(0,N(F62)*($K$6+$W$7)-K62),2))</f>
        <v/>
      </c>
      <c r="AB62" s="85" t="str">
        <f>IF(A62="","",IF(AND(M62&gt;0,M62&gt;=p_DifMin),AA62,0))</f>
        <v/>
      </c>
      <c r="AC62" s="85" t="str">
        <f>IF(A62="","",IF(AND(AB62&gt;0,N(O62)&lt;=p_MaxAtivos),AB62,0))</f>
        <v/>
      </c>
      <c r="AD62" s="85" t="str">
        <f>IF(A62="","",IF(OR(Q62&lt;=0,Q62&lt;p_CompraMin,N(H62)&lt;=0,N(W62)&lt;=0),0,IF($W$3="Sim",TRUNC(ROUND(MAX(0,(Q62-p_CorrFixa)/(H62*W62*$W$6)),9),$W$4),TRUNC(ROUND(MAX(0,(Q62-p_CorrFixa)/(H62*W62*$W$6)),9)/$W$5)*$W$5)))</f>
        <v/>
      </c>
      <c r="AE62" s="85" t="str">
        <f>IF(A62="","",IF(N(AD62)&gt;0,AD62*H62*W62*$W$6+p_CorrFixa,0))</f>
        <v/>
      </c>
      <c r="AF62" s="85" t="str">
        <f>IF(A62="","",IF(OR($Y$1&lt;=0,N(H62)&lt;=0,N(W62)&lt;=0,N(AB62)&lt;=0),0,IF($W$3="Sim",TRUNC(ROUND(MAX(0,($Y$1-IF(N(AD62)&gt;0,0,p_CorrFixa))/(H62*W62*$W$6)),9),$W$4),TRUNC(ROUND(MAX(0,($Y$1-IF(N(AD62)&gt;0,0,p_CorrFixa))/(H62*W62*$W$6)),9)/$W$5)*$W$5)))</f>
        <v/>
      </c>
      <c r="AG62" s="85" t="str">
        <f>IF(A62="","",IF(AND(N(AD62)=0,N(AF62)*(H62*W62*$W$6)+p_CorrFixa&lt;p_CompraMin),0,AF62))</f>
        <v/>
      </c>
      <c r="AH62" s="85" t="str">
        <f>IF(A62="","",IF(N(AG62)&gt;0,AB62,0))</f>
        <v/>
      </c>
      <c r="AI62" s="85" t="str">
        <f>IF(A62="","",IF(AND(AH62&gt;0,AH62=$AH$6,COUNTIF($AH$9:AH62,AH62)=1),1,0))</f>
        <v/>
      </c>
    </row>
    <row r="63">
      <c r="A63" s="96" t="n"/>
      <c r="B63" s="96" t="n"/>
      <c r="C63" s="96" t="n"/>
      <c r="D63" s="97" t="n"/>
      <c r="E63" s="98" t="n"/>
      <c r="F63" s="99" t="n"/>
      <c r="G63" s="100" t="n"/>
      <c r="H63" s="101" t="str">
        <f>IF(A63="","",IF(AND(p_ModoCot="Automático",ISNUMBER(Z63)),Z63,IF(N(G63)&gt;0,G63,0)))</f>
        <v/>
      </c>
      <c r="I63" s="73" t="str">
        <f>IF(A63="","",IF(W63=0,"Sem câmbio",IF(AND(p_ModoCot="Automático",ISNUMBER(Z63)),"Auto",IF(N(G63)&gt;0,"Manual","Sem cotação"))))</f>
        <v/>
      </c>
      <c r="J63" s="102" t="str">
        <f>IF(A63="","",N(E63)*H63)</f>
        <v/>
      </c>
      <c r="K63" s="70" t="str">
        <f>IF(A63="","",J63*W63)</f>
        <v/>
      </c>
      <c r="L63" s="30" t="str">
        <f>IF(A63="","",IF($K$6&gt;0,K63/$K$6,0))</f>
        <v/>
      </c>
      <c r="M63" s="72" t="str">
        <f>IF(A63="","",N(F63)-L63)</f>
        <v/>
      </c>
      <c r="N63" s="30" t="str">
        <f>IF(A63="","",IF($AB$6&gt;0,AB63/$AB$6,0))</f>
        <v/>
      </c>
      <c r="O63" s="74" t="str">
        <f>IF(A63="","",IF(AB63&lt;=0,"",COUNTIF($AB$9:$AB$208,"&gt;"&amp;AB63)+COUNTIF($AB$9:AB63,AB63)))</f>
        <v/>
      </c>
      <c r="P63" s="73" t="str">
        <f>IF(A63="","",IF(Q63&gt;0,"BUY","HOLD"))</f>
        <v/>
      </c>
      <c r="Q63" s="70" t="str">
        <f>IF(A63="","",IF($W$7&lt;=0,0,IF($AC$6&gt;0,$W$7*AC63/$AC$6,IF($F$6&gt;0,$W$7*N(F63)/$F$6,0))))</f>
        <v/>
      </c>
      <c r="R63" s="103" t="str">
        <f>IF(A63="","",N(AD63)+IF(AI63=1,N(AG63),0))</f>
        <v/>
      </c>
      <c r="S63" s="103" t="str">
        <f>IF(A63="","",N(E63)+N(R63))</f>
        <v/>
      </c>
      <c r="T63" s="70" t="str">
        <f>IF(A63="","",IF(N(R63)&gt;0,R63*H63*W63*$W$6+p_CorrFixa,0))</f>
        <v/>
      </c>
      <c r="V63" s="85" t="str">
        <f>IF(A63="","",IF(D63="",$W$1,D63))</f>
        <v/>
      </c>
      <c r="W63" s="85" t="str">
        <f>IF(A63="","",IFERROR(INDEX(moeda_fx,MATCH(V63,moeda_cod,0)),0))</f>
        <v/>
      </c>
      <c r="X63" s="85" t="str">
        <f>IF(A63="","",IF($W$2="",UPPER(TRIM(A63)),IF(RIGHT(UPPER(TRIM(A63)),LEN($W$2))=$W$2,UPPER(TRIM(A63)),UPPER(TRIM(A63))&amp;$W$2)))</f>
        <v/>
      </c>
      <c r="Y63" s="85" t="str">
        <f>IF(OR(A63="",p_ModoCot&lt;&gt;"Automático"),"",IFERROR(_xlfn.WEBSERVICE("https://query1.finance.yahoo.com/v8/finance/chart/"&amp;X63&amp;"?range=1d&amp;interval=1d"),""))</f>
        <v/>
      </c>
      <c r="Z63" s="85" t="str">
        <f>IF(Y63="","",IFERROR(_xlfn.NUMBERVALUE(MID(Y63,SEARCH("""regularMarketPrice"":",Y63)+21,SEARCH(",",Y63&amp;",",SEARCH("""regularMarketPrice"":",Y63)+21)-SEARCH("""regularMarketPrice"":",Y63)-21),".",","),""))</f>
        <v/>
      </c>
      <c r="AA63" s="85" t="str">
        <f>IF(A63="","",ROUND(MAX(0,N(F63)*($K$6+$W$7)-K63),2))</f>
        <v/>
      </c>
      <c r="AB63" s="85" t="str">
        <f>IF(A63="","",IF(AND(M63&gt;0,M63&gt;=p_DifMin),AA63,0))</f>
        <v/>
      </c>
      <c r="AC63" s="85" t="str">
        <f>IF(A63="","",IF(AND(AB63&gt;0,N(O63)&lt;=p_MaxAtivos),AB63,0))</f>
        <v/>
      </c>
      <c r="AD63" s="85" t="str">
        <f>IF(A63="","",IF(OR(Q63&lt;=0,Q63&lt;p_CompraMin,N(H63)&lt;=0,N(W63)&lt;=0),0,IF($W$3="Sim",TRUNC(ROUND(MAX(0,(Q63-p_CorrFixa)/(H63*W63*$W$6)),9),$W$4),TRUNC(ROUND(MAX(0,(Q63-p_CorrFixa)/(H63*W63*$W$6)),9)/$W$5)*$W$5)))</f>
        <v/>
      </c>
      <c r="AE63" s="85" t="str">
        <f>IF(A63="","",IF(N(AD63)&gt;0,AD63*H63*W63*$W$6+p_CorrFixa,0))</f>
        <v/>
      </c>
      <c r="AF63" s="85" t="str">
        <f>IF(A63="","",IF(OR($Y$1&lt;=0,N(H63)&lt;=0,N(W63)&lt;=0,N(AB63)&lt;=0),0,IF($W$3="Sim",TRUNC(ROUND(MAX(0,($Y$1-IF(N(AD63)&gt;0,0,p_CorrFixa))/(H63*W63*$W$6)),9),$W$4),TRUNC(ROUND(MAX(0,($Y$1-IF(N(AD63)&gt;0,0,p_CorrFixa))/(H63*W63*$W$6)),9)/$W$5)*$W$5)))</f>
        <v/>
      </c>
      <c r="AG63" s="85" t="str">
        <f>IF(A63="","",IF(AND(N(AD63)=0,N(AF63)*(H63*W63*$W$6)+p_CorrFixa&lt;p_CompraMin),0,AF63))</f>
        <v/>
      </c>
      <c r="AH63" s="85" t="str">
        <f>IF(A63="","",IF(N(AG63)&gt;0,AB63,0))</f>
        <v/>
      </c>
      <c r="AI63" s="85" t="str">
        <f>IF(A63="","",IF(AND(AH63&gt;0,AH63=$AH$6,COUNTIF($AH$9:AH63,AH63)=1),1,0))</f>
        <v/>
      </c>
    </row>
    <row r="64">
      <c r="A64" s="96" t="n"/>
      <c r="B64" s="96" t="n"/>
      <c r="C64" s="96" t="n"/>
      <c r="D64" s="97" t="n"/>
      <c r="E64" s="98" t="n"/>
      <c r="F64" s="99" t="n"/>
      <c r="G64" s="100" t="n"/>
      <c r="H64" s="104" t="str">
        <f>IF(A64="","",IF(AND(p_ModoCot="Automático",ISNUMBER(Z64)),Z64,IF(N(G64)&gt;0,G64,0)))</f>
        <v/>
      </c>
      <c r="I64" s="105" t="str">
        <f>IF(A64="","",IF(W64=0,"Sem câmbio",IF(AND(p_ModoCot="Automático",ISNUMBER(Z64)),"Auto",IF(N(G64)&gt;0,"Manual","Sem cotação"))))</f>
        <v/>
      </c>
      <c r="J64" s="106" t="str">
        <f>IF(A64="","",N(E64)*H64)</f>
        <v/>
      </c>
      <c r="K64" s="107" t="str">
        <f>IF(A64="","",J64*W64)</f>
        <v/>
      </c>
      <c r="L64" s="108" t="str">
        <f>IF(A64="","",IF($K$6&gt;0,K64/$K$6,0))</f>
        <v/>
      </c>
      <c r="M64" s="109" t="str">
        <f>IF(A64="","",N(F64)-L64)</f>
        <v/>
      </c>
      <c r="N64" s="108" t="str">
        <f>IF(A64="","",IF($AB$6&gt;0,AB64/$AB$6,0))</f>
        <v/>
      </c>
      <c r="O64" s="110" t="str">
        <f>IF(A64="","",IF(AB64&lt;=0,"",COUNTIF($AB$9:$AB$208,"&gt;"&amp;AB64)+COUNTIF($AB$9:AB64,AB64)))</f>
        <v/>
      </c>
      <c r="P64" s="105" t="str">
        <f>IF(A64="","",IF(Q64&gt;0,"BUY","HOLD"))</f>
        <v/>
      </c>
      <c r="Q64" s="107" t="str">
        <f>IF(A64="","",IF($W$7&lt;=0,0,IF($AC$6&gt;0,$W$7*AC64/$AC$6,IF($F$6&gt;0,$W$7*N(F64)/$F$6,0))))</f>
        <v/>
      </c>
      <c r="R64" s="111" t="str">
        <f>IF(A64="","",N(AD64)+IF(AI64=1,N(AG64),0))</f>
        <v/>
      </c>
      <c r="S64" s="111" t="str">
        <f>IF(A64="","",N(E64)+N(R64))</f>
        <v/>
      </c>
      <c r="T64" s="107" t="str">
        <f>IF(A64="","",IF(N(R64)&gt;0,R64*H64*W64*$W$6+p_CorrFixa,0))</f>
        <v/>
      </c>
      <c r="V64" s="85" t="str">
        <f>IF(A64="","",IF(D64="",$W$1,D64))</f>
        <v/>
      </c>
      <c r="W64" s="85" t="str">
        <f>IF(A64="","",IFERROR(INDEX(moeda_fx,MATCH(V64,moeda_cod,0)),0))</f>
        <v/>
      </c>
      <c r="X64" s="85" t="str">
        <f>IF(A64="","",IF($W$2="",UPPER(TRIM(A64)),IF(RIGHT(UPPER(TRIM(A64)),LEN($W$2))=$W$2,UPPER(TRIM(A64)),UPPER(TRIM(A64))&amp;$W$2)))</f>
        <v/>
      </c>
      <c r="Y64" s="85" t="str">
        <f>IF(OR(A64="",p_ModoCot&lt;&gt;"Automático"),"",IFERROR(_xlfn.WEBSERVICE("https://query1.finance.yahoo.com/v8/finance/chart/"&amp;X64&amp;"?range=1d&amp;interval=1d"),""))</f>
        <v/>
      </c>
      <c r="Z64" s="85" t="str">
        <f>IF(Y64="","",IFERROR(_xlfn.NUMBERVALUE(MID(Y64,SEARCH("""regularMarketPrice"":",Y64)+21,SEARCH(",",Y64&amp;",",SEARCH("""regularMarketPrice"":",Y64)+21)-SEARCH("""regularMarketPrice"":",Y64)-21),".",","),""))</f>
        <v/>
      </c>
      <c r="AA64" s="85" t="str">
        <f>IF(A64="","",ROUND(MAX(0,N(F64)*($K$6+$W$7)-K64),2))</f>
        <v/>
      </c>
      <c r="AB64" s="85" t="str">
        <f>IF(A64="","",IF(AND(M64&gt;0,M64&gt;=p_DifMin),AA64,0))</f>
        <v/>
      </c>
      <c r="AC64" s="85" t="str">
        <f>IF(A64="","",IF(AND(AB64&gt;0,N(O64)&lt;=p_MaxAtivos),AB64,0))</f>
        <v/>
      </c>
      <c r="AD64" s="85" t="str">
        <f>IF(A64="","",IF(OR(Q64&lt;=0,Q64&lt;p_CompraMin,N(H64)&lt;=0,N(W64)&lt;=0),0,IF($W$3="Sim",TRUNC(ROUND(MAX(0,(Q64-p_CorrFixa)/(H64*W64*$W$6)),9),$W$4),TRUNC(ROUND(MAX(0,(Q64-p_CorrFixa)/(H64*W64*$W$6)),9)/$W$5)*$W$5)))</f>
        <v/>
      </c>
      <c r="AE64" s="85" t="str">
        <f>IF(A64="","",IF(N(AD64)&gt;0,AD64*H64*W64*$W$6+p_CorrFixa,0))</f>
        <v/>
      </c>
      <c r="AF64" s="85" t="str">
        <f>IF(A64="","",IF(OR($Y$1&lt;=0,N(H64)&lt;=0,N(W64)&lt;=0,N(AB64)&lt;=0),0,IF($W$3="Sim",TRUNC(ROUND(MAX(0,($Y$1-IF(N(AD64)&gt;0,0,p_CorrFixa))/(H64*W64*$W$6)),9),$W$4),TRUNC(ROUND(MAX(0,($Y$1-IF(N(AD64)&gt;0,0,p_CorrFixa))/(H64*W64*$W$6)),9)/$W$5)*$W$5)))</f>
        <v/>
      </c>
      <c r="AG64" s="85" t="str">
        <f>IF(A64="","",IF(AND(N(AD64)=0,N(AF64)*(H64*W64*$W$6)+p_CorrFixa&lt;p_CompraMin),0,AF64))</f>
        <v/>
      </c>
      <c r="AH64" s="85" t="str">
        <f>IF(A64="","",IF(N(AG64)&gt;0,AB64,0))</f>
        <v/>
      </c>
      <c r="AI64" s="85" t="str">
        <f>IF(A64="","",IF(AND(AH64&gt;0,AH64=$AH$6,COUNTIF($AH$9:AH64,AH64)=1),1,0))</f>
        <v/>
      </c>
    </row>
    <row r="65">
      <c r="A65" s="96" t="n"/>
      <c r="B65" s="96" t="n"/>
      <c r="C65" s="96" t="n"/>
      <c r="D65" s="97" t="n"/>
      <c r="E65" s="98" t="n"/>
      <c r="F65" s="99" t="n"/>
      <c r="G65" s="100" t="n"/>
      <c r="H65" s="101" t="str">
        <f>IF(A65="","",IF(AND(p_ModoCot="Automático",ISNUMBER(Z65)),Z65,IF(N(G65)&gt;0,G65,0)))</f>
        <v/>
      </c>
      <c r="I65" s="73" t="str">
        <f>IF(A65="","",IF(W65=0,"Sem câmbio",IF(AND(p_ModoCot="Automático",ISNUMBER(Z65)),"Auto",IF(N(G65)&gt;0,"Manual","Sem cotação"))))</f>
        <v/>
      </c>
      <c r="J65" s="102" t="str">
        <f>IF(A65="","",N(E65)*H65)</f>
        <v/>
      </c>
      <c r="K65" s="70" t="str">
        <f>IF(A65="","",J65*W65)</f>
        <v/>
      </c>
      <c r="L65" s="30" t="str">
        <f>IF(A65="","",IF($K$6&gt;0,K65/$K$6,0))</f>
        <v/>
      </c>
      <c r="M65" s="72" t="str">
        <f>IF(A65="","",N(F65)-L65)</f>
        <v/>
      </c>
      <c r="N65" s="30" t="str">
        <f>IF(A65="","",IF($AB$6&gt;0,AB65/$AB$6,0))</f>
        <v/>
      </c>
      <c r="O65" s="74" t="str">
        <f>IF(A65="","",IF(AB65&lt;=0,"",COUNTIF($AB$9:$AB$208,"&gt;"&amp;AB65)+COUNTIF($AB$9:AB65,AB65)))</f>
        <v/>
      </c>
      <c r="P65" s="73" t="str">
        <f>IF(A65="","",IF(Q65&gt;0,"BUY","HOLD"))</f>
        <v/>
      </c>
      <c r="Q65" s="70" t="str">
        <f>IF(A65="","",IF($W$7&lt;=0,0,IF($AC$6&gt;0,$W$7*AC65/$AC$6,IF($F$6&gt;0,$W$7*N(F65)/$F$6,0))))</f>
        <v/>
      </c>
      <c r="R65" s="103" t="str">
        <f>IF(A65="","",N(AD65)+IF(AI65=1,N(AG65),0))</f>
        <v/>
      </c>
      <c r="S65" s="103" t="str">
        <f>IF(A65="","",N(E65)+N(R65))</f>
        <v/>
      </c>
      <c r="T65" s="70" t="str">
        <f>IF(A65="","",IF(N(R65)&gt;0,R65*H65*W65*$W$6+p_CorrFixa,0))</f>
        <v/>
      </c>
      <c r="V65" s="85" t="str">
        <f>IF(A65="","",IF(D65="",$W$1,D65))</f>
        <v/>
      </c>
      <c r="W65" s="85" t="str">
        <f>IF(A65="","",IFERROR(INDEX(moeda_fx,MATCH(V65,moeda_cod,0)),0))</f>
        <v/>
      </c>
      <c r="X65" s="85" t="str">
        <f>IF(A65="","",IF($W$2="",UPPER(TRIM(A65)),IF(RIGHT(UPPER(TRIM(A65)),LEN($W$2))=$W$2,UPPER(TRIM(A65)),UPPER(TRIM(A65))&amp;$W$2)))</f>
        <v/>
      </c>
      <c r="Y65" s="85" t="str">
        <f>IF(OR(A65="",p_ModoCot&lt;&gt;"Automático"),"",IFERROR(_xlfn.WEBSERVICE("https://query1.finance.yahoo.com/v8/finance/chart/"&amp;X65&amp;"?range=1d&amp;interval=1d"),""))</f>
        <v/>
      </c>
      <c r="Z65" s="85" t="str">
        <f>IF(Y65="","",IFERROR(_xlfn.NUMBERVALUE(MID(Y65,SEARCH("""regularMarketPrice"":",Y65)+21,SEARCH(",",Y65&amp;",",SEARCH("""regularMarketPrice"":",Y65)+21)-SEARCH("""regularMarketPrice"":",Y65)-21),".",","),""))</f>
        <v/>
      </c>
      <c r="AA65" s="85" t="str">
        <f>IF(A65="","",ROUND(MAX(0,N(F65)*($K$6+$W$7)-K65),2))</f>
        <v/>
      </c>
      <c r="AB65" s="85" t="str">
        <f>IF(A65="","",IF(AND(M65&gt;0,M65&gt;=p_DifMin),AA65,0))</f>
        <v/>
      </c>
      <c r="AC65" s="85" t="str">
        <f>IF(A65="","",IF(AND(AB65&gt;0,N(O65)&lt;=p_MaxAtivos),AB65,0))</f>
        <v/>
      </c>
      <c r="AD65" s="85" t="str">
        <f>IF(A65="","",IF(OR(Q65&lt;=0,Q65&lt;p_CompraMin,N(H65)&lt;=0,N(W65)&lt;=0),0,IF($W$3="Sim",TRUNC(ROUND(MAX(0,(Q65-p_CorrFixa)/(H65*W65*$W$6)),9),$W$4),TRUNC(ROUND(MAX(0,(Q65-p_CorrFixa)/(H65*W65*$W$6)),9)/$W$5)*$W$5)))</f>
        <v/>
      </c>
      <c r="AE65" s="85" t="str">
        <f>IF(A65="","",IF(N(AD65)&gt;0,AD65*H65*W65*$W$6+p_CorrFixa,0))</f>
        <v/>
      </c>
      <c r="AF65" s="85" t="str">
        <f>IF(A65="","",IF(OR($Y$1&lt;=0,N(H65)&lt;=0,N(W65)&lt;=0,N(AB65)&lt;=0),0,IF($W$3="Sim",TRUNC(ROUND(MAX(0,($Y$1-IF(N(AD65)&gt;0,0,p_CorrFixa))/(H65*W65*$W$6)),9),$W$4),TRUNC(ROUND(MAX(0,($Y$1-IF(N(AD65)&gt;0,0,p_CorrFixa))/(H65*W65*$W$6)),9)/$W$5)*$W$5)))</f>
        <v/>
      </c>
      <c r="AG65" s="85" t="str">
        <f>IF(A65="","",IF(AND(N(AD65)=0,N(AF65)*(H65*W65*$W$6)+p_CorrFixa&lt;p_CompraMin),0,AF65))</f>
        <v/>
      </c>
      <c r="AH65" s="85" t="str">
        <f>IF(A65="","",IF(N(AG65)&gt;0,AB65,0))</f>
        <v/>
      </c>
      <c r="AI65" s="85" t="str">
        <f>IF(A65="","",IF(AND(AH65&gt;0,AH65=$AH$6,COUNTIF($AH$9:AH65,AH65)=1),1,0))</f>
        <v/>
      </c>
    </row>
    <row r="66">
      <c r="A66" s="96" t="n"/>
      <c r="B66" s="96" t="n"/>
      <c r="C66" s="96" t="n"/>
      <c r="D66" s="97" t="n"/>
      <c r="E66" s="98" t="n"/>
      <c r="F66" s="99" t="n"/>
      <c r="G66" s="100" t="n"/>
      <c r="H66" s="104" t="str">
        <f>IF(A66="","",IF(AND(p_ModoCot="Automático",ISNUMBER(Z66)),Z66,IF(N(G66)&gt;0,G66,0)))</f>
        <v/>
      </c>
      <c r="I66" s="105" t="str">
        <f>IF(A66="","",IF(W66=0,"Sem câmbio",IF(AND(p_ModoCot="Automático",ISNUMBER(Z66)),"Auto",IF(N(G66)&gt;0,"Manual","Sem cotação"))))</f>
        <v/>
      </c>
      <c r="J66" s="106" t="str">
        <f>IF(A66="","",N(E66)*H66)</f>
        <v/>
      </c>
      <c r="K66" s="107" t="str">
        <f>IF(A66="","",J66*W66)</f>
        <v/>
      </c>
      <c r="L66" s="108" t="str">
        <f>IF(A66="","",IF($K$6&gt;0,K66/$K$6,0))</f>
        <v/>
      </c>
      <c r="M66" s="109" t="str">
        <f>IF(A66="","",N(F66)-L66)</f>
        <v/>
      </c>
      <c r="N66" s="108" t="str">
        <f>IF(A66="","",IF($AB$6&gt;0,AB66/$AB$6,0))</f>
        <v/>
      </c>
      <c r="O66" s="110" t="str">
        <f>IF(A66="","",IF(AB66&lt;=0,"",COUNTIF($AB$9:$AB$208,"&gt;"&amp;AB66)+COUNTIF($AB$9:AB66,AB66)))</f>
        <v/>
      </c>
      <c r="P66" s="105" t="str">
        <f>IF(A66="","",IF(Q66&gt;0,"BUY","HOLD"))</f>
        <v/>
      </c>
      <c r="Q66" s="107" t="str">
        <f>IF(A66="","",IF($W$7&lt;=0,0,IF($AC$6&gt;0,$W$7*AC66/$AC$6,IF($F$6&gt;0,$W$7*N(F66)/$F$6,0))))</f>
        <v/>
      </c>
      <c r="R66" s="111" t="str">
        <f>IF(A66="","",N(AD66)+IF(AI66=1,N(AG66),0))</f>
        <v/>
      </c>
      <c r="S66" s="111" t="str">
        <f>IF(A66="","",N(E66)+N(R66))</f>
        <v/>
      </c>
      <c r="T66" s="107" t="str">
        <f>IF(A66="","",IF(N(R66)&gt;0,R66*H66*W66*$W$6+p_CorrFixa,0))</f>
        <v/>
      </c>
      <c r="V66" s="85" t="str">
        <f>IF(A66="","",IF(D66="",$W$1,D66))</f>
        <v/>
      </c>
      <c r="W66" s="85" t="str">
        <f>IF(A66="","",IFERROR(INDEX(moeda_fx,MATCH(V66,moeda_cod,0)),0))</f>
        <v/>
      </c>
      <c r="X66" s="85" t="str">
        <f>IF(A66="","",IF($W$2="",UPPER(TRIM(A66)),IF(RIGHT(UPPER(TRIM(A66)),LEN($W$2))=$W$2,UPPER(TRIM(A66)),UPPER(TRIM(A66))&amp;$W$2)))</f>
        <v/>
      </c>
      <c r="Y66" s="85" t="str">
        <f>IF(OR(A66="",p_ModoCot&lt;&gt;"Automático"),"",IFERROR(_xlfn.WEBSERVICE("https://query1.finance.yahoo.com/v8/finance/chart/"&amp;X66&amp;"?range=1d&amp;interval=1d"),""))</f>
        <v/>
      </c>
      <c r="Z66" s="85" t="str">
        <f>IF(Y66="","",IFERROR(_xlfn.NUMBERVALUE(MID(Y66,SEARCH("""regularMarketPrice"":",Y66)+21,SEARCH(",",Y66&amp;",",SEARCH("""regularMarketPrice"":",Y66)+21)-SEARCH("""regularMarketPrice"":",Y66)-21),".",","),""))</f>
        <v/>
      </c>
      <c r="AA66" s="85" t="str">
        <f>IF(A66="","",ROUND(MAX(0,N(F66)*($K$6+$W$7)-K66),2))</f>
        <v/>
      </c>
      <c r="AB66" s="85" t="str">
        <f>IF(A66="","",IF(AND(M66&gt;0,M66&gt;=p_DifMin),AA66,0))</f>
        <v/>
      </c>
      <c r="AC66" s="85" t="str">
        <f>IF(A66="","",IF(AND(AB66&gt;0,N(O66)&lt;=p_MaxAtivos),AB66,0))</f>
        <v/>
      </c>
      <c r="AD66" s="85" t="str">
        <f>IF(A66="","",IF(OR(Q66&lt;=0,Q66&lt;p_CompraMin,N(H66)&lt;=0,N(W66)&lt;=0),0,IF($W$3="Sim",TRUNC(ROUND(MAX(0,(Q66-p_CorrFixa)/(H66*W66*$W$6)),9),$W$4),TRUNC(ROUND(MAX(0,(Q66-p_CorrFixa)/(H66*W66*$W$6)),9)/$W$5)*$W$5)))</f>
        <v/>
      </c>
      <c r="AE66" s="85" t="str">
        <f>IF(A66="","",IF(N(AD66)&gt;0,AD66*H66*W66*$W$6+p_CorrFixa,0))</f>
        <v/>
      </c>
      <c r="AF66" s="85" t="str">
        <f>IF(A66="","",IF(OR($Y$1&lt;=0,N(H66)&lt;=0,N(W66)&lt;=0,N(AB66)&lt;=0),0,IF($W$3="Sim",TRUNC(ROUND(MAX(0,($Y$1-IF(N(AD66)&gt;0,0,p_CorrFixa))/(H66*W66*$W$6)),9),$W$4),TRUNC(ROUND(MAX(0,($Y$1-IF(N(AD66)&gt;0,0,p_CorrFixa))/(H66*W66*$W$6)),9)/$W$5)*$W$5)))</f>
        <v/>
      </c>
      <c r="AG66" s="85" t="str">
        <f>IF(A66="","",IF(AND(N(AD66)=0,N(AF66)*(H66*W66*$W$6)+p_CorrFixa&lt;p_CompraMin),0,AF66))</f>
        <v/>
      </c>
      <c r="AH66" s="85" t="str">
        <f>IF(A66="","",IF(N(AG66)&gt;0,AB66,0))</f>
        <v/>
      </c>
      <c r="AI66" s="85" t="str">
        <f>IF(A66="","",IF(AND(AH66&gt;0,AH66=$AH$6,COUNTIF($AH$9:AH66,AH66)=1),1,0))</f>
        <v/>
      </c>
    </row>
    <row r="67">
      <c r="A67" s="96" t="n"/>
      <c r="B67" s="96" t="n"/>
      <c r="C67" s="96" t="n"/>
      <c r="D67" s="97" t="n"/>
      <c r="E67" s="98" t="n"/>
      <c r="F67" s="99" t="n"/>
      <c r="G67" s="100" t="n"/>
      <c r="H67" s="101" t="str">
        <f>IF(A67="","",IF(AND(p_ModoCot="Automático",ISNUMBER(Z67)),Z67,IF(N(G67)&gt;0,G67,0)))</f>
        <v/>
      </c>
      <c r="I67" s="73" t="str">
        <f>IF(A67="","",IF(W67=0,"Sem câmbio",IF(AND(p_ModoCot="Automático",ISNUMBER(Z67)),"Auto",IF(N(G67)&gt;0,"Manual","Sem cotação"))))</f>
        <v/>
      </c>
      <c r="J67" s="102" t="str">
        <f>IF(A67="","",N(E67)*H67)</f>
        <v/>
      </c>
      <c r="K67" s="70" t="str">
        <f>IF(A67="","",J67*W67)</f>
        <v/>
      </c>
      <c r="L67" s="30" t="str">
        <f>IF(A67="","",IF($K$6&gt;0,K67/$K$6,0))</f>
        <v/>
      </c>
      <c r="M67" s="72" t="str">
        <f>IF(A67="","",N(F67)-L67)</f>
        <v/>
      </c>
      <c r="N67" s="30" t="str">
        <f>IF(A67="","",IF($AB$6&gt;0,AB67/$AB$6,0))</f>
        <v/>
      </c>
      <c r="O67" s="74" t="str">
        <f>IF(A67="","",IF(AB67&lt;=0,"",COUNTIF($AB$9:$AB$208,"&gt;"&amp;AB67)+COUNTIF($AB$9:AB67,AB67)))</f>
        <v/>
      </c>
      <c r="P67" s="73" t="str">
        <f>IF(A67="","",IF(Q67&gt;0,"BUY","HOLD"))</f>
        <v/>
      </c>
      <c r="Q67" s="70" t="str">
        <f>IF(A67="","",IF($W$7&lt;=0,0,IF($AC$6&gt;0,$W$7*AC67/$AC$6,IF($F$6&gt;0,$W$7*N(F67)/$F$6,0))))</f>
        <v/>
      </c>
      <c r="R67" s="103" t="str">
        <f>IF(A67="","",N(AD67)+IF(AI67=1,N(AG67),0))</f>
        <v/>
      </c>
      <c r="S67" s="103" t="str">
        <f>IF(A67="","",N(E67)+N(R67))</f>
        <v/>
      </c>
      <c r="T67" s="70" t="str">
        <f>IF(A67="","",IF(N(R67)&gt;0,R67*H67*W67*$W$6+p_CorrFixa,0))</f>
        <v/>
      </c>
      <c r="V67" s="85" t="str">
        <f>IF(A67="","",IF(D67="",$W$1,D67))</f>
        <v/>
      </c>
      <c r="W67" s="85" t="str">
        <f>IF(A67="","",IFERROR(INDEX(moeda_fx,MATCH(V67,moeda_cod,0)),0))</f>
        <v/>
      </c>
      <c r="X67" s="85" t="str">
        <f>IF(A67="","",IF($W$2="",UPPER(TRIM(A67)),IF(RIGHT(UPPER(TRIM(A67)),LEN($W$2))=$W$2,UPPER(TRIM(A67)),UPPER(TRIM(A67))&amp;$W$2)))</f>
        <v/>
      </c>
      <c r="Y67" s="85" t="str">
        <f>IF(OR(A67="",p_ModoCot&lt;&gt;"Automático"),"",IFERROR(_xlfn.WEBSERVICE("https://query1.finance.yahoo.com/v8/finance/chart/"&amp;X67&amp;"?range=1d&amp;interval=1d"),""))</f>
        <v/>
      </c>
      <c r="Z67" s="85" t="str">
        <f>IF(Y67="","",IFERROR(_xlfn.NUMBERVALUE(MID(Y67,SEARCH("""regularMarketPrice"":",Y67)+21,SEARCH(",",Y67&amp;",",SEARCH("""regularMarketPrice"":",Y67)+21)-SEARCH("""regularMarketPrice"":",Y67)-21),".",","),""))</f>
        <v/>
      </c>
      <c r="AA67" s="85" t="str">
        <f>IF(A67="","",ROUND(MAX(0,N(F67)*($K$6+$W$7)-K67),2))</f>
        <v/>
      </c>
      <c r="AB67" s="85" t="str">
        <f>IF(A67="","",IF(AND(M67&gt;0,M67&gt;=p_DifMin),AA67,0))</f>
        <v/>
      </c>
      <c r="AC67" s="85" t="str">
        <f>IF(A67="","",IF(AND(AB67&gt;0,N(O67)&lt;=p_MaxAtivos),AB67,0))</f>
        <v/>
      </c>
      <c r="AD67" s="85" t="str">
        <f>IF(A67="","",IF(OR(Q67&lt;=0,Q67&lt;p_CompraMin,N(H67)&lt;=0,N(W67)&lt;=0),0,IF($W$3="Sim",TRUNC(ROUND(MAX(0,(Q67-p_CorrFixa)/(H67*W67*$W$6)),9),$W$4),TRUNC(ROUND(MAX(0,(Q67-p_CorrFixa)/(H67*W67*$W$6)),9)/$W$5)*$W$5)))</f>
        <v/>
      </c>
      <c r="AE67" s="85" t="str">
        <f>IF(A67="","",IF(N(AD67)&gt;0,AD67*H67*W67*$W$6+p_CorrFixa,0))</f>
        <v/>
      </c>
      <c r="AF67" s="85" t="str">
        <f>IF(A67="","",IF(OR($Y$1&lt;=0,N(H67)&lt;=0,N(W67)&lt;=0,N(AB67)&lt;=0),0,IF($W$3="Sim",TRUNC(ROUND(MAX(0,($Y$1-IF(N(AD67)&gt;0,0,p_CorrFixa))/(H67*W67*$W$6)),9),$W$4),TRUNC(ROUND(MAX(0,($Y$1-IF(N(AD67)&gt;0,0,p_CorrFixa))/(H67*W67*$W$6)),9)/$W$5)*$W$5)))</f>
        <v/>
      </c>
      <c r="AG67" s="85" t="str">
        <f>IF(A67="","",IF(AND(N(AD67)=0,N(AF67)*(H67*W67*$W$6)+p_CorrFixa&lt;p_CompraMin),0,AF67))</f>
        <v/>
      </c>
      <c r="AH67" s="85" t="str">
        <f>IF(A67="","",IF(N(AG67)&gt;0,AB67,0))</f>
        <v/>
      </c>
      <c r="AI67" s="85" t="str">
        <f>IF(A67="","",IF(AND(AH67&gt;0,AH67=$AH$6,COUNTIF($AH$9:AH67,AH67)=1),1,0))</f>
        <v/>
      </c>
    </row>
    <row r="68">
      <c r="A68" s="96" t="n"/>
      <c r="B68" s="96" t="n"/>
      <c r="C68" s="96" t="n"/>
      <c r="D68" s="97" t="n"/>
      <c r="E68" s="98" t="n"/>
      <c r="F68" s="99" t="n"/>
      <c r="G68" s="100" t="n"/>
      <c r="H68" s="104" t="str">
        <f>IF(A68="","",IF(AND(p_ModoCot="Automático",ISNUMBER(Z68)),Z68,IF(N(G68)&gt;0,G68,0)))</f>
        <v/>
      </c>
      <c r="I68" s="105" t="str">
        <f>IF(A68="","",IF(W68=0,"Sem câmbio",IF(AND(p_ModoCot="Automático",ISNUMBER(Z68)),"Auto",IF(N(G68)&gt;0,"Manual","Sem cotação"))))</f>
        <v/>
      </c>
      <c r="J68" s="106" t="str">
        <f>IF(A68="","",N(E68)*H68)</f>
        <v/>
      </c>
      <c r="K68" s="107" t="str">
        <f>IF(A68="","",J68*W68)</f>
        <v/>
      </c>
      <c r="L68" s="108" t="str">
        <f>IF(A68="","",IF($K$6&gt;0,K68/$K$6,0))</f>
        <v/>
      </c>
      <c r="M68" s="109" t="str">
        <f>IF(A68="","",N(F68)-L68)</f>
        <v/>
      </c>
      <c r="N68" s="108" t="str">
        <f>IF(A68="","",IF($AB$6&gt;0,AB68/$AB$6,0))</f>
        <v/>
      </c>
      <c r="O68" s="110" t="str">
        <f>IF(A68="","",IF(AB68&lt;=0,"",COUNTIF($AB$9:$AB$208,"&gt;"&amp;AB68)+COUNTIF($AB$9:AB68,AB68)))</f>
        <v/>
      </c>
      <c r="P68" s="105" t="str">
        <f>IF(A68="","",IF(Q68&gt;0,"BUY","HOLD"))</f>
        <v/>
      </c>
      <c r="Q68" s="107" t="str">
        <f>IF(A68="","",IF($W$7&lt;=0,0,IF($AC$6&gt;0,$W$7*AC68/$AC$6,IF($F$6&gt;0,$W$7*N(F68)/$F$6,0))))</f>
        <v/>
      </c>
      <c r="R68" s="111" t="str">
        <f>IF(A68="","",N(AD68)+IF(AI68=1,N(AG68),0))</f>
        <v/>
      </c>
      <c r="S68" s="111" t="str">
        <f>IF(A68="","",N(E68)+N(R68))</f>
        <v/>
      </c>
      <c r="T68" s="107" t="str">
        <f>IF(A68="","",IF(N(R68)&gt;0,R68*H68*W68*$W$6+p_CorrFixa,0))</f>
        <v/>
      </c>
      <c r="V68" s="85" t="str">
        <f>IF(A68="","",IF(D68="",$W$1,D68))</f>
        <v/>
      </c>
      <c r="W68" s="85" t="str">
        <f>IF(A68="","",IFERROR(INDEX(moeda_fx,MATCH(V68,moeda_cod,0)),0))</f>
        <v/>
      </c>
      <c r="X68" s="85" t="str">
        <f>IF(A68="","",IF($W$2="",UPPER(TRIM(A68)),IF(RIGHT(UPPER(TRIM(A68)),LEN($W$2))=$W$2,UPPER(TRIM(A68)),UPPER(TRIM(A68))&amp;$W$2)))</f>
        <v/>
      </c>
      <c r="Y68" s="85" t="str">
        <f>IF(OR(A68="",p_ModoCot&lt;&gt;"Automático"),"",IFERROR(_xlfn.WEBSERVICE("https://query1.finance.yahoo.com/v8/finance/chart/"&amp;X68&amp;"?range=1d&amp;interval=1d"),""))</f>
        <v/>
      </c>
      <c r="Z68" s="85" t="str">
        <f>IF(Y68="","",IFERROR(_xlfn.NUMBERVALUE(MID(Y68,SEARCH("""regularMarketPrice"":",Y68)+21,SEARCH(",",Y68&amp;",",SEARCH("""regularMarketPrice"":",Y68)+21)-SEARCH("""regularMarketPrice"":",Y68)-21),".",","),""))</f>
        <v/>
      </c>
      <c r="AA68" s="85" t="str">
        <f>IF(A68="","",ROUND(MAX(0,N(F68)*($K$6+$W$7)-K68),2))</f>
        <v/>
      </c>
      <c r="AB68" s="85" t="str">
        <f>IF(A68="","",IF(AND(M68&gt;0,M68&gt;=p_DifMin),AA68,0))</f>
        <v/>
      </c>
      <c r="AC68" s="85" t="str">
        <f>IF(A68="","",IF(AND(AB68&gt;0,N(O68)&lt;=p_MaxAtivos),AB68,0))</f>
        <v/>
      </c>
      <c r="AD68" s="85" t="str">
        <f>IF(A68="","",IF(OR(Q68&lt;=0,Q68&lt;p_CompraMin,N(H68)&lt;=0,N(W68)&lt;=0),0,IF($W$3="Sim",TRUNC(ROUND(MAX(0,(Q68-p_CorrFixa)/(H68*W68*$W$6)),9),$W$4),TRUNC(ROUND(MAX(0,(Q68-p_CorrFixa)/(H68*W68*$W$6)),9)/$W$5)*$W$5)))</f>
        <v/>
      </c>
      <c r="AE68" s="85" t="str">
        <f>IF(A68="","",IF(N(AD68)&gt;0,AD68*H68*W68*$W$6+p_CorrFixa,0))</f>
        <v/>
      </c>
      <c r="AF68" s="85" t="str">
        <f>IF(A68="","",IF(OR($Y$1&lt;=0,N(H68)&lt;=0,N(W68)&lt;=0,N(AB68)&lt;=0),0,IF($W$3="Sim",TRUNC(ROUND(MAX(0,($Y$1-IF(N(AD68)&gt;0,0,p_CorrFixa))/(H68*W68*$W$6)),9),$W$4),TRUNC(ROUND(MAX(0,($Y$1-IF(N(AD68)&gt;0,0,p_CorrFixa))/(H68*W68*$W$6)),9)/$W$5)*$W$5)))</f>
        <v/>
      </c>
      <c r="AG68" s="85" t="str">
        <f>IF(A68="","",IF(AND(N(AD68)=0,N(AF68)*(H68*W68*$W$6)+p_CorrFixa&lt;p_CompraMin),0,AF68))</f>
        <v/>
      </c>
      <c r="AH68" s="85" t="str">
        <f>IF(A68="","",IF(N(AG68)&gt;0,AB68,0))</f>
        <v/>
      </c>
      <c r="AI68" s="85" t="str">
        <f>IF(A68="","",IF(AND(AH68&gt;0,AH68=$AH$6,COUNTIF($AH$9:AH68,AH68)=1),1,0))</f>
        <v/>
      </c>
    </row>
    <row r="69">
      <c r="A69" s="96" t="n"/>
      <c r="B69" s="96" t="n"/>
      <c r="C69" s="96" t="n"/>
      <c r="D69" s="97" t="n"/>
      <c r="E69" s="98" t="n"/>
      <c r="F69" s="99" t="n"/>
      <c r="G69" s="100" t="n"/>
      <c r="H69" s="101" t="str">
        <f>IF(A69="","",IF(AND(p_ModoCot="Automático",ISNUMBER(Z69)),Z69,IF(N(G69)&gt;0,G69,0)))</f>
        <v/>
      </c>
      <c r="I69" s="73" t="str">
        <f>IF(A69="","",IF(W69=0,"Sem câmbio",IF(AND(p_ModoCot="Automático",ISNUMBER(Z69)),"Auto",IF(N(G69)&gt;0,"Manual","Sem cotação"))))</f>
        <v/>
      </c>
      <c r="J69" s="102" t="str">
        <f>IF(A69="","",N(E69)*H69)</f>
        <v/>
      </c>
      <c r="K69" s="70" t="str">
        <f>IF(A69="","",J69*W69)</f>
        <v/>
      </c>
      <c r="L69" s="30" t="str">
        <f>IF(A69="","",IF($K$6&gt;0,K69/$K$6,0))</f>
        <v/>
      </c>
      <c r="M69" s="72" t="str">
        <f>IF(A69="","",N(F69)-L69)</f>
        <v/>
      </c>
      <c r="N69" s="30" t="str">
        <f>IF(A69="","",IF($AB$6&gt;0,AB69/$AB$6,0))</f>
        <v/>
      </c>
      <c r="O69" s="74" t="str">
        <f>IF(A69="","",IF(AB69&lt;=0,"",COUNTIF($AB$9:$AB$208,"&gt;"&amp;AB69)+COUNTIF($AB$9:AB69,AB69)))</f>
        <v/>
      </c>
      <c r="P69" s="73" t="str">
        <f>IF(A69="","",IF(Q69&gt;0,"BUY","HOLD"))</f>
        <v/>
      </c>
      <c r="Q69" s="70" t="str">
        <f>IF(A69="","",IF($W$7&lt;=0,0,IF($AC$6&gt;0,$W$7*AC69/$AC$6,IF($F$6&gt;0,$W$7*N(F69)/$F$6,0))))</f>
        <v/>
      </c>
      <c r="R69" s="103" t="str">
        <f>IF(A69="","",N(AD69)+IF(AI69=1,N(AG69),0))</f>
        <v/>
      </c>
      <c r="S69" s="103" t="str">
        <f>IF(A69="","",N(E69)+N(R69))</f>
        <v/>
      </c>
      <c r="T69" s="70" t="str">
        <f>IF(A69="","",IF(N(R69)&gt;0,R69*H69*W69*$W$6+p_CorrFixa,0))</f>
        <v/>
      </c>
      <c r="V69" s="85" t="str">
        <f>IF(A69="","",IF(D69="",$W$1,D69))</f>
        <v/>
      </c>
      <c r="W69" s="85" t="str">
        <f>IF(A69="","",IFERROR(INDEX(moeda_fx,MATCH(V69,moeda_cod,0)),0))</f>
        <v/>
      </c>
      <c r="X69" s="85" t="str">
        <f>IF(A69="","",IF($W$2="",UPPER(TRIM(A69)),IF(RIGHT(UPPER(TRIM(A69)),LEN($W$2))=$W$2,UPPER(TRIM(A69)),UPPER(TRIM(A69))&amp;$W$2)))</f>
        <v/>
      </c>
      <c r="Y69" s="85" t="str">
        <f>IF(OR(A69="",p_ModoCot&lt;&gt;"Automático"),"",IFERROR(_xlfn.WEBSERVICE("https://query1.finance.yahoo.com/v8/finance/chart/"&amp;X69&amp;"?range=1d&amp;interval=1d"),""))</f>
        <v/>
      </c>
      <c r="Z69" s="85" t="str">
        <f>IF(Y69="","",IFERROR(_xlfn.NUMBERVALUE(MID(Y69,SEARCH("""regularMarketPrice"":",Y69)+21,SEARCH(",",Y69&amp;",",SEARCH("""regularMarketPrice"":",Y69)+21)-SEARCH("""regularMarketPrice"":",Y69)-21),".",","),""))</f>
        <v/>
      </c>
      <c r="AA69" s="85" t="str">
        <f>IF(A69="","",ROUND(MAX(0,N(F69)*($K$6+$W$7)-K69),2))</f>
        <v/>
      </c>
      <c r="AB69" s="85" t="str">
        <f>IF(A69="","",IF(AND(M69&gt;0,M69&gt;=p_DifMin),AA69,0))</f>
        <v/>
      </c>
      <c r="AC69" s="85" t="str">
        <f>IF(A69="","",IF(AND(AB69&gt;0,N(O69)&lt;=p_MaxAtivos),AB69,0))</f>
        <v/>
      </c>
      <c r="AD69" s="85" t="str">
        <f>IF(A69="","",IF(OR(Q69&lt;=0,Q69&lt;p_CompraMin,N(H69)&lt;=0,N(W69)&lt;=0),0,IF($W$3="Sim",TRUNC(ROUND(MAX(0,(Q69-p_CorrFixa)/(H69*W69*$W$6)),9),$W$4),TRUNC(ROUND(MAX(0,(Q69-p_CorrFixa)/(H69*W69*$W$6)),9)/$W$5)*$W$5)))</f>
        <v/>
      </c>
      <c r="AE69" s="85" t="str">
        <f>IF(A69="","",IF(N(AD69)&gt;0,AD69*H69*W69*$W$6+p_CorrFixa,0))</f>
        <v/>
      </c>
      <c r="AF69" s="85" t="str">
        <f>IF(A69="","",IF(OR($Y$1&lt;=0,N(H69)&lt;=0,N(W69)&lt;=0,N(AB69)&lt;=0),0,IF($W$3="Sim",TRUNC(ROUND(MAX(0,($Y$1-IF(N(AD69)&gt;0,0,p_CorrFixa))/(H69*W69*$W$6)),9),$W$4),TRUNC(ROUND(MAX(0,($Y$1-IF(N(AD69)&gt;0,0,p_CorrFixa))/(H69*W69*$W$6)),9)/$W$5)*$W$5)))</f>
        <v/>
      </c>
      <c r="AG69" s="85" t="str">
        <f>IF(A69="","",IF(AND(N(AD69)=0,N(AF69)*(H69*W69*$W$6)+p_CorrFixa&lt;p_CompraMin),0,AF69))</f>
        <v/>
      </c>
      <c r="AH69" s="85" t="str">
        <f>IF(A69="","",IF(N(AG69)&gt;0,AB69,0))</f>
        <v/>
      </c>
      <c r="AI69" s="85" t="str">
        <f>IF(A69="","",IF(AND(AH69&gt;0,AH69=$AH$6,COUNTIF($AH$9:AH69,AH69)=1),1,0))</f>
        <v/>
      </c>
    </row>
    <row r="70">
      <c r="A70" s="96" t="n"/>
      <c r="B70" s="96" t="n"/>
      <c r="C70" s="96" t="n"/>
      <c r="D70" s="97" t="n"/>
      <c r="E70" s="98" t="n"/>
      <c r="F70" s="99" t="n"/>
      <c r="G70" s="100" t="n"/>
      <c r="H70" s="104" t="str">
        <f>IF(A70="","",IF(AND(p_ModoCot="Automático",ISNUMBER(Z70)),Z70,IF(N(G70)&gt;0,G70,0)))</f>
        <v/>
      </c>
      <c r="I70" s="105" t="str">
        <f>IF(A70="","",IF(W70=0,"Sem câmbio",IF(AND(p_ModoCot="Automático",ISNUMBER(Z70)),"Auto",IF(N(G70)&gt;0,"Manual","Sem cotação"))))</f>
        <v/>
      </c>
      <c r="J70" s="106" t="str">
        <f>IF(A70="","",N(E70)*H70)</f>
        <v/>
      </c>
      <c r="K70" s="107" t="str">
        <f>IF(A70="","",J70*W70)</f>
        <v/>
      </c>
      <c r="L70" s="108" t="str">
        <f>IF(A70="","",IF($K$6&gt;0,K70/$K$6,0))</f>
        <v/>
      </c>
      <c r="M70" s="109" t="str">
        <f>IF(A70="","",N(F70)-L70)</f>
        <v/>
      </c>
      <c r="N70" s="108" t="str">
        <f>IF(A70="","",IF($AB$6&gt;0,AB70/$AB$6,0))</f>
        <v/>
      </c>
      <c r="O70" s="110" t="str">
        <f>IF(A70="","",IF(AB70&lt;=0,"",COUNTIF($AB$9:$AB$208,"&gt;"&amp;AB70)+COUNTIF($AB$9:AB70,AB70)))</f>
        <v/>
      </c>
      <c r="P70" s="105" t="str">
        <f>IF(A70="","",IF(Q70&gt;0,"BUY","HOLD"))</f>
        <v/>
      </c>
      <c r="Q70" s="107" t="str">
        <f>IF(A70="","",IF($W$7&lt;=0,0,IF($AC$6&gt;0,$W$7*AC70/$AC$6,IF($F$6&gt;0,$W$7*N(F70)/$F$6,0))))</f>
        <v/>
      </c>
      <c r="R70" s="111" t="str">
        <f>IF(A70="","",N(AD70)+IF(AI70=1,N(AG70),0))</f>
        <v/>
      </c>
      <c r="S70" s="111" t="str">
        <f>IF(A70="","",N(E70)+N(R70))</f>
        <v/>
      </c>
      <c r="T70" s="107" t="str">
        <f>IF(A70="","",IF(N(R70)&gt;0,R70*H70*W70*$W$6+p_CorrFixa,0))</f>
        <v/>
      </c>
      <c r="V70" s="85" t="str">
        <f>IF(A70="","",IF(D70="",$W$1,D70))</f>
        <v/>
      </c>
      <c r="W70" s="85" t="str">
        <f>IF(A70="","",IFERROR(INDEX(moeda_fx,MATCH(V70,moeda_cod,0)),0))</f>
        <v/>
      </c>
      <c r="X70" s="85" t="str">
        <f>IF(A70="","",IF($W$2="",UPPER(TRIM(A70)),IF(RIGHT(UPPER(TRIM(A70)),LEN($W$2))=$W$2,UPPER(TRIM(A70)),UPPER(TRIM(A70))&amp;$W$2)))</f>
        <v/>
      </c>
      <c r="Y70" s="85" t="str">
        <f>IF(OR(A70="",p_ModoCot&lt;&gt;"Automático"),"",IFERROR(_xlfn.WEBSERVICE("https://query1.finance.yahoo.com/v8/finance/chart/"&amp;X70&amp;"?range=1d&amp;interval=1d"),""))</f>
        <v/>
      </c>
      <c r="Z70" s="85" t="str">
        <f>IF(Y70="","",IFERROR(_xlfn.NUMBERVALUE(MID(Y70,SEARCH("""regularMarketPrice"":",Y70)+21,SEARCH(",",Y70&amp;",",SEARCH("""regularMarketPrice"":",Y70)+21)-SEARCH("""regularMarketPrice"":",Y70)-21),".",","),""))</f>
        <v/>
      </c>
      <c r="AA70" s="85" t="str">
        <f>IF(A70="","",ROUND(MAX(0,N(F70)*($K$6+$W$7)-K70),2))</f>
        <v/>
      </c>
      <c r="AB70" s="85" t="str">
        <f>IF(A70="","",IF(AND(M70&gt;0,M70&gt;=p_DifMin),AA70,0))</f>
        <v/>
      </c>
      <c r="AC70" s="85" t="str">
        <f>IF(A70="","",IF(AND(AB70&gt;0,N(O70)&lt;=p_MaxAtivos),AB70,0))</f>
        <v/>
      </c>
      <c r="AD70" s="85" t="str">
        <f>IF(A70="","",IF(OR(Q70&lt;=0,Q70&lt;p_CompraMin,N(H70)&lt;=0,N(W70)&lt;=0),0,IF($W$3="Sim",TRUNC(ROUND(MAX(0,(Q70-p_CorrFixa)/(H70*W70*$W$6)),9),$W$4),TRUNC(ROUND(MAX(0,(Q70-p_CorrFixa)/(H70*W70*$W$6)),9)/$W$5)*$W$5)))</f>
        <v/>
      </c>
      <c r="AE70" s="85" t="str">
        <f>IF(A70="","",IF(N(AD70)&gt;0,AD70*H70*W70*$W$6+p_CorrFixa,0))</f>
        <v/>
      </c>
      <c r="AF70" s="85" t="str">
        <f>IF(A70="","",IF(OR($Y$1&lt;=0,N(H70)&lt;=0,N(W70)&lt;=0,N(AB70)&lt;=0),0,IF($W$3="Sim",TRUNC(ROUND(MAX(0,($Y$1-IF(N(AD70)&gt;0,0,p_CorrFixa))/(H70*W70*$W$6)),9),$W$4),TRUNC(ROUND(MAX(0,($Y$1-IF(N(AD70)&gt;0,0,p_CorrFixa))/(H70*W70*$W$6)),9)/$W$5)*$W$5)))</f>
        <v/>
      </c>
      <c r="AG70" s="85" t="str">
        <f>IF(A70="","",IF(AND(N(AD70)=0,N(AF70)*(H70*W70*$W$6)+p_CorrFixa&lt;p_CompraMin),0,AF70))</f>
        <v/>
      </c>
      <c r="AH70" s="85" t="str">
        <f>IF(A70="","",IF(N(AG70)&gt;0,AB70,0))</f>
        <v/>
      </c>
      <c r="AI70" s="85" t="str">
        <f>IF(A70="","",IF(AND(AH70&gt;0,AH70=$AH$6,COUNTIF($AH$9:AH70,AH70)=1),1,0))</f>
        <v/>
      </c>
    </row>
    <row r="71">
      <c r="A71" s="96" t="n"/>
      <c r="B71" s="96" t="n"/>
      <c r="C71" s="96" t="n"/>
      <c r="D71" s="97" t="n"/>
      <c r="E71" s="98" t="n"/>
      <c r="F71" s="99" t="n"/>
      <c r="G71" s="100" t="n"/>
      <c r="H71" s="101" t="str">
        <f>IF(A71="","",IF(AND(p_ModoCot="Automático",ISNUMBER(Z71)),Z71,IF(N(G71)&gt;0,G71,0)))</f>
        <v/>
      </c>
      <c r="I71" s="73" t="str">
        <f>IF(A71="","",IF(W71=0,"Sem câmbio",IF(AND(p_ModoCot="Automático",ISNUMBER(Z71)),"Auto",IF(N(G71)&gt;0,"Manual","Sem cotação"))))</f>
        <v/>
      </c>
      <c r="J71" s="102" t="str">
        <f>IF(A71="","",N(E71)*H71)</f>
        <v/>
      </c>
      <c r="K71" s="70" t="str">
        <f>IF(A71="","",J71*W71)</f>
        <v/>
      </c>
      <c r="L71" s="30" t="str">
        <f>IF(A71="","",IF($K$6&gt;0,K71/$K$6,0))</f>
        <v/>
      </c>
      <c r="M71" s="72" t="str">
        <f>IF(A71="","",N(F71)-L71)</f>
        <v/>
      </c>
      <c r="N71" s="30" t="str">
        <f>IF(A71="","",IF($AB$6&gt;0,AB71/$AB$6,0))</f>
        <v/>
      </c>
      <c r="O71" s="74" t="str">
        <f>IF(A71="","",IF(AB71&lt;=0,"",COUNTIF($AB$9:$AB$208,"&gt;"&amp;AB71)+COUNTIF($AB$9:AB71,AB71)))</f>
        <v/>
      </c>
      <c r="P71" s="73" t="str">
        <f>IF(A71="","",IF(Q71&gt;0,"BUY","HOLD"))</f>
        <v/>
      </c>
      <c r="Q71" s="70" t="str">
        <f>IF(A71="","",IF($W$7&lt;=0,0,IF($AC$6&gt;0,$W$7*AC71/$AC$6,IF($F$6&gt;0,$W$7*N(F71)/$F$6,0))))</f>
        <v/>
      </c>
      <c r="R71" s="103" t="str">
        <f>IF(A71="","",N(AD71)+IF(AI71=1,N(AG71),0))</f>
        <v/>
      </c>
      <c r="S71" s="103" t="str">
        <f>IF(A71="","",N(E71)+N(R71))</f>
        <v/>
      </c>
      <c r="T71" s="70" t="str">
        <f>IF(A71="","",IF(N(R71)&gt;0,R71*H71*W71*$W$6+p_CorrFixa,0))</f>
        <v/>
      </c>
      <c r="V71" s="85" t="str">
        <f>IF(A71="","",IF(D71="",$W$1,D71))</f>
        <v/>
      </c>
      <c r="W71" s="85" t="str">
        <f>IF(A71="","",IFERROR(INDEX(moeda_fx,MATCH(V71,moeda_cod,0)),0))</f>
        <v/>
      </c>
      <c r="X71" s="85" t="str">
        <f>IF(A71="","",IF($W$2="",UPPER(TRIM(A71)),IF(RIGHT(UPPER(TRIM(A71)),LEN($W$2))=$W$2,UPPER(TRIM(A71)),UPPER(TRIM(A71))&amp;$W$2)))</f>
        <v/>
      </c>
      <c r="Y71" s="85" t="str">
        <f>IF(OR(A71="",p_ModoCot&lt;&gt;"Automático"),"",IFERROR(_xlfn.WEBSERVICE("https://query1.finance.yahoo.com/v8/finance/chart/"&amp;X71&amp;"?range=1d&amp;interval=1d"),""))</f>
        <v/>
      </c>
      <c r="Z71" s="85" t="str">
        <f>IF(Y71="","",IFERROR(_xlfn.NUMBERVALUE(MID(Y71,SEARCH("""regularMarketPrice"":",Y71)+21,SEARCH(",",Y71&amp;",",SEARCH("""regularMarketPrice"":",Y71)+21)-SEARCH("""regularMarketPrice"":",Y71)-21),".",","),""))</f>
        <v/>
      </c>
      <c r="AA71" s="85" t="str">
        <f>IF(A71="","",ROUND(MAX(0,N(F71)*($K$6+$W$7)-K71),2))</f>
        <v/>
      </c>
      <c r="AB71" s="85" t="str">
        <f>IF(A71="","",IF(AND(M71&gt;0,M71&gt;=p_DifMin),AA71,0))</f>
        <v/>
      </c>
      <c r="AC71" s="85" t="str">
        <f>IF(A71="","",IF(AND(AB71&gt;0,N(O71)&lt;=p_MaxAtivos),AB71,0))</f>
        <v/>
      </c>
      <c r="AD71" s="85" t="str">
        <f>IF(A71="","",IF(OR(Q71&lt;=0,Q71&lt;p_CompraMin,N(H71)&lt;=0,N(W71)&lt;=0),0,IF($W$3="Sim",TRUNC(ROUND(MAX(0,(Q71-p_CorrFixa)/(H71*W71*$W$6)),9),$W$4),TRUNC(ROUND(MAX(0,(Q71-p_CorrFixa)/(H71*W71*$W$6)),9)/$W$5)*$W$5)))</f>
        <v/>
      </c>
      <c r="AE71" s="85" t="str">
        <f>IF(A71="","",IF(N(AD71)&gt;0,AD71*H71*W71*$W$6+p_CorrFixa,0))</f>
        <v/>
      </c>
      <c r="AF71" s="85" t="str">
        <f>IF(A71="","",IF(OR($Y$1&lt;=0,N(H71)&lt;=0,N(W71)&lt;=0,N(AB71)&lt;=0),0,IF($W$3="Sim",TRUNC(ROUND(MAX(0,($Y$1-IF(N(AD71)&gt;0,0,p_CorrFixa))/(H71*W71*$W$6)),9),$W$4),TRUNC(ROUND(MAX(0,($Y$1-IF(N(AD71)&gt;0,0,p_CorrFixa))/(H71*W71*$W$6)),9)/$W$5)*$W$5)))</f>
        <v/>
      </c>
      <c r="AG71" s="85" t="str">
        <f>IF(A71="","",IF(AND(N(AD71)=0,N(AF71)*(H71*W71*$W$6)+p_CorrFixa&lt;p_CompraMin),0,AF71))</f>
        <v/>
      </c>
      <c r="AH71" s="85" t="str">
        <f>IF(A71="","",IF(N(AG71)&gt;0,AB71,0))</f>
        <v/>
      </c>
      <c r="AI71" s="85" t="str">
        <f>IF(A71="","",IF(AND(AH71&gt;0,AH71=$AH$6,COUNTIF($AH$9:AH71,AH71)=1),1,0))</f>
        <v/>
      </c>
    </row>
    <row r="72">
      <c r="A72" s="96" t="n"/>
      <c r="B72" s="96" t="n"/>
      <c r="C72" s="96" t="n"/>
      <c r="D72" s="97" t="n"/>
      <c r="E72" s="98" t="n"/>
      <c r="F72" s="99" t="n"/>
      <c r="G72" s="100" t="n"/>
      <c r="H72" s="104" t="str">
        <f>IF(A72="","",IF(AND(p_ModoCot="Automático",ISNUMBER(Z72)),Z72,IF(N(G72)&gt;0,G72,0)))</f>
        <v/>
      </c>
      <c r="I72" s="105" t="str">
        <f>IF(A72="","",IF(W72=0,"Sem câmbio",IF(AND(p_ModoCot="Automático",ISNUMBER(Z72)),"Auto",IF(N(G72)&gt;0,"Manual","Sem cotação"))))</f>
        <v/>
      </c>
      <c r="J72" s="106" t="str">
        <f>IF(A72="","",N(E72)*H72)</f>
        <v/>
      </c>
      <c r="K72" s="107" t="str">
        <f>IF(A72="","",J72*W72)</f>
        <v/>
      </c>
      <c r="L72" s="108" t="str">
        <f>IF(A72="","",IF($K$6&gt;0,K72/$K$6,0))</f>
        <v/>
      </c>
      <c r="M72" s="109" t="str">
        <f>IF(A72="","",N(F72)-L72)</f>
        <v/>
      </c>
      <c r="N72" s="108" t="str">
        <f>IF(A72="","",IF($AB$6&gt;0,AB72/$AB$6,0))</f>
        <v/>
      </c>
      <c r="O72" s="110" t="str">
        <f>IF(A72="","",IF(AB72&lt;=0,"",COUNTIF($AB$9:$AB$208,"&gt;"&amp;AB72)+COUNTIF($AB$9:AB72,AB72)))</f>
        <v/>
      </c>
      <c r="P72" s="105" t="str">
        <f>IF(A72="","",IF(Q72&gt;0,"BUY","HOLD"))</f>
        <v/>
      </c>
      <c r="Q72" s="107" t="str">
        <f>IF(A72="","",IF($W$7&lt;=0,0,IF($AC$6&gt;0,$W$7*AC72/$AC$6,IF($F$6&gt;0,$W$7*N(F72)/$F$6,0))))</f>
        <v/>
      </c>
      <c r="R72" s="111" t="str">
        <f>IF(A72="","",N(AD72)+IF(AI72=1,N(AG72),0))</f>
        <v/>
      </c>
      <c r="S72" s="111" t="str">
        <f>IF(A72="","",N(E72)+N(R72))</f>
        <v/>
      </c>
      <c r="T72" s="107" t="str">
        <f>IF(A72="","",IF(N(R72)&gt;0,R72*H72*W72*$W$6+p_CorrFixa,0))</f>
        <v/>
      </c>
      <c r="V72" s="85" t="str">
        <f>IF(A72="","",IF(D72="",$W$1,D72))</f>
        <v/>
      </c>
      <c r="W72" s="85" t="str">
        <f>IF(A72="","",IFERROR(INDEX(moeda_fx,MATCH(V72,moeda_cod,0)),0))</f>
        <v/>
      </c>
      <c r="X72" s="85" t="str">
        <f>IF(A72="","",IF($W$2="",UPPER(TRIM(A72)),IF(RIGHT(UPPER(TRIM(A72)),LEN($W$2))=$W$2,UPPER(TRIM(A72)),UPPER(TRIM(A72))&amp;$W$2)))</f>
        <v/>
      </c>
      <c r="Y72" s="85" t="str">
        <f>IF(OR(A72="",p_ModoCot&lt;&gt;"Automático"),"",IFERROR(_xlfn.WEBSERVICE("https://query1.finance.yahoo.com/v8/finance/chart/"&amp;X72&amp;"?range=1d&amp;interval=1d"),""))</f>
        <v/>
      </c>
      <c r="Z72" s="85" t="str">
        <f>IF(Y72="","",IFERROR(_xlfn.NUMBERVALUE(MID(Y72,SEARCH("""regularMarketPrice"":",Y72)+21,SEARCH(",",Y72&amp;",",SEARCH("""regularMarketPrice"":",Y72)+21)-SEARCH("""regularMarketPrice"":",Y72)-21),".",","),""))</f>
        <v/>
      </c>
      <c r="AA72" s="85" t="str">
        <f>IF(A72="","",ROUND(MAX(0,N(F72)*($K$6+$W$7)-K72),2))</f>
        <v/>
      </c>
      <c r="AB72" s="85" t="str">
        <f>IF(A72="","",IF(AND(M72&gt;0,M72&gt;=p_DifMin),AA72,0))</f>
        <v/>
      </c>
      <c r="AC72" s="85" t="str">
        <f>IF(A72="","",IF(AND(AB72&gt;0,N(O72)&lt;=p_MaxAtivos),AB72,0))</f>
        <v/>
      </c>
      <c r="AD72" s="85" t="str">
        <f>IF(A72="","",IF(OR(Q72&lt;=0,Q72&lt;p_CompraMin,N(H72)&lt;=0,N(W72)&lt;=0),0,IF($W$3="Sim",TRUNC(ROUND(MAX(0,(Q72-p_CorrFixa)/(H72*W72*$W$6)),9),$W$4),TRUNC(ROUND(MAX(0,(Q72-p_CorrFixa)/(H72*W72*$W$6)),9)/$W$5)*$W$5)))</f>
        <v/>
      </c>
      <c r="AE72" s="85" t="str">
        <f>IF(A72="","",IF(N(AD72)&gt;0,AD72*H72*W72*$W$6+p_CorrFixa,0))</f>
        <v/>
      </c>
      <c r="AF72" s="85" t="str">
        <f>IF(A72="","",IF(OR($Y$1&lt;=0,N(H72)&lt;=0,N(W72)&lt;=0,N(AB72)&lt;=0),0,IF($W$3="Sim",TRUNC(ROUND(MAX(0,($Y$1-IF(N(AD72)&gt;0,0,p_CorrFixa))/(H72*W72*$W$6)),9),$W$4),TRUNC(ROUND(MAX(0,($Y$1-IF(N(AD72)&gt;0,0,p_CorrFixa))/(H72*W72*$W$6)),9)/$W$5)*$W$5)))</f>
        <v/>
      </c>
      <c r="AG72" s="85" t="str">
        <f>IF(A72="","",IF(AND(N(AD72)=0,N(AF72)*(H72*W72*$W$6)+p_CorrFixa&lt;p_CompraMin),0,AF72))</f>
        <v/>
      </c>
      <c r="AH72" s="85" t="str">
        <f>IF(A72="","",IF(N(AG72)&gt;0,AB72,0))</f>
        <v/>
      </c>
      <c r="AI72" s="85" t="str">
        <f>IF(A72="","",IF(AND(AH72&gt;0,AH72=$AH$6,COUNTIF($AH$9:AH72,AH72)=1),1,0))</f>
        <v/>
      </c>
    </row>
    <row r="73">
      <c r="A73" s="96" t="n"/>
      <c r="B73" s="96" t="n"/>
      <c r="C73" s="96" t="n"/>
      <c r="D73" s="97" t="n"/>
      <c r="E73" s="98" t="n"/>
      <c r="F73" s="99" t="n"/>
      <c r="G73" s="100" t="n"/>
      <c r="H73" s="101" t="str">
        <f>IF(A73="","",IF(AND(p_ModoCot="Automático",ISNUMBER(Z73)),Z73,IF(N(G73)&gt;0,G73,0)))</f>
        <v/>
      </c>
      <c r="I73" s="73" t="str">
        <f>IF(A73="","",IF(W73=0,"Sem câmbio",IF(AND(p_ModoCot="Automático",ISNUMBER(Z73)),"Auto",IF(N(G73)&gt;0,"Manual","Sem cotação"))))</f>
        <v/>
      </c>
      <c r="J73" s="102" t="str">
        <f>IF(A73="","",N(E73)*H73)</f>
        <v/>
      </c>
      <c r="K73" s="70" t="str">
        <f>IF(A73="","",J73*W73)</f>
        <v/>
      </c>
      <c r="L73" s="30" t="str">
        <f>IF(A73="","",IF($K$6&gt;0,K73/$K$6,0))</f>
        <v/>
      </c>
      <c r="M73" s="72" t="str">
        <f>IF(A73="","",N(F73)-L73)</f>
        <v/>
      </c>
      <c r="N73" s="30" t="str">
        <f>IF(A73="","",IF($AB$6&gt;0,AB73/$AB$6,0))</f>
        <v/>
      </c>
      <c r="O73" s="74" t="str">
        <f>IF(A73="","",IF(AB73&lt;=0,"",COUNTIF($AB$9:$AB$208,"&gt;"&amp;AB73)+COUNTIF($AB$9:AB73,AB73)))</f>
        <v/>
      </c>
      <c r="P73" s="73" t="str">
        <f>IF(A73="","",IF(Q73&gt;0,"BUY","HOLD"))</f>
        <v/>
      </c>
      <c r="Q73" s="70" t="str">
        <f>IF(A73="","",IF($W$7&lt;=0,0,IF($AC$6&gt;0,$W$7*AC73/$AC$6,IF($F$6&gt;0,$W$7*N(F73)/$F$6,0))))</f>
        <v/>
      </c>
      <c r="R73" s="103" t="str">
        <f>IF(A73="","",N(AD73)+IF(AI73=1,N(AG73),0))</f>
        <v/>
      </c>
      <c r="S73" s="103" t="str">
        <f>IF(A73="","",N(E73)+N(R73))</f>
        <v/>
      </c>
      <c r="T73" s="70" t="str">
        <f>IF(A73="","",IF(N(R73)&gt;0,R73*H73*W73*$W$6+p_CorrFixa,0))</f>
        <v/>
      </c>
      <c r="V73" s="85" t="str">
        <f>IF(A73="","",IF(D73="",$W$1,D73))</f>
        <v/>
      </c>
      <c r="W73" s="85" t="str">
        <f>IF(A73="","",IFERROR(INDEX(moeda_fx,MATCH(V73,moeda_cod,0)),0))</f>
        <v/>
      </c>
      <c r="X73" s="85" t="str">
        <f>IF(A73="","",IF($W$2="",UPPER(TRIM(A73)),IF(RIGHT(UPPER(TRIM(A73)),LEN($W$2))=$W$2,UPPER(TRIM(A73)),UPPER(TRIM(A73))&amp;$W$2)))</f>
        <v/>
      </c>
      <c r="Y73" s="85" t="str">
        <f>IF(OR(A73="",p_ModoCot&lt;&gt;"Automático"),"",IFERROR(_xlfn.WEBSERVICE("https://query1.finance.yahoo.com/v8/finance/chart/"&amp;X73&amp;"?range=1d&amp;interval=1d"),""))</f>
        <v/>
      </c>
      <c r="Z73" s="85" t="str">
        <f>IF(Y73="","",IFERROR(_xlfn.NUMBERVALUE(MID(Y73,SEARCH("""regularMarketPrice"":",Y73)+21,SEARCH(",",Y73&amp;",",SEARCH("""regularMarketPrice"":",Y73)+21)-SEARCH("""regularMarketPrice"":",Y73)-21),".",","),""))</f>
        <v/>
      </c>
      <c r="AA73" s="85" t="str">
        <f>IF(A73="","",ROUND(MAX(0,N(F73)*($K$6+$W$7)-K73),2))</f>
        <v/>
      </c>
      <c r="AB73" s="85" t="str">
        <f>IF(A73="","",IF(AND(M73&gt;0,M73&gt;=p_DifMin),AA73,0))</f>
        <v/>
      </c>
      <c r="AC73" s="85" t="str">
        <f>IF(A73="","",IF(AND(AB73&gt;0,N(O73)&lt;=p_MaxAtivos),AB73,0))</f>
        <v/>
      </c>
      <c r="AD73" s="85" t="str">
        <f>IF(A73="","",IF(OR(Q73&lt;=0,Q73&lt;p_CompraMin,N(H73)&lt;=0,N(W73)&lt;=0),0,IF($W$3="Sim",TRUNC(ROUND(MAX(0,(Q73-p_CorrFixa)/(H73*W73*$W$6)),9),$W$4),TRUNC(ROUND(MAX(0,(Q73-p_CorrFixa)/(H73*W73*$W$6)),9)/$W$5)*$W$5)))</f>
        <v/>
      </c>
      <c r="AE73" s="85" t="str">
        <f>IF(A73="","",IF(N(AD73)&gt;0,AD73*H73*W73*$W$6+p_CorrFixa,0))</f>
        <v/>
      </c>
      <c r="AF73" s="85" t="str">
        <f>IF(A73="","",IF(OR($Y$1&lt;=0,N(H73)&lt;=0,N(W73)&lt;=0,N(AB73)&lt;=0),0,IF($W$3="Sim",TRUNC(ROUND(MAX(0,($Y$1-IF(N(AD73)&gt;0,0,p_CorrFixa))/(H73*W73*$W$6)),9),$W$4),TRUNC(ROUND(MAX(0,($Y$1-IF(N(AD73)&gt;0,0,p_CorrFixa))/(H73*W73*$W$6)),9)/$W$5)*$W$5)))</f>
        <v/>
      </c>
      <c r="AG73" s="85" t="str">
        <f>IF(A73="","",IF(AND(N(AD73)=0,N(AF73)*(H73*W73*$W$6)+p_CorrFixa&lt;p_CompraMin),0,AF73))</f>
        <v/>
      </c>
      <c r="AH73" s="85" t="str">
        <f>IF(A73="","",IF(N(AG73)&gt;0,AB73,0))</f>
        <v/>
      </c>
      <c r="AI73" s="85" t="str">
        <f>IF(A73="","",IF(AND(AH73&gt;0,AH73=$AH$6,COUNTIF($AH$9:AH73,AH73)=1),1,0))</f>
        <v/>
      </c>
    </row>
    <row r="74">
      <c r="A74" s="96" t="n"/>
      <c r="B74" s="96" t="n"/>
      <c r="C74" s="96" t="n"/>
      <c r="D74" s="97" t="n"/>
      <c r="E74" s="98" t="n"/>
      <c r="F74" s="99" t="n"/>
      <c r="G74" s="100" t="n"/>
      <c r="H74" s="104" t="str">
        <f>IF(A74="","",IF(AND(p_ModoCot="Automático",ISNUMBER(Z74)),Z74,IF(N(G74)&gt;0,G74,0)))</f>
        <v/>
      </c>
      <c r="I74" s="105" t="str">
        <f>IF(A74="","",IF(W74=0,"Sem câmbio",IF(AND(p_ModoCot="Automático",ISNUMBER(Z74)),"Auto",IF(N(G74)&gt;0,"Manual","Sem cotação"))))</f>
        <v/>
      </c>
      <c r="J74" s="106" t="str">
        <f>IF(A74="","",N(E74)*H74)</f>
        <v/>
      </c>
      <c r="K74" s="107" t="str">
        <f>IF(A74="","",J74*W74)</f>
        <v/>
      </c>
      <c r="L74" s="108" t="str">
        <f>IF(A74="","",IF($K$6&gt;0,K74/$K$6,0))</f>
        <v/>
      </c>
      <c r="M74" s="109" t="str">
        <f>IF(A74="","",N(F74)-L74)</f>
        <v/>
      </c>
      <c r="N74" s="108" t="str">
        <f>IF(A74="","",IF($AB$6&gt;0,AB74/$AB$6,0))</f>
        <v/>
      </c>
      <c r="O74" s="110" t="str">
        <f>IF(A74="","",IF(AB74&lt;=0,"",COUNTIF($AB$9:$AB$208,"&gt;"&amp;AB74)+COUNTIF($AB$9:AB74,AB74)))</f>
        <v/>
      </c>
      <c r="P74" s="105" t="str">
        <f>IF(A74="","",IF(Q74&gt;0,"BUY","HOLD"))</f>
        <v/>
      </c>
      <c r="Q74" s="107" t="str">
        <f>IF(A74="","",IF($W$7&lt;=0,0,IF($AC$6&gt;0,$W$7*AC74/$AC$6,IF($F$6&gt;0,$W$7*N(F74)/$F$6,0))))</f>
        <v/>
      </c>
      <c r="R74" s="111" t="str">
        <f>IF(A74="","",N(AD74)+IF(AI74=1,N(AG74),0))</f>
        <v/>
      </c>
      <c r="S74" s="111" t="str">
        <f>IF(A74="","",N(E74)+N(R74))</f>
        <v/>
      </c>
      <c r="T74" s="107" t="str">
        <f>IF(A74="","",IF(N(R74)&gt;0,R74*H74*W74*$W$6+p_CorrFixa,0))</f>
        <v/>
      </c>
      <c r="V74" s="85" t="str">
        <f>IF(A74="","",IF(D74="",$W$1,D74))</f>
        <v/>
      </c>
      <c r="W74" s="85" t="str">
        <f>IF(A74="","",IFERROR(INDEX(moeda_fx,MATCH(V74,moeda_cod,0)),0))</f>
        <v/>
      </c>
      <c r="X74" s="85" t="str">
        <f>IF(A74="","",IF($W$2="",UPPER(TRIM(A74)),IF(RIGHT(UPPER(TRIM(A74)),LEN($W$2))=$W$2,UPPER(TRIM(A74)),UPPER(TRIM(A74))&amp;$W$2)))</f>
        <v/>
      </c>
      <c r="Y74" s="85" t="str">
        <f>IF(OR(A74="",p_ModoCot&lt;&gt;"Automático"),"",IFERROR(_xlfn.WEBSERVICE("https://query1.finance.yahoo.com/v8/finance/chart/"&amp;X74&amp;"?range=1d&amp;interval=1d"),""))</f>
        <v/>
      </c>
      <c r="Z74" s="85" t="str">
        <f>IF(Y74="","",IFERROR(_xlfn.NUMBERVALUE(MID(Y74,SEARCH("""regularMarketPrice"":",Y74)+21,SEARCH(",",Y74&amp;",",SEARCH("""regularMarketPrice"":",Y74)+21)-SEARCH("""regularMarketPrice"":",Y74)-21),".",","),""))</f>
        <v/>
      </c>
      <c r="AA74" s="85" t="str">
        <f>IF(A74="","",ROUND(MAX(0,N(F74)*($K$6+$W$7)-K74),2))</f>
        <v/>
      </c>
      <c r="AB74" s="85" t="str">
        <f>IF(A74="","",IF(AND(M74&gt;0,M74&gt;=p_DifMin),AA74,0))</f>
        <v/>
      </c>
      <c r="AC74" s="85" t="str">
        <f>IF(A74="","",IF(AND(AB74&gt;0,N(O74)&lt;=p_MaxAtivos),AB74,0))</f>
        <v/>
      </c>
      <c r="AD74" s="85" t="str">
        <f>IF(A74="","",IF(OR(Q74&lt;=0,Q74&lt;p_CompraMin,N(H74)&lt;=0,N(W74)&lt;=0),0,IF($W$3="Sim",TRUNC(ROUND(MAX(0,(Q74-p_CorrFixa)/(H74*W74*$W$6)),9),$W$4),TRUNC(ROUND(MAX(0,(Q74-p_CorrFixa)/(H74*W74*$W$6)),9)/$W$5)*$W$5)))</f>
        <v/>
      </c>
      <c r="AE74" s="85" t="str">
        <f>IF(A74="","",IF(N(AD74)&gt;0,AD74*H74*W74*$W$6+p_CorrFixa,0))</f>
        <v/>
      </c>
      <c r="AF74" s="85" t="str">
        <f>IF(A74="","",IF(OR($Y$1&lt;=0,N(H74)&lt;=0,N(W74)&lt;=0,N(AB74)&lt;=0),0,IF($W$3="Sim",TRUNC(ROUND(MAX(0,($Y$1-IF(N(AD74)&gt;0,0,p_CorrFixa))/(H74*W74*$W$6)),9),$W$4),TRUNC(ROUND(MAX(0,($Y$1-IF(N(AD74)&gt;0,0,p_CorrFixa))/(H74*W74*$W$6)),9)/$W$5)*$W$5)))</f>
        <v/>
      </c>
      <c r="AG74" s="85" t="str">
        <f>IF(A74="","",IF(AND(N(AD74)=0,N(AF74)*(H74*W74*$W$6)+p_CorrFixa&lt;p_CompraMin),0,AF74))</f>
        <v/>
      </c>
      <c r="AH74" s="85" t="str">
        <f>IF(A74="","",IF(N(AG74)&gt;0,AB74,0))</f>
        <v/>
      </c>
      <c r="AI74" s="85" t="str">
        <f>IF(A74="","",IF(AND(AH74&gt;0,AH74=$AH$6,COUNTIF($AH$9:AH74,AH74)=1),1,0))</f>
        <v/>
      </c>
    </row>
    <row r="75">
      <c r="A75" s="96" t="n"/>
      <c r="B75" s="96" t="n"/>
      <c r="C75" s="96" t="n"/>
      <c r="D75" s="97" t="n"/>
      <c r="E75" s="98" t="n"/>
      <c r="F75" s="99" t="n"/>
      <c r="G75" s="100" t="n"/>
      <c r="H75" s="101" t="str">
        <f>IF(A75="","",IF(AND(p_ModoCot="Automático",ISNUMBER(Z75)),Z75,IF(N(G75)&gt;0,G75,0)))</f>
        <v/>
      </c>
      <c r="I75" s="73" t="str">
        <f>IF(A75="","",IF(W75=0,"Sem câmbio",IF(AND(p_ModoCot="Automático",ISNUMBER(Z75)),"Auto",IF(N(G75)&gt;0,"Manual","Sem cotação"))))</f>
        <v/>
      </c>
      <c r="J75" s="102" t="str">
        <f>IF(A75="","",N(E75)*H75)</f>
        <v/>
      </c>
      <c r="K75" s="70" t="str">
        <f>IF(A75="","",J75*W75)</f>
        <v/>
      </c>
      <c r="L75" s="30" t="str">
        <f>IF(A75="","",IF($K$6&gt;0,K75/$K$6,0))</f>
        <v/>
      </c>
      <c r="M75" s="72" t="str">
        <f>IF(A75="","",N(F75)-L75)</f>
        <v/>
      </c>
      <c r="N75" s="30" t="str">
        <f>IF(A75="","",IF($AB$6&gt;0,AB75/$AB$6,0))</f>
        <v/>
      </c>
      <c r="O75" s="74" t="str">
        <f>IF(A75="","",IF(AB75&lt;=0,"",COUNTIF($AB$9:$AB$208,"&gt;"&amp;AB75)+COUNTIF($AB$9:AB75,AB75)))</f>
        <v/>
      </c>
      <c r="P75" s="73" t="str">
        <f>IF(A75="","",IF(Q75&gt;0,"BUY","HOLD"))</f>
        <v/>
      </c>
      <c r="Q75" s="70" t="str">
        <f>IF(A75="","",IF($W$7&lt;=0,0,IF($AC$6&gt;0,$W$7*AC75/$AC$6,IF($F$6&gt;0,$W$7*N(F75)/$F$6,0))))</f>
        <v/>
      </c>
      <c r="R75" s="103" t="str">
        <f>IF(A75="","",N(AD75)+IF(AI75=1,N(AG75),0))</f>
        <v/>
      </c>
      <c r="S75" s="103" t="str">
        <f>IF(A75="","",N(E75)+N(R75))</f>
        <v/>
      </c>
      <c r="T75" s="70" t="str">
        <f>IF(A75="","",IF(N(R75)&gt;0,R75*H75*W75*$W$6+p_CorrFixa,0))</f>
        <v/>
      </c>
      <c r="V75" s="85" t="str">
        <f>IF(A75="","",IF(D75="",$W$1,D75))</f>
        <v/>
      </c>
      <c r="W75" s="85" t="str">
        <f>IF(A75="","",IFERROR(INDEX(moeda_fx,MATCH(V75,moeda_cod,0)),0))</f>
        <v/>
      </c>
      <c r="X75" s="85" t="str">
        <f>IF(A75="","",IF($W$2="",UPPER(TRIM(A75)),IF(RIGHT(UPPER(TRIM(A75)),LEN($W$2))=$W$2,UPPER(TRIM(A75)),UPPER(TRIM(A75))&amp;$W$2)))</f>
        <v/>
      </c>
      <c r="Y75" s="85" t="str">
        <f>IF(OR(A75="",p_ModoCot&lt;&gt;"Automático"),"",IFERROR(_xlfn.WEBSERVICE("https://query1.finance.yahoo.com/v8/finance/chart/"&amp;X75&amp;"?range=1d&amp;interval=1d"),""))</f>
        <v/>
      </c>
      <c r="Z75" s="85" t="str">
        <f>IF(Y75="","",IFERROR(_xlfn.NUMBERVALUE(MID(Y75,SEARCH("""regularMarketPrice"":",Y75)+21,SEARCH(",",Y75&amp;",",SEARCH("""regularMarketPrice"":",Y75)+21)-SEARCH("""regularMarketPrice"":",Y75)-21),".",","),""))</f>
        <v/>
      </c>
      <c r="AA75" s="85" t="str">
        <f>IF(A75="","",ROUND(MAX(0,N(F75)*($K$6+$W$7)-K75),2))</f>
        <v/>
      </c>
      <c r="AB75" s="85" t="str">
        <f>IF(A75="","",IF(AND(M75&gt;0,M75&gt;=p_DifMin),AA75,0))</f>
        <v/>
      </c>
      <c r="AC75" s="85" t="str">
        <f>IF(A75="","",IF(AND(AB75&gt;0,N(O75)&lt;=p_MaxAtivos),AB75,0))</f>
        <v/>
      </c>
      <c r="AD75" s="85" t="str">
        <f>IF(A75="","",IF(OR(Q75&lt;=0,Q75&lt;p_CompraMin,N(H75)&lt;=0,N(W75)&lt;=0),0,IF($W$3="Sim",TRUNC(ROUND(MAX(0,(Q75-p_CorrFixa)/(H75*W75*$W$6)),9),$W$4),TRUNC(ROUND(MAX(0,(Q75-p_CorrFixa)/(H75*W75*$W$6)),9)/$W$5)*$W$5)))</f>
        <v/>
      </c>
      <c r="AE75" s="85" t="str">
        <f>IF(A75="","",IF(N(AD75)&gt;0,AD75*H75*W75*$W$6+p_CorrFixa,0))</f>
        <v/>
      </c>
      <c r="AF75" s="85" t="str">
        <f>IF(A75="","",IF(OR($Y$1&lt;=0,N(H75)&lt;=0,N(W75)&lt;=0,N(AB75)&lt;=0),0,IF($W$3="Sim",TRUNC(ROUND(MAX(0,($Y$1-IF(N(AD75)&gt;0,0,p_CorrFixa))/(H75*W75*$W$6)),9),$W$4),TRUNC(ROUND(MAX(0,($Y$1-IF(N(AD75)&gt;0,0,p_CorrFixa))/(H75*W75*$W$6)),9)/$W$5)*$W$5)))</f>
        <v/>
      </c>
      <c r="AG75" s="85" t="str">
        <f>IF(A75="","",IF(AND(N(AD75)=0,N(AF75)*(H75*W75*$W$6)+p_CorrFixa&lt;p_CompraMin),0,AF75))</f>
        <v/>
      </c>
      <c r="AH75" s="85" t="str">
        <f>IF(A75="","",IF(N(AG75)&gt;0,AB75,0))</f>
        <v/>
      </c>
      <c r="AI75" s="85" t="str">
        <f>IF(A75="","",IF(AND(AH75&gt;0,AH75=$AH$6,COUNTIF($AH$9:AH75,AH75)=1),1,0))</f>
        <v/>
      </c>
    </row>
    <row r="76">
      <c r="A76" s="96" t="n"/>
      <c r="B76" s="96" t="n"/>
      <c r="C76" s="96" t="n"/>
      <c r="D76" s="97" t="n"/>
      <c r="E76" s="98" t="n"/>
      <c r="F76" s="99" t="n"/>
      <c r="G76" s="100" t="n"/>
      <c r="H76" s="104" t="str">
        <f>IF(A76="","",IF(AND(p_ModoCot="Automático",ISNUMBER(Z76)),Z76,IF(N(G76)&gt;0,G76,0)))</f>
        <v/>
      </c>
      <c r="I76" s="105" t="str">
        <f>IF(A76="","",IF(W76=0,"Sem câmbio",IF(AND(p_ModoCot="Automático",ISNUMBER(Z76)),"Auto",IF(N(G76)&gt;0,"Manual","Sem cotação"))))</f>
        <v/>
      </c>
      <c r="J76" s="106" t="str">
        <f>IF(A76="","",N(E76)*H76)</f>
        <v/>
      </c>
      <c r="K76" s="107" t="str">
        <f>IF(A76="","",J76*W76)</f>
        <v/>
      </c>
      <c r="L76" s="108" t="str">
        <f>IF(A76="","",IF($K$6&gt;0,K76/$K$6,0))</f>
        <v/>
      </c>
      <c r="M76" s="109" t="str">
        <f>IF(A76="","",N(F76)-L76)</f>
        <v/>
      </c>
      <c r="N76" s="108" t="str">
        <f>IF(A76="","",IF($AB$6&gt;0,AB76/$AB$6,0))</f>
        <v/>
      </c>
      <c r="O76" s="110" t="str">
        <f>IF(A76="","",IF(AB76&lt;=0,"",COUNTIF($AB$9:$AB$208,"&gt;"&amp;AB76)+COUNTIF($AB$9:AB76,AB76)))</f>
        <v/>
      </c>
      <c r="P76" s="105" t="str">
        <f>IF(A76="","",IF(Q76&gt;0,"BUY","HOLD"))</f>
        <v/>
      </c>
      <c r="Q76" s="107" t="str">
        <f>IF(A76="","",IF($W$7&lt;=0,0,IF($AC$6&gt;0,$W$7*AC76/$AC$6,IF($F$6&gt;0,$W$7*N(F76)/$F$6,0))))</f>
        <v/>
      </c>
      <c r="R76" s="111" t="str">
        <f>IF(A76="","",N(AD76)+IF(AI76=1,N(AG76),0))</f>
        <v/>
      </c>
      <c r="S76" s="111" t="str">
        <f>IF(A76="","",N(E76)+N(R76))</f>
        <v/>
      </c>
      <c r="T76" s="107" t="str">
        <f>IF(A76="","",IF(N(R76)&gt;0,R76*H76*W76*$W$6+p_CorrFixa,0))</f>
        <v/>
      </c>
      <c r="V76" s="85" t="str">
        <f>IF(A76="","",IF(D76="",$W$1,D76))</f>
        <v/>
      </c>
      <c r="W76" s="85" t="str">
        <f>IF(A76="","",IFERROR(INDEX(moeda_fx,MATCH(V76,moeda_cod,0)),0))</f>
        <v/>
      </c>
      <c r="X76" s="85" t="str">
        <f>IF(A76="","",IF($W$2="",UPPER(TRIM(A76)),IF(RIGHT(UPPER(TRIM(A76)),LEN($W$2))=$W$2,UPPER(TRIM(A76)),UPPER(TRIM(A76))&amp;$W$2)))</f>
        <v/>
      </c>
      <c r="Y76" s="85" t="str">
        <f>IF(OR(A76="",p_ModoCot&lt;&gt;"Automático"),"",IFERROR(_xlfn.WEBSERVICE("https://query1.finance.yahoo.com/v8/finance/chart/"&amp;X76&amp;"?range=1d&amp;interval=1d"),""))</f>
        <v/>
      </c>
      <c r="Z76" s="85" t="str">
        <f>IF(Y76="","",IFERROR(_xlfn.NUMBERVALUE(MID(Y76,SEARCH("""regularMarketPrice"":",Y76)+21,SEARCH(",",Y76&amp;",",SEARCH("""regularMarketPrice"":",Y76)+21)-SEARCH("""regularMarketPrice"":",Y76)-21),".",","),""))</f>
        <v/>
      </c>
      <c r="AA76" s="85" t="str">
        <f>IF(A76="","",ROUND(MAX(0,N(F76)*($K$6+$W$7)-K76),2))</f>
        <v/>
      </c>
      <c r="AB76" s="85" t="str">
        <f>IF(A76="","",IF(AND(M76&gt;0,M76&gt;=p_DifMin),AA76,0))</f>
        <v/>
      </c>
      <c r="AC76" s="85" t="str">
        <f>IF(A76="","",IF(AND(AB76&gt;0,N(O76)&lt;=p_MaxAtivos),AB76,0))</f>
        <v/>
      </c>
      <c r="AD76" s="85" t="str">
        <f>IF(A76="","",IF(OR(Q76&lt;=0,Q76&lt;p_CompraMin,N(H76)&lt;=0,N(W76)&lt;=0),0,IF($W$3="Sim",TRUNC(ROUND(MAX(0,(Q76-p_CorrFixa)/(H76*W76*$W$6)),9),$W$4),TRUNC(ROUND(MAX(0,(Q76-p_CorrFixa)/(H76*W76*$W$6)),9)/$W$5)*$W$5)))</f>
        <v/>
      </c>
      <c r="AE76" s="85" t="str">
        <f>IF(A76="","",IF(N(AD76)&gt;0,AD76*H76*W76*$W$6+p_CorrFixa,0))</f>
        <v/>
      </c>
      <c r="AF76" s="85" t="str">
        <f>IF(A76="","",IF(OR($Y$1&lt;=0,N(H76)&lt;=0,N(W76)&lt;=0,N(AB76)&lt;=0),0,IF($W$3="Sim",TRUNC(ROUND(MAX(0,($Y$1-IF(N(AD76)&gt;0,0,p_CorrFixa))/(H76*W76*$W$6)),9),$W$4),TRUNC(ROUND(MAX(0,($Y$1-IF(N(AD76)&gt;0,0,p_CorrFixa))/(H76*W76*$W$6)),9)/$W$5)*$W$5)))</f>
        <v/>
      </c>
      <c r="AG76" s="85" t="str">
        <f>IF(A76="","",IF(AND(N(AD76)=0,N(AF76)*(H76*W76*$W$6)+p_CorrFixa&lt;p_CompraMin),0,AF76))</f>
        <v/>
      </c>
      <c r="AH76" s="85" t="str">
        <f>IF(A76="","",IF(N(AG76)&gt;0,AB76,0))</f>
        <v/>
      </c>
      <c r="AI76" s="85" t="str">
        <f>IF(A76="","",IF(AND(AH76&gt;0,AH76=$AH$6,COUNTIF($AH$9:AH76,AH76)=1),1,0))</f>
        <v/>
      </c>
    </row>
    <row r="77">
      <c r="A77" s="96" t="n"/>
      <c r="B77" s="96" t="n"/>
      <c r="C77" s="96" t="n"/>
      <c r="D77" s="97" t="n"/>
      <c r="E77" s="98" t="n"/>
      <c r="F77" s="99" t="n"/>
      <c r="G77" s="100" t="n"/>
      <c r="H77" s="101" t="str">
        <f>IF(A77="","",IF(AND(p_ModoCot="Automático",ISNUMBER(Z77)),Z77,IF(N(G77)&gt;0,G77,0)))</f>
        <v/>
      </c>
      <c r="I77" s="73" t="str">
        <f>IF(A77="","",IF(W77=0,"Sem câmbio",IF(AND(p_ModoCot="Automático",ISNUMBER(Z77)),"Auto",IF(N(G77)&gt;0,"Manual","Sem cotação"))))</f>
        <v/>
      </c>
      <c r="J77" s="102" t="str">
        <f>IF(A77="","",N(E77)*H77)</f>
        <v/>
      </c>
      <c r="K77" s="70" t="str">
        <f>IF(A77="","",J77*W77)</f>
        <v/>
      </c>
      <c r="L77" s="30" t="str">
        <f>IF(A77="","",IF($K$6&gt;0,K77/$K$6,0))</f>
        <v/>
      </c>
      <c r="M77" s="72" t="str">
        <f>IF(A77="","",N(F77)-L77)</f>
        <v/>
      </c>
      <c r="N77" s="30" t="str">
        <f>IF(A77="","",IF($AB$6&gt;0,AB77/$AB$6,0))</f>
        <v/>
      </c>
      <c r="O77" s="74" t="str">
        <f>IF(A77="","",IF(AB77&lt;=0,"",COUNTIF($AB$9:$AB$208,"&gt;"&amp;AB77)+COUNTIF($AB$9:AB77,AB77)))</f>
        <v/>
      </c>
      <c r="P77" s="73" t="str">
        <f>IF(A77="","",IF(Q77&gt;0,"BUY","HOLD"))</f>
        <v/>
      </c>
      <c r="Q77" s="70" t="str">
        <f>IF(A77="","",IF($W$7&lt;=0,0,IF($AC$6&gt;0,$W$7*AC77/$AC$6,IF($F$6&gt;0,$W$7*N(F77)/$F$6,0))))</f>
        <v/>
      </c>
      <c r="R77" s="103" t="str">
        <f>IF(A77="","",N(AD77)+IF(AI77=1,N(AG77),0))</f>
        <v/>
      </c>
      <c r="S77" s="103" t="str">
        <f>IF(A77="","",N(E77)+N(R77))</f>
        <v/>
      </c>
      <c r="T77" s="70" t="str">
        <f>IF(A77="","",IF(N(R77)&gt;0,R77*H77*W77*$W$6+p_CorrFixa,0))</f>
        <v/>
      </c>
      <c r="V77" s="85" t="str">
        <f>IF(A77="","",IF(D77="",$W$1,D77))</f>
        <v/>
      </c>
      <c r="W77" s="85" t="str">
        <f>IF(A77="","",IFERROR(INDEX(moeda_fx,MATCH(V77,moeda_cod,0)),0))</f>
        <v/>
      </c>
      <c r="X77" s="85" t="str">
        <f>IF(A77="","",IF($W$2="",UPPER(TRIM(A77)),IF(RIGHT(UPPER(TRIM(A77)),LEN($W$2))=$W$2,UPPER(TRIM(A77)),UPPER(TRIM(A77))&amp;$W$2)))</f>
        <v/>
      </c>
      <c r="Y77" s="85" t="str">
        <f>IF(OR(A77="",p_ModoCot&lt;&gt;"Automático"),"",IFERROR(_xlfn.WEBSERVICE("https://query1.finance.yahoo.com/v8/finance/chart/"&amp;X77&amp;"?range=1d&amp;interval=1d"),""))</f>
        <v/>
      </c>
      <c r="Z77" s="85" t="str">
        <f>IF(Y77="","",IFERROR(_xlfn.NUMBERVALUE(MID(Y77,SEARCH("""regularMarketPrice"":",Y77)+21,SEARCH(",",Y77&amp;",",SEARCH("""regularMarketPrice"":",Y77)+21)-SEARCH("""regularMarketPrice"":",Y77)-21),".",","),""))</f>
        <v/>
      </c>
      <c r="AA77" s="85" t="str">
        <f>IF(A77="","",ROUND(MAX(0,N(F77)*($K$6+$W$7)-K77),2))</f>
        <v/>
      </c>
      <c r="AB77" s="85" t="str">
        <f>IF(A77="","",IF(AND(M77&gt;0,M77&gt;=p_DifMin),AA77,0))</f>
        <v/>
      </c>
      <c r="AC77" s="85" t="str">
        <f>IF(A77="","",IF(AND(AB77&gt;0,N(O77)&lt;=p_MaxAtivos),AB77,0))</f>
        <v/>
      </c>
      <c r="AD77" s="85" t="str">
        <f>IF(A77="","",IF(OR(Q77&lt;=0,Q77&lt;p_CompraMin,N(H77)&lt;=0,N(W77)&lt;=0),0,IF($W$3="Sim",TRUNC(ROUND(MAX(0,(Q77-p_CorrFixa)/(H77*W77*$W$6)),9),$W$4),TRUNC(ROUND(MAX(0,(Q77-p_CorrFixa)/(H77*W77*$W$6)),9)/$W$5)*$W$5)))</f>
        <v/>
      </c>
      <c r="AE77" s="85" t="str">
        <f>IF(A77="","",IF(N(AD77)&gt;0,AD77*H77*W77*$W$6+p_CorrFixa,0))</f>
        <v/>
      </c>
      <c r="AF77" s="85" t="str">
        <f>IF(A77="","",IF(OR($Y$1&lt;=0,N(H77)&lt;=0,N(W77)&lt;=0,N(AB77)&lt;=0),0,IF($W$3="Sim",TRUNC(ROUND(MAX(0,($Y$1-IF(N(AD77)&gt;0,0,p_CorrFixa))/(H77*W77*$W$6)),9),$W$4),TRUNC(ROUND(MAX(0,($Y$1-IF(N(AD77)&gt;0,0,p_CorrFixa))/(H77*W77*$W$6)),9)/$W$5)*$W$5)))</f>
        <v/>
      </c>
      <c r="AG77" s="85" t="str">
        <f>IF(A77="","",IF(AND(N(AD77)=0,N(AF77)*(H77*W77*$W$6)+p_CorrFixa&lt;p_CompraMin),0,AF77))</f>
        <v/>
      </c>
      <c r="AH77" s="85" t="str">
        <f>IF(A77="","",IF(N(AG77)&gt;0,AB77,0))</f>
        <v/>
      </c>
      <c r="AI77" s="85" t="str">
        <f>IF(A77="","",IF(AND(AH77&gt;0,AH77=$AH$6,COUNTIF($AH$9:AH77,AH77)=1),1,0))</f>
        <v/>
      </c>
    </row>
    <row r="78">
      <c r="A78" s="96" t="n"/>
      <c r="B78" s="96" t="n"/>
      <c r="C78" s="96" t="n"/>
      <c r="D78" s="97" t="n"/>
      <c r="E78" s="98" t="n"/>
      <c r="F78" s="99" t="n"/>
      <c r="G78" s="100" t="n"/>
      <c r="H78" s="104" t="str">
        <f>IF(A78="","",IF(AND(p_ModoCot="Automático",ISNUMBER(Z78)),Z78,IF(N(G78)&gt;0,G78,0)))</f>
        <v/>
      </c>
      <c r="I78" s="105" t="str">
        <f>IF(A78="","",IF(W78=0,"Sem câmbio",IF(AND(p_ModoCot="Automático",ISNUMBER(Z78)),"Auto",IF(N(G78)&gt;0,"Manual","Sem cotação"))))</f>
        <v/>
      </c>
      <c r="J78" s="106" t="str">
        <f>IF(A78="","",N(E78)*H78)</f>
        <v/>
      </c>
      <c r="K78" s="107" t="str">
        <f>IF(A78="","",J78*W78)</f>
        <v/>
      </c>
      <c r="L78" s="108" t="str">
        <f>IF(A78="","",IF($K$6&gt;0,K78/$K$6,0))</f>
        <v/>
      </c>
      <c r="M78" s="109" t="str">
        <f>IF(A78="","",N(F78)-L78)</f>
        <v/>
      </c>
      <c r="N78" s="108" t="str">
        <f>IF(A78="","",IF($AB$6&gt;0,AB78/$AB$6,0))</f>
        <v/>
      </c>
      <c r="O78" s="110" t="str">
        <f>IF(A78="","",IF(AB78&lt;=0,"",COUNTIF($AB$9:$AB$208,"&gt;"&amp;AB78)+COUNTIF($AB$9:AB78,AB78)))</f>
        <v/>
      </c>
      <c r="P78" s="105" t="str">
        <f>IF(A78="","",IF(Q78&gt;0,"BUY","HOLD"))</f>
        <v/>
      </c>
      <c r="Q78" s="107" t="str">
        <f>IF(A78="","",IF($W$7&lt;=0,0,IF($AC$6&gt;0,$W$7*AC78/$AC$6,IF($F$6&gt;0,$W$7*N(F78)/$F$6,0))))</f>
        <v/>
      </c>
      <c r="R78" s="111" t="str">
        <f>IF(A78="","",N(AD78)+IF(AI78=1,N(AG78),0))</f>
        <v/>
      </c>
      <c r="S78" s="111" t="str">
        <f>IF(A78="","",N(E78)+N(R78))</f>
        <v/>
      </c>
      <c r="T78" s="107" t="str">
        <f>IF(A78="","",IF(N(R78)&gt;0,R78*H78*W78*$W$6+p_CorrFixa,0))</f>
        <v/>
      </c>
      <c r="V78" s="85" t="str">
        <f>IF(A78="","",IF(D78="",$W$1,D78))</f>
        <v/>
      </c>
      <c r="W78" s="85" t="str">
        <f>IF(A78="","",IFERROR(INDEX(moeda_fx,MATCH(V78,moeda_cod,0)),0))</f>
        <v/>
      </c>
      <c r="X78" s="85" t="str">
        <f>IF(A78="","",IF($W$2="",UPPER(TRIM(A78)),IF(RIGHT(UPPER(TRIM(A78)),LEN($W$2))=$W$2,UPPER(TRIM(A78)),UPPER(TRIM(A78))&amp;$W$2)))</f>
        <v/>
      </c>
      <c r="Y78" s="85" t="str">
        <f>IF(OR(A78="",p_ModoCot&lt;&gt;"Automático"),"",IFERROR(_xlfn.WEBSERVICE("https://query1.finance.yahoo.com/v8/finance/chart/"&amp;X78&amp;"?range=1d&amp;interval=1d"),""))</f>
        <v/>
      </c>
      <c r="Z78" s="85" t="str">
        <f>IF(Y78="","",IFERROR(_xlfn.NUMBERVALUE(MID(Y78,SEARCH("""regularMarketPrice"":",Y78)+21,SEARCH(",",Y78&amp;",",SEARCH("""regularMarketPrice"":",Y78)+21)-SEARCH("""regularMarketPrice"":",Y78)-21),".",","),""))</f>
        <v/>
      </c>
      <c r="AA78" s="85" t="str">
        <f>IF(A78="","",ROUND(MAX(0,N(F78)*($K$6+$W$7)-K78),2))</f>
        <v/>
      </c>
      <c r="AB78" s="85" t="str">
        <f>IF(A78="","",IF(AND(M78&gt;0,M78&gt;=p_DifMin),AA78,0))</f>
        <v/>
      </c>
      <c r="AC78" s="85" t="str">
        <f>IF(A78="","",IF(AND(AB78&gt;0,N(O78)&lt;=p_MaxAtivos),AB78,0))</f>
        <v/>
      </c>
      <c r="AD78" s="85" t="str">
        <f>IF(A78="","",IF(OR(Q78&lt;=0,Q78&lt;p_CompraMin,N(H78)&lt;=0,N(W78)&lt;=0),0,IF($W$3="Sim",TRUNC(ROUND(MAX(0,(Q78-p_CorrFixa)/(H78*W78*$W$6)),9),$W$4),TRUNC(ROUND(MAX(0,(Q78-p_CorrFixa)/(H78*W78*$W$6)),9)/$W$5)*$W$5)))</f>
        <v/>
      </c>
      <c r="AE78" s="85" t="str">
        <f>IF(A78="","",IF(N(AD78)&gt;0,AD78*H78*W78*$W$6+p_CorrFixa,0))</f>
        <v/>
      </c>
      <c r="AF78" s="85" t="str">
        <f>IF(A78="","",IF(OR($Y$1&lt;=0,N(H78)&lt;=0,N(W78)&lt;=0,N(AB78)&lt;=0),0,IF($W$3="Sim",TRUNC(ROUND(MAX(0,($Y$1-IF(N(AD78)&gt;0,0,p_CorrFixa))/(H78*W78*$W$6)),9),$W$4),TRUNC(ROUND(MAX(0,($Y$1-IF(N(AD78)&gt;0,0,p_CorrFixa))/(H78*W78*$W$6)),9)/$W$5)*$W$5)))</f>
        <v/>
      </c>
      <c r="AG78" s="85" t="str">
        <f>IF(A78="","",IF(AND(N(AD78)=0,N(AF78)*(H78*W78*$W$6)+p_CorrFixa&lt;p_CompraMin),0,AF78))</f>
        <v/>
      </c>
      <c r="AH78" s="85" t="str">
        <f>IF(A78="","",IF(N(AG78)&gt;0,AB78,0))</f>
        <v/>
      </c>
      <c r="AI78" s="85" t="str">
        <f>IF(A78="","",IF(AND(AH78&gt;0,AH78=$AH$6,COUNTIF($AH$9:AH78,AH78)=1),1,0))</f>
        <v/>
      </c>
    </row>
    <row r="79">
      <c r="A79" s="96" t="n"/>
      <c r="B79" s="96" t="n"/>
      <c r="C79" s="96" t="n"/>
      <c r="D79" s="97" t="n"/>
      <c r="E79" s="98" t="n"/>
      <c r="F79" s="99" t="n"/>
      <c r="G79" s="100" t="n"/>
      <c r="H79" s="101" t="str">
        <f>IF(A79="","",IF(AND(p_ModoCot="Automático",ISNUMBER(Z79)),Z79,IF(N(G79)&gt;0,G79,0)))</f>
        <v/>
      </c>
      <c r="I79" s="73" t="str">
        <f>IF(A79="","",IF(W79=0,"Sem câmbio",IF(AND(p_ModoCot="Automático",ISNUMBER(Z79)),"Auto",IF(N(G79)&gt;0,"Manual","Sem cotação"))))</f>
        <v/>
      </c>
      <c r="J79" s="102" t="str">
        <f>IF(A79="","",N(E79)*H79)</f>
        <v/>
      </c>
      <c r="K79" s="70" t="str">
        <f>IF(A79="","",J79*W79)</f>
        <v/>
      </c>
      <c r="L79" s="30" t="str">
        <f>IF(A79="","",IF($K$6&gt;0,K79/$K$6,0))</f>
        <v/>
      </c>
      <c r="M79" s="72" t="str">
        <f>IF(A79="","",N(F79)-L79)</f>
        <v/>
      </c>
      <c r="N79" s="30" t="str">
        <f>IF(A79="","",IF($AB$6&gt;0,AB79/$AB$6,0))</f>
        <v/>
      </c>
      <c r="O79" s="74" t="str">
        <f>IF(A79="","",IF(AB79&lt;=0,"",COUNTIF($AB$9:$AB$208,"&gt;"&amp;AB79)+COUNTIF($AB$9:AB79,AB79)))</f>
        <v/>
      </c>
      <c r="P79" s="73" t="str">
        <f>IF(A79="","",IF(Q79&gt;0,"BUY","HOLD"))</f>
        <v/>
      </c>
      <c r="Q79" s="70" t="str">
        <f>IF(A79="","",IF($W$7&lt;=0,0,IF($AC$6&gt;0,$W$7*AC79/$AC$6,IF($F$6&gt;0,$W$7*N(F79)/$F$6,0))))</f>
        <v/>
      </c>
      <c r="R79" s="103" t="str">
        <f>IF(A79="","",N(AD79)+IF(AI79=1,N(AG79),0))</f>
        <v/>
      </c>
      <c r="S79" s="103" t="str">
        <f>IF(A79="","",N(E79)+N(R79))</f>
        <v/>
      </c>
      <c r="T79" s="70" t="str">
        <f>IF(A79="","",IF(N(R79)&gt;0,R79*H79*W79*$W$6+p_CorrFixa,0))</f>
        <v/>
      </c>
      <c r="V79" s="85" t="str">
        <f>IF(A79="","",IF(D79="",$W$1,D79))</f>
        <v/>
      </c>
      <c r="W79" s="85" t="str">
        <f>IF(A79="","",IFERROR(INDEX(moeda_fx,MATCH(V79,moeda_cod,0)),0))</f>
        <v/>
      </c>
      <c r="X79" s="85" t="str">
        <f>IF(A79="","",IF($W$2="",UPPER(TRIM(A79)),IF(RIGHT(UPPER(TRIM(A79)),LEN($W$2))=$W$2,UPPER(TRIM(A79)),UPPER(TRIM(A79))&amp;$W$2)))</f>
        <v/>
      </c>
      <c r="Y79" s="85" t="str">
        <f>IF(OR(A79="",p_ModoCot&lt;&gt;"Automático"),"",IFERROR(_xlfn.WEBSERVICE("https://query1.finance.yahoo.com/v8/finance/chart/"&amp;X79&amp;"?range=1d&amp;interval=1d"),""))</f>
        <v/>
      </c>
      <c r="Z79" s="85" t="str">
        <f>IF(Y79="","",IFERROR(_xlfn.NUMBERVALUE(MID(Y79,SEARCH("""regularMarketPrice"":",Y79)+21,SEARCH(",",Y79&amp;",",SEARCH("""regularMarketPrice"":",Y79)+21)-SEARCH("""regularMarketPrice"":",Y79)-21),".",","),""))</f>
        <v/>
      </c>
      <c r="AA79" s="85" t="str">
        <f>IF(A79="","",ROUND(MAX(0,N(F79)*($K$6+$W$7)-K79),2))</f>
        <v/>
      </c>
      <c r="AB79" s="85" t="str">
        <f>IF(A79="","",IF(AND(M79&gt;0,M79&gt;=p_DifMin),AA79,0))</f>
        <v/>
      </c>
      <c r="AC79" s="85" t="str">
        <f>IF(A79="","",IF(AND(AB79&gt;0,N(O79)&lt;=p_MaxAtivos),AB79,0))</f>
        <v/>
      </c>
      <c r="AD79" s="85" t="str">
        <f>IF(A79="","",IF(OR(Q79&lt;=0,Q79&lt;p_CompraMin,N(H79)&lt;=0,N(W79)&lt;=0),0,IF($W$3="Sim",TRUNC(ROUND(MAX(0,(Q79-p_CorrFixa)/(H79*W79*$W$6)),9),$W$4),TRUNC(ROUND(MAX(0,(Q79-p_CorrFixa)/(H79*W79*$W$6)),9)/$W$5)*$W$5)))</f>
        <v/>
      </c>
      <c r="AE79" s="85" t="str">
        <f>IF(A79="","",IF(N(AD79)&gt;0,AD79*H79*W79*$W$6+p_CorrFixa,0))</f>
        <v/>
      </c>
      <c r="AF79" s="85" t="str">
        <f>IF(A79="","",IF(OR($Y$1&lt;=0,N(H79)&lt;=0,N(W79)&lt;=0,N(AB79)&lt;=0),0,IF($W$3="Sim",TRUNC(ROUND(MAX(0,($Y$1-IF(N(AD79)&gt;0,0,p_CorrFixa))/(H79*W79*$W$6)),9),$W$4),TRUNC(ROUND(MAX(0,($Y$1-IF(N(AD79)&gt;0,0,p_CorrFixa))/(H79*W79*$W$6)),9)/$W$5)*$W$5)))</f>
        <v/>
      </c>
      <c r="AG79" s="85" t="str">
        <f>IF(A79="","",IF(AND(N(AD79)=0,N(AF79)*(H79*W79*$W$6)+p_CorrFixa&lt;p_CompraMin),0,AF79))</f>
        <v/>
      </c>
      <c r="AH79" s="85" t="str">
        <f>IF(A79="","",IF(N(AG79)&gt;0,AB79,0))</f>
        <v/>
      </c>
      <c r="AI79" s="85" t="str">
        <f>IF(A79="","",IF(AND(AH79&gt;0,AH79=$AH$6,COUNTIF($AH$9:AH79,AH79)=1),1,0))</f>
        <v/>
      </c>
    </row>
    <row r="80">
      <c r="A80" s="96" t="n"/>
      <c r="B80" s="96" t="n"/>
      <c r="C80" s="96" t="n"/>
      <c r="D80" s="97" t="n"/>
      <c r="E80" s="98" t="n"/>
      <c r="F80" s="99" t="n"/>
      <c r="G80" s="100" t="n"/>
      <c r="H80" s="104" t="str">
        <f>IF(A80="","",IF(AND(p_ModoCot="Automático",ISNUMBER(Z80)),Z80,IF(N(G80)&gt;0,G80,0)))</f>
        <v/>
      </c>
      <c r="I80" s="105" t="str">
        <f>IF(A80="","",IF(W80=0,"Sem câmbio",IF(AND(p_ModoCot="Automático",ISNUMBER(Z80)),"Auto",IF(N(G80)&gt;0,"Manual","Sem cotação"))))</f>
        <v/>
      </c>
      <c r="J80" s="106" t="str">
        <f>IF(A80="","",N(E80)*H80)</f>
        <v/>
      </c>
      <c r="K80" s="107" t="str">
        <f>IF(A80="","",J80*W80)</f>
        <v/>
      </c>
      <c r="L80" s="108" t="str">
        <f>IF(A80="","",IF($K$6&gt;0,K80/$K$6,0))</f>
        <v/>
      </c>
      <c r="M80" s="109" t="str">
        <f>IF(A80="","",N(F80)-L80)</f>
        <v/>
      </c>
      <c r="N80" s="108" t="str">
        <f>IF(A80="","",IF($AB$6&gt;0,AB80/$AB$6,0))</f>
        <v/>
      </c>
      <c r="O80" s="110" t="str">
        <f>IF(A80="","",IF(AB80&lt;=0,"",COUNTIF($AB$9:$AB$208,"&gt;"&amp;AB80)+COUNTIF($AB$9:AB80,AB80)))</f>
        <v/>
      </c>
      <c r="P80" s="105" t="str">
        <f>IF(A80="","",IF(Q80&gt;0,"BUY","HOLD"))</f>
        <v/>
      </c>
      <c r="Q80" s="107" t="str">
        <f>IF(A80="","",IF($W$7&lt;=0,0,IF($AC$6&gt;0,$W$7*AC80/$AC$6,IF($F$6&gt;0,$W$7*N(F80)/$F$6,0))))</f>
        <v/>
      </c>
      <c r="R80" s="111" t="str">
        <f>IF(A80="","",N(AD80)+IF(AI80=1,N(AG80),0))</f>
        <v/>
      </c>
      <c r="S80" s="111" t="str">
        <f>IF(A80="","",N(E80)+N(R80))</f>
        <v/>
      </c>
      <c r="T80" s="107" t="str">
        <f>IF(A80="","",IF(N(R80)&gt;0,R80*H80*W80*$W$6+p_CorrFixa,0))</f>
        <v/>
      </c>
      <c r="V80" s="85" t="str">
        <f>IF(A80="","",IF(D80="",$W$1,D80))</f>
        <v/>
      </c>
      <c r="W80" s="85" t="str">
        <f>IF(A80="","",IFERROR(INDEX(moeda_fx,MATCH(V80,moeda_cod,0)),0))</f>
        <v/>
      </c>
      <c r="X80" s="85" t="str">
        <f>IF(A80="","",IF($W$2="",UPPER(TRIM(A80)),IF(RIGHT(UPPER(TRIM(A80)),LEN($W$2))=$W$2,UPPER(TRIM(A80)),UPPER(TRIM(A80))&amp;$W$2)))</f>
        <v/>
      </c>
      <c r="Y80" s="85" t="str">
        <f>IF(OR(A80="",p_ModoCot&lt;&gt;"Automático"),"",IFERROR(_xlfn.WEBSERVICE("https://query1.finance.yahoo.com/v8/finance/chart/"&amp;X80&amp;"?range=1d&amp;interval=1d"),""))</f>
        <v/>
      </c>
      <c r="Z80" s="85" t="str">
        <f>IF(Y80="","",IFERROR(_xlfn.NUMBERVALUE(MID(Y80,SEARCH("""regularMarketPrice"":",Y80)+21,SEARCH(",",Y80&amp;",",SEARCH("""regularMarketPrice"":",Y80)+21)-SEARCH("""regularMarketPrice"":",Y80)-21),".",","),""))</f>
        <v/>
      </c>
      <c r="AA80" s="85" t="str">
        <f>IF(A80="","",ROUND(MAX(0,N(F80)*($K$6+$W$7)-K80),2))</f>
        <v/>
      </c>
      <c r="AB80" s="85" t="str">
        <f>IF(A80="","",IF(AND(M80&gt;0,M80&gt;=p_DifMin),AA80,0))</f>
        <v/>
      </c>
      <c r="AC80" s="85" t="str">
        <f>IF(A80="","",IF(AND(AB80&gt;0,N(O80)&lt;=p_MaxAtivos),AB80,0))</f>
        <v/>
      </c>
      <c r="AD80" s="85" t="str">
        <f>IF(A80="","",IF(OR(Q80&lt;=0,Q80&lt;p_CompraMin,N(H80)&lt;=0,N(W80)&lt;=0),0,IF($W$3="Sim",TRUNC(ROUND(MAX(0,(Q80-p_CorrFixa)/(H80*W80*$W$6)),9),$W$4),TRUNC(ROUND(MAX(0,(Q80-p_CorrFixa)/(H80*W80*$W$6)),9)/$W$5)*$W$5)))</f>
        <v/>
      </c>
      <c r="AE80" s="85" t="str">
        <f>IF(A80="","",IF(N(AD80)&gt;0,AD80*H80*W80*$W$6+p_CorrFixa,0))</f>
        <v/>
      </c>
      <c r="AF80" s="85" t="str">
        <f>IF(A80="","",IF(OR($Y$1&lt;=0,N(H80)&lt;=0,N(W80)&lt;=0,N(AB80)&lt;=0),0,IF($W$3="Sim",TRUNC(ROUND(MAX(0,($Y$1-IF(N(AD80)&gt;0,0,p_CorrFixa))/(H80*W80*$W$6)),9),$W$4),TRUNC(ROUND(MAX(0,($Y$1-IF(N(AD80)&gt;0,0,p_CorrFixa))/(H80*W80*$W$6)),9)/$W$5)*$W$5)))</f>
        <v/>
      </c>
      <c r="AG80" s="85" t="str">
        <f>IF(A80="","",IF(AND(N(AD80)=0,N(AF80)*(H80*W80*$W$6)+p_CorrFixa&lt;p_CompraMin),0,AF80))</f>
        <v/>
      </c>
      <c r="AH80" s="85" t="str">
        <f>IF(A80="","",IF(N(AG80)&gt;0,AB80,0))</f>
        <v/>
      </c>
      <c r="AI80" s="85" t="str">
        <f>IF(A80="","",IF(AND(AH80&gt;0,AH80=$AH$6,COUNTIF($AH$9:AH80,AH80)=1),1,0))</f>
        <v/>
      </c>
    </row>
    <row r="81">
      <c r="A81" s="96" t="n"/>
      <c r="B81" s="96" t="n"/>
      <c r="C81" s="96" t="n"/>
      <c r="D81" s="97" t="n"/>
      <c r="E81" s="98" t="n"/>
      <c r="F81" s="99" t="n"/>
      <c r="G81" s="100" t="n"/>
      <c r="H81" s="101" t="str">
        <f>IF(A81="","",IF(AND(p_ModoCot="Automático",ISNUMBER(Z81)),Z81,IF(N(G81)&gt;0,G81,0)))</f>
        <v/>
      </c>
      <c r="I81" s="73" t="str">
        <f>IF(A81="","",IF(W81=0,"Sem câmbio",IF(AND(p_ModoCot="Automático",ISNUMBER(Z81)),"Auto",IF(N(G81)&gt;0,"Manual","Sem cotação"))))</f>
        <v/>
      </c>
      <c r="J81" s="102" t="str">
        <f>IF(A81="","",N(E81)*H81)</f>
        <v/>
      </c>
      <c r="K81" s="70" t="str">
        <f>IF(A81="","",J81*W81)</f>
        <v/>
      </c>
      <c r="L81" s="30" t="str">
        <f>IF(A81="","",IF($K$6&gt;0,K81/$K$6,0))</f>
        <v/>
      </c>
      <c r="M81" s="72" t="str">
        <f>IF(A81="","",N(F81)-L81)</f>
        <v/>
      </c>
      <c r="N81" s="30" t="str">
        <f>IF(A81="","",IF($AB$6&gt;0,AB81/$AB$6,0))</f>
        <v/>
      </c>
      <c r="O81" s="74" t="str">
        <f>IF(A81="","",IF(AB81&lt;=0,"",COUNTIF($AB$9:$AB$208,"&gt;"&amp;AB81)+COUNTIF($AB$9:AB81,AB81)))</f>
        <v/>
      </c>
      <c r="P81" s="73" t="str">
        <f>IF(A81="","",IF(Q81&gt;0,"BUY","HOLD"))</f>
        <v/>
      </c>
      <c r="Q81" s="70" t="str">
        <f>IF(A81="","",IF($W$7&lt;=0,0,IF($AC$6&gt;0,$W$7*AC81/$AC$6,IF($F$6&gt;0,$W$7*N(F81)/$F$6,0))))</f>
        <v/>
      </c>
      <c r="R81" s="103" t="str">
        <f>IF(A81="","",N(AD81)+IF(AI81=1,N(AG81),0))</f>
        <v/>
      </c>
      <c r="S81" s="103" t="str">
        <f>IF(A81="","",N(E81)+N(R81))</f>
        <v/>
      </c>
      <c r="T81" s="70" t="str">
        <f>IF(A81="","",IF(N(R81)&gt;0,R81*H81*W81*$W$6+p_CorrFixa,0))</f>
        <v/>
      </c>
      <c r="V81" s="85" t="str">
        <f>IF(A81="","",IF(D81="",$W$1,D81))</f>
        <v/>
      </c>
      <c r="W81" s="85" t="str">
        <f>IF(A81="","",IFERROR(INDEX(moeda_fx,MATCH(V81,moeda_cod,0)),0))</f>
        <v/>
      </c>
      <c r="X81" s="85" t="str">
        <f>IF(A81="","",IF($W$2="",UPPER(TRIM(A81)),IF(RIGHT(UPPER(TRIM(A81)),LEN($W$2))=$W$2,UPPER(TRIM(A81)),UPPER(TRIM(A81))&amp;$W$2)))</f>
        <v/>
      </c>
      <c r="Y81" s="85" t="str">
        <f>IF(OR(A81="",p_ModoCot&lt;&gt;"Automático"),"",IFERROR(_xlfn.WEBSERVICE("https://query1.finance.yahoo.com/v8/finance/chart/"&amp;X81&amp;"?range=1d&amp;interval=1d"),""))</f>
        <v/>
      </c>
      <c r="Z81" s="85" t="str">
        <f>IF(Y81="","",IFERROR(_xlfn.NUMBERVALUE(MID(Y81,SEARCH("""regularMarketPrice"":",Y81)+21,SEARCH(",",Y81&amp;",",SEARCH("""regularMarketPrice"":",Y81)+21)-SEARCH("""regularMarketPrice"":",Y81)-21),".",","),""))</f>
        <v/>
      </c>
      <c r="AA81" s="85" t="str">
        <f>IF(A81="","",ROUND(MAX(0,N(F81)*($K$6+$W$7)-K81),2))</f>
        <v/>
      </c>
      <c r="AB81" s="85" t="str">
        <f>IF(A81="","",IF(AND(M81&gt;0,M81&gt;=p_DifMin),AA81,0))</f>
        <v/>
      </c>
      <c r="AC81" s="85" t="str">
        <f>IF(A81="","",IF(AND(AB81&gt;0,N(O81)&lt;=p_MaxAtivos),AB81,0))</f>
        <v/>
      </c>
      <c r="AD81" s="85" t="str">
        <f>IF(A81="","",IF(OR(Q81&lt;=0,Q81&lt;p_CompraMin,N(H81)&lt;=0,N(W81)&lt;=0),0,IF($W$3="Sim",TRUNC(ROUND(MAX(0,(Q81-p_CorrFixa)/(H81*W81*$W$6)),9),$W$4),TRUNC(ROUND(MAX(0,(Q81-p_CorrFixa)/(H81*W81*$W$6)),9)/$W$5)*$W$5)))</f>
        <v/>
      </c>
      <c r="AE81" s="85" t="str">
        <f>IF(A81="","",IF(N(AD81)&gt;0,AD81*H81*W81*$W$6+p_CorrFixa,0))</f>
        <v/>
      </c>
      <c r="AF81" s="85" t="str">
        <f>IF(A81="","",IF(OR($Y$1&lt;=0,N(H81)&lt;=0,N(W81)&lt;=0,N(AB81)&lt;=0),0,IF($W$3="Sim",TRUNC(ROUND(MAX(0,($Y$1-IF(N(AD81)&gt;0,0,p_CorrFixa))/(H81*W81*$W$6)),9),$W$4),TRUNC(ROUND(MAX(0,($Y$1-IF(N(AD81)&gt;0,0,p_CorrFixa))/(H81*W81*$W$6)),9)/$W$5)*$W$5)))</f>
        <v/>
      </c>
      <c r="AG81" s="85" t="str">
        <f>IF(A81="","",IF(AND(N(AD81)=0,N(AF81)*(H81*W81*$W$6)+p_CorrFixa&lt;p_CompraMin),0,AF81))</f>
        <v/>
      </c>
      <c r="AH81" s="85" t="str">
        <f>IF(A81="","",IF(N(AG81)&gt;0,AB81,0))</f>
        <v/>
      </c>
      <c r="AI81" s="85" t="str">
        <f>IF(A81="","",IF(AND(AH81&gt;0,AH81=$AH$6,COUNTIF($AH$9:AH81,AH81)=1),1,0))</f>
        <v/>
      </c>
    </row>
    <row r="82">
      <c r="A82" s="96" t="n"/>
      <c r="B82" s="96" t="n"/>
      <c r="C82" s="96" t="n"/>
      <c r="D82" s="97" t="n"/>
      <c r="E82" s="98" t="n"/>
      <c r="F82" s="99" t="n"/>
      <c r="G82" s="100" t="n"/>
      <c r="H82" s="104" t="str">
        <f>IF(A82="","",IF(AND(p_ModoCot="Automático",ISNUMBER(Z82)),Z82,IF(N(G82)&gt;0,G82,0)))</f>
        <v/>
      </c>
      <c r="I82" s="105" t="str">
        <f>IF(A82="","",IF(W82=0,"Sem câmbio",IF(AND(p_ModoCot="Automático",ISNUMBER(Z82)),"Auto",IF(N(G82)&gt;0,"Manual","Sem cotação"))))</f>
        <v/>
      </c>
      <c r="J82" s="106" t="str">
        <f>IF(A82="","",N(E82)*H82)</f>
        <v/>
      </c>
      <c r="K82" s="107" t="str">
        <f>IF(A82="","",J82*W82)</f>
        <v/>
      </c>
      <c r="L82" s="108" t="str">
        <f>IF(A82="","",IF($K$6&gt;0,K82/$K$6,0))</f>
        <v/>
      </c>
      <c r="M82" s="109" t="str">
        <f>IF(A82="","",N(F82)-L82)</f>
        <v/>
      </c>
      <c r="N82" s="108" t="str">
        <f>IF(A82="","",IF($AB$6&gt;0,AB82/$AB$6,0))</f>
        <v/>
      </c>
      <c r="O82" s="110" t="str">
        <f>IF(A82="","",IF(AB82&lt;=0,"",COUNTIF($AB$9:$AB$208,"&gt;"&amp;AB82)+COUNTIF($AB$9:AB82,AB82)))</f>
        <v/>
      </c>
      <c r="P82" s="105" t="str">
        <f>IF(A82="","",IF(Q82&gt;0,"BUY","HOLD"))</f>
        <v/>
      </c>
      <c r="Q82" s="107" t="str">
        <f>IF(A82="","",IF($W$7&lt;=0,0,IF($AC$6&gt;0,$W$7*AC82/$AC$6,IF($F$6&gt;0,$W$7*N(F82)/$F$6,0))))</f>
        <v/>
      </c>
      <c r="R82" s="111" t="str">
        <f>IF(A82="","",N(AD82)+IF(AI82=1,N(AG82),0))</f>
        <v/>
      </c>
      <c r="S82" s="111" t="str">
        <f>IF(A82="","",N(E82)+N(R82))</f>
        <v/>
      </c>
      <c r="T82" s="107" t="str">
        <f>IF(A82="","",IF(N(R82)&gt;0,R82*H82*W82*$W$6+p_CorrFixa,0))</f>
        <v/>
      </c>
      <c r="V82" s="85" t="str">
        <f>IF(A82="","",IF(D82="",$W$1,D82))</f>
        <v/>
      </c>
      <c r="W82" s="85" t="str">
        <f>IF(A82="","",IFERROR(INDEX(moeda_fx,MATCH(V82,moeda_cod,0)),0))</f>
        <v/>
      </c>
      <c r="X82" s="85" t="str">
        <f>IF(A82="","",IF($W$2="",UPPER(TRIM(A82)),IF(RIGHT(UPPER(TRIM(A82)),LEN($W$2))=$W$2,UPPER(TRIM(A82)),UPPER(TRIM(A82))&amp;$W$2)))</f>
        <v/>
      </c>
      <c r="Y82" s="85" t="str">
        <f>IF(OR(A82="",p_ModoCot&lt;&gt;"Automático"),"",IFERROR(_xlfn.WEBSERVICE("https://query1.finance.yahoo.com/v8/finance/chart/"&amp;X82&amp;"?range=1d&amp;interval=1d"),""))</f>
        <v/>
      </c>
      <c r="Z82" s="85" t="str">
        <f>IF(Y82="","",IFERROR(_xlfn.NUMBERVALUE(MID(Y82,SEARCH("""regularMarketPrice"":",Y82)+21,SEARCH(",",Y82&amp;",",SEARCH("""regularMarketPrice"":",Y82)+21)-SEARCH("""regularMarketPrice"":",Y82)-21),".",","),""))</f>
        <v/>
      </c>
      <c r="AA82" s="85" t="str">
        <f>IF(A82="","",ROUND(MAX(0,N(F82)*($K$6+$W$7)-K82),2))</f>
        <v/>
      </c>
      <c r="AB82" s="85" t="str">
        <f>IF(A82="","",IF(AND(M82&gt;0,M82&gt;=p_DifMin),AA82,0))</f>
        <v/>
      </c>
      <c r="AC82" s="85" t="str">
        <f>IF(A82="","",IF(AND(AB82&gt;0,N(O82)&lt;=p_MaxAtivos),AB82,0))</f>
        <v/>
      </c>
      <c r="AD82" s="85" t="str">
        <f>IF(A82="","",IF(OR(Q82&lt;=0,Q82&lt;p_CompraMin,N(H82)&lt;=0,N(W82)&lt;=0),0,IF($W$3="Sim",TRUNC(ROUND(MAX(0,(Q82-p_CorrFixa)/(H82*W82*$W$6)),9),$W$4),TRUNC(ROUND(MAX(0,(Q82-p_CorrFixa)/(H82*W82*$W$6)),9)/$W$5)*$W$5)))</f>
        <v/>
      </c>
      <c r="AE82" s="85" t="str">
        <f>IF(A82="","",IF(N(AD82)&gt;0,AD82*H82*W82*$W$6+p_CorrFixa,0))</f>
        <v/>
      </c>
      <c r="AF82" s="85" t="str">
        <f>IF(A82="","",IF(OR($Y$1&lt;=0,N(H82)&lt;=0,N(W82)&lt;=0,N(AB82)&lt;=0),0,IF($W$3="Sim",TRUNC(ROUND(MAX(0,($Y$1-IF(N(AD82)&gt;0,0,p_CorrFixa))/(H82*W82*$W$6)),9),$W$4),TRUNC(ROUND(MAX(0,($Y$1-IF(N(AD82)&gt;0,0,p_CorrFixa))/(H82*W82*$W$6)),9)/$W$5)*$W$5)))</f>
        <v/>
      </c>
      <c r="AG82" s="85" t="str">
        <f>IF(A82="","",IF(AND(N(AD82)=0,N(AF82)*(H82*W82*$W$6)+p_CorrFixa&lt;p_CompraMin),0,AF82))</f>
        <v/>
      </c>
      <c r="AH82" s="85" t="str">
        <f>IF(A82="","",IF(N(AG82)&gt;0,AB82,0))</f>
        <v/>
      </c>
      <c r="AI82" s="85" t="str">
        <f>IF(A82="","",IF(AND(AH82&gt;0,AH82=$AH$6,COUNTIF($AH$9:AH82,AH82)=1),1,0))</f>
        <v/>
      </c>
    </row>
    <row r="83">
      <c r="A83" s="96" t="n"/>
      <c r="B83" s="96" t="n"/>
      <c r="C83" s="96" t="n"/>
      <c r="D83" s="97" t="n"/>
      <c r="E83" s="98" t="n"/>
      <c r="F83" s="99" t="n"/>
      <c r="G83" s="100" t="n"/>
      <c r="H83" s="101" t="str">
        <f>IF(A83="","",IF(AND(p_ModoCot="Automático",ISNUMBER(Z83)),Z83,IF(N(G83)&gt;0,G83,0)))</f>
        <v/>
      </c>
      <c r="I83" s="73" t="str">
        <f>IF(A83="","",IF(W83=0,"Sem câmbio",IF(AND(p_ModoCot="Automático",ISNUMBER(Z83)),"Auto",IF(N(G83)&gt;0,"Manual","Sem cotação"))))</f>
        <v/>
      </c>
      <c r="J83" s="102" t="str">
        <f>IF(A83="","",N(E83)*H83)</f>
        <v/>
      </c>
      <c r="K83" s="70" t="str">
        <f>IF(A83="","",J83*W83)</f>
        <v/>
      </c>
      <c r="L83" s="30" t="str">
        <f>IF(A83="","",IF($K$6&gt;0,K83/$K$6,0))</f>
        <v/>
      </c>
      <c r="M83" s="72" t="str">
        <f>IF(A83="","",N(F83)-L83)</f>
        <v/>
      </c>
      <c r="N83" s="30" t="str">
        <f>IF(A83="","",IF($AB$6&gt;0,AB83/$AB$6,0))</f>
        <v/>
      </c>
      <c r="O83" s="74" t="str">
        <f>IF(A83="","",IF(AB83&lt;=0,"",COUNTIF($AB$9:$AB$208,"&gt;"&amp;AB83)+COUNTIF($AB$9:AB83,AB83)))</f>
        <v/>
      </c>
      <c r="P83" s="73" t="str">
        <f>IF(A83="","",IF(Q83&gt;0,"BUY","HOLD"))</f>
        <v/>
      </c>
      <c r="Q83" s="70" t="str">
        <f>IF(A83="","",IF($W$7&lt;=0,0,IF($AC$6&gt;0,$W$7*AC83/$AC$6,IF($F$6&gt;0,$W$7*N(F83)/$F$6,0))))</f>
        <v/>
      </c>
      <c r="R83" s="103" t="str">
        <f>IF(A83="","",N(AD83)+IF(AI83=1,N(AG83),0))</f>
        <v/>
      </c>
      <c r="S83" s="103" t="str">
        <f>IF(A83="","",N(E83)+N(R83))</f>
        <v/>
      </c>
      <c r="T83" s="70" t="str">
        <f>IF(A83="","",IF(N(R83)&gt;0,R83*H83*W83*$W$6+p_CorrFixa,0))</f>
        <v/>
      </c>
      <c r="V83" s="85" t="str">
        <f>IF(A83="","",IF(D83="",$W$1,D83))</f>
        <v/>
      </c>
      <c r="W83" s="85" t="str">
        <f>IF(A83="","",IFERROR(INDEX(moeda_fx,MATCH(V83,moeda_cod,0)),0))</f>
        <v/>
      </c>
      <c r="X83" s="85" t="str">
        <f>IF(A83="","",IF($W$2="",UPPER(TRIM(A83)),IF(RIGHT(UPPER(TRIM(A83)),LEN($W$2))=$W$2,UPPER(TRIM(A83)),UPPER(TRIM(A83))&amp;$W$2)))</f>
        <v/>
      </c>
      <c r="Y83" s="85" t="str">
        <f>IF(OR(A83="",p_ModoCot&lt;&gt;"Automático"),"",IFERROR(_xlfn.WEBSERVICE("https://query1.finance.yahoo.com/v8/finance/chart/"&amp;X83&amp;"?range=1d&amp;interval=1d"),""))</f>
        <v/>
      </c>
      <c r="Z83" s="85" t="str">
        <f>IF(Y83="","",IFERROR(_xlfn.NUMBERVALUE(MID(Y83,SEARCH("""regularMarketPrice"":",Y83)+21,SEARCH(",",Y83&amp;",",SEARCH("""regularMarketPrice"":",Y83)+21)-SEARCH("""regularMarketPrice"":",Y83)-21),".",","),""))</f>
        <v/>
      </c>
      <c r="AA83" s="85" t="str">
        <f>IF(A83="","",ROUND(MAX(0,N(F83)*($K$6+$W$7)-K83),2))</f>
        <v/>
      </c>
      <c r="AB83" s="85" t="str">
        <f>IF(A83="","",IF(AND(M83&gt;0,M83&gt;=p_DifMin),AA83,0))</f>
        <v/>
      </c>
      <c r="AC83" s="85" t="str">
        <f>IF(A83="","",IF(AND(AB83&gt;0,N(O83)&lt;=p_MaxAtivos),AB83,0))</f>
        <v/>
      </c>
      <c r="AD83" s="85" t="str">
        <f>IF(A83="","",IF(OR(Q83&lt;=0,Q83&lt;p_CompraMin,N(H83)&lt;=0,N(W83)&lt;=0),0,IF($W$3="Sim",TRUNC(ROUND(MAX(0,(Q83-p_CorrFixa)/(H83*W83*$W$6)),9),$W$4),TRUNC(ROUND(MAX(0,(Q83-p_CorrFixa)/(H83*W83*$W$6)),9)/$W$5)*$W$5)))</f>
        <v/>
      </c>
      <c r="AE83" s="85" t="str">
        <f>IF(A83="","",IF(N(AD83)&gt;0,AD83*H83*W83*$W$6+p_CorrFixa,0))</f>
        <v/>
      </c>
      <c r="AF83" s="85" t="str">
        <f>IF(A83="","",IF(OR($Y$1&lt;=0,N(H83)&lt;=0,N(W83)&lt;=0,N(AB83)&lt;=0),0,IF($W$3="Sim",TRUNC(ROUND(MAX(0,($Y$1-IF(N(AD83)&gt;0,0,p_CorrFixa))/(H83*W83*$W$6)),9),$W$4),TRUNC(ROUND(MAX(0,($Y$1-IF(N(AD83)&gt;0,0,p_CorrFixa))/(H83*W83*$W$6)),9)/$W$5)*$W$5)))</f>
        <v/>
      </c>
      <c r="AG83" s="85" t="str">
        <f>IF(A83="","",IF(AND(N(AD83)=0,N(AF83)*(H83*W83*$W$6)+p_CorrFixa&lt;p_CompraMin),0,AF83))</f>
        <v/>
      </c>
      <c r="AH83" s="85" t="str">
        <f>IF(A83="","",IF(N(AG83)&gt;0,AB83,0))</f>
        <v/>
      </c>
      <c r="AI83" s="85" t="str">
        <f>IF(A83="","",IF(AND(AH83&gt;0,AH83=$AH$6,COUNTIF($AH$9:AH83,AH83)=1),1,0))</f>
        <v/>
      </c>
    </row>
    <row r="84">
      <c r="A84" s="96" t="n"/>
      <c r="B84" s="96" t="n"/>
      <c r="C84" s="96" t="n"/>
      <c r="D84" s="97" t="n"/>
      <c r="E84" s="98" t="n"/>
      <c r="F84" s="99" t="n"/>
      <c r="G84" s="100" t="n"/>
      <c r="H84" s="104" t="str">
        <f>IF(A84="","",IF(AND(p_ModoCot="Automático",ISNUMBER(Z84)),Z84,IF(N(G84)&gt;0,G84,0)))</f>
        <v/>
      </c>
      <c r="I84" s="105" t="str">
        <f>IF(A84="","",IF(W84=0,"Sem câmbio",IF(AND(p_ModoCot="Automático",ISNUMBER(Z84)),"Auto",IF(N(G84)&gt;0,"Manual","Sem cotação"))))</f>
        <v/>
      </c>
      <c r="J84" s="106" t="str">
        <f>IF(A84="","",N(E84)*H84)</f>
        <v/>
      </c>
      <c r="K84" s="107" t="str">
        <f>IF(A84="","",J84*W84)</f>
        <v/>
      </c>
      <c r="L84" s="108" t="str">
        <f>IF(A84="","",IF($K$6&gt;0,K84/$K$6,0))</f>
        <v/>
      </c>
      <c r="M84" s="109" t="str">
        <f>IF(A84="","",N(F84)-L84)</f>
        <v/>
      </c>
      <c r="N84" s="108" t="str">
        <f>IF(A84="","",IF($AB$6&gt;0,AB84/$AB$6,0))</f>
        <v/>
      </c>
      <c r="O84" s="110" t="str">
        <f>IF(A84="","",IF(AB84&lt;=0,"",COUNTIF($AB$9:$AB$208,"&gt;"&amp;AB84)+COUNTIF($AB$9:AB84,AB84)))</f>
        <v/>
      </c>
      <c r="P84" s="105" t="str">
        <f>IF(A84="","",IF(Q84&gt;0,"BUY","HOLD"))</f>
        <v/>
      </c>
      <c r="Q84" s="107" t="str">
        <f>IF(A84="","",IF($W$7&lt;=0,0,IF($AC$6&gt;0,$W$7*AC84/$AC$6,IF($F$6&gt;0,$W$7*N(F84)/$F$6,0))))</f>
        <v/>
      </c>
      <c r="R84" s="111" t="str">
        <f>IF(A84="","",N(AD84)+IF(AI84=1,N(AG84),0))</f>
        <v/>
      </c>
      <c r="S84" s="111" t="str">
        <f>IF(A84="","",N(E84)+N(R84))</f>
        <v/>
      </c>
      <c r="T84" s="107" t="str">
        <f>IF(A84="","",IF(N(R84)&gt;0,R84*H84*W84*$W$6+p_CorrFixa,0))</f>
        <v/>
      </c>
      <c r="V84" s="85" t="str">
        <f>IF(A84="","",IF(D84="",$W$1,D84))</f>
        <v/>
      </c>
      <c r="W84" s="85" t="str">
        <f>IF(A84="","",IFERROR(INDEX(moeda_fx,MATCH(V84,moeda_cod,0)),0))</f>
        <v/>
      </c>
      <c r="X84" s="85" t="str">
        <f>IF(A84="","",IF($W$2="",UPPER(TRIM(A84)),IF(RIGHT(UPPER(TRIM(A84)),LEN($W$2))=$W$2,UPPER(TRIM(A84)),UPPER(TRIM(A84))&amp;$W$2)))</f>
        <v/>
      </c>
      <c r="Y84" s="85" t="str">
        <f>IF(OR(A84="",p_ModoCot&lt;&gt;"Automático"),"",IFERROR(_xlfn.WEBSERVICE("https://query1.finance.yahoo.com/v8/finance/chart/"&amp;X84&amp;"?range=1d&amp;interval=1d"),""))</f>
        <v/>
      </c>
      <c r="Z84" s="85" t="str">
        <f>IF(Y84="","",IFERROR(_xlfn.NUMBERVALUE(MID(Y84,SEARCH("""regularMarketPrice"":",Y84)+21,SEARCH(",",Y84&amp;",",SEARCH("""regularMarketPrice"":",Y84)+21)-SEARCH("""regularMarketPrice"":",Y84)-21),".",","),""))</f>
        <v/>
      </c>
      <c r="AA84" s="85" t="str">
        <f>IF(A84="","",ROUND(MAX(0,N(F84)*($K$6+$W$7)-K84),2))</f>
        <v/>
      </c>
      <c r="AB84" s="85" t="str">
        <f>IF(A84="","",IF(AND(M84&gt;0,M84&gt;=p_DifMin),AA84,0))</f>
        <v/>
      </c>
      <c r="AC84" s="85" t="str">
        <f>IF(A84="","",IF(AND(AB84&gt;0,N(O84)&lt;=p_MaxAtivos),AB84,0))</f>
        <v/>
      </c>
      <c r="AD84" s="85" t="str">
        <f>IF(A84="","",IF(OR(Q84&lt;=0,Q84&lt;p_CompraMin,N(H84)&lt;=0,N(W84)&lt;=0),0,IF($W$3="Sim",TRUNC(ROUND(MAX(0,(Q84-p_CorrFixa)/(H84*W84*$W$6)),9),$W$4),TRUNC(ROUND(MAX(0,(Q84-p_CorrFixa)/(H84*W84*$W$6)),9)/$W$5)*$W$5)))</f>
        <v/>
      </c>
      <c r="AE84" s="85" t="str">
        <f>IF(A84="","",IF(N(AD84)&gt;0,AD84*H84*W84*$W$6+p_CorrFixa,0))</f>
        <v/>
      </c>
      <c r="AF84" s="85" t="str">
        <f>IF(A84="","",IF(OR($Y$1&lt;=0,N(H84)&lt;=0,N(W84)&lt;=0,N(AB84)&lt;=0),0,IF($W$3="Sim",TRUNC(ROUND(MAX(0,($Y$1-IF(N(AD84)&gt;0,0,p_CorrFixa))/(H84*W84*$W$6)),9),$W$4),TRUNC(ROUND(MAX(0,($Y$1-IF(N(AD84)&gt;0,0,p_CorrFixa))/(H84*W84*$W$6)),9)/$W$5)*$W$5)))</f>
        <v/>
      </c>
      <c r="AG84" s="85" t="str">
        <f>IF(A84="","",IF(AND(N(AD84)=0,N(AF84)*(H84*W84*$W$6)+p_CorrFixa&lt;p_CompraMin),0,AF84))</f>
        <v/>
      </c>
      <c r="AH84" s="85" t="str">
        <f>IF(A84="","",IF(N(AG84)&gt;0,AB84,0))</f>
        <v/>
      </c>
      <c r="AI84" s="85" t="str">
        <f>IF(A84="","",IF(AND(AH84&gt;0,AH84=$AH$6,COUNTIF($AH$9:AH84,AH84)=1),1,0))</f>
        <v/>
      </c>
    </row>
    <row r="85">
      <c r="A85" s="96" t="n"/>
      <c r="B85" s="96" t="n"/>
      <c r="C85" s="96" t="n"/>
      <c r="D85" s="97" t="n"/>
      <c r="E85" s="98" t="n"/>
      <c r="F85" s="99" t="n"/>
      <c r="G85" s="100" t="n"/>
      <c r="H85" s="101" t="str">
        <f>IF(A85="","",IF(AND(p_ModoCot="Automático",ISNUMBER(Z85)),Z85,IF(N(G85)&gt;0,G85,0)))</f>
        <v/>
      </c>
      <c r="I85" s="73" t="str">
        <f>IF(A85="","",IF(W85=0,"Sem câmbio",IF(AND(p_ModoCot="Automático",ISNUMBER(Z85)),"Auto",IF(N(G85)&gt;0,"Manual","Sem cotação"))))</f>
        <v/>
      </c>
      <c r="J85" s="102" t="str">
        <f>IF(A85="","",N(E85)*H85)</f>
        <v/>
      </c>
      <c r="K85" s="70" t="str">
        <f>IF(A85="","",J85*W85)</f>
        <v/>
      </c>
      <c r="L85" s="30" t="str">
        <f>IF(A85="","",IF($K$6&gt;0,K85/$K$6,0))</f>
        <v/>
      </c>
      <c r="M85" s="72" t="str">
        <f>IF(A85="","",N(F85)-L85)</f>
        <v/>
      </c>
      <c r="N85" s="30" t="str">
        <f>IF(A85="","",IF($AB$6&gt;0,AB85/$AB$6,0))</f>
        <v/>
      </c>
      <c r="O85" s="74" t="str">
        <f>IF(A85="","",IF(AB85&lt;=0,"",COUNTIF($AB$9:$AB$208,"&gt;"&amp;AB85)+COUNTIF($AB$9:AB85,AB85)))</f>
        <v/>
      </c>
      <c r="P85" s="73" t="str">
        <f>IF(A85="","",IF(Q85&gt;0,"BUY","HOLD"))</f>
        <v/>
      </c>
      <c r="Q85" s="70" t="str">
        <f>IF(A85="","",IF($W$7&lt;=0,0,IF($AC$6&gt;0,$W$7*AC85/$AC$6,IF($F$6&gt;0,$W$7*N(F85)/$F$6,0))))</f>
        <v/>
      </c>
      <c r="R85" s="103" t="str">
        <f>IF(A85="","",N(AD85)+IF(AI85=1,N(AG85),0))</f>
        <v/>
      </c>
      <c r="S85" s="103" t="str">
        <f>IF(A85="","",N(E85)+N(R85))</f>
        <v/>
      </c>
      <c r="T85" s="70" t="str">
        <f>IF(A85="","",IF(N(R85)&gt;0,R85*H85*W85*$W$6+p_CorrFixa,0))</f>
        <v/>
      </c>
      <c r="V85" s="85" t="str">
        <f>IF(A85="","",IF(D85="",$W$1,D85))</f>
        <v/>
      </c>
      <c r="W85" s="85" t="str">
        <f>IF(A85="","",IFERROR(INDEX(moeda_fx,MATCH(V85,moeda_cod,0)),0))</f>
        <v/>
      </c>
      <c r="X85" s="85" t="str">
        <f>IF(A85="","",IF($W$2="",UPPER(TRIM(A85)),IF(RIGHT(UPPER(TRIM(A85)),LEN($W$2))=$W$2,UPPER(TRIM(A85)),UPPER(TRIM(A85))&amp;$W$2)))</f>
        <v/>
      </c>
      <c r="Y85" s="85" t="str">
        <f>IF(OR(A85="",p_ModoCot&lt;&gt;"Automático"),"",IFERROR(_xlfn.WEBSERVICE("https://query1.finance.yahoo.com/v8/finance/chart/"&amp;X85&amp;"?range=1d&amp;interval=1d"),""))</f>
        <v/>
      </c>
      <c r="Z85" s="85" t="str">
        <f>IF(Y85="","",IFERROR(_xlfn.NUMBERVALUE(MID(Y85,SEARCH("""regularMarketPrice"":",Y85)+21,SEARCH(",",Y85&amp;",",SEARCH("""regularMarketPrice"":",Y85)+21)-SEARCH("""regularMarketPrice"":",Y85)-21),".",","),""))</f>
        <v/>
      </c>
      <c r="AA85" s="85" t="str">
        <f>IF(A85="","",ROUND(MAX(0,N(F85)*($K$6+$W$7)-K85),2))</f>
        <v/>
      </c>
      <c r="AB85" s="85" t="str">
        <f>IF(A85="","",IF(AND(M85&gt;0,M85&gt;=p_DifMin),AA85,0))</f>
        <v/>
      </c>
      <c r="AC85" s="85" t="str">
        <f>IF(A85="","",IF(AND(AB85&gt;0,N(O85)&lt;=p_MaxAtivos),AB85,0))</f>
        <v/>
      </c>
      <c r="AD85" s="85" t="str">
        <f>IF(A85="","",IF(OR(Q85&lt;=0,Q85&lt;p_CompraMin,N(H85)&lt;=0,N(W85)&lt;=0),0,IF($W$3="Sim",TRUNC(ROUND(MAX(0,(Q85-p_CorrFixa)/(H85*W85*$W$6)),9),$W$4),TRUNC(ROUND(MAX(0,(Q85-p_CorrFixa)/(H85*W85*$W$6)),9)/$W$5)*$W$5)))</f>
        <v/>
      </c>
      <c r="AE85" s="85" t="str">
        <f>IF(A85="","",IF(N(AD85)&gt;0,AD85*H85*W85*$W$6+p_CorrFixa,0))</f>
        <v/>
      </c>
      <c r="AF85" s="85" t="str">
        <f>IF(A85="","",IF(OR($Y$1&lt;=0,N(H85)&lt;=0,N(W85)&lt;=0,N(AB85)&lt;=0),0,IF($W$3="Sim",TRUNC(ROUND(MAX(0,($Y$1-IF(N(AD85)&gt;0,0,p_CorrFixa))/(H85*W85*$W$6)),9),$W$4),TRUNC(ROUND(MAX(0,($Y$1-IF(N(AD85)&gt;0,0,p_CorrFixa))/(H85*W85*$W$6)),9)/$W$5)*$W$5)))</f>
        <v/>
      </c>
      <c r="AG85" s="85" t="str">
        <f>IF(A85="","",IF(AND(N(AD85)=0,N(AF85)*(H85*W85*$W$6)+p_CorrFixa&lt;p_CompraMin),0,AF85))</f>
        <v/>
      </c>
      <c r="AH85" s="85" t="str">
        <f>IF(A85="","",IF(N(AG85)&gt;0,AB85,0))</f>
        <v/>
      </c>
      <c r="AI85" s="85" t="str">
        <f>IF(A85="","",IF(AND(AH85&gt;0,AH85=$AH$6,COUNTIF($AH$9:AH85,AH85)=1),1,0))</f>
        <v/>
      </c>
    </row>
    <row r="86">
      <c r="A86" s="96" t="n"/>
      <c r="B86" s="96" t="n"/>
      <c r="C86" s="96" t="n"/>
      <c r="D86" s="97" t="n"/>
      <c r="E86" s="98" t="n"/>
      <c r="F86" s="99" t="n"/>
      <c r="G86" s="100" t="n"/>
      <c r="H86" s="104" t="str">
        <f>IF(A86="","",IF(AND(p_ModoCot="Automático",ISNUMBER(Z86)),Z86,IF(N(G86)&gt;0,G86,0)))</f>
        <v/>
      </c>
      <c r="I86" s="105" t="str">
        <f>IF(A86="","",IF(W86=0,"Sem câmbio",IF(AND(p_ModoCot="Automático",ISNUMBER(Z86)),"Auto",IF(N(G86)&gt;0,"Manual","Sem cotação"))))</f>
        <v/>
      </c>
      <c r="J86" s="106" t="str">
        <f>IF(A86="","",N(E86)*H86)</f>
        <v/>
      </c>
      <c r="K86" s="107" t="str">
        <f>IF(A86="","",J86*W86)</f>
        <v/>
      </c>
      <c r="L86" s="108" t="str">
        <f>IF(A86="","",IF($K$6&gt;0,K86/$K$6,0))</f>
        <v/>
      </c>
      <c r="M86" s="109" t="str">
        <f>IF(A86="","",N(F86)-L86)</f>
        <v/>
      </c>
      <c r="N86" s="108" t="str">
        <f>IF(A86="","",IF($AB$6&gt;0,AB86/$AB$6,0))</f>
        <v/>
      </c>
      <c r="O86" s="110" t="str">
        <f>IF(A86="","",IF(AB86&lt;=0,"",COUNTIF($AB$9:$AB$208,"&gt;"&amp;AB86)+COUNTIF($AB$9:AB86,AB86)))</f>
        <v/>
      </c>
      <c r="P86" s="105" t="str">
        <f>IF(A86="","",IF(Q86&gt;0,"BUY","HOLD"))</f>
        <v/>
      </c>
      <c r="Q86" s="107" t="str">
        <f>IF(A86="","",IF($W$7&lt;=0,0,IF($AC$6&gt;0,$W$7*AC86/$AC$6,IF($F$6&gt;0,$W$7*N(F86)/$F$6,0))))</f>
        <v/>
      </c>
      <c r="R86" s="111" t="str">
        <f>IF(A86="","",N(AD86)+IF(AI86=1,N(AG86),0))</f>
        <v/>
      </c>
      <c r="S86" s="111" t="str">
        <f>IF(A86="","",N(E86)+N(R86))</f>
        <v/>
      </c>
      <c r="T86" s="107" t="str">
        <f>IF(A86="","",IF(N(R86)&gt;0,R86*H86*W86*$W$6+p_CorrFixa,0))</f>
        <v/>
      </c>
      <c r="V86" s="85" t="str">
        <f>IF(A86="","",IF(D86="",$W$1,D86))</f>
        <v/>
      </c>
      <c r="W86" s="85" t="str">
        <f>IF(A86="","",IFERROR(INDEX(moeda_fx,MATCH(V86,moeda_cod,0)),0))</f>
        <v/>
      </c>
      <c r="X86" s="85" t="str">
        <f>IF(A86="","",IF($W$2="",UPPER(TRIM(A86)),IF(RIGHT(UPPER(TRIM(A86)),LEN($W$2))=$W$2,UPPER(TRIM(A86)),UPPER(TRIM(A86))&amp;$W$2)))</f>
        <v/>
      </c>
      <c r="Y86" s="85" t="str">
        <f>IF(OR(A86="",p_ModoCot&lt;&gt;"Automático"),"",IFERROR(_xlfn.WEBSERVICE("https://query1.finance.yahoo.com/v8/finance/chart/"&amp;X86&amp;"?range=1d&amp;interval=1d"),""))</f>
        <v/>
      </c>
      <c r="Z86" s="85" t="str">
        <f>IF(Y86="","",IFERROR(_xlfn.NUMBERVALUE(MID(Y86,SEARCH("""regularMarketPrice"":",Y86)+21,SEARCH(",",Y86&amp;",",SEARCH("""regularMarketPrice"":",Y86)+21)-SEARCH("""regularMarketPrice"":",Y86)-21),".",","),""))</f>
        <v/>
      </c>
      <c r="AA86" s="85" t="str">
        <f>IF(A86="","",ROUND(MAX(0,N(F86)*($K$6+$W$7)-K86),2))</f>
        <v/>
      </c>
      <c r="AB86" s="85" t="str">
        <f>IF(A86="","",IF(AND(M86&gt;0,M86&gt;=p_DifMin),AA86,0))</f>
        <v/>
      </c>
      <c r="AC86" s="85" t="str">
        <f>IF(A86="","",IF(AND(AB86&gt;0,N(O86)&lt;=p_MaxAtivos),AB86,0))</f>
        <v/>
      </c>
      <c r="AD86" s="85" t="str">
        <f>IF(A86="","",IF(OR(Q86&lt;=0,Q86&lt;p_CompraMin,N(H86)&lt;=0,N(W86)&lt;=0),0,IF($W$3="Sim",TRUNC(ROUND(MAX(0,(Q86-p_CorrFixa)/(H86*W86*$W$6)),9),$W$4),TRUNC(ROUND(MAX(0,(Q86-p_CorrFixa)/(H86*W86*$W$6)),9)/$W$5)*$W$5)))</f>
        <v/>
      </c>
      <c r="AE86" s="85" t="str">
        <f>IF(A86="","",IF(N(AD86)&gt;0,AD86*H86*W86*$W$6+p_CorrFixa,0))</f>
        <v/>
      </c>
      <c r="AF86" s="85" t="str">
        <f>IF(A86="","",IF(OR($Y$1&lt;=0,N(H86)&lt;=0,N(W86)&lt;=0,N(AB86)&lt;=0),0,IF($W$3="Sim",TRUNC(ROUND(MAX(0,($Y$1-IF(N(AD86)&gt;0,0,p_CorrFixa))/(H86*W86*$W$6)),9),$W$4),TRUNC(ROUND(MAX(0,($Y$1-IF(N(AD86)&gt;0,0,p_CorrFixa))/(H86*W86*$W$6)),9)/$W$5)*$W$5)))</f>
        <v/>
      </c>
      <c r="AG86" s="85" t="str">
        <f>IF(A86="","",IF(AND(N(AD86)=0,N(AF86)*(H86*W86*$W$6)+p_CorrFixa&lt;p_CompraMin),0,AF86))</f>
        <v/>
      </c>
      <c r="AH86" s="85" t="str">
        <f>IF(A86="","",IF(N(AG86)&gt;0,AB86,0))</f>
        <v/>
      </c>
      <c r="AI86" s="85" t="str">
        <f>IF(A86="","",IF(AND(AH86&gt;0,AH86=$AH$6,COUNTIF($AH$9:AH86,AH86)=1),1,0))</f>
        <v/>
      </c>
    </row>
    <row r="87">
      <c r="A87" s="96" t="n"/>
      <c r="B87" s="96" t="n"/>
      <c r="C87" s="96" t="n"/>
      <c r="D87" s="97" t="n"/>
      <c r="E87" s="98" t="n"/>
      <c r="F87" s="99" t="n"/>
      <c r="G87" s="100" t="n"/>
      <c r="H87" s="101" t="str">
        <f>IF(A87="","",IF(AND(p_ModoCot="Automático",ISNUMBER(Z87)),Z87,IF(N(G87)&gt;0,G87,0)))</f>
        <v/>
      </c>
      <c r="I87" s="73" t="str">
        <f>IF(A87="","",IF(W87=0,"Sem câmbio",IF(AND(p_ModoCot="Automático",ISNUMBER(Z87)),"Auto",IF(N(G87)&gt;0,"Manual","Sem cotação"))))</f>
        <v/>
      </c>
      <c r="J87" s="102" t="str">
        <f>IF(A87="","",N(E87)*H87)</f>
        <v/>
      </c>
      <c r="K87" s="70" t="str">
        <f>IF(A87="","",J87*W87)</f>
        <v/>
      </c>
      <c r="L87" s="30" t="str">
        <f>IF(A87="","",IF($K$6&gt;0,K87/$K$6,0))</f>
        <v/>
      </c>
      <c r="M87" s="72" t="str">
        <f>IF(A87="","",N(F87)-L87)</f>
        <v/>
      </c>
      <c r="N87" s="30" t="str">
        <f>IF(A87="","",IF($AB$6&gt;0,AB87/$AB$6,0))</f>
        <v/>
      </c>
      <c r="O87" s="74" t="str">
        <f>IF(A87="","",IF(AB87&lt;=0,"",COUNTIF($AB$9:$AB$208,"&gt;"&amp;AB87)+COUNTIF($AB$9:AB87,AB87)))</f>
        <v/>
      </c>
      <c r="P87" s="73" t="str">
        <f>IF(A87="","",IF(Q87&gt;0,"BUY","HOLD"))</f>
        <v/>
      </c>
      <c r="Q87" s="70" t="str">
        <f>IF(A87="","",IF($W$7&lt;=0,0,IF($AC$6&gt;0,$W$7*AC87/$AC$6,IF($F$6&gt;0,$W$7*N(F87)/$F$6,0))))</f>
        <v/>
      </c>
      <c r="R87" s="103" t="str">
        <f>IF(A87="","",N(AD87)+IF(AI87=1,N(AG87),0))</f>
        <v/>
      </c>
      <c r="S87" s="103" t="str">
        <f>IF(A87="","",N(E87)+N(R87))</f>
        <v/>
      </c>
      <c r="T87" s="70" t="str">
        <f>IF(A87="","",IF(N(R87)&gt;0,R87*H87*W87*$W$6+p_CorrFixa,0))</f>
        <v/>
      </c>
      <c r="V87" s="85" t="str">
        <f>IF(A87="","",IF(D87="",$W$1,D87))</f>
        <v/>
      </c>
      <c r="W87" s="85" t="str">
        <f>IF(A87="","",IFERROR(INDEX(moeda_fx,MATCH(V87,moeda_cod,0)),0))</f>
        <v/>
      </c>
      <c r="X87" s="85" t="str">
        <f>IF(A87="","",IF($W$2="",UPPER(TRIM(A87)),IF(RIGHT(UPPER(TRIM(A87)),LEN($W$2))=$W$2,UPPER(TRIM(A87)),UPPER(TRIM(A87))&amp;$W$2)))</f>
        <v/>
      </c>
      <c r="Y87" s="85" t="str">
        <f>IF(OR(A87="",p_ModoCot&lt;&gt;"Automático"),"",IFERROR(_xlfn.WEBSERVICE("https://query1.finance.yahoo.com/v8/finance/chart/"&amp;X87&amp;"?range=1d&amp;interval=1d"),""))</f>
        <v/>
      </c>
      <c r="Z87" s="85" t="str">
        <f>IF(Y87="","",IFERROR(_xlfn.NUMBERVALUE(MID(Y87,SEARCH("""regularMarketPrice"":",Y87)+21,SEARCH(",",Y87&amp;",",SEARCH("""regularMarketPrice"":",Y87)+21)-SEARCH("""regularMarketPrice"":",Y87)-21),".",","),""))</f>
        <v/>
      </c>
      <c r="AA87" s="85" t="str">
        <f>IF(A87="","",ROUND(MAX(0,N(F87)*($K$6+$W$7)-K87),2))</f>
        <v/>
      </c>
      <c r="AB87" s="85" t="str">
        <f>IF(A87="","",IF(AND(M87&gt;0,M87&gt;=p_DifMin),AA87,0))</f>
        <v/>
      </c>
      <c r="AC87" s="85" t="str">
        <f>IF(A87="","",IF(AND(AB87&gt;0,N(O87)&lt;=p_MaxAtivos),AB87,0))</f>
        <v/>
      </c>
      <c r="AD87" s="85" t="str">
        <f>IF(A87="","",IF(OR(Q87&lt;=0,Q87&lt;p_CompraMin,N(H87)&lt;=0,N(W87)&lt;=0),0,IF($W$3="Sim",TRUNC(ROUND(MAX(0,(Q87-p_CorrFixa)/(H87*W87*$W$6)),9),$W$4),TRUNC(ROUND(MAX(0,(Q87-p_CorrFixa)/(H87*W87*$W$6)),9)/$W$5)*$W$5)))</f>
        <v/>
      </c>
      <c r="AE87" s="85" t="str">
        <f>IF(A87="","",IF(N(AD87)&gt;0,AD87*H87*W87*$W$6+p_CorrFixa,0))</f>
        <v/>
      </c>
      <c r="AF87" s="85" t="str">
        <f>IF(A87="","",IF(OR($Y$1&lt;=0,N(H87)&lt;=0,N(W87)&lt;=0,N(AB87)&lt;=0),0,IF($W$3="Sim",TRUNC(ROUND(MAX(0,($Y$1-IF(N(AD87)&gt;0,0,p_CorrFixa))/(H87*W87*$W$6)),9),$W$4),TRUNC(ROUND(MAX(0,($Y$1-IF(N(AD87)&gt;0,0,p_CorrFixa))/(H87*W87*$W$6)),9)/$W$5)*$W$5)))</f>
        <v/>
      </c>
      <c r="AG87" s="85" t="str">
        <f>IF(A87="","",IF(AND(N(AD87)=0,N(AF87)*(H87*W87*$W$6)+p_CorrFixa&lt;p_CompraMin),0,AF87))</f>
        <v/>
      </c>
      <c r="AH87" s="85" t="str">
        <f>IF(A87="","",IF(N(AG87)&gt;0,AB87,0))</f>
        <v/>
      </c>
      <c r="AI87" s="85" t="str">
        <f>IF(A87="","",IF(AND(AH87&gt;0,AH87=$AH$6,COUNTIF($AH$9:AH87,AH87)=1),1,0))</f>
        <v/>
      </c>
    </row>
    <row r="88">
      <c r="A88" s="96" t="n"/>
      <c r="B88" s="96" t="n"/>
      <c r="C88" s="96" t="n"/>
      <c r="D88" s="97" t="n"/>
      <c r="E88" s="98" t="n"/>
      <c r="F88" s="99" t="n"/>
      <c r="G88" s="100" t="n"/>
      <c r="H88" s="104" t="str">
        <f>IF(A88="","",IF(AND(p_ModoCot="Automático",ISNUMBER(Z88)),Z88,IF(N(G88)&gt;0,G88,0)))</f>
        <v/>
      </c>
      <c r="I88" s="105" t="str">
        <f>IF(A88="","",IF(W88=0,"Sem câmbio",IF(AND(p_ModoCot="Automático",ISNUMBER(Z88)),"Auto",IF(N(G88)&gt;0,"Manual","Sem cotação"))))</f>
        <v/>
      </c>
      <c r="J88" s="106" t="str">
        <f>IF(A88="","",N(E88)*H88)</f>
        <v/>
      </c>
      <c r="K88" s="107" t="str">
        <f>IF(A88="","",J88*W88)</f>
        <v/>
      </c>
      <c r="L88" s="108" t="str">
        <f>IF(A88="","",IF($K$6&gt;0,K88/$K$6,0))</f>
        <v/>
      </c>
      <c r="M88" s="109" t="str">
        <f>IF(A88="","",N(F88)-L88)</f>
        <v/>
      </c>
      <c r="N88" s="108" t="str">
        <f>IF(A88="","",IF($AB$6&gt;0,AB88/$AB$6,0))</f>
        <v/>
      </c>
      <c r="O88" s="110" t="str">
        <f>IF(A88="","",IF(AB88&lt;=0,"",COUNTIF($AB$9:$AB$208,"&gt;"&amp;AB88)+COUNTIF($AB$9:AB88,AB88)))</f>
        <v/>
      </c>
      <c r="P88" s="105" t="str">
        <f>IF(A88="","",IF(Q88&gt;0,"BUY","HOLD"))</f>
        <v/>
      </c>
      <c r="Q88" s="107" t="str">
        <f>IF(A88="","",IF($W$7&lt;=0,0,IF($AC$6&gt;0,$W$7*AC88/$AC$6,IF($F$6&gt;0,$W$7*N(F88)/$F$6,0))))</f>
        <v/>
      </c>
      <c r="R88" s="111" t="str">
        <f>IF(A88="","",N(AD88)+IF(AI88=1,N(AG88),0))</f>
        <v/>
      </c>
      <c r="S88" s="111" t="str">
        <f>IF(A88="","",N(E88)+N(R88))</f>
        <v/>
      </c>
      <c r="T88" s="107" t="str">
        <f>IF(A88="","",IF(N(R88)&gt;0,R88*H88*W88*$W$6+p_CorrFixa,0))</f>
        <v/>
      </c>
      <c r="V88" s="85" t="str">
        <f>IF(A88="","",IF(D88="",$W$1,D88))</f>
        <v/>
      </c>
      <c r="W88" s="85" t="str">
        <f>IF(A88="","",IFERROR(INDEX(moeda_fx,MATCH(V88,moeda_cod,0)),0))</f>
        <v/>
      </c>
      <c r="X88" s="85" t="str">
        <f>IF(A88="","",IF($W$2="",UPPER(TRIM(A88)),IF(RIGHT(UPPER(TRIM(A88)),LEN($W$2))=$W$2,UPPER(TRIM(A88)),UPPER(TRIM(A88))&amp;$W$2)))</f>
        <v/>
      </c>
      <c r="Y88" s="85" t="str">
        <f>IF(OR(A88="",p_ModoCot&lt;&gt;"Automático"),"",IFERROR(_xlfn.WEBSERVICE("https://query1.finance.yahoo.com/v8/finance/chart/"&amp;X88&amp;"?range=1d&amp;interval=1d"),""))</f>
        <v/>
      </c>
      <c r="Z88" s="85" t="str">
        <f>IF(Y88="","",IFERROR(_xlfn.NUMBERVALUE(MID(Y88,SEARCH("""regularMarketPrice"":",Y88)+21,SEARCH(",",Y88&amp;",",SEARCH("""regularMarketPrice"":",Y88)+21)-SEARCH("""regularMarketPrice"":",Y88)-21),".",","),""))</f>
        <v/>
      </c>
      <c r="AA88" s="85" t="str">
        <f>IF(A88="","",ROUND(MAX(0,N(F88)*($K$6+$W$7)-K88),2))</f>
        <v/>
      </c>
      <c r="AB88" s="85" t="str">
        <f>IF(A88="","",IF(AND(M88&gt;0,M88&gt;=p_DifMin),AA88,0))</f>
        <v/>
      </c>
      <c r="AC88" s="85" t="str">
        <f>IF(A88="","",IF(AND(AB88&gt;0,N(O88)&lt;=p_MaxAtivos),AB88,0))</f>
        <v/>
      </c>
      <c r="AD88" s="85" t="str">
        <f>IF(A88="","",IF(OR(Q88&lt;=0,Q88&lt;p_CompraMin,N(H88)&lt;=0,N(W88)&lt;=0),0,IF($W$3="Sim",TRUNC(ROUND(MAX(0,(Q88-p_CorrFixa)/(H88*W88*$W$6)),9),$W$4),TRUNC(ROUND(MAX(0,(Q88-p_CorrFixa)/(H88*W88*$W$6)),9)/$W$5)*$W$5)))</f>
        <v/>
      </c>
      <c r="AE88" s="85" t="str">
        <f>IF(A88="","",IF(N(AD88)&gt;0,AD88*H88*W88*$W$6+p_CorrFixa,0))</f>
        <v/>
      </c>
      <c r="AF88" s="85" t="str">
        <f>IF(A88="","",IF(OR($Y$1&lt;=0,N(H88)&lt;=0,N(W88)&lt;=0,N(AB88)&lt;=0),0,IF($W$3="Sim",TRUNC(ROUND(MAX(0,($Y$1-IF(N(AD88)&gt;0,0,p_CorrFixa))/(H88*W88*$W$6)),9),$W$4),TRUNC(ROUND(MAX(0,($Y$1-IF(N(AD88)&gt;0,0,p_CorrFixa))/(H88*W88*$W$6)),9)/$W$5)*$W$5)))</f>
        <v/>
      </c>
      <c r="AG88" s="85" t="str">
        <f>IF(A88="","",IF(AND(N(AD88)=0,N(AF88)*(H88*W88*$W$6)+p_CorrFixa&lt;p_CompraMin),0,AF88))</f>
        <v/>
      </c>
      <c r="AH88" s="85" t="str">
        <f>IF(A88="","",IF(N(AG88)&gt;0,AB88,0))</f>
        <v/>
      </c>
      <c r="AI88" s="85" t="str">
        <f>IF(A88="","",IF(AND(AH88&gt;0,AH88=$AH$6,COUNTIF($AH$9:AH88,AH88)=1),1,0))</f>
        <v/>
      </c>
    </row>
    <row r="89">
      <c r="A89" s="96" t="n"/>
      <c r="B89" s="96" t="n"/>
      <c r="C89" s="96" t="n"/>
      <c r="D89" s="97" t="n"/>
      <c r="E89" s="98" t="n"/>
      <c r="F89" s="99" t="n"/>
      <c r="G89" s="100" t="n"/>
      <c r="H89" s="101" t="str">
        <f>IF(A89="","",IF(AND(p_ModoCot="Automático",ISNUMBER(Z89)),Z89,IF(N(G89)&gt;0,G89,0)))</f>
        <v/>
      </c>
      <c r="I89" s="73" t="str">
        <f>IF(A89="","",IF(W89=0,"Sem câmbio",IF(AND(p_ModoCot="Automático",ISNUMBER(Z89)),"Auto",IF(N(G89)&gt;0,"Manual","Sem cotação"))))</f>
        <v/>
      </c>
      <c r="J89" s="102" t="str">
        <f>IF(A89="","",N(E89)*H89)</f>
        <v/>
      </c>
      <c r="K89" s="70" t="str">
        <f>IF(A89="","",J89*W89)</f>
        <v/>
      </c>
      <c r="L89" s="30" t="str">
        <f>IF(A89="","",IF($K$6&gt;0,K89/$K$6,0))</f>
        <v/>
      </c>
      <c r="M89" s="72" t="str">
        <f>IF(A89="","",N(F89)-L89)</f>
        <v/>
      </c>
      <c r="N89" s="30" t="str">
        <f>IF(A89="","",IF($AB$6&gt;0,AB89/$AB$6,0))</f>
        <v/>
      </c>
      <c r="O89" s="74" t="str">
        <f>IF(A89="","",IF(AB89&lt;=0,"",COUNTIF($AB$9:$AB$208,"&gt;"&amp;AB89)+COUNTIF($AB$9:AB89,AB89)))</f>
        <v/>
      </c>
      <c r="P89" s="73" t="str">
        <f>IF(A89="","",IF(Q89&gt;0,"BUY","HOLD"))</f>
        <v/>
      </c>
      <c r="Q89" s="70" t="str">
        <f>IF(A89="","",IF($W$7&lt;=0,0,IF($AC$6&gt;0,$W$7*AC89/$AC$6,IF($F$6&gt;0,$W$7*N(F89)/$F$6,0))))</f>
        <v/>
      </c>
      <c r="R89" s="103" t="str">
        <f>IF(A89="","",N(AD89)+IF(AI89=1,N(AG89),0))</f>
        <v/>
      </c>
      <c r="S89" s="103" t="str">
        <f>IF(A89="","",N(E89)+N(R89))</f>
        <v/>
      </c>
      <c r="T89" s="70" t="str">
        <f>IF(A89="","",IF(N(R89)&gt;0,R89*H89*W89*$W$6+p_CorrFixa,0))</f>
        <v/>
      </c>
      <c r="V89" s="85" t="str">
        <f>IF(A89="","",IF(D89="",$W$1,D89))</f>
        <v/>
      </c>
      <c r="W89" s="85" t="str">
        <f>IF(A89="","",IFERROR(INDEX(moeda_fx,MATCH(V89,moeda_cod,0)),0))</f>
        <v/>
      </c>
      <c r="X89" s="85" t="str">
        <f>IF(A89="","",IF($W$2="",UPPER(TRIM(A89)),IF(RIGHT(UPPER(TRIM(A89)),LEN($W$2))=$W$2,UPPER(TRIM(A89)),UPPER(TRIM(A89))&amp;$W$2)))</f>
        <v/>
      </c>
      <c r="Y89" s="85" t="str">
        <f>IF(OR(A89="",p_ModoCot&lt;&gt;"Automático"),"",IFERROR(_xlfn.WEBSERVICE("https://query1.finance.yahoo.com/v8/finance/chart/"&amp;X89&amp;"?range=1d&amp;interval=1d"),""))</f>
        <v/>
      </c>
      <c r="Z89" s="85" t="str">
        <f>IF(Y89="","",IFERROR(_xlfn.NUMBERVALUE(MID(Y89,SEARCH("""regularMarketPrice"":",Y89)+21,SEARCH(",",Y89&amp;",",SEARCH("""regularMarketPrice"":",Y89)+21)-SEARCH("""regularMarketPrice"":",Y89)-21),".",","),""))</f>
        <v/>
      </c>
      <c r="AA89" s="85" t="str">
        <f>IF(A89="","",ROUND(MAX(0,N(F89)*($K$6+$W$7)-K89),2))</f>
        <v/>
      </c>
      <c r="AB89" s="85" t="str">
        <f>IF(A89="","",IF(AND(M89&gt;0,M89&gt;=p_DifMin),AA89,0))</f>
        <v/>
      </c>
      <c r="AC89" s="85" t="str">
        <f>IF(A89="","",IF(AND(AB89&gt;0,N(O89)&lt;=p_MaxAtivos),AB89,0))</f>
        <v/>
      </c>
      <c r="AD89" s="85" t="str">
        <f>IF(A89="","",IF(OR(Q89&lt;=0,Q89&lt;p_CompraMin,N(H89)&lt;=0,N(W89)&lt;=0),0,IF($W$3="Sim",TRUNC(ROUND(MAX(0,(Q89-p_CorrFixa)/(H89*W89*$W$6)),9),$W$4),TRUNC(ROUND(MAX(0,(Q89-p_CorrFixa)/(H89*W89*$W$6)),9)/$W$5)*$W$5)))</f>
        <v/>
      </c>
      <c r="AE89" s="85" t="str">
        <f>IF(A89="","",IF(N(AD89)&gt;0,AD89*H89*W89*$W$6+p_CorrFixa,0))</f>
        <v/>
      </c>
      <c r="AF89" s="85" t="str">
        <f>IF(A89="","",IF(OR($Y$1&lt;=0,N(H89)&lt;=0,N(W89)&lt;=0,N(AB89)&lt;=0),0,IF($W$3="Sim",TRUNC(ROUND(MAX(0,($Y$1-IF(N(AD89)&gt;0,0,p_CorrFixa))/(H89*W89*$W$6)),9),$W$4),TRUNC(ROUND(MAX(0,($Y$1-IF(N(AD89)&gt;0,0,p_CorrFixa))/(H89*W89*$W$6)),9)/$W$5)*$W$5)))</f>
        <v/>
      </c>
      <c r="AG89" s="85" t="str">
        <f>IF(A89="","",IF(AND(N(AD89)=0,N(AF89)*(H89*W89*$W$6)+p_CorrFixa&lt;p_CompraMin),0,AF89))</f>
        <v/>
      </c>
      <c r="AH89" s="85" t="str">
        <f>IF(A89="","",IF(N(AG89)&gt;0,AB89,0))</f>
        <v/>
      </c>
      <c r="AI89" s="85" t="str">
        <f>IF(A89="","",IF(AND(AH89&gt;0,AH89=$AH$6,COUNTIF($AH$9:AH89,AH89)=1),1,0))</f>
        <v/>
      </c>
    </row>
    <row r="90">
      <c r="A90" s="96" t="n"/>
      <c r="B90" s="96" t="n"/>
      <c r="C90" s="96" t="n"/>
      <c r="D90" s="97" t="n"/>
      <c r="E90" s="98" t="n"/>
      <c r="F90" s="99" t="n"/>
      <c r="G90" s="100" t="n"/>
      <c r="H90" s="104" t="str">
        <f>IF(A90="","",IF(AND(p_ModoCot="Automático",ISNUMBER(Z90)),Z90,IF(N(G90)&gt;0,G90,0)))</f>
        <v/>
      </c>
      <c r="I90" s="105" t="str">
        <f>IF(A90="","",IF(W90=0,"Sem câmbio",IF(AND(p_ModoCot="Automático",ISNUMBER(Z90)),"Auto",IF(N(G90)&gt;0,"Manual","Sem cotação"))))</f>
        <v/>
      </c>
      <c r="J90" s="106" t="str">
        <f>IF(A90="","",N(E90)*H90)</f>
        <v/>
      </c>
      <c r="K90" s="107" t="str">
        <f>IF(A90="","",J90*W90)</f>
        <v/>
      </c>
      <c r="L90" s="108" t="str">
        <f>IF(A90="","",IF($K$6&gt;0,K90/$K$6,0))</f>
        <v/>
      </c>
      <c r="M90" s="109" t="str">
        <f>IF(A90="","",N(F90)-L90)</f>
        <v/>
      </c>
      <c r="N90" s="108" t="str">
        <f>IF(A90="","",IF($AB$6&gt;0,AB90/$AB$6,0))</f>
        <v/>
      </c>
      <c r="O90" s="110" t="str">
        <f>IF(A90="","",IF(AB90&lt;=0,"",COUNTIF($AB$9:$AB$208,"&gt;"&amp;AB90)+COUNTIF($AB$9:AB90,AB90)))</f>
        <v/>
      </c>
      <c r="P90" s="105" t="str">
        <f>IF(A90="","",IF(Q90&gt;0,"BUY","HOLD"))</f>
        <v/>
      </c>
      <c r="Q90" s="107" t="str">
        <f>IF(A90="","",IF($W$7&lt;=0,0,IF($AC$6&gt;0,$W$7*AC90/$AC$6,IF($F$6&gt;0,$W$7*N(F90)/$F$6,0))))</f>
        <v/>
      </c>
      <c r="R90" s="111" t="str">
        <f>IF(A90="","",N(AD90)+IF(AI90=1,N(AG90),0))</f>
        <v/>
      </c>
      <c r="S90" s="111" t="str">
        <f>IF(A90="","",N(E90)+N(R90))</f>
        <v/>
      </c>
      <c r="T90" s="107" t="str">
        <f>IF(A90="","",IF(N(R90)&gt;0,R90*H90*W90*$W$6+p_CorrFixa,0))</f>
        <v/>
      </c>
      <c r="V90" s="85" t="str">
        <f>IF(A90="","",IF(D90="",$W$1,D90))</f>
        <v/>
      </c>
      <c r="W90" s="85" t="str">
        <f>IF(A90="","",IFERROR(INDEX(moeda_fx,MATCH(V90,moeda_cod,0)),0))</f>
        <v/>
      </c>
      <c r="X90" s="85" t="str">
        <f>IF(A90="","",IF($W$2="",UPPER(TRIM(A90)),IF(RIGHT(UPPER(TRIM(A90)),LEN($W$2))=$W$2,UPPER(TRIM(A90)),UPPER(TRIM(A90))&amp;$W$2)))</f>
        <v/>
      </c>
      <c r="Y90" s="85" t="str">
        <f>IF(OR(A90="",p_ModoCot&lt;&gt;"Automático"),"",IFERROR(_xlfn.WEBSERVICE("https://query1.finance.yahoo.com/v8/finance/chart/"&amp;X90&amp;"?range=1d&amp;interval=1d"),""))</f>
        <v/>
      </c>
      <c r="Z90" s="85" t="str">
        <f>IF(Y90="","",IFERROR(_xlfn.NUMBERVALUE(MID(Y90,SEARCH("""regularMarketPrice"":",Y90)+21,SEARCH(",",Y90&amp;",",SEARCH("""regularMarketPrice"":",Y90)+21)-SEARCH("""regularMarketPrice"":",Y90)-21),".",","),""))</f>
        <v/>
      </c>
      <c r="AA90" s="85" t="str">
        <f>IF(A90="","",ROUND(MAX(0,N(F90)*($K$6+$W$7)-K90),2))</f>
        <v/>
      </c>
      <c r="AB90" s="85" t="str">
        <f>IF(A90="","",IF(AND(M90&gt;0,M90&gt;=p_DifMin),AA90,0))</f>
        <v/>
      </c>
      <c r="AC90" s="85" t="str">
        <f>IF(A90="","",IF(AND(AB90&gt;0,N(O90)&lt;=p_MaxAtivos),AB90,0))</f>
        <v/>
      </c>
      <c r="AD90" s="85" t="str">
        <f>IF(A90="","",IF(OR(Q90&lt;=0,Q90&lt;p_CompraMin,N(H90)&lt;=0,N(W90)&lt;=0),0,IF($W$3="Sim",TRUNC(ROUND(MAX(0,(Q90-p_CorrFixa)/(H90*W90*$W$6)),9),$W$4),TRUNC(ROUND(MAX(0,(Q90-p_CorrFixa)/(H90*W90*$W$6)),9)/$W$5)*$W$5)))</f>
        <v/>
      </c>
      <c r="AE90" s="85" t="str">
        <f>IF(A90="","",IF(N(AD90)&gt;0,AD90*H90*W90*$W$6+p_CorrFixa,0))</f>
        <v/>
      </c>
      <c r="AF90" s="85" t="str">
        <f>IF(A90="","",IF(OR($Y$1&lt;=0,N(H90)&lt;=0,N(W90)&lt;=0,N(AB90)&lt;=0),0,IF($W$3="Sim",TRUNC(ROUND(MAX(0,($Y$1-IF(N(AD90)&gt;0,0,p_CorrFixa))/(H90*W90*$W$6)),9),$W$4),TRUNC(ROUND(MAX(0,($Y$1-IF(N(AD90)&gt;0,0,p_CorrFixa))/(H90*W90*$W$6)),9)/$W$5)*$W$5)))</f>
        <v/>
      </c>
      <c r="AG90" s="85" t="str">
        <f>IF(A90="","",IF(AND(N(AD90)=0,N(AF90)*(H90*W90*$W$6)+p_CorrFixa&lt;p_CompraMin),0,AF90))</f>
        <v/>
      </c>
      <c r="AH90" s="85" t="str">
        <f>IF(A90="","",IF(N(AG90)&gt;0,AB90,0))</f>
        <v/>
      </c>
      <c r="AI90" s="85" t="str">
        <f>IF(A90="","",IF(AND(AH90&gt;0,AH90=$AH$6,COUNTIF($AH$9:AH90,AH90)=1),1,0))</f>
        <v/>
      </c>
    </row>
    <row r="91">
      <c r="A91" s="96" t="n"/>
      <c r="B91" s="96" t="n"/>
      <c r="C91" s="96" t="n"/>
      <c r="D91" s="97" t="n"/>
      <c r="E91" s="98" t="n"/>
      <c r="F91" s="99" t="n"/>
      <c r="G91" s="100" t="n"/>
      <c r="H91" s="101" t="str">
        <f>IF(A91="","",IF(AND(p_ModoCot="Automático",ISNUMBER(Z91)),Z91,IF(N(G91)&gt;0,G91,0)))</f>
        <v/>
      </c>
      <c r="I91" s="73" t="str">
        <f>IF(A91="","",IF(W91=0,"Sem câmbio",IF(AND(p_ModoCot="Automático",ISNUMBER(Z91)),"Auto",IF(N(G91)&gt;0,"Manual","Sem cotação"))))</f>
        <v/>
      </c>
      <c r="J91" s="102" t="str">
        <f>IF(A91="","",N(E91)*H91)</f>
        <v/>
      </c>
      <c r="K91" s="70" t="str">
        <f>IF(A91="","",J91*W91)</f>
        <v/>
      </c>
      <c r="L91" s="30" t="str">
        <f>IF(A91="","",IF($K$6&gt;0,K91/$K$6,0))</f>
        <v/>
      </c>
      <c r="M91" s="72" t="str">
        <f>IF(A91="","",N(F91)-L91)</f>
        <v/>
      </c>
      <c r="N91" s="30" t="str">
        <f>IF(A91="","",IF($AB$6&gt;0,AB91/$AB$6,0))</f>
        <v/>
      </c>
      <c r="O91" s="74" t="str">
        <f>IF(A91="","",IF(AB91&lt;=0,"",COUNTIF($AB$9:$AB$208,"&gt;"&amp;AB91)+COUNTIF($AB$9:AB91,AB91)))</f>
        <v/>
      </c>
      <c r="P91" s="73" t="str">
        <f>IF(A91="","",IF(Q91&gt;0,"BUY","HOLD"))</f>
        <v/>
      </c>
      <c r="Q91" s="70" t="str">
        <f>IF(A91="","",IF($W$7&lt;=0,0,IF($AC$6&gt;0,$W$7*AC91/$AC$6,IF($F$6&gt;0,$W$7*N(F91)/$F$6,0))))</f>
        <v/>
      </c>
      <c r="R91" s="103" t="str">
        <f>IF(A91="","",N(AD91)+IF(AI91=1,N(AG91),0))</f>
        <v/>
      </c>
      <c r="S91" s="103" t="str">
        <f>IF(A91="","",N(E91)+N(R91))</f>
        <v/>
      </c>
      <c r="T91" s="70" t="str">
        <f>IF(A91="","",IF(N(R91)&gt;0,R91*H91*W91*$W$6+p_CorrFixa,0))</f>
        <v/>
      </c>
      <c r="V91" s="85" t="str">
        <f>IF(A91="","",IF(D91="",$W$1,D91))</f>
        <v/>
      </c>
      <c r="W91" s="85" t="str">
        <f>IF(A91="","",IFERROR(INDEX(moeda_fx,MATCH(V91,moeda_cod,0)),0))</f>
        <v/>
      </c>
      <c r="X91" s="85" t="str">
        <f>IF(A91="","",IF($W$2="",UPPER(TRIM(A91)),IF(RIGHT(UPPER(TRIM(A91)),LEN($W$2))=$W$2,UPPER(TRIM(A91)),UPPER(TRIM(A91))&amp;$W$2)))</f>
        <v/>
      </c>
      <c r="Y91" s="85" t="str">
        <f>IF(OR(A91="",p_ModoCot&lt;&gt;"Automático"),"",IFERROR(_xlfn.WEBSERVICE("https://query1.finance.yahoo.com/v8/finance/chart/"&amp;X91&amp;"?range=1d&amp;interval=1d"),""))</f>
        <v/>
      </c>
      <c r="Z91" s="85" t="str">
        <f>IF(Y91="","",IFERROR(_xlfn.NUMBERVALUE(MID(Y91,SEARCH("""regularMarketPrice"":",Y91)+21,SEARCH(",",Y91&amp;",",SEARCH("""regularMarketPrice"":",Y91)+21)-SEARCH("""regularMarketPrice"":",Y91)-21),".",","),""))</f>
        <v/>
      </c>
      <c r="AA91" s="85" t="str">
        <f>IF(A91="","",ROUND(MAX(0,N(F91)*($K$6+$W$7)-K91),2))</f>
        <v/>
      </c>
      <c r="AB91" s="85" t="str">
        <f>IF(A91="","",IF(AND(M91&gt;0,M91&gt;=p_DifMin),AA91,0))</f>
        <v/>
      </c>
      <c r="AC91" s="85" t="str">
        <f>IF(A91="","",IF(AND(AB91&gt;0,N(O91)&lt;=p_MaxAtivos),AB91,0))</f>
        <v/>
      </c>
      <c r="AD91" s="85" t="str">
        <f>IF(A91="","",IF(OR(Q91&lt;=0,Q91&lt;p_CompraMin,N(H91)&lt;=0,N(W91)&lt;=0),0,IF($W$3="Sim",TRUNC(ROUND(MAX(0,(Q91-p_CorrFixa)/(H91*W91*$W$6)),9),$W$4),TRUNC(ROUND(MAX(0,(Q91-p_CorrFixa)/(H91*W91*$W$6)),9)/$W$5)*$W$5)))</f>
        <v/>
      </c>
      <c r="AE91" s="85" t="str">
        <f>IF(A91="","",IF(N(AD91)&gt;0,AD91*H91*W91*$W$6+p_CorrFixa,0))</f>
        <v/>
      </c>
      <c r="AF91" s="85" t="str">
        <f>IF(A91="","",IF(OR($Y$1&lt;=0,N(H91)&lt;=0,N(W91)&lt;=0,N(AB91)&lt;=0),0,IF($W$3="Sim",TRUNC(ROUND(MAX(0,($Y$1-IF(N(AD91)&gt;0,0,p_CorrFixa))/(H91*W91*$W$6)),9),$W$4),TRUNC(ROUND(MAX(0,($Y$1-IF(N(AD91)&gt;0,0,p_CorrFixa))/(H91*W91*$W$6)),9)/$W$5)*$W$5)))</f>
        <v/>
      </c>
      <c r="AG91" s="85" t="str">
        <f>IF(A91="","",IF(AND(N(AD91)=0,N(AF91)*(H91*W91*$W$6)+p_CorrFixa&lt;p_CompraMin),0,AF91))</f>
        <v/>
      </c>
      <c r="AH91" s="85" t="str">
        <f>IF(A91="","",IF(N(AG91)&gt;0,AB91,0))</f>
        <v/>
      </c>
      <c r="AI91" s="85" t="str">
        <f>IF(A91="","",IF(AND(AH91&gt;0,AH91=$AH$6,COUNTIF($AH$9:AH91,AH91)=1),1,0))</f>
        <v/>
      </c>
    </row>
    <row r="92">
      <c r="A92" s="96" t="n"/>
      <c r="B92" s="96" t="n"/>
      <c r="C92" s="96" t="n"/>
      <c r="D92" s="97" t="n"/>
      <c r="E92" s="98" t="n"/>
      <c r="F92" s="99" t="n"/>
      <c r="G92" s="100" t="n"/>
      <c r="H92" s="104" t="str">
        <f>IF(A92="","",IF(AND(p_ModoCot="Automático",ISNUMBER(Z92)),Z92,IF(N(G92)&gt;0,G92,0)))</f>
        <v/>
      </c>
      <c r="I92" s="105" t="str">
        <f>IF(A92="","",IF(W92=0,"Sem câmbio",IF(AND(p_ModoCot="Automático",ISNUMBER(Z92)),"Auto",IF(N(G92)&gt;0,"Manual","Sem cotação"))))</f>
        <v/>
      </c>
      <c r="J92" s="106" t="str">
        <f>IF(A92="","",N(E92)*H92)</f>
        <v/>
      </c>
      <c r="K92" s="107" t="str">
        <f>IF(A92="","",J92*W92)</f>
        <v/>
      </c>
      <c r="L92" s="108" t="str">
        <f>IF(A92="","",IF($K$6&gt;0,K92/$K$6,0))</f>
        <v/>
      </c>
      <c r="M92" s="109" t="str">
        <f>IF(A92="","",N(F92)-L92)</f>
        <v/>
      </c>
      <c r="N92" s="108" t="str">
        <f>IF(A92="","",IF($AB$6&gt;0,AB92/$AB$6,0))</f>
        <v/>
      </c>
      <c r="O92" s="110" t="str">
        <f>IF(A92="","",IF(AB92&lt;=0,"",COUNTIF($AB$9:$AB$208,"&gt;"&amp;AB92)+COUNTIF($AB$9:AB92,AB92)))</f>
        <v/>
      </c>
      <c r="P92" s="105" t="str">
        <f>IF(A92="","",IF(Q92&gt;0,"BUY","HOLD"))</f>
        <v/>
      </c>
      <c r="Q92" s="107" t="str">
        <f>IF(A92="","",IF($W$7&lt;=0,0,IF($AC$6&gt;0,$W$7*AC92/$AC$6,IF($F$6&gt;0,$W$7*N(F92)/$F$6,0))))</f>
        <v/>
      </c>
      <c r="R92" s="111" t="str">
        <f>IF(A92="","",N(AD92)+IF(AI92=1,N(AG92),0))</f>
        <v/>
      </c>
      <c r="S92" s="111" t="str">
        <f>IF(A92="","",N(E92)+N(R92))</f>
        <v/>
      </c>
      <c r="T92" s="107" t="str">
        <f>IF(A92="","",IF(N(R92)&gt;0,R92*H92*W92*$W$6+p_CorrFixa,0))</f>
        <v/>
      </c>
      <c r="V92" s="85" t="str">
        <f>IF(A92="","",IF(D92="",$W$1,D92))</f>
        <v/>
      </c>
      <c r="W92" s="85" t="str">
        <f>IF(A92="","",IFERROR(INDEX(moeda_fx,MATCH(V92,moeda_cod,0)),0))</f>
        <v/>
      </c>
      <c r="X92" s="85" t="str">
        <f>IF(A92="","",IF($W$2="",UPPER(TRIM(A92)),IF(RIGHT(UPPER(TRIM(A92)),LEN($W$2))=$W$2,UPPER(TRIM(A92)),UPPER(TRIM(A92))&amp;$W$2)))</f>
        <v/>
      </c>
      <c r="Y92" s="85" t="str">
        <f>IF(OR(A92="",p_ModoCot&lt;&gt;"Automático"),"",IFERROR(_xlfn.WEBSERVICE("https://query1.finance.yahoo.com/v8/finance/chart/"&amp;X92&amp;"?range=1d&amp;interval=1d"),""))</f>
        <v/>
      </c>
      <c r="Z92" s="85" t="str">
        <f>IF(Y92="","",IFERROR(_xlfn.NUMBERVALUE(MID(Y92,SEARCH("""regularMarketPrice"":",Y92)+21,SEARCH(",",Y92&amp;",",SEARCH("""regularMarketPrice"":",Y92)+21)-SEARCH("""regularMarketPrice"":",Y92)-21),".",","),""))</f>
        <v/>
      </c>
      <c r="AA92" s="85" t="str">
        <f>IF(A92="","",ROUND(MAX(0,N(F92)*($K$6+$W$7)-K92),2))</f>
        <v/>
      </c>
      <c r="AB92" s="85" t="str">
        <f>IF(A92="","",IF(AND(M92&gt;0,M92&gt;=p_DifMin),AA92,0))</f>
        <v/>
      </c>
      <c r="AC92" s="85" t="str">
        <f>IF(A92="","",IF(AND(AB92&gt;0,N(O92)&lt;=p_MaxAtivos),AB92,0))</f>
        <v/>
      </c>
      <c r="AD92" s="85" t="str">
        <f>IF(A92="","",IF(OR(Q92&lt;=0,Q92&lt;p_CompraMin,N(H92)&lt;=0,N(W92)&lt;=0),0,IF($W$3="Sim",TRUNC(ROUND(MAX(0,(Q92-p_CorrFixa)/(H92*W92*$W$6)),9),$W$4),TRUNC(ROUND(MAX(0,(Q92-p_CorrFixa)/(H92*W92*$W$6)),9)/$W$5)*$W$5)))</f>
        <v/>
      </c>
      <c r="AE92" s="85" t="str">
        <f>IF(A92="","",IF(N(AD92)&gt;0,AD92*H92*W92*$W$6+p_CorrFixa,0))</f>
        <v/>
      </c>
      <c r="AF92" s="85" t="str">
        <f>IF(A92="","",IF(OR($Y$1&lt;=0,N(H92)&lt;=0,N(W92)&lt;=0,N(AB92)&lt;=0),0,IF($W$3="Sim",TRUNC(ROUND(MAX(0,($Y$1-IF(N(AD92)&gt;0,0,p_CorrFixa))/(H92*W92*$W$6)),9),$W$4),TRUNC(ROUND(MAX(0,($Y$1-IF(N(AD92)&gt;0,0,p_CorrFixa))/(H92*W92*$W$6)),9)/$W$5)*$W$5)))</f>
        <v/>
      </c>
      <c r="AG92" s="85" t="str">
        <f>IF(A92="","",IF(AND(N(AD92)=0,N(AF92)*(H92*W92*$W$6)+p_CorrFixa&lt;p_CompraMin),0,AF92))</f>
        <v/>
      </c>
      <c r="AH92" s="85" t="str">
        <f>IF(A92="","",IF(N(AG92)&gt;0,AB92,0))</f>
        <v/>
      </c>
      <c r="AI92" s="85" t="str">
        <f>IF(A92="","",IF(AND(AH92&gt;0,AH92=$AH$6,COUNTIF($AH$9:AH92,AH92)=1),1,0))</f>
        <v/>
      </c>
    </row>
    <row r="93">
      <c r="A93" s="96" t="n"/>
      <c r="B93" s="96" t="n"/>
      <c r="C93" s="96" t="n"/>
      <c r="D93" s="97" t="n"/>
      <c r="E93" s="98" t="n"/>
      <c r="F93" s="99" t="n"/>
      <c r="G93" s="100" t="n"/>
      <c r="H93" s="101" t="str">
        <f>IF(A93="","",IF(AND(p_ModoCot="Automático",ISNUMBER(Z93)),Z93,IF(N(G93)&gt;0,G93,0)))</f>
        <v/>
      </c>
      <c r="I93" s="73" t="str">
        <f>IF(A93="","",IF(W93=0,"Sem câmbio",IF(AND(p_ModoCot="Automático",ISNUMBER(Z93)),"Auto",IF(N(G93)&gt;0,"Manual","Sem cotação"))))</f>
        <v/>
      </c>
      <c r="J93" s="102" t="str">
        <f>IF(A93="","",N(E93)*H93)</f>
        <v/>
      </c>
      <c r="K93" s="70" t="str">
        <f>IF(A93="","",J93*W93)</f>
        <v/>
      </c>
      <c r="L93" s="30" t="str">
        <f>IF(A93="","",IF($K$6&gt;0,K93/$K$6,0))</f>
        <v/>
      </c>
      <c r="M93" s="72" t="str">
        <f>IF(A93="","",N(F93)-L93)</f>
        <v/>
      </c>
      <c r="N93" s="30" t="str">
        <f>IF(A93="","",IF($AB$6&gt;0,AB93/$AB$6,0))</f>
        <v/>
      </c>
      <c r="O93" s="74" t="str">
        <f>IF(A93="","",IF(AB93&lt;=0,"",COUNTIF($AB$9:$AB$208,"&gt;"&amp;AB93)+COUNTIF($AB$9:AB93,AB93)))</f>
        <v/>
      </c>
      <c r="P93" s="73" t="str">
        <f>IF(A93="","",IF(Q93&gt;0,"BUY","HOLD"))</f>
        <v/>
      </c>
      <c r="Q93" s="70" t="str">
        <f>IF(A93="","",IF($W$7&lt;=0,0,IF($AC$6&gt;0,$W$7*AC93/$AC$6,IF($F$6&gt;0,$W$7*N(F93)/$F$6,0))))</f>
        <v/>
      </c>
      <c r="R93" s="103" t="str">
        <f>IF(A93="","",N(AD93)+IF(AI93=1,N(AG93),0))</f>
        <v/>
      </c>
      <c r="S93" s="103" t="str">
        <f>IF(A93="","",N(E93)+N(R93))</f>
        <v/>
      </c>
      <c r="T93" s="70" t="str">
        <f>IF(A93="","",IF(N(R93)&gt;0,R93*H93*W93*$W$6+p_CorrFixa,0))</f>
        <v/>
      </c>
      <c r="V93" s="85" t="str">
        <f>IF(A93="","",IF(D93="",$W$1,D93))</f>
        <v/>
      </c>
      <c r="W93" s="85" t="str">
        <f>IF(A93="","",IFERROR(INDEX(moeda_fx,MATCH(V93,moeda_cod,0)),0))</f>
        <v/>
      </c>
      <c r="X93" s="85" t="str">
        <f>IF(A93="","",IF($W$2="",UPPER(TRIM(A93)),IF(RIGHT(UPPER(TRIM(A93)),LEN($W$2))=$W$2,UPPER(TRIM(A93)),UPPER(TRIM(A93))&amp;$W$2)))</f>
        <v/>
      </c>
      <c r="Y93" s="85" t="str">
        <f>IF(OR(A93="",p_ModoCot&lt;&gt;"Automático"),"",IFERROR(_xlfn.WEBSERVICE("https://query1.finance.yahoo.com/v8/finance/chart/"&amp;X93&amp;"?range=1d&amp;interval=1d"),""))</f>
        <v/>
      </c>
      <c r="Z93" s="85" t="str">
        <f>IF(Y93="","",IFERROR(_xlfn.NUMBERVALUE(MID(Y93,SEARCH("""regularMarketPrice"":",Y93)+21,SEARCH(",",Y93&amp;",",SEARCH("""regularMarketPrice"":",Y93)+21)-SEARCH("""regularMarketPrice"":",Y93)-21),".",","),""))</f>
        <v/>
      </c>
      <c r="AA93" s="85" t="str">
        <f>IF(A93="","",ROUND(MAX(0,N(F93)*($K$6+$W$7)-K93),2))</f>
        <v/>
      </c>
      <c r="AB93" s="85" t="str">
        <f>IF(A93="","",IF(AND(M93&gt;0,M93&gt;=p_DifMin),AA93,0))</f>
        <v/>
      </c>
      <c r="AC93" s="85" t="str">
        <f>IF(A93="","",IF(AND(AB93&gt;0,N(O93)&lt;=p_MaxAtivos),AB93,0))</f>
        <v/>
      </c>
      <c r="AD93" s="85" t="str">
        <f>IF(A93="","",IF(OR(Q93&lt;=0,Q93&lt;p_CompraMin,N(H93)&lt;=0,N(W93)&lt;=0),0,IF($W$3="Sim",TRUNC(ROUND(MAX(0,(Q93-p_CorrFixa)/(H93*W93*$W$6)),9),$W$4),TRUNC(ROUND(MAX(0,(Q93-p_CorrFixa)/(H93*W93*$W$6)),9)/$W$5)*$W$5)))</f>
        <v/>
      </c>
      <c r="AE93" s="85" t="str">
        <f>IF(A93="","",IF(N(AD93)&gt;0,AD93*H93*W93*$W$6+p_CorrFixa,0))</f>
        <v/>
      </c>
      <c r="AF93" s="85" t="str">
        <f>IF(A93="","",IF(OR($Y$1&lt;=0,N(H93)&lt;=0,N(W93)&lt;=0,N(AB93)&lt;=0),0,IF($W$3="Sim",TRUNC(ROUND(MAX(0,($Y$1-IF(N(AD93)&gt;0,0,p_CorrFixa))/(H93*W93*$W$6)),9),$W$4),TRUNC(ROUND(MAX(0,($Y$1-IF(N(AD93)&gt;0,0,p_CorrFixa))/(H93*W93*$W$6)),9)/$W$5)*$W$5)))</f>
        <v/>
      </c>
      <c r="AG93" s="85" t="str">
        <f>IF(A93="","",IF(AND(N(AD93)=0,N(AF93)*(H93*W93*$W$6)+p_CorrFixa&lt;p_CompraMin),0,AF93))</f>
        <v/>
      </c>
      <c r="AH93" s="85" t="str">
        <f>IF(A93="","",IF(N(AG93)&gt;0,AB93,0))</f>
        <v/>
      </c>
      <c r="AI93" s="85" t="str">
        <f>IF(A93="","",IF(AND(AH93&gt;0,AH93=$AH$6,COUNTIF($AH$9:AH93,AH93)=1),1,0))</f>
        <v/>
      </c>
    </row>
    <row r="94">
      <c r="A94" s="96" t="n"/>
      <c r="B94" s="96" t="n"/>
      <c r="C94" s="96" t="n"/>
      <c r="D94" s="97" t="n"/>
      <c r="E94" s="98" t="n"/>
      <c r="F94" s="99" t="n"/>
      <c r="G94" s="100" t="n"/>
      <c r="H94" s="104" t="str">
        <f>IF(A94="","",IF(AND(p_ModoCot="Automático",ISNUMBER(Z94)),Z94,IF(N(G94)&gt;0,G94,0)))</f>
        <v/>
      </c>
      <c r="I94" s="105" t="str">
        <f>IF(A94="","",IF(W94=0,"Sem câmbio",IF(AND(p_ModoCot="Automático",ISNUMBER(Z94)),"Auto",IF(N(G94)&gt;0,"Manual","Sem cotação"))))</f>
        <v/>
      </c>
      <c r="J94" s="106" t="str">
        <f>IF(A94="","",N(E94)*H94)</f>
        <v/>
      </c>
      <c r="K94" s="107" t="str">
        <f>IF(A94="","",J94*W94)</f>
        <v/>
      </c>
      <c r="L94" s="108" t="str">
        <f>IF(A94="","",IF($K$6&gt;0,K94/$K$6,0))</f>
        <v/>
      </c>
      <c r="M94" s="109" t="str">
        <f>IF(A94="","",N(F94)-L94)</f>
        <v/>
      </c>
      <c r="N94" s="108" t="str">
        <f>IF(A94="","",IF($AB$6&gt;0,AB94/$AB$6,0))</f>
        <v/>
      </c>
      <c r="O94" s="110" t="str">
        <f>IF(A94="","",IF(AB94&lt;=0,"",COUNTIF($AB$9:$AB$208,"&gt;"&amp;AB94)+COUNTIF($AB$9:AB94,AB94)))</f>
        <v/>
      </c>
      <c r="P94" s="105" t="str">
        <f>IF(A94="","",IF(Q94&gt;0,"BUY","HOLD"))</f>
        <v/>
      </c>
      <c r="Q94" s="107" t="str">
        <f>IF(A94="","",IF($W$7&lt;=0,0,IF($AC$6&gt;0,$W$7*AC94/$AC$6,IF($F$6&gt;0,$W$7*N(F94)/$F$6,0))))</f>
        <v/>
      </c>
      <c r="R94" s="111" t="str">
        <f>IF(A94="","",N(AD94)+IF(AI94=1,N(AG94),0))</f>
        <v/>
      </c>
      <c r="S94" s="111" t="str">
        <f>IF(A94="","",N(E94)+N(R94))</f>
        <v/>
      </c>
      <c r="T94" s="107" t="str">
        <f>IF(A94="","",IF(N(R94)&gt;0,R94*H94*W94*$W$6+p_CorrFixa,0))</f>
        <v/>
      </c>
      <c r="V94" s="85" t="str">
        <f>IF(A94="","",IF(D94="",$W$1,D94))</f>
        <v/>
      </c>
      <c r="W94" s="85" t="str">
        <f>IF(A94="","",IFERROR(INDEX(moeda_fx,MATCH(V94,moeda_cod,0)),0))</f>
        <v/>
      </c>
      <c r="X94" s="85" t="str">
        <f>IF(A94="","",IF($W$2="",UPPER(TRIM(A94)),IF(RIGHT(UPPER(TRIM(A94)),LEN($W$2))=$W$2,UPPER(TRIM(A94)),UPPER(TRIM(A94))&amp;$W$2)))</f>
        <v/>
      </c>
      <c r="Y94" s="85" t="str">
        <f>IF(OR(A94="",p_ModoCot&lt;&gt;"Automático"),"",IFERROR(_xlfn.WEBSERVICE("https://query1.finance.yahoo.com/v8/finance/chart/"&amp;X94&amp;"?range=1d&amp;interval=1d"),""))</f>
        <v/>
      </c>
      <c r="Z94" s="85" t="str">
        <f>IF(Y94="","",IFERROR(_xlfn.NUMBERVALUE(MID(Y94,SEARCH("""regularMarketPrice"":",Y94)+21,SEARCH(",",Y94&amp;",",SEARCH("""regularMarketPrice"":",Y94)+21)-SEARCH("""regularMarketPrice"":",Y94)-21),".",","),""))</f>
        <v/>
      </c>
      <c r="AA94" s="85" t="str">
        <f>IF(A94="","",ROUND(MAX(0,N(F94)*($K$6+$W$7)-K94),2))</f>
        <v/>
      </c>
      <c r="AB94" s="85" t="str">
        <f>IF(A94="","",IF(AND(M94&gt;0,M94&gt;=p_DifMin),AA94,0))</f>
        <v/>
      </c>
      <c r="AC94" s="85" t="str">
        <f>IF(A94="","",IF(AND(AB94&gt;0,N(O94)&lt;=p_MaxAtivos),AB94,0))</f>
        <v/>
      </c>
      <c r="AD94" s="85" t="str">
        <f>IF(A94="","",IF(OR(Q94&lt;=0,Q94&lt;p_CompraMin,N(H94)&lt;=0,N(W94)&lt;=0),0,IF($W$3="Sim",TRUNC(ROUND(MAX(0,(Q94-p_CorrFixa)/(H94*W94*$W$6)),9),$W$4),TRUNC(ROUND(MAX(0,(Q94-p_CorrFixa)/(H94*W94*$W$6)),9)/$W$5)*$W$5)))</f>
        <v/>
      </c>
      <c r="AE94" s="85" t="str">
        <f>IF(A94="","",IF(N(AD94)&gt;0,AD94*H94*W94*$W$6+p_CorrFixa,0))</f>
        <v/>
      </c>
      <c r="AF94" s="85" t="str">
        <f>IF(A94="","",IF(OR($Y$1&lt;=0,N(H94)&lt;=0,N(W94)&lt;=0,N(AB94)&lt;=0),0,IF($W$3="Sim",TRUNC(ROUND(MAX(0,($Y$1-IF(N(AD94)&gt;0,0,p_CorrFixa))/(H94*W94*$W$6)),9),$W$4),TRUNC(ROUND(MAX(0,($Y$1-IF(N(AD94)&gt;0,0,p_CorrFixa))/(H94*W94*$W$6)),9)/$W$5)*$W$5)))</f>
        <v/>
      </c>
      <c r="AG94" s="85" t="str">
        <f>IF(A94="","",IF(AND(N(AD94)=0,N(AF94)*(H94*W94*$W$6)+p_CorrFixa&lt;p_CompraMin),0,AF94))</f>
        <v/>
      </c>
      <c r="AH94" s="85" t="str">
        <f>IF(A94="","",IF(N(AG94)&gt;0,AB94,0))</f>
        <v/>
      </c>
      <c r="AI94" s="85" t="str">
        <f>IF(A94="","",IF(AND(AH94&gt;0,AH94=$AH$6,COUNTIF($AH$9:AH94,AH94)=1),1,0))</f>
        <v/>
      </c>
    </row>
    <row r="95">
      <c r="A95" s="96" t="n"/>
      <c r="B95" s="96" t="n"/>
      <c r="C95" s="96" t="n"/>
      <c r="D95" s="97" t="n"/>
      <c r="E95" s="98" t="n"/>
      <c r="F95" s="99" t="n"/>
      <c r="G95" s="100" t="n"/>
      <c r="H95" s="101" t="str">
        <f>IF(A95="","",IF(AND(p_ModoCot="Automático",ISNUMBER(Z95)),Z95,IF(N(G95)&gt;0,G95,0)))</f>
        <v/>
      </c>
      <c r="I95" s="73" t="str">
        <f>IF(A95="","",IF(W95=0,"Sem câmbio",IF(AND(p_ModoCot="Automático",ISNUMBER(Z95)),"Auto",IF(N(G95)&gt;0,"Manual","Sem cotação"))))</f>
        <v/>
      </c>
      <c r="J95" s="102" t="str">
        <f>IF(A95="","",N(E95)*H95)</f>
        <v/>
      </c>
      <c r="K95" s="70" t="str">
        <f>IF(A95="","",J95*W95)</f>
        <v/>
      </c>
      <c r="L95" s="30" t="str">
        <f>IF(A95="","",IF($K$6&gt;0,K95/$K$6,0))</f>
        <v/>
      </c>
      <c r="M95" s="72" t="str">
        <f>IF(A95="","",N(F95)-L95)</f>
        <v/>
      </c>
      <c r="N95" s="30" t="str">
        <f>IF(A95="","",IF($AB$6&gt;0,AB95/$AB$6,0))</f>
        <v/>
      </c>
      <c r="O95" s="74" t="str">
        <f>IF(A95="","",IF(AB95&lt;=0,"",COUNTIF($AB$9:$AB$208,"&gt;"&amp;AB95)+COUNTIF($AB$9:AB95,AB95)))</f>
        <v/>
      </c>
      <c r="P95" s="73" t="str">
        <f>IF(A95="","",IF(Q95&gt;0,"BUY","HOLD"))</f>
        <v/>
      </c>
      <c r="Q95" s="70" t="str">
        <f>IF(A95="","",IF($W$7&lt;=0,0,IF($AC$6&gt;0,$W$7*AC95/$AC$6,IF($F$6&gt;0,$W$7*N(F95)/$F$6,0))))</f>
        <v/>
      </c>
      <c r="R95" s="103" t="str">
        <f>IF(A95="","",N(AD95)+IF(AI95=1,N(AG95),0))</f>
        <v/>
      </c>
      <c r="S95" s="103" t="str">
        <f>IF(A95="","",N(E95)+N(R95))</f>
        <v/>
      </c>
      <c r="T95" s="70" t="str">
        <f>IF(A95="","",IF(N(R95)&gt;0,R95*H95*W95*$W$6+p_CorrFixa,0))</f>
        <v/>
      </c>
      <c r="V95" s="85" t="str">
        <f>IF(A95="","",IF(D95="",$W$1,D95))</f>
        <v/>
      </c>
      <c r="W95" s="85" t="str">
        <f>IF(A95="","",IFERROR(INDEX(moeda_fx,MATCH(V95,moeda_cod,0)),0))</f>
        <v/>
      </c>
      <c r="X95" s="85" t="str">
        <f>IF(A95="","",IF($W$2="",UPPER(TRIM(A95)),IF(RIGHT(UPPER(TRIM(A95)),LEN($W$2))=$W$2,UPPER(TRIM(A95)),UPPER(TRIM(A95))&amp;$W$2)))</f>
        <v/>
      </c>
      <c r="Y95" s="85" t="str">
        <f>IF(OR(A95="",p_ModoCot&lt;&gt;"Automático"),"",IFERROR(_xlfn.WEBSERVICE("https://query1.finance.yahoo.com/v8/finance/chart/"&amp;X95&amp;"?range=1d&amp;interval=1d"),""))</f>
        <v/>
      </c>
      <c r="Z95" s="85" t="str">
        <f>IF(Y95="","",IFERROR(_xlfn.NUMBERVALUE(MID(Y95,SEARCH("""regularMarketPrice"":",Y95)+21,SEARCH(",",Y95&amp;",",SEARCH("""regularMarketPrice"":",Y95)+21)-SEARCH("""regularMarketPrice"":",Y95)-21),".",","),""))</f>
        <v/>
      </c>
      <c r="AA95" s="85" t="str">
        <f>IF(A95="","",ROUND(MAX(0,N(F95)*($K$6+$W$7)-K95),2))</f>
        <v/>
      </c>
      <c r="AB95" s="85" t="str">
        <f>IF(A95="","",IF(AND(M95&gt;0,M95&gt;=p_DifMin),AA95,0))</f>
        <v/>
      </c>
      <c r="AC95" s="85" t="str">
        <f>IF(A95="","",IF(AND(AB95&gt;0,N(O95)&lt;=p_MaxAtivos),AB95,0))</f>
        <v/>
      </c>
      <c r="AD95" s="85" t="str">
        <f>IF(A95="","",IF(OR(Q95&lt;=0,Q95&lt;p_CompraMin,N(H95)&lt;=0,N(W95)&lt;=0),0,IF($W$3="Sim",TRUNC(ROUND(MAX(0,(Q95-p_CorrFixa)/(H95*W95*$W$6)),9),$W$4),TRUNC(ROUND(MAX(0,(Q95-p_CorrFixa)/(H95*W95*$W$6)),9)/$W$5)*$W$5)))</f>
        <v/>
      </c>
      <c r="AE95" s="85" t="str">
        <f>IF(A95="","",IF(N(AD95)&gt;0,AD95*H95*W95*$W$6+p_CorrFixa,0))</f>
        <v/>
      </c>
      <c r="AF95" s="85" t="str">
        <f>IF(A95="","",IF(OR($Y$1&lt;=0,N(H95)&lt;=0,N(W95)&lt;=0,N(AB95)&lt;=0),0,IF($W$3="Sim",TRUNC(ROUND(MAX(0,($Y$1-IF(N(AD95)&gt;0,0,p_CorrFixa))/(H95*W95*$W$6)),9),$W$4),TRUNC(ROUND(MAX(0,($Y$1-IF(N(AD95)&gt;0,0,p_CorrFixa))/(H95*W95*$W$6)),9)/$W$5)*$W$5)))</f>
        <v/>
      </c>
      <c r="AG95" s="85" t="str">
        <f>IF(A95="","",IF(AND(N(AD95)=0,N(AF95)*(H95*W95*$W$6)+p_CorrFixa&lt;p_CompraMin),0,AF95))</f>
        <v/>
      </c>
      <c r="AH95" s="85" t="str">
        <f>IF(A95="","",IF(N(AG95)&gt;0,AB95,0))</f>
        <v/>
      </c>
      <c r="AI95" s="85" t="str">
        <f>IF(A95="","",IF(AND(AH95&gt;0,AH95=$AH$6,COUNTIF($AH$9:AH95,AH95)=1),1,0))</f>
        <v/>
      </c>
    </row>
    <row r="96">
      <c r="A96" s="96" t="n"/>
      <c r="B96" s="96" t="n"/>
      <c r="C96" s="96" t="n"/>
      <c r="D96" s="97" t="n"/>
      <c r="E96" s="98" t="n"/>
      <c r="F96" s="99" t="n"/>
      <c r="G96" s="100" t="n"/>
      <c r="H96" s="104" t="str">
        <f>IF(A96="","",IF(AND(p_ModoCot="Automático",ISNUMBER(Z96)),Z96,IF(N(G96)&gt;0,G96,0)))</f>
        <v/>
      </c>
      <c r="I96" s="105" t="str">
        <f>IF(A96="","",IF(W96=0,"Sem câmbio",IF(AND(p_ModoCot="Automático",ISNUMBER(Z96)),"Auto",IF(N(G96)&gt;0,"Manual","Sem cotação"))))</f>
        <v/>
      </c>
      <c r="J96" s="106" t="str">
        <f>IF(A96="","",N(E96)*H96)</f>
        <v/>
      </c>
      <c r="K96" s="107" t="str">
        <f>IF(A96="","",J96*W96)</f>
        <v/>
      </c>
      <c r="L96" s="108" t="str">
        <f>IF(A96="","",IF($K$6&gt;0,K96/$K$6,0))</f>
        <v/>
      </c>
      <c r="M96" s="109" t="str">
        <f>IF(A96="","",N(F96)-L96)</f>
        <v/>
      </c>
      <c r="N96" s="108" t="str">
        <f>IF(A96="","",IF($AB$6&gt;0,AB96/$AB$6,0))</f>
        <v/>
      </c>
      <c r="O96" s="110" t="str">
        <f>IF(A96="","",IF(AB96&lt;=0,"",COUNTIF($AB$9:$AB$208,"&gt;"&amp;AB96)+COUNTIF($AB$9:AB96,AB96)))</f>
        <v/>
      </c>
      <c r="P96" s="105" t="str">
        <f>IF(A96="","",IF(Q96&gt;0,"BUY","HOLD"))</f>
        <v/>
      </c>
      <c r="Q96" s="107" t="str">
        <f>IF(A96="","",IF($W$7&lt;=0,0,IF($AC$6&gt;0,$W$7*AC96/$AC$6,IF($F$6&gt;0,$W$7*N(F96)/$F$6,0))))</f>
        <v/>
      </c>
      <c r="R96" s="111" t="str">
        <f>IF(A96="","",N(AD96)+IF(AI96=1,N(AG96),0))</f>
        <v/>
      </c>
      <c r="S96" s="111" t="str">
        <f>IF(A96="","",N(E96)+N(R96))</f>
        <v/>
      </c>
      <c r="T96" s="107" t="str">
        <f>IF(A96="","",IF(N(R96)&gt;0,R96*H96*W96*$W$6+p_CorrFixa,0))</f>
        <v/>
      </c>
      <c r="V96" s="85" t="str">
        <f>IF(A96="","",IF(D96="",$W$1,D96))</f>
        <v/>
      </c>
      <c r="W96" s="85" t="str">
        <f>IF(A96="","",IFERROR(INDEX(moeda_fx,MATCH(V96,moeda_cod,0)),0))</f>
        <v/>
      </c>
      <c r="X96" s="85" t="str">
        <f>IF(A96="","",IF($W$2="",UPPER(TRIM(A96)),IF(RIGHT(UPPER(TRIM(A96)),LEN($W$2))=$W$2,UPPER(TRIM(A96)),UPPER(TRIM(A96))&amp;$W$2)))</f>
        <v/>
      </c>
      <c r="Y96" s="85" t="str">
        <f>IF(OR(A96="",p_ModoCot&lt;&gt;"Automático"),"",IFERROR(_xlfn.WEBSERVICE("https://query1.finance.yahoo.com/v8/finance/chart/"&amp;X96&amp;"?range=1d&amp;interval=1d"),""))</f>
        <v/>
      </c>
      <c r="Z96" s="85" t="str">
        <f>IF(Y96="","",IFERROR(_xlfn.NUMBERVALUE(MID(Y96,SEARCH("""regularMarketPrice"":",Y96)+21,SEARCH(",",Y96&amp;",",SEARCH("""regularMarketPrice"":",Y96)+21)-SEARCH("""regularMarketPrice"":",Y96)-21),".",","),""))</f>
        <v/>
      </c>
      <c r="AA96" s="85" t="str">
        <f>IF(A96="","",ROUND(MAX(0,N(F96)*($K$6+$W$7)-K96),2))</f>
        <v/>
      </c>
      <c r="AB96" s="85" t="str">
        <f>IF(A96="","",IF(AND(M96&gt;0,M96&gt;=p_DifMin),AA96,0))</f>
        <v/>
      </c>
      <c r="AC96" s="85" t="str">
        <f>IF(A96="","",IF(AND(AB96&gt;0,N(O96)&lt;=p_MaxAtivos),AB96,0))</f>
        <v/>
      </c>
      <c r="AD96" s="85" t="str">
        <f>IF(A96="","",IF(OR(Q96&lt;=0,Q96&lt;p_CompraMin,N(H96)&lt;=0,N(W96)&lt;=0),0,IF($W$3="Sim",TRUNC(ROUND(MAX(0,(Q96-p_CorrFixa)/(H96*W96*$W$6)),9),$W$4),TRUNC(ROUND(MAX(0,(Q96-p_CorrFixa)/(H96*W96*$W$6)),9)/$W$5)*$W$5)))</f>
        <v/>
      </c>
      <c r="AE96" s="85" t="str">
        <f>IF(A96="","",IF(N(AD96)&gt;0,AD96*H96*W96*$W$6+p_CorrFixa,0))</f>
        <v/>
      </c>
      <c r="AF96" s="85" t="str">
        <f>IF(A96="","",IF(OR($Y$1&lt;=0,N(H96)&lt;=0,N(W96)&lt;=0,N(AB96)&lt;=0),0,IF($W$3="Sim",TRUNC(ROUND(MAX(0,($Y$1-IF(N(AD96)&gt;0,0,p_CorrFixa))/(H96*W96*$W$6)),9),$W$4),TRUNC(ROUND(MAX(0,($Y$1-IF(N(AD96)&gt;0,0,p_CorrFixa))/(H96*W96*$W$6)),9)/$W$5)*$W$5)))</f>
        <v/>
      </c>
      <c r="AG96" s="85" t="str">
        <f>IF(A96="","",IF(AND(N(AD96)=0,N(AF96)*(H96*W96*$W$6)+p_CorrFixa&lt;p_CompraMin),0,AF96))</f>
        <v/>
      </c>
      <c r="AH96" s="85" t="str">
        <f>IF(A96="","",IF(N(AG96)&gt;0,AB96,0))</f>
        <v/>
      </c>
      <c r="AI96" s="85" t="str">
        <f>IF(A96="","",IF(AND(AH96&gt;0,AH96=$AH$6,COUNTIF($AH$9:AH96,AH96)=1),1,0))</f>
        <v/>
      </c>
    </row>
    <row r="97">
      <c r="A97" s="96" t="n"/>
      <c r="B97" s="96" t="n"/>
      <c r="C97" s="96" t="n"/>
      <c r="D97" s="97" t="n"/>
      <c r="E97" s="98" t="n"/>
      <c r="F97" s="99" t="n"/>
      <c r="G97" s="100" t="n"/>
      <c r="H97" s="101" t="str">
        <f>IF(A97="","",IF(AND(p_ModoCot="Automático",ISNUMBER(Z97)),Z97,IF(N(G97)&gt;0,G97,0)))</f>
        <v/>
      </c>
      <c r="I97" s="73" t="str">
        <f>IF(A97="","",IF(W97=0,"Sem câmbio",IF(AND(p_ModoCot="Automático",ISNUMBER(Z97)),"Auto",IF(N(G97)&gt;0,"Manual","Sem cotação"))))</f>
        <v/>
      </c>
      <c r="J97" s="102" t="str">
        <f>IF(A97="","",N(E97)*H97)</f>
        <v/>
      </c>
      <c r="K97" s="70" t="str">
        <f>IF(A97="","",J97*W97)</f>
        <v/>
      </c>
      <c r="L97" s="30" t="str">
        <f>IF(A97="","",IF($K$6&gt;0,K97/$K$6,0))</f>
        <v/>
      </c>
      <c r="M97" s="72" t="str">
        <f>IF(A97="","",N(F97)-L97)</f>
        <v/>
      </c>
      <c r="N97" s="30" t="str">
        <f>IF(A97="","",IF($AB$6&gt;0,AB97/$AB$6,0))</f>
        <v/>
      </c>
      <c r="O97" s="74" t="str">
        <f>IF(A97="","",IF(AB97&lt;=0,"",COUNTIF($AB$9:$AB$208,"&gt;"&amp;AB97)+COUNTIF($AB$9:AB97,AB97)))</f>
        <v/>
      </c>
      <c r="P97" s="73" t="str">
        <f>IF(A97="","",IF(Q97&gt;0,"BUY","HOLD"))</f>
        <v/>
      </c>
      <c r="Q97" s="70" t="str">
        <f>IF(A97="","",IF($W$7&lt;=0,0,IF($AC$6&gt;0,$W$7*AC97/$AC$6,IF($F$6&gt;0,$W$7*N(F97)/$F$6,0))))</f>
        <v/>
      </c>
      <c r="R97" s="103" t="str">
        <f>IF(A97="","",N(AD97)+IF(AI97=1,N(AG97),0))</f>
        <v/>
      </c>
      <c r="S97" s="103" t="str">
        <f>IF(A97="","",N(E97)+N(R97))</f>
        <v/>
      </c>
      <c r="T97" s="70" t="str">
        <f>IF(A97="","",IF(N(R97)&gt;0,R97*H97*W97*$W$6+p_CorrFixa,0))</f>
        <v/>
      </c>
      <c r="V97" s="85" t="str">
        <f>IF(A97="","",IF(D97="",$W$1,D97))</f>
        <v/>
      </c>
      <c r="W97" s="85" t="str">
        <f>IF(A97="","",IFERROR(INDEX(moeda_fx,MATCH(V97,moeda_cod,0)),0))</f>
        <v/>
      </c>
      <c r="X97" s="85" t="str">
        <f>IF(A97="","",IF($W$2="",UPPER(TRIM(A97)),IF(RIGHT(UPPER(TRIM(A97)),LEN($W$2))=$W$2,UPPER(TRIM(A97)),UPPER(TRIM(A97))&amp;$W$2)))</f>
        <v/>
      </c>
      <c r="Y97" s="85" t="str">
        <f>IF(OR(A97="",p_ModoCot&lt;&gt;"Automático"),"",IFERROR(_xlfn.WEBSERVICE("https://query1.finance.yahoo.com/v8/finance/chart/"&amp;X97&amp;"?range=1d&amp;interval=1d"),""))</f>
        <v/>
      </c>
      <c r="Z97" s="85" t="str">
        <f>IF(Y97="","",IFERROR(_xlfn.NUMBERVALUE(MID(Y97,SEARCH("""regularMarketPrice"":",Y97)+21,SEARCH(",",Y97&amp;",",SEARCH("""regularMarketPrice"":",Y97)+21)-SEARCH("""regularMarketPrice"":",Y97)-21),".",","),""))</f>
        <v/>
      </c>
      <c r="AA97" s="85" t="str">
        <f>IF(A97="","",ROUND(MAX(0,N(F97)*($K$6+$W$7)-K97),2))</f>
        <v/>
      </c>
      <c r="AB97" s="85" t="str">
        <f>IF(A97="","",IF(AND(M97&gt;0,M97&gt;=p_DifMin),AA97,0))</f>
        <v/>
      </c>
      <c r="AC97" s="85" t="str">
        <f>IF(A97="","",IF(AND(AB97&gt;0,N(O97)&lt;=p_MaxAtivos),AB97,0))</f>
        <v/>
      </c>
      <c r="AD97" s="85" t="str">
        <f>IF(A97="","",IF(OR(Q97&lt;=0,Q97&lt;p_CompraMin,N(H97)&lt;=0,N(W97)&lt;=0),0,IF($W$3="Sim",TRUNC(ROUND(MAX(0,(Q97-p_CorrFixa)/(H97*W97*$W$6)),9),$W$4),TRUNC(ROUND(MAX(0,(Q97-p_CorrFixa)/(H97*W97*$W$6)),9)/$W$5)*$W$5)))</f>
        <v/>
      </c>
      <c r="AE97" s="85" t="str">
        <f>IF(A97="","",IF(N(AD97)&gt;0,AD97*H97*W97*$W$6+p_CorrFixa,0))</f>
        <v/>
      </c>
      <c r="AF97" s="85" t="str">
        <f>IF(A97="","",IF(OR($Y$1&lt;=0,N(H97)&lt;=0,N(W97)&lt;=0,N(AB97)&lt;=0),0,IF($W$3="Sim",TRUNC(ROUND(MAX(0,($Y$1-IF(N(AD97)&gt;0,0,p_CorrFixa))/(H97*W97*$W$6)),9),$W$4),TRUNC(ROUND(MAX(0,($Y$1-IF(N(AD97)&gt;0,0,p_CorrFixa))/(H97*W97*$W$6)),9)/$W$5)*$W$5)))</f>
        <v/>
      </c>
      <c r="AG97" s="85" t="str">
        <f>IF(A97="","",IF(AND(N(AD97)=0,N(AF97)*(H97*W97*$W$6)+p_CorrFixa&lt;p_CompraMin),0,AF97))</f>
        <v/>
      </c>
      <c r="AH97" s="85" t="str">
        <f>IF(A97="","",IF(N(AG97)&gt;0,AB97,0))</f>
        <v/>
      </c>
      <c r="AI97" s="85" t="str">
        <f>IF(A97="","",IF(AND(AH97&gt;0,AH97=$AH$6,COUNTIF($AH$9:AH97,AH97)=1),1,0))</f>
        <v/>
      </c>
    </row>
    <row r="98">
      <c r="A98" s="96" t="n"/>
      <c r="B98" s="96" t="n"/>
      <c r="C98" s="96" t="n"/>
      <c r="D98" s="97" t="n"/>
      <c r="E98" s="98" t="n"/>
      <c r="F98" s="99" t="n"/>
      <c r="G98" s="100" t="n"/>
      <c r="H98" s="104" t="str">
        <f>IF(A98="","",IF(AND(p_ModoCot="Automático",ISNUMBER(Z98)),Z98,IF(N(G98)&gt;0,G98,0)))</f>
        <v/>
      </c>
      <c r="I98" s="105" t="str">
        <f>IF(A98="","",IF(W98=0,"Sem câmbio",IF(AND(p_ModoCot="Automático",ISNUMBER(Z98)),"Auto",IF(N(G98)&gt;0,"Manual","Sem cotação"))))</f>
        <v/>
      </c>
      <c r="J98" s="106" t="str">
        <f>IF(A98="","",N(E98)*H98)</f>
        <v/>
      </c>
      <c r="K98" s="107" t="str">
        <f>IF(A98="","",J98*W98)</f>
        <v/>
      </c>
      <c r="L98" s="108" t="str">
        <f>IF(A98="","",IF($K$6&gt;0,K98/$K$6,0))</f>
        <v/>
      </c>
      <c r="M98" s="109" t="str">
        <f>IF(A98="","",N(F98)-L98)</f>
        <v/>
      </c>
      <c r="N98" s="108" t="str">
        <f>IF(A98="","",IF($AB$6&gt;0,AB98/$AB$6,0))</f>
        <v/>
      </c>
      <c r="O98" s="110" t="str">
        <f>IF(A98="","",IF(AB98&lt;=0,"",COUNTIF($AB$9:$AB$208,"&gt;"&amp;AB98)+COUNTIF($AB$9:AB98,AB98)))</f>
        <v/>
      </c>
      <c r="P98" s="105" t="str">
        <f>IF(A98="","",IF(Q98&gt;0,"BUY","HOLD"))</f>
        <v/>
      </c>
      <c r="Q98" s="107" t="str">
        <f>IF(A98="","",IF($W$7&lt;=0,0,IF($AC$6&gt;0,$W$7*AC98/$AC$6,IF($F$6&gt;0,$W$7*N(F98)/$F$6,0))))</f>
        <v/>
      </c>
      <c r="R98" s="111" t="str">
        <f>IF(A98="","",N(AD98)+IF(AI98=1,N(AG98),0))</f>
        <v/>
      </c>
      <c r="S98" s="111" t="str">
        <f>IF(A98="","",N(E98)+N(R98))</f>
        <v/>
      </c>
      <c r="T98" s="107" t="str">
        <f>IF(A98="","",IF(N(R98)&gt;0,R98*H98*W98*$W$6+p_CorrFixa,0))</f>
        <v/>
      </c>
      <c r="V98" s="85" t="str">
        <f>IF(A98="","",IF(D98="",$W$1,D98))</f>
        <v/>
      </c>
      <c r="W98" s="85" t="str">
        <f>IF(A98="","",IFERROR(INDEX(moeda_fx,MATCH(V98,moeda_cod,0)),0))</f>
        <v/>
      </c>
      <c r="X98" s="85" t="str">
        <f>IF(A98="","",IF($W$2="",UPPER(TRIM(A98)),IF(RIGHT(UPPER(TRIM(A98)),LEN($W$2))=$W$2,UPPER(TRIM(A98)),UPPER(TRIM(A98))&amp;$W$2)))</f>
        <v/>
      </c>
      <c r="Y98" s="85" t="str">
        <f>IF(OR(A98="",p_ModoCot&lt;&gt;"Automático"),"",IFERROR(_xlfn.WEBSERVICE("https://query1.finance.yahoo.com/v8/finance/chart/"&amp;X98&amp;"?range=1d&amp;interval=1d"),""))</f>
        <v/>
      </c>
      <c r="Z98" s="85" t="str">
        <f>IF(Y98="","",IFERROR(_xlfn.NUMBERVALUE(MID(Y98,SEARCH("""regularMarketPrice"":",Y98)+21,SEARCH(",",Y98&amp;",",SEARCH("""regularMarketPrice"":",Y98)+21)-SEARCH("""regularMarketPrice"":",Y98)-21),".",","),""))</f>
        <v/>
      </c>
      <c r="AA98" s="85" t="str">
        <f>IF(A98="","",ROUND(MAX(0,N(F98)*($K$6+$W$7)-K98),2))</f>
        <v/>
      </c>
      <c r="AB98" s="85" t="str">
        <f>IF(A98="","",IF(AND(M98&gt;0,M98&gt;=p_DifMin),AA98,0))</f>
        <v/>
      </c>
      <c r="AC98" s="85" t="str">
        <f>IF(A98="","",IF(AND(AB98&gt;0,N(O98)&lt;=p_MaxAtivos),AB98,0))</f>
        <v/>
      </c>
      <c r="AD98" s="85" t="str">
        <f>IF(A98="","",IF(OR(Q98&lt;=0,Q98&lt;p_CompraMin,N(H98)&lt;=0,N(W98)&lt;=0),0,IF($W$3="Sim",TRUNC(ROUND(MAX(0,(Q98-p_CorrFixa)/(H98*W98*$W$6)),9),$W$4),TRUNC(ROUND(MAX(0,(Q98-p_CorrFixa)/(H98*W98*$W$6)),9)/$W$5)*$W$5)))</f>
        <v/>
      </c>
      <c r="AE98" s="85" t="str">
        <f>IF(A98="","",IF(N(AD98)&gt;0,AD98*H98*W98*$W$6+p_CorrFixa,0))</f>
        <v/>
      </c>
      <c r="AF98" s="85" t="str">
        <f>IF(A98="","",IF(OR($Y$1&lt;=0,N(H98)&lt;=0,N(W98)&lt;=0,N(AB98)&lt;=0),0,IF($W$3="Sim",TRUNC(ROUND(MAX(0,($Y$1-IF(N(AD98)&gt;0,0,p_CorrFixa))/(H98*W98*$W$6)),9),$W$4),TRUNC(ROUND(MAX(0,($Y$1-IF(N(AD98)&gt;0,0,p_CorrFixa))/(H98*W98*$W$6)),9)/$W$5)*$W$5)))</f>
        <v/>
      </c>
      <c r="AG98" s="85" t="str">
        <f>IF(A98="","",IF(AND(N(AD98)=0,N(AF98)*(H98*W98*$W$6)+p_CorrFixa&lt;p_CompraMin),0,AF98))</f>
        <v/>
      </c>
      <c r="AH98" s="85" t="str">
        <f>IF(A98="","",IF(N(AG98)&gt;0,AB98,0))</f>
        <v/>
      </c>
      <c r="AI98" s="85" t="str">
        <f>IF(A98="","",IF(AND(AH98&gt;0,AH98=$AH$6,COUNTIF($AH$9:AH98,AH98)=1),1,0))</f>
        <v/>
      </c>
    </row>
    <row r="99">
      <c r="A99" s="96" t="n"/>
      <c r="B99" s="96" t="n"/>
      <c r="C99" s="96" t="n"/>
      <c r="D99" s="97" t="n"/>
      <c r="E99" s="98" t="n"/>
      <c r="F99" s="99" t="n"/>
      <c r="G99" s="100" t="n"/>
      <c r="H99" s="101" t="str">
        <f>IF(A99="","",IF(AND(p_ModoCot="Automático",ISNUMBER(Z99)),Z99,IF(N(G99)&gt;0,G99,0)))</f>
        <v/>
      </c>
      <c r="I99" s="73" t="str">
        <f>IF(A99="","",IF(W99=0,"Sem câmbio",IF(AND(p_ModoCot="Automático",ISNUMBER(Z99)),"Auto",IF(N(G99)&gt;0,"Manual","Sem cotação"))))</f>
        <v/>
      </c>
      <c r="J99" s="102" t="str">
        <f>IF(A99="","",N(E99)*H99)</f>
        <v/>
      </c>
      <c r="K99" s="70" t="str">
        <f>IF(A99="","",J99*W99)</f>
        <v/>
      </c>
      <c r="L99" s="30" t="str">
        <f>IF(A99="","",IF($K$6&gt;0,K99/$K$6,0))</f>
        <v/>
      </c>
      <c r="M99" s="72" t="str">
        <f>IF(A99="","",N(F99)-L99)</f>
        <v/>
      </c>
      <c r="N99" s="30" t="str">
        <f>IF(A99="","",IF($AB$6&gt;0,AB99/$AB$6,0))</f>
        <v/>
      </c>
      <c r="O99" s="74" t="str">
        <f>IF(A99="","",IF(AB99&lt;=0,"",COUNTIF($AB$9:$AB$208,"&gt;"&amp;AB99)+COUNTIF($AB$9:AB99,AB99)))</f>
        <v/>
      </c>
      <c r="P99" s="73" t="str">
        <f>IF(A99="","",IF(Q99&gt;0,"BUY","HOLD"))</f>
        <v/>
      </c>
      <c r="Q99" s="70" t="str">
        <f>IF(A99="","",IF($W$7&lt;=0,0,IF($AC$6&gt;0,$W$7*AC99/$AC$6,IF($F$6&gt;0,$W$7*N(F99)/$F$6,0))))</f>
        <v/>
      </c>
      <c r="R99" s="103" t="str">
        <f>IF(A99="","",N(AD99)+IF(AI99=1,N(AG99),0))</f>
        <v/>
      </c>
      <c r="S99" s="103" t="str">
        <f>IF(A99="","",N(E99)+N(R99))</f>
        <v/>
      </c>
      <c r="T99" s="70" t="str">
        <f>IF(A99="","",IF(N(R99)&gt;0,R99*H99*W99*$W$6+p_CorrFixa,0))</f>
        <v/>
      </c>
      <c r="V99" s="85" t="str">
        <f>IF(A99="","",IF(D99="",$W$1,D99))</f>
        <v/>
      </c>
      <c r="W99" s="85" t="str">
        <f>IF(A99="","",IFERROR(INDEX(moeda_fx,MATCH(V99,moeda_cod,0)),0))</f>
        <v/>
      </c>
      <c r="X99" s="85" t="str">
        <f>IF(A99="","",IF($W$2="",UPPER(TRIM(A99)),IF(RIGHT(UPPER(TRIM(A99)),LEN($W$2))=$W$2,UPPER(TRIM(A99)),UPPER(TRIM(A99))&amp;$W$2)))</f>
        <v/>
      </c>
      <c r="Y99" s="85" t="str">
        <f>IF(OR(A99="",p_ModoCot&lt;&gt;"Automático"),"",IFERROR(_xlfn.WEBSERVICE("https://query1.finance.yahoo.com/v8/finance/chart/"&amp;X99&amp;"?range=1d&amp;interval=1d"),""))</f>
        <v/>
      </c>
      <c r="Z99" s="85" t="str">
        <f>IF(Y99="","",IFERROR(_xlfn.NUMBERVALUE(MID(Y99,SEARCH("""regularMarketPrice"":",Y99)+21,SEARCH(",",Y99&amp;",",SEARCH("""regularMarketPrice"":",Y99)+21)-SEARCH("""regularMarketPrice"":",Y99)-21),".",","),""))</f>
        <v/>
      </c>
      <c r="AA99" s="85" t="str">
        <f>IF(A99="","",ROUND(MAX(0,N(F99)*($K$6+$W$7)-K99),2))</f>
        <v/>
      </c>
      <c r="AB99" s="85" t="str">
        <f>IF(A99="","",IF(AND(M99&gt;0,M99&gt;=p_DifMin),AA99,0))</f>
        <v/>
      </c>
      <c r="AC99" s="85" t="str">
        <f>IF(A99="","",IF(AND(AB99&gt;0,N(O99)&lt;=p_MaxAtivos),AB99,0))</f>
        <v/>
      </c>
      <c r="AD99" s="85" t="str">
        <f>IF(A99="","",IF(OR(Q99&lt;=0,Q99&lt;p_CompraMin,N(H99)&lt;=0,N(W99)&lt;=0),0,IF($W$3="Sim",TRUNC(ROUND(MAX(0,(Q99-p_CorrFixa)/(H99*W99*$W$6)),9),$W$4),TRUNC(ROUND(MAX(0,(Q99-p_CorrFixa)/(H99*W99*$W$6)),9)/$W$5)*$W$5)))</f>
        <v/>
      </c>
      <c r="AE99" s="85" t="str">
        <f>IF(A99="","",IF(N(AD99)&gt;0,AD99*H99*W99*$W$6+p_CorrFixa,0))</f>
        <v/>
      </c>
      <c r="AF99" s="85" t="str">
        <f>IF(A99="","",IF(OR($Y$1&lt;=0,N(H99)&lt;=0,N(W99)&lt;=0,N(AB99)&lt;=0),0,IF($W$3="Sim",TRUNC(ROUND(MAX(0,($Y$1-IF(N(AD99)&gt;0,0,p_CorrFixa))/(H99*W99*$W$6)),9),$W$4),TRUNC(ROUND(MAX(0,($Y$1-IF(N(AD99)&gt;0,0,p_CorrFixa))/(H99*W99*$W$6)),9)/$W$5)*$W$5)))</f>
        <v/>
      </c>
      <c r="AG99" s="85" t="str">
        <f>IF(A99="","",IF(AND(N(AD99)=0,N(AF99)*(H99*W99*$W$6)+p_CorrFixa&lt;p_CompraMin),0,AF99))</f>
        <v/>
      </c>
      <c r="AH99" s="85" t="str">
        <f>IF(A99="","",IF(N(AG99)&gt;0,AB99,0))</f>
        <v/>
      </c>
      <c r="AI99" s="85" t="str">
        <f>IF(A99="","",IF(AND(AH99&gt;0,AH99=$AH$6,COUNTIF($AH$9:AH99,AH99)=1),1,0))</f>
        <v/>
      </c>
    </row>
    <row r="100">
      <c r="A100" s="96" t="n"/>
      <c r="B100" s="96" t="n"/>
      <c r="C100" s="96" t="n"/>
      <c r="D100" s="97" t="n"/>
      <c r="E100" s="98" t="n"/>
      <c r="F100" s="99" t="n"/>
      <c r="G100" s="100" t="n"/>
      <c r="H100" s="104" t="str">
        <f>IF(A100="","",IF(AND(p_ModoCot="Automático",ISNUMBER(Z100)),Z100,IF(N(G100)&gt;0,G100,0)))</f>
        <v/>
      </c>
      <c r="I100" s="105" t="str">
        <f>IF(A100="","",IF(W100=0,"Sem câmbio",IF(AND(p_ModoCot="Automático",ISNUMBER(Z100)),"Auto",IF(N(G100)&gt;0,"Manual","Sem cotação"))))</f>
        <v/>
      </c>
      <c r="J100" s="106" t="str">
        <f>IF(A100="","",N(E100)*H100)</f>
        <v/>
      </c>
      <c r="K100" s="107" t="str">
        <f>IF(A100="","",J100*W100)</f>
        <v/>
      </c>
      <c r="L100" s="108" t="str">
        <f>IF(A100="","",IF($K$6&gt;0,K100/$K$6,0))</f>
        <v/>
      </c>
      <c r="M100" s="109" t="str">
        <f>IF(A100="","",N(F100)-L100)</f>
        <v/>
      </c>
      <c r="N100" s="108" t="str">
        <f>IF(A100="","",IF($AB$6&gt;0,AB100/$AB$6,0))</f>
        <v/>
      </c>
      <c r="O100" s="110" t="str">
        <f>IF(A100="","",IF(AB100&lt;=0,"",COUNTIF($AB$9:$AB$208,"&gt;"&amp;AB100)+COUNTIF($AB$9:AB100,AB100)))</f>
        <v/>
      </c>
      <c r="P100" s="105" t="str">
        <f>IF(A100="","",IF(Q100&gt;0,"BUY","HOLD"))</f>
        <v/>
      </c>
      <c r="Q100" s="107" t="str">
        <f>IF(A100="","",IF($W$7&lt;=0,0,IF($AC$6&gt;0,$W$7*AC100/$AC$6,IF($F$6&gt;0,$W$7*N(F100)/$F$6,0))))</f>
        <v/>
      </c>
      <c r="R100" s="111" t="str">
        <f>IF(A100="","",N(AD100)+IF(AI100=1,N(AG100),0))</f>
        <v/>
      </c>
      <c r="S100" s="111" t="str">
        <f>IF(A100="","",N(E100)+N(R100))</f>
        <v/>
      </c>
      <c r="T100" s="107" t="str">
        <f>IF(A100="","",IF(N(R100)&gt;0,R100*H100*W100*$W$6+p_CorrFixa,0))</f>
        <v/>
      </c>
      <c r="V100" s="85" t="str">
        <f>IF(A100="","",IF(D100="",$W$1,D100))</f>
        <v/>
      </c>
      <c r="W100" s="85" t="str">
        <f>IF(A100="","",IFERROR(INDEX(moeda_fx,MATCH(V100,moeda_cod,0)),0))</f>
        <v/>
      </c>
      <c r="X100" s="85" t="str">
        <f>IF(A100="","",IF($W$2="",UPPER(TRIM(A100)),IF(RIGHT(UPPER(TRIM(A100)),LEN($W$2))=$W$2,UPPER(TRIM(A100)),UPPER(TRIM(A100))&amp;$W$2)))</f>
        <v/>
      </c>
      <c r="Y100" s="85" t="str">
        <f>IF(OR(A100="",p_ModoCot&lt;&gt;"Automático"),"",IFERROR(_xlfn.WEBSERVICE("https://query1.finance.yahoo.com/v8/finance/chart/"&amp;X100&amp;"?range=1d&amp;interval=1d"),""))</f>
        <v/>
      </c>
      <c r="Z100" s="85" t="str">
        <f>IF(Y100="","",IFERROR(_xlfn.NUMBERVALUE(MID(Y100,SEARCH("""regularMarketPrice"":",Y100)+21,SEARCH(",",Y100&amp;",",SEARCH("""regularMarketPrice"":",Y100)+21)-SEARCH("""regularMarketPrice"":",Y100)-21),".",","),""))</f>
        <v/>
      </c>
      <c r="AA100" s="85" t="str">
        <f>IF(A100="","",ROUND(MAX(0,N(F100)*($K$6+$W$7)-K100),2))</f>
        <v/>
      </c>
      <c r="AB100" s="85" t="str">
        <f>IF(A100="","",IF(AND(M100&gt;0,M100&gt;=p_DifMin),AA100,0))</f>
        <v/>
      </c>
      <c r="AC100" s="85" t="str">
        <f>IF(A100="","",IF(AND(AB100&gt;0,N(O100)&lt;=p_MaxAtivos),AB100,0))</f>
        <v/>
      </c>
      <c r="AD100" s="85" t="str">
        <f>IF(A100="","",IF(OR(Q100&lt;=0,Q100&lt;p_CompraMin,N(H100)&lt;=0,N(W100)&lt;=0),0,IF($W$3="Sim",TRUNC(ROUND(MAX(0,(Q100-p_CorrFixa)/(H100*W100*$W$6)),9),$W$4),TRUNC(ROUND(MAX(0,(Q100-p_CorrFixa)/(H100*W100*$W$6)),9)/$W$5)*$W$5)))</f>
        <v/>
      </c>
      <c r="AE100" s="85" t="str">
        <f>IF(A100="","",IF(N(AD100)&gt;0,AD100*H100*W100*$W$6+p_CorrFixa,0))</f>
        <v/>
      </c>
      <c r="AF100" s="85" t="str">
        <f>IF(A100="","",IF(OR($Y$1&lt;=0,N(H100)&lt;=0,N(W100)&lt;=0,N(AB100)&lt;=0),0,IF($W$3="Sim",TRUNC(ROUND(MAX(0,($Y$1-IF(N(AD100)&gt;0,0,p_CorrFixa))/(H100*W100*$W$6)),9),$W$4),TRUNC(ROUND(MAX(0,($Y$1-IF(N(AD100)&gt;0,0,p_CorrFixa))/(H100*W100*$W$6)),9)/$W$5)*$W$5)))</f>
        <v/>
      </c>
      <c r="AG100" s="85" t="str">
        <f>IF(A100="","",IF(AND(N(AD100)=0,N(AF100)*(H100*W100*$W$6)+p_CorrFixa&lt;p_CompraMin),0,AF100))</f>
        <v/>
      </c>
      <c r="AH100" s="85" t="str">
        <f>IF(A100="","",IF(N(AG100)&gt;0,AB100,0))</f>
        <v/>
      </c>
      <c r="AI100" s="85" t="str">
        <f>IF(A100="","",IF(AND(AH100&gt;0,AH100=$AH$6,COUNTIF($AH$9:AH100,AH100)=1),1,0))</f>
        <v/>
      </c>
    </row>
    <row r="101">
      <c r="A101" s="96" t="n"/>
      <c r="B101" s="96" t="n"/>
      <c r="C101" s="96" t="n"/>
      <c r="D101" s="97" t="n"/>
      <c r="E101" s="98" t="n"/>
      <c r="F101" s="99" t="n"/>
      <c r="G101" s="100" t="n"/>
      <c r="H101" s="101" t="str">
        <f>IF(A101="","",IF(AND(p_ModoCot="Automático",ISNUMBER(Z101)),Z101,IF(N(G101)&gt;0,G101,0)))</f>
        <v/>
      </c>
      <c r="I101" s="73" t="str">
        <f>IF(A101="","",IF(W101=0,"Sem câmbio",IF(AND(p_ModoCot="Automático",ISNUMBER(Z101)),"Auto",IF(N(G101)&gt;0,"Manual","Sem cotação"))))</f>
        <v/>
      </c>
      <c r="J101" s="102" t="str">
        <f>IF(A101="","",N(E101)*H101)</f>
        <v/>
      </c>
      <c r="K101" s="70" t="str">
        <f>IF(A101="","",J101*W101)</f>
        <v/>
      </c>
      <c r="L101" s="30" t="str">
        <f>IF(A101="","",IF($K$6&gt;0,K101/$K$6,0))</f>
        <v/>
      </c>
      <c r="M101" s="72" t="str">
        <f>IF(A101="","",N(F101)-L101)</f>
        <v/>
      </c>
      <c r="N101" s="30" t="str">
        <f>IF(A101="","",IF($AB$6&gt;0,AB101/$AB$6,0))</f>
        <v/>
      </c>
      <c r="O101" s="74" t="str">
        <f>IF(A101="","",IF(AB101&lt;=0,"",COUNTIF($AB$9:$AB$208,"&gt;"&amp;AB101)+COUNTIF($AB$9:AB101,AB101)))</f>
        <v/>
      </c>
      <c r="P101" s="73" t="str">
        <f>IF(A101="","",IF(Q101&gt;0,"BUY","HOLD"))</f>
        <v/>
      </c>
      <c r="Q101" s="70" t="str">
        <f>IF(A101="","",IF($W$7&lt;=0,0,IF($AC$6&gt;0,$W$7*AC101/$AC$6,IF($F$6&gt;0,$W$7*N(F101)/$F$6,0))))</f>
        <v/>
      </c>
      <c r="R101" s="103" t="str">
        <f>IF(A101="","",N(AD101)+IF(AI101=1,N(AG101),0))</f>
        <v/>
      </c>
      <c r="S101" s="103" t="str">
        <f>IF(A101="","",N(E101)+N(R101))</f>
        <v/>
      </c>
      <c r="T101" s="70" t="str">
        <f>IF(A101="","",IF(N(R101)&gt;0,R101*H101*W101*$W$6+p_CorrFixa,0))</f>
        <v/>
      </c>
      <c r="V101" s="85" t="str">
        <f>IF(A101="","",IF(D101="",$W$1,D101))</f>
        <v/>
      </c>
      <c r="W101" s="85" t="str">
        <f>IF(A101="","",IFERROR(INDEX(moeda_fx,MATCH(V101,moeda_cod,0)),0))</f>
        <v/>
      </c>
      <c r="X101" s="85" t="str">
        <f>IF(A101="","",IF($W$2="",UPPER(TRIM(A101)),IF(RIGHT(UPPER(TRIM(A101)),LEN($W$2))=$W$2,UPPER(TRIM(A101)),UPPER(TRIM(A101))&amp;$W$2)))</f>
        <v/>
      </c>
      <c r="Y101" s="85" t="str">
        <f>IF(OR(A101="",p_ModoCot&lt;&gt;"Automático"),"",IFERROR(_xlfn.WEBSERVICE("https://query1.finance.yahoo.com/v8/finance/chart/"&amp;X101&amp;"?range=1d&amp;interval=1d"),""))</f>
        <v/>
      </c>
      <c r="Z101" s="85" t="str">
        <f>IF(Y101="","",IFERROR(_xlfn.NUMBERVALUE(MID(Y101,SEARCH("""regularMarketPrice"":",Y101)+21,SEARCH(",",Y101&amp;",",SEARCH("""regularMarketPrice"":",Y101)+21)-SEARCH("""regularMarketPrice"":",Y101)-21),".",","),""))</f>
        <v/>
      </c>
      <c r="AA101" s="85" t="str">
        <f>IF(A101="","",ROUND(MAX(0,N(F101)*($K$6+$W$7)-K101),2))</f>
        <v/>
      </c>
      <c r="AB101" s="85" t="str">
        <f>IF(A101="","",IF(AND(M101&gt;0,M101&gt;=p_DifMin),AA101,0))</f>
        <v/>
      </c>
      <c r="AC101" s="85" t="str">
        <f>IF(A101="","",IF(AND(AB101&gt;0,N(O101)&lt;=p_MaxAtivos),AB101,0))</f>
        <v/>
      </c>
      <c r="AD101" s="85" t="str">
        <f>IF(A101="","",IF(OR(Q101&lt;=0,Q101&lt;p_CompraMin,N(H101)&lt;=0,N(W101)&lt;=0),0,IF($W$3="Sim",TRUNC(ROUND(MAX(0,(Q101-p_CorrFixa)/(H101*W101*$W$6)),9),$W$4),TRUNC(ROUND(MAX(0,(Q101-p_CorrFixa)/(H101*W101*$W$6)),9)/$W$5)*$W$5)))</f>
        <v/>
      </c>
      <c r="AE101" s="85" t="str">
        <f>IF(A101="","",IF(N(AD101)&gt;0,AD101*H101*W101*$W$6+p_CorrFixa,0))</f>
        <v/>
      </c>
      <c r="AF101" s="85" t="str">
        <f>IF(A101="","",IF(OR($Y$1&lt;=0,N(H101)&lt;=0,N(W101)&lt;=0,N(AB101)&lt;=0),0,IF($W$3="Sim",TRUNC(ROUND(MAX(0,($Y$1-IF(N(AD101)&gt;0,0,p_CorrFixa))/(H101*W101*$W$6)),9),$W$4),TRUNC(ROUND(MAX(0,($Y$1-IF(N(AD101)&gt;0,0,p_CorrFixa))/(H101*W101*$W$6)),9)/$W$5)*$W$5)))</f>
        <v/>
      </c>
      <c r="AG101" s="85" t="str">
        <f>IF(A101="","",IF(AND(N(AD101)=0,N(AF101)*(H101*W101*$W$6)+p_CorrFixa&lt;p_CompraMin),0,AF101))</f>
        <v/>
      </c>
      <c r="AH101" s="85" t="str">
        <f>IF(A101="","",IF(N(AG101)&gt;0,AB101,0))</f>
        <v/>
      </c>
      <c r="AI101" s="85" t="str">
        <f>IF(A101="","",IF(AND(AH101&gt;0,AH101=$AH$6,COUNTIF($AH$9:AH101,AH101)=1),1,0))</f>
        <v/>
      </c>
    </row>
    <row r="102">
      <c r="A102" s="96" t="n"/>
      <c r="B102" s="96" t="n"/>
      <c r="C102" s="96" t="n"/>
      <c r="D102" s="97" t="n"/>
      <c r="E102" s="98" t="n"/>
      <c r="F102" s="99" t="n"/>
      <c r="G102" s="100" t="n"/>
      <c r="H102" s="104" t="str">
        <f>IF(A102="","",IF(AND(p_ModoCot="Automático",ISNUMBER(Z102)),Z102,IF(N(G102)&gt;0,G102,0)))</f>
        <v/>
      </c>
      <c r="I102" s="105" t="str">
        <f>IF(A102="","",IF(W102=0,"Sem câmbio",IF(AND(p_ModoCot="Automático",ISNUMBER(Z102)),"Auto",IF(N(G102)&gt;0,"Manual","Sem cotação"))))</f>
        <v/>
      </c>
      <c r="J102" s="106" t="str">
        <f>IF(A102="","",N(E102)*H102)</f>
        <v/>
      </c>
      <c r="K102" s="107" t="str">
        <f>IF(A102="","",J102*W102)</f>
        <v/>
      </c>
      <c r="L102" s="108" t="str">
        <f>IF(A102="","",IF($K$6&gt;0,K102/$K$6,0))</f>
        <v/>
      </c>
      <c r="M102" s="109" t="str">
        <f>IF(A102="","",N(F102)-L102)</f>
        <v/>
      </c>
      <c r="N102" s="108" t="str">
        <f>IF(A102="","",IF($AB$6&gt;0,AB102/$AB$6,0))</f>
        <v/>
      </c>
      <c r="O102" s="110" t="str">
        <f>IF(A102="","",IF(AB102&lt;=0,"",COUNTIF($AB$9:$AB$208,"&gt;"&amp;AB102)+COUNTIF($AB$9:AB102,AB102)))</f>
        <v/>
      </c>
      <c r="P102" s="105" t="str">
        <f>IF(A102="","",IF(Q102&gt;0,"BUY","HOLD"))</f>
        <v/>
      </c>
      <c r="Q102" s="107" t="str">
        <f>IF(A102="","",IF($W$7&lt;=0,0,IF($AC$6&gt;0,$W$7*AC102/$AC$6,IF($F$6&gt;0,$W$7*N(F102)/$F$6,0))))</f>
        <v/>
      </c>
      <c r="R102" s="111" t="str">
        <f>IF(A102="","",N(AD102)+IF(AI102=1,N(AG102),0))</f>
        <v/>
      </c>
      <c r="S102" s="111" t="str">
        <f>IF(A102="","",N(E102)+N(R102))</f>
        <v/>
      </c>
      <c r="T102" s="107" t="str">
        <f>IF(A102="","",IF(N(R102)&gt;0,R102*H102*W102*$W$6+p_CorrFixa,0))</f>
        <v/>
      </c>
      <c r="V102" s="85" t="str">
        <f>IF(A102="","",IF(D102="",$W$1,D102))</f>
        <v/>
      </c>
      <c r="W102" s="85" t="str">
        <f>IF(A102="","",IFERROR(INDEX(moeda_fx,MATCH(V102,moeda_cod,0)),0))</f>
        <v/>
      </c>
      <c r="X102" s="85" t="str">
        <f>IF(A102="","",IF($W$2="",UPPER(TRIM(A102)),IF(RIGHT(UPPER(TRIM(A102)),LEN($W$2))=$W$2,UPPER(TRIM(A102)),UPPER(TRIM(A102))&amp;$W$2)))</f>
        <v/>
      </c>
      <c r="Y102" s="85" t="str">
        <f>IF(OR(A102="",p_ModoCot&lt;&gt;"Automático"),"",IFERROR(_xlfn.WEBSERVICE("https://query1.finance.yahoo.com/v8/finance/chart/"&amp;X102&amp;"?range=1d&amp;interval=1d"),""))</f>
        <v/>
      </c>
      <c r="Z102" s="85" t="str">
        <f>IF(Y102="","",IFERROR(_xlfn.NUMBERVALUE(MID(Y102,SEARCH("""regularMarketPrice"":",Y102)+21,SEARCH(",",Y102&amp;",",SEARCH("""regularMarketPrice"":",Y102)+21)-SEARCH("""regularMarketPrice"":",Y102)-21),".",","),""))</f>
        <v/>
      </c>
      <c r="AA102" s="85" t="str">
        <f>IF(A102="","",ROUND(MAX(0,N(F102)*($K$6+$W$7)-K102),2))</f>
        <v/>
      </c>
      <c r="AB102" s="85" t="str">
        <f>IF(A102="","",IF(AND(M102&gt;0,M102&gt;=p_DifMin),AA102,0))</f>
        <v/>
      </c>
      <c r="AC102" s="85" t="str">
        <f>IF(A102="","",IF(AND(AB102&gt;0,N(O102)&lt;=p_MaxAtivos),AB102,0))</f>
        <v/>
      </c>
      <c r="AD102" s="85" t="str">
        <f>IF(A102="","",IF(OR(Q102&lt;=0,Q102&lt;p_CompraMin,N(H102)&lt;=0,N(W102)&lt;=0),0,IF($W$3="Sim",TRUNC(ROUND(MAX(0,(Q102-p_CorrFixa)/(H102*W102*$W$6)),9),$W$4),TRUNC(ROUND(MAX(0,(Q102-p_CorrFixa)/(H102*W102*$W$6)),9)/$W$5)*$W$5)))</f>
        <v/>
      </c>
      <c r="AE102" s="85" t="str">
        <f>IF(A102="","",IF(N(AD102)&gt;0,AD102*H102*W102*$W$6+p_CorrFixa,0))</f>
        <v/>
      </c>
      <c r="AF102" s="85" t="str">
        <f>IF(A102="","",IF(OR($Y$1&lt;=0,N(H102)&lt;=0,N(W102)&lt;=0,N(AB102)&lt;=0),0,IF($W$3="Sim",TRUNC(ROUND(MAX(0,($Y$1-IF(N(AD102)&gt;0,0,p_CorrFixa))/(H102*W102*$W$6)),9),$W$4),TRUNC(ROUND(MAX(0,($Y$1-IF(N(AD102)&gt;0,0,p_CorrFixa))/(H102*W102*$W$6)),9)/$W$5)*$W$5)))</f>
        <v/>
      </c>
      <c r="AG102" s="85" t="str">
        <f>IF(A102="","",IF(AND(N(AD102)=0,N(AF102)*(H102*W102*$W$6)+p_CorrFixa&lt;p_CompraMin),0,AF102))</f>
        <v/>
      </c>
      <c r="AH102" s="85" t="str">
        <f>IF(A102="","",IF(N(AG102)&gt;0,AB102,0))</f>
        <v/>
      </c>
      <c r="AI102" s="85" t="str">
        <f>IF(A102="","",IF(AND(AH102&gt;0,AH102=$AH$6,COUNTIF($AH$9:AH102,AH102)=1),1,0))</f>
        <v/>
      </c>
    </row>
    <row r="103">
      <c r="A103" s="96" t="n"/>
      <c r="B103" s="96" t="n"/>
      <c r="C103" s="96" t="n"/>
      <c r="D103" s="97" t="n"/>
      <c r="E103" s="98" t="n"/>
      <c r="F103" s="99" t="n"/>
      <c r="G103" s="100" t="n"/>
      <c r="H103" s="101" t="str">
        <f>IF(A103="","",IF(AND(p_ModoCot="Automático",ISNUMBER(Z103)),Z103,IF(N(G103)&gt;0,G103,0)))</f>
        <v/>
      </c>
      <c r="I103" s="73" t="str">
        <f>IF(A103="","",IF(W103=0,"Sem câmbio",IF(AND(p_ModoCot="Automático",ISNUMBER(Z103)),"Auto",IF(N(G103)&gt;0,"Manual","Sem cotação"))))</f>
        <v/>
      </c>
      <c r="J103" s="102" t="str">
        <f>IF(A103="","",N(E103)*H103)</f>
        <v/>
      </c>
      <c r="K103" s="70" t="str">
        <f>IF(A103="","",J103*W103)</f>
        <v/>
      </c>
      <c r="L103" s="30" t="str">
        <f>IF(A103="","",IF($K$6&gt;0,K103/$K$6,0))</f>
        <v/>
      </c>
      <c r="M103" s="72" t="str">
        <f>IF(A103="","",N(F103)-L103)</f>
        <v/>
      </c>
      <c r="N103" s="30" t="str">
        <f>IF(A103="","",IF($AB$6&gt;0,AB103/$AB$6,0))</f>
        <v/>
      </c>
      <c r="O103" s="74" t="str">
        <f>IF(A103="","",IF(AB103&lt;=0,"",COUNTIF($AB$9:$AB$208,"&gt;"&amp;AB103)+COUNTIF($AB$9:AB103,AB103)))</f>
        <v/>
      </c>
      <c r="P103" s="73" t="str">
        <f>IF(A103="","",IF(Q103&gt;0,"BUY","HOLD"))</f>
        <v/>
      </c>
      <c r="Q103" s="70" t="str">
        <f>IF(A103="","",IF($W$7&lt;=0,0,IF($AC$6&gt;0,$W$7*AC103/$AC$6,IF($F$6&gt;0,$W$7*N(F103)/$F$6,0))))</f>
        <v/>
      </c>
      <c r="R103" s="103" t="str">
        <f>IF(A103="","",N(AD103)+IF(AI103=1,N(AG103),0))</f>
        <v/>
      </c>
      <c r="S103" s="103" t="str">
        <f>IF(A103="","",N(E103)+N(R103))</f>
        <v/>
      </c>
      <c r="T103" s="70" t="str">
        <f>IF(A103="","",IF(N(R103)&gt;0,R103*H103*W103*$W$6+p_CorrFixa,0))</f>
        <v/>
      </c>
      <c r="V103" s="85" t="str">
        <f>IF(A103="","",IF(D103="",$W$1,D103))</f>
        <v/>
      </c>
      <c r="W103" s="85" t="str">
        <f>IF(A103="","",IFERROR(INDEX(moeda_fx,MATCH(V103,moeda_cod,0)),0))</f>
        <v/>
      </c>
      <c r="X103" s="85" t="str">
        <f>IF(A103="","",IF($W$2="",UPPER(TRIM(A103)),IF(RIGHT(UPPER(TRIM(A103)),LEN($W$2))=$W$2,UPPER(TRIM(A103)),UPPER(TRIM(A103))&amp;$W$2)))</f>
        <v/>
      </c>
      <c r="Y103" s="85" t="str">
        <f>IF(OR(A103="",p_ModoCot&lt;&gt;"Automático"),"",IFERROR(_xlfn.WEBSERVICE("https://query1.finance.yahoo.com/v8/finance/chart/"&amp;X103&amp;"?range=1d&amp;interval=1d"),""))</f>
        <v/>
      </c>
      <c r="Z103" s="85" t="str">
        <f>IF(Y103="","",IFERROR(_xlfn.NUMBERVALUE(MID(Y103,SEARCH("""regularMarketPrice"":",Y103)+21,SEARCH(",",Y103&amp;",",SEARCH("""regularMarketPrice"":",Y103)+21)-SEARCH("""regularMarketPrice"":",Y103)-21),".",","),""))</f>
        <v/>
      </c>
      <c r="AA103" s="85" t="str">
        <f>IF(A103="","",ROUND(MAX(0,N(F103)*($K$6+$W$7)-K103),2))</f>
        <v/>
      </c>
      <c r="AB103" s="85" t="str">
        <f>IF(A103="","",IF(AND(M103&gt;0,M103&gt;=p_DifMin),AA103,0))</f>
        <v/>
      </c>
      <c r="AC103" s="85" t="str">
        <f>IF(A103="","",IF(AND(AB103&gt;0,N(O103)&lt;=p_MaxAtivos),AB103,0))</f>
        <v/>
      </c>
      <c r="AD103" s="85" t="str">
        <f>IF(A103="","",IF(OR(Q103&lt;=0,Q103&lt;p_CompraMin,N(H103)&lt;=0,N(W103)&lt;=0),0,IF($W$3="Sim",TRUNC(ROUND(MAX(0,(Q103-p_CorrFixa)/(H103*W103*$W$6)),9),$W$4),TRUNC(ROUND(MAX(0,(Q103-p_CorrFixa)/(H103*W103*$W$6)),9)/$W$5)*$W$5)))</f>
        <v/>
      </c>
      <c r="AE103" s="85" t="str">
        <f>IF(A103="","",IF(N(AD103)&gt;0,AD103*H103*W103*$W$6+p_CorrFixa,0))</f>
        <v/>
      </c>
      <c r="AF103" s="85" t="str">
        <f>IF(A103="","",IF(OR($Y$1&lt;=0,N(H103)&lt;=0,N(W103)&lt;=0,N(AB103)&lt;=0),0,IF($W$3="Sim",TRUNC(ROUND(MAX(0,($Y$1-IF(N(AD103)&gt;0,0,p_CorrFixa))/(H103*W103*$W$6)),9),$W$4),TRUNC(ROUND(MAX(0,($Y$1-IF(N(AD103)&gt;0,0,p_CorrFixa))/(H103*W103*$W$6)),9)/$W$5)*$W$5)))</f>
        <v/>
      </c>
      <c r="AG103" s="85" t="str">
        <f>IF(A103="","",IF(AND(N(AD103)=0,N(AF103)*(H103*W103*$W$6)+p_CorrFixa&lt;p_CompraMin),0,AF103))</f>
        <v/>
      </c>
      <c r="AH103" s="85" t="str">
        <f>IF(A103="","",IF(N(AG103)&gt;0,AB103,0))</f>
        <v/>
      </c>
      <c r="AI103" s="85" t="str">
        <f>IF(A103="","",IF(AND(AH103&gt;0,AH103=$AH$6,COUNTIF($AH$9:AH103,AH103)=1),1,0))</f>
        <v/>
      </c>
    </row>
    <row r="104">
      <c r="A104" s="96" t="n"/>
      <c r="B104" s="96" t="n"/>
      <c r="C104" s="96" t="n"/>
      <c r="D104" s="97" t="n"/>
      <c r="E104" s="98" t="n"/>
      <c r="F104" s="99" t="n"/>
      <c r="G104" s="100" t="n"/>
      <c r="H104" s="104" t="str">
        <f>IF(A104="","",IF(AND(p_ModoCot="Automático",ISNUMBER(Z104)),Z104,IF(N(G104)&gt;0,G104,0)))</f>
        <v/>
      </c>
      <c r="I104" s="105" t="str">
        <f>IF(A104="","",IF(W104=0,"Sem câmbio",IF(AND(p_ModoCot="Automático",ISNUMBER(Z104)),"Auto",IF(N(G104)&gt;0,"Manual","Sem cotação"))))</f>
        <v/>
      </c>
      <c r="J104" s="106" t="str">
        <f>IF(A104="","",N(E104)*H104)</f>
        <v/>
      </c>
      <c r="K104" s="107" t="str">
        <f>IF(A104="","",J104*W104)</f>
        <v/>
      </c>
      <c r="L104" s="108" t="str">
        <f>IF(A104="","",IF($K$6&gt;0,K104/$K$6,0))</f>
        <v/>
      </c>
      <c r="M104" s="109" t="str">
        <f>IF(A104="","",N(F104)-L104)</f>
        <v/>
      </c>
      <c r="N104" s="108" t="str">
        <f>IF(A104="","",IF($AB$6&gt;0,AB104/$AB$6,0))</f>
        <v/>
      </c>
      <c r="O104" s="110" t="str">
        <f>IF(A104="","",IF(AB104&lt;=0,"",COUNTIF($AB$9:$AB$208,"&gt;"&amp;AB104)+COUNTIF($AB$9:AB104,AB104)))</f>
        <v/>
      </c>
      <c r="P104" s="105" t="str">
        <f>IF(A104="","",IF(Q104&gt;0,"BUY","HOLD"))</f>
        <v/>
      </c>
      <c r="Q104" s="107" t="str">
        <f>IF(A104="","",IF($W$7&lt;=0,0,IF($AC$6&gt;0,$W$7*AC104/$AC$6,IF($F$6&gt;0,$W$7*N(F104)/$F$6,0))))</f>
        <v/>
      </c>
      <c r="R104" s="111" t="str">
        <f>IF(A104="","",N(AD104)+IF(AI104=1,N(AG104),0))</f>
        <v/>
      </c>
      <c r="S104" s="111" t="str">
        <f>IF(A104="","",N(E104)+N(R104))</f>
        <v/>
      </c>
      <c r="T104" s="107" t="str">
        <f>IF(A104="","",IF(N(R104)&gt;0,R104*H104*W104*$W$6+p_CorrFixa,0))</f>
        <v/>
      </c>
      <c r="V104" s="85" t="str">
        <f>IF(A104="","",IF(D104="",$W$1,D104))</f>
        <v/>
      </c>
      <c r="W104" s="85" t="str">
        <f>IF(A104="","",IFERROR(INDEX(moeda_fx,MATCH(V104,moeda_cod,0)),0))</f>
        <v/>
      </c>
      <c r="X104" s="85" t="str">
        <f>IF(A104="","",IF($W$2="",UPPER(TRIM(A104)),IF(RIGHT(UPPER(TRIM(A104)),LEN($W$2))=$W$2,UPPER(TRIM(A104)),UPPER(TRIM(A104))&amp;$W$2)))</f>
        <v/>
      </c>
      <c r="Y104" s="85" t="str">
        <f>IF(OR(A104="",p_ModoCot&lt;&gt;"Automático"),"",IFERROR(_xlfn.WEBSERVICE("https://query1.finance.yahoo.com/v8/finance/chart/"&amp;X104&amp;"?range=1d&amp;interval=1d"),""))</f>
        <v/>
      </c>
      <c r="Z104" s="85" t="str">
        <f>IF(Y104="","",IFERROR(_xlfn.NUMBERVALUE(MID(Y104,SEARCH("""regularMarketPrice"":",Y104)+21,SEARCH(",",Y104&amp;",",SEARCH("""regularMarketPrice"":",Y104)+21)-SEARCH("""regularMarketPrice"":",Y104)-21),".",","),""))</f>
        <v/>
      </c>
      <c r="AA104" s="85" t="str">
        <f>IF(A104="","",ROUND(MAX(0,N(F104)*($K$6+$W$7)-K104),2))</f>
        <v/>
      </c>
      <c r="AB104" s="85" t="str">
        <f>IF(A104="","",IF(AND(M104&gt;0,M104&gt;=p_DifMin),AA104,0))</f>
        <v/>
      </c>
      <c r="AC104" s="85" t="str">
        <f>IF(A104="","",IF(AND(AB104&gt;0,N(O104)&lt;=p_MaxAtivos),AB104,0))</f>
        <v/>
      </c>
      <c r="AD104" s="85" t="str">
        <f>IF(A104="","",IF(OR(Q104&lt;=0,Q104&lt;p_CompraMin,N(H104)&lt;=0,N(W104)&lt;=0),0,IF($W$3="Sim",TRUNC(ROUND(MAX(0,(Q104-p_CorrFixa)/(H104*W104*$W$6)),9),$W$4),TRUNC(ROUND(MAX(0,(Q104-p_CorrFixa)/(H104*W104*$W$6)),9)/$W$5)*$W$5)))</f>
        <v/>
      </c>
      <c r="AE104" s="85" t="str">
        <f>IF(A104="","",IF(N(AD104)&gt;0,AD104*H104*W104*$W$6+p_CorrFixa,0))</f>
        <v/>
      </c>
      <c r="AF104" s="85" t="str">
        <f>IF(A104="","",IF(OR($Y$1&lt;=0,N(H104)&lt;=0,N(W104)&lt;=0,N(AB104)&lt;=0),0,IF($W$3="Sim",TRUNC(ROUND(MAX(0,($Y$1-IF(N(AD104)&gt;0,0,p_CorrFixa))/(H104*W104*$W$6)),9),$W$4),TRUNC(ROUND(MAX(0,($Y$1-IF(N(AD104)&gt;0,0,p_CorrFixa))/(H104*W104*$W$6)),9)/$W$5)*$W$5)))</f>
        <v/>
      </c>
      <c r="AG104" s="85" t="str">
        <f>IF(A104="","",IF(AND(N(AD104)=0,N(AF104)*(H104*W104*$W$6)+p_CorrFixa&lt;p_CompraMin),0,AF104))</f>
        <v/>
      </c>
      <c r="AH104" s="85" t="str">
        <f>IF(A104="","",IF(N(AG104)&gt;0,AB104,0))</f>
        <v/>
      </c>
      <c r="AI104" s="85" t="str">
        <f>IF(A104="","",IF(AND(AH104&gt;0,AH104=$AH$6,COUNTIF($AH$9:AH104,AH104)=1),1,0))</f>
        <v/>
      </c>
    </row>
    <row r="105">
      <c r="A105" s="96" t="n"/>
      <c r="B105" s="96" t="n"/>
      <c r="C105" s="96" t="n"/>
      <c r="D105" s="97" t="n"/>
      <c r="E105" s="98" t="n"/>
      <c r="F105" s="99" t="n"/>
      <c r="G105" s="100" t="n"/>
      <c r="H105" s="101" t="str">
        <f>IF(A105="","",IF(AND(p_ModoCot="Automático",ISNUMBER(Z105)),Z105,IF(N(G105)&gt;0,G105,0)))</f>
        <v/>
      </c>
      <c r="I105" s="73" t="str">
        <f>IF(A105="","",IF(W105=0,"Sem câmbio",IF(AND(p_ModoCot="Automático",ISNUMBER(Z105)),"Auto",IF(N(G105)&gt;0,"Manual","Sem cotação"))))</f>
        <v/>
      </c>
      <c r="J105" s="102" t="str">
        <f>IF(A105="","",N(E105)*H105)</f>
        <v/>
      </c>
      <c r="K105" s="70" t="str">
        <f>IF(A105="","",J105*W105)</f>
        <v/>
      </c>
      <c r="L105" s="30" t="str">
        <f>IF(A105="","",IF($K$6&gt;0,K105/$K$6,0))</f>
        <v/>
      </c>
      <c r="M105" s="72" t="str">
        <f>IF(A105="","",N(F105)-L105)</f>
        <v/>
      </c>
      <c r="N105" s="30" t="str">
        <f>IF(A105="","",IF($AB$6&gt;0,AB105/$AB$6,0))</f>
        <v/>
      </c>
      <c r="O105" s="74" t="str">
        <f>IF(A105="","",IF(AB105&lt;=0,"",COUNTIF($AB$9:$AB$208,"&gt;"&amp;AB105)+COUNTIF($AB$9:AB105,AB105)))</f>
        <v/>
      </c>
      <c r="P105" s="73" t="str">
        <f>IF(A105="","",IF(Q105&gt;0,"BUY","HOLD"))</f>
        <v/>
      </c>
      <c r="Q105" s="70" t="str">
        <f>IF(A105="","",IF($W$7&lt;=0,0,IF($AC$6&gt;0,$W$7*AC105/$AC$6,IF($F$6&gt;0,$W$7*N(F105)/$F$6,0))))</f>
        <v/>
      </c>
      <c r="R105" s="103" t="str">
        <f>IF(A105="","",N(AD105)+IF(AI105=1,N(AG105),0))</f>
        <v/>
      </c>
      <c r="S105" s="103" t="str">
        <f>IF(A105="","",N(E105)+N(R105))</f>
        <v/>
      </c>
      <c r="T105" s="70" t="str">
        <f>IF(A105="","",IF(N(R105)&gt;0,R105*H105*W105*$W$6+p_CorrFixa,0))</f>
        <v/>
      </c>
      <c r="V105" s="85" t="str">
        <f>IF(A105="","",IF(D105="",$W$1,D105))</f>
        <v/>
      </c>
      <c r="W105" s="85" t="str">
        <f>IF(A105="","",IFERROR(INDEX(moeda_fx,MATCH(V105,moeda_cod,0)),0))</f>
        <v/>
      </c>
      <c r="X105" s="85" t="str">
        <f>IF(A105="","",IF($W$2="",UPPER(TRIM(A105)),IF(RIGHT(UPPER(TRIM(A105)),LEN($W$2))=$W$2,UPPER(TRIM(A105)),UPPER(TRIM(A105))&amp;$W$2)))</f>
        <v/>
      </c>
      <c r="Y105" s="85" t="str">
        <f>IF(OR(A105="",p_ModoCot&lt;&gt;"Automático"),"",IFERROR(_xlfn.WEBSERVICE("https://query1.finance.yahoo.com/v8/finance/chart/"&amp;X105&amp;"?range=1d&amp;interval=1d"),""))</f>
        <v/>
      </c>
      <c r="Z105" s="85" t="str">
        <f>IF(Y105="","",IFERROR(_xlfn.NUMBERVALUE(MID(Y105,SEARCH("""regularMarketPrice"":",Y105)+21,SEARCH(",",Y105&amp;",",SEARCH("""regularMarketPrice"":",Y105)+21)-SEARCH("""regularMarketPrice"":",Y105)-21),".",","),""))</f>
        <v/>
      </c>
      <c r="AA105" s="85" t="str">
        <f>IF(A105="","",ROUND(MAX(0,N(F105)*($K$6+$W$7)-K105),2))</f>
        <v/>
      </c>
      <c r="AB105" s="85" t="str">
        <f>IF(A105="","",IF(AND(M105&gt;0,M105&gt;=p_DifMin),AA105,0))</f>
        <v/>
      </c>
      <c r="AC105" s="85" t="str">
        <f>IF(A105="","",IF(AND(AB105&gt;0,N(O105)&lt;=p_MaxAtivos),AB105,0))</f>
        <v/>
      </c>
      <c r="AD105" s="85" t="str">
        <f>IF(A105="","",IF(OR(Q105&lt;=0,Q105&lt;p_CompraMin,N(H105)&lt;=0,N(W105)&lt;=0),0,IF($W$3="Sim",TRUNC(ROUND(MAX(0,(Q105-p_CorrFixa)/(H105*W105*$W$6)),9),$W$4),TRUNC(ROUND(MAX(0,(Q105-p_CorrFixa)/(H105*W105*$W$6)),9)/$W$5)*$W$5)))</f>
        <v/>
      </c>
      <c r="AE105" s="85" t="str">
        <f>IF(A105="","",IF(N(AD105)&gt;0,AD105*H105*W105*$W$6+p_CorrFixa,0))</f>
        <v/>
      </c>
      <c r="AF105" s="85" t="str">
        <f>IF(A105="","",IF(OR($Y$1&lt;=0,N(H105)&lt;=0,N(W105)&lt;=0,N(AB105)&lt;=0),0,IF($W$3="Sim",TRUNC(ROUND(MAX(0,($Y$1-IF(N(AD105)&gt;0,0,p_CorrFixa))/(H105*W105*$W$6)),9),$W$4),TRUNC(ROUND(MAX(0,($Y$1-IF(N(AD105)&gt;0,0,p_CorrFixa))/(H105*W105*$W$6)),9)/$W$5)*$W$5)))</f>
        <v/>
      </c>
      <c r="AG105" s="85" t="str">
        <f>IF(A105="","",IF(AND(N(AD105)=0,N(AF105)*(H105*W105*$W$6)+p_CorrFixa&lt;p_CompraMin),0,AF105))</f>
        <v/>
      </c>
      <c r="AH105" s="85" t="str">
        <f>IF(A105="","",IF(N(AG105)&gt;0,AB105,0))</f>
        <v/>
      </c>
      <c r="AI105" s="85" t="str">
        <f>IF(A105="","",IF(AND(AH105&gt;0,AH105=$AH$6,COUNTIF($AH$9:AH105,AH105)=1),1,0))</f>
        <v/>
      </c>
    </row>
    <row r="106">
      <c r="A106" s="96" t="n"/>
      <c r="B106" s="96" t="n"/>
      <c r="C106" s="96" t="n"/>
      <c r="D106" s="97" t="n"/>
      <c r="E106" s="98" t="n"/>
      <c r="F106" s="99" t="n"/>
      <c r="G106" s="100" t="n"/>
      <c r="H106" s="104" t="str">
        <f>IF(A106="","",IF(AND(p_ModoCot="Automático",ISNUMBER(Z106)),Z106,IF(N(G106)&gt;0,G106,0)))</f>
        <v/>
      </c>
      <c r="I106" s="105" t="str">
        <f>IF(A106="","",IF(W106=0,"Sem câmbio",IF(AND(p_ModoCot="Automático",ISNUMBER(Z106)),"Auto",IF(N(G106)&gt;0,"Manual","Sem cotação"))))</f>
        <v/>
      </c>
      <c r="J106" s="106" t="str">
        <f>IF(A106="","",N(E106)*H106)</f>
        <v/>
      </c>
      <c r="K106" s="107" t="str">
        <f>IF(A106="","",J106*W106)</f>
        <v/>
      </c>
      <c r="L106" s="108" t="str">
        <f>IF(A106="","",IF($K$6&gt;0,K106/$K$6,0))</f>
        <v/>
      </c>
      <c r="M106" s="109" t="str">
        <f>IF(A106="","",N(F106)-L106)</f>
        <v/>
      </c>
      <c r="N106" s="108" t="str">
        <f>IF(A106="","",IF($AB$6&gt;0,AB106/$AB$6,0))</f>
        <v/>
      </c>
      <c r="O106" s="110" t="str">
        <f>IF(A106="","",IF(AB106&lt;=0,"",COUNTIF($AB$9:$AB$208,"&gt;"&amp;AB106)+COUNTIF($AB$9:AB106,AB106)))</f>
        <v/>
      </c>
      <c r="P106" s="105" t="str">
        <f>IF(A106="","",IF(Q106&gt;0,"BUY","HOLD"))</f>
        <v/>
      </c>
      <c r="Q106" s="107" t="str">
        <f>IF(A106="","",IF($W$7&lt;=0,0,IF($AC$6&gt;0,$W$7*AC106/$AC$6,IF($F$6&gt;0,$W$7*N(F106)/$F$6,0))))</f>
        <v/>
      </c>
      <c r="R106" s="111" t="str">
        <f>IF(A106="","",N(AD106)+IF(AI106=1,N(AG106),0))</f>
        <v/>
      </c>
      <c r="S106" s="111" t="str">
        <f>IF(A106="","",N(E106)+N(R106))</f>
        <v/>
      </c>
      <c r="T106" s="107" t="str">
        <f>IF(A106="","",IF(N(R106)&gt;0,R106*H106*W106*$W$6+p_CorrFixa,0))</f>
        <v/>
      </c>
      <c r="V106" s="85" t="str">
        <f>IF(A106="","",IF(D106="",$W$1,D106))</f>
        <v/>
      </c>
      <c r="W106" s="85" t="str">
        <f>IF(A106="","",IFERROR(INDEX(moeda_fx,MATCH(V106,moeda_cod,0)),0))</f>
        <v/>
      </c>
      <c r="X106" s="85" t="str">
        <f>IF(A106="","",IF($W$2="",UPPER(TRIM(A106)),IF(RIGHT(UPPER(TRIM(A106)),LEN($W$2))=$W$2,UPPER(TRIM(A106)),UPPER(TRIM(A106))&amp;$W$2)))</f>
        <v/>
      </c>
      <c r="Y106" s="85" t="str">
        <f>IF(OR(A106="",p_ModoCot&lt;&gt;"Automático"),"",IFERROR(_xlfn.WEBSERVICE("https://query1.finance.yahoo.com/v8/finance/chart/"&amp;X106&amp;"?range=1d&amp;interval=1d"),""))</f>
        <v/>
      </c>
      <c r="Z106" s="85" t="str">
        <f>IF(Y106="","",IFERROR(_xlfn.NUMBERVALUE(MID(Y106,SEARCH("""regularMarketPrice"":",Y106)+21,SEARCH(",",Y106&amp;",",SEARCH("""regularMarketPrice"":",Y106)+21)-SEARCH("""regularMarketPrice"":",Y106)-21),".",","),""))</f>
        <v/>
      </c>
      <c r="AA106" s="85" t="str">
        <f>IF(A106="","",ROUND(MAX(0,N(F106)*($K$6+$W$7)-K106),2))</f>
        <v/>
      </c>
      <c r="AB106" s="85" t="str">
        <f>IF(A106="","",IF(AND(M106&gt;0,M106&gt;=p_DifMin),AA106,0))</f>
        <v/>
      </c>
      <c r="AC106" s="85" t="str">
        <f>IF(A106="","",IF(AND(AB106&gt;0,N(O106)&lt;=p_MaxAtivos),AB106,0))</f>
        <v/>
      </c>
      <c r="AD106" s="85" t="str">
        <f>IF(A106="","",IF(OR(Q106&lt;=0,Q106&lt;p_CompraMin,N(H106)&lt;=0,N(W106)&lt;=0),0,IF($W$3="Sim",TRUNC(ROUND(MAX(0,(Q106-p_CorrFixa)/(H106*W106*$W$6)),9),$W$4),TRUNC(ROUND(MAX(0,(Q106-p_CorrFixa)/(H106*W106*$W$6)),9)/$W$5)*$W$5)))</f>
        <v/>
      </c>
      <c r="AE106" s="85" t="str">
        <f>IF(A106="","",IF(N(AD106)&gt;0,AD106*H106*W106*$W$6+p_CorrFixa,0))</f>
        <v/>
      </c>
      <c r="AF106" s="85" t="str">
        <f>IF(A106="","",IF(OR($Y$1&lt;=0,N(H106)&lt;=0,N(W106)&lt;=0,N(AB106)&lt;=0),0,IF($W$3="Sim",TRUNC(ROUND(MAX(0,($Y$1-IF(N(AD106)&gt;0,0,p_CorrFixa))/(H106*W106*$W$6)),9),$W$4),TRUNC(ROUND(MAX(0,($Y$1-IF(N(AD106)&gt;0,0,p_CorrFixa))/(H106*W106*$W$6)),9)/$W$5)*$W$5)))</f>
        <v/>
      </c>
      <c r="AG106" s="85" t="str">
        <f>IF(A106="","",IF(AND(N(AD106)=0,N(AF106)*(H106*W106*$W$6)+p_CorrFixa&lt;p_CompraMin),0,AF106))</f>
        <v/>
      </c>
      <c r="AH106" s="85" t="str">
        <f>IF(A106="","",IF(N(AG106)&gt;0,AB106,0))</f>
        <v/>
      </c>
      <c r="AI106" s="85" t="str">
        <f>IF(A106="","",IF(AND(AH106&gt;0,AH106=$AH$6,COUNTIF($AH$9:AH106,AH106)=1),1,0))</f>
        <v/>
      </c>
    </row>
    <row r="107">
      <c r="A107" s="96" t="n"/>
      <c r="B107" s="96" t="n"/>
      <c r="C107" s="96" t="n"/>
      <c r="D107" s="97" t="n"/>
      <c r="E107" s="98" t="n"/>
      <c r="F107" s="99" t="n"/>
      <c r="G107" s="100" t="n"/>
      <c r="H107" s="101" t="str">
        <f>IF(A107="","",IF(AND(p_ModoCot="Automático",ISNUMBER(Z107)),Z107,IF(N(G107)&gt;0,G107,0)))</f>
        <v/>
      </c>
      <c r="I107" s="73" t="str">
        <f>IF(A107="","",IF(W107=0,"Sem câmbio",IF(AND(p_ModoCot="Automático",ISNUMBER(Z107)),"Auto",IF(N(G107)&gt;0,"Manual","Sem cotação"))))</f>
        <v/>
      </c>
      <c r="J107" s="102" t="str">
        <f>IF(A107="","",N(E107)*H107)</f>
        <v/>
      </c>
      <c r="K107" s="70" t="str">
        <f>IF(A107="","",J107*W107)</f>
        <v/>
      </c>
      <c r="L107" s="30" t="str">
        <f>IF(A107="","",IF($K$6&gt;0,K107/$K$6,0))</f>
        <v/>
      </c>
      <c r="M107" s="72" t="str">
        <f>IF(A107="","",N(F107)-L107)</f>
        <v/>
      </c>
      <c r="N107" s="30" t="str">
        <f>IF(A107="","",IF($AB$6&gt;0,AB107/$AB$6,0))</f>
        <v/>
      </c>
      <c r="O107" s="74" t="str">
        <f>IF(A107="","",IF(AB107&lt;=0,"",COUNTIF($AB$9:$AB$208,"&gt;"&amp;AB107)+COUNTIF($AB$9:AB107,AB107)))</f>
        <v/>
      </c>
      <c r="P107" s="73" t="str">
        <f>IF(A107="","",IF(Q107&gt;0,"BUY","HOLD"))</f>
        <v/>
      </c>
      <c r="Q107" s="70" t="str">
        <f>IF(A107="","",IF($W$7&lt;=0,0,IF($AC$6&gt;0,$W$7*AC107/$AC$6,IF($F$6&gt;0,$W$7*N(F107)/$F$6,0))))</f>
        <v/>
      </c>
      <c r="R107" s="103" t="str">
        <f>IF(A107="","",N(AD107)+IF(AI107=1,N(AG107),0))</f>
        <v/>
      </c>
      <c r="S107" s="103" t="str">
        <f>IF(A107="","",N(E107)+N(R107))</f>
        <v/>
      </c>
      <c r="T107" s="70" t="str">
        <f>IF(A107="","",IF(N(R107)&gt;0,R107*H107*W107*$W$6+p_CorrFixa,0))</f>
        <v/>
      </c>
      <c r="V107" s="85" t="str">
        <f>IF(A107="","",IF(D107="",$W$1,D107))</f>
        <v/>
      </c>
      <c r="W107" s="85" t="str">
        <f>IF(A107="","",IFERROR(INDEX(moeda_fx,MATCH(V107,moeda_cod,0)),0))</f>
        <v/>
      </c>
      <c r="X107" s="85" t="str">
        <f>IF(A107="","",IF($W$2="",UPPER(TRIM(A107)),IF(RIGHT(UPPER(TRIM(A107)),LEN($W$2))=$W$2,UPPER(TRIM(A107)),UPPER(TRIM(A107))&amp;$W$2)))</f>
        <v/>
      </c>
      <c r="Y107" s="85" t="str">
        <f>IF(OR(A107="",p_ModoCot&lt;&gt;"Automático"),"",IFERROR(_xlfn.WEBSERVICE("https://query1.finance.yahoo.com/v8/finance/chart/"&amp;X107&amp;"?range=1d&amp;interval=1d"),""))</f>
        <v/>
      </c>
      <c r="Z107" s="85" t="str">
        <f>IF(Y107="","",IFERROR(_xlfn.NUMBERVALUE(MID(Y107,SEARCH("""regularMarketPrice"":",Y107)+21,SEARCH(",",Y107&amp;",",SEARCH("""regularMarketPrice"":",Y107)+21)-SEARCH("""regularMarketPrice"":",Y107)-21),".",","),""))</f>
        <v/>
      </c>
      <c r="AA107" s="85" t="str">
        <f>IF(A107="","",ROUND(MAX(0,N(F107)*($K$6+$W$7)-K107),2))</f>
        <v/>
      </c>
      <c r="AB107" s="85" t="str">
        <f>IF(A107="","",IF(AND(M107&gt;0,M107&gt;=p_DifMin),AA107,0))</f>
        <v/>
      </c>
      <c r="AC107" s="85" t="str">
        <f>IF(A107="","",IF(AND(AB107&gt;0,N(O107)&lt;=p_MaxAtivos),AB107,0))</f>
        <v/>
      </c>
      <c r="AD107" s="85" t="str">
        <f>IF(A107="","",IF(OR(Q107&lt;=0,Q107&lt;p_CompraMin,N(H107)&lt;=0,N(W107)&lt;=0),0,IF($W$3="Sim",TRUNC(ROUND(MAX(0,(Q107-p_CorrFixa)/(H107*W107*$W$6)),9),$W$4),TRUNC(ROUND(MAX(0,(Q107-p_CorrFixa)/(H107*W107*$W$6)),9)/$W$5)*$W$5)))</f>
        <v/>
      </c>
      <c r="AE107" s="85" t="str">
        <f>IF(A107="","",IF(N(AD107)&gt;0,AD107*H107*W107*$W$6+p_CorrFixa,0))</f>
        <v/>
      </c>
      <c r="AF107" s="85" t="str">
        <f>IF(A107="","",IF(OR($Y$1&lt;=0,N(H107)&lt;=0,N(W107)&lt;=0,N(AB107)&lt;=0),0,IF($W$3="Sim",TRUNC(ROUND(MAX(0,($Y$1-IF(N(AD107)&gt;0,0,p_CorrFixa))/(H107*W107*$W$6)),9),$W$4),TRUNC(ROUND(MAX(0,($Y$1-IF(N(AD107)&gt;0,0,p_CorrFixa))/(H107*W107*$W$6)),9)/$W$5)*$W$5)))</f>
        <v/>
      </c>
      <c r="AG107" s="85" t="str">
        <f>IF(A107="","",IF(AND(N(AD107)=0,N(AF107)*(H107*W107*$W$6)+p_CorrFixa&lt;p_CompraMin),0,AF107))</f>
        <v/>
      </c>
      <c r="AH107" s="85" t="str">
        <f>IF(A107="","",IF(N(AG107)&gt;0,AB107,0))</f>
        <v/>
      </c>
      <c r="AI107" s="85" t="str">
        <f>IF(A107="","",IF(AND(AH107&gt;0,AH107=$AH$6,COUNTIF($AH$9:AH107,AH107)=1),1,0))</f>
        <v/>
      </c>
    </row>
    <row r="108">
      <c r="A108" s="96" t="n"/>
      <c r="B108" s="96" t="n"/>
      <c r="C108" s="96" t="n"/>
      <c r="D108" s="97" t="n"/>
      <c r="E108" s="98" t="n"/>
      <c r="F108" s="99" t="n"/>
      <c r="G108" s="100" t="n"/>
      <c r="H108" s="104" t="str">
        <f>IF(A108="","",IF(AND(p_ModoCot="Automático",ISNUMBER(Z108)),Z108,IF(N(G108)&gt;0,G108,0)))</f>
        <v/>
      </c>
      <c r="I108" s="105" t="str">
        <f>IF(A108="","",IF(W108=0,"Sem câmbio",IF(AND(p_ModoCot="Automático",ISNUMBER(Z108)),"Auto",IF(N(G108)&gt;0,"Manual","Sem cotação"))))</f>
        <v/>
      </c>
      <c r="J108" s="106" t="str">
        <f>IF(A108="","",N(E108)*H108)</f>
        <v/>
      </c>
      <c r="K108" s="107" t="str">
        <f>IF(A108="","",J108*W108)</f>
        <v/>
      </c>
      <c r="L108" s="108" t="str">
        <f>IF(A108="","",IF($K$6&gt;0,K108/$K$6,0))</f>
        <v/>
      </c>
      <c r="M108" s="109" t="str">
        <f>IF(A108="","",N(F108)-L108)</f>
        <v/>
      </c>
      <c r="N108" s="108" t="str">
        <f>IF(A108="","",IF($AB$6&gt;0,AB108/$AB$6,0))</f>
        <v/>
      </c>
      <c r="O108" s="110" t="str">
        <f>IF(A108="","",IF(AB108&lt;=0,"",COUNTIF($AB$9:$AB$208,"&gt;"&amp;AB108)+COUNTIF($AB$9:AB108,AB108)))</f>
        <v/>
      </c>
      <c r="P108" s="105" t="str">
        <f>IF(A108="","",IF(Q108&gt;0,"BUY","HOLD"))</f>
        <v/>
      </c>
      <c r="Q108" s="107" t="str">
        <f>IF(A108="","",IF($W$7&lt;=0,0,IF($AC$6&gt;0,$W$7*AC108/$AC$6,IF($F$6&gt;0,$W$7*N(F108)/$F$6,0))))</f>
        <v/>
      </c>
      <c r="R108" s="111" t="str">
        <f>IF(A108="","",N(AD108)+IF(AI108=1,N(AG108),0))</f>
        <v/>
      </c>
      <c r="S108" s="111" t="str">
        <f>IF(A108="","",N(E108)+N(R108))</f>
        <v/>
      </c>
      <c r="T108" s="107" t="str">
        <f>IF(A108="","",IF(N(R108)&gt;0,R108*H108*W108*$W$6+p_CorrFixa,0))</f>
        <v/>
      </c>
      <c r="V108" s="85" t="str">
        <f>IF(A108="","",IF(D108="",$W$1,D108))</f>
        <v/>
      </c>
      <c r="W108" s="85" t="str">
        <f>IF(A108="","",IFERROR(INDEX(moeda_fx,MATCH(V108,moeda_cod,0)),0))</f>
        <v/>
      </c>
      <c r="X108" s="85" t="str">
        <f>IF(A108="","",IF($W$2="",UPPER(TRIM(A108)),IF(RIGHT(UPPER(TRIM(A108)),LEN($W$2))=$W$2,UPPER(TRIM(A108)),UPPER(TRIM(A108))&amp;$W$2)))</f>
        <v/>
      </c>
      <c r="Y108" s="85" t="str">
        <f>IF(OR(A108="",p_ModoCot&lt;&gt;"Automático"),"",IFERROR(_xlfn.WEBSERVICE("https://query1.finance.yahoo.com/v8/finance/chart/"&amp;X108&amp;"?range=1d&amp;interval=1d"),""))</f>
        <v/>
      </c>
      <c r="Z108" s="85" t="str">
        <f>IF(Y108="","",IFERROR(_xlfn.NUMBERVALUE(MID(Y108,SEARCH("""regularMarketPrice"":",Y108)+21,SEARCH(",",Y108&amp;",",SEARCH("""regularMarketPrice"":",Y108)+21)-SEARCH("""regularMarketPrice"":",Y108)-21),".",","),""))</f>
        <v/>
      </c>
      <c r="AA108" s="85" t="str">
        <f>IF(A108="","",ROUND(MAX(0,N(F108)*($K$6+$W$7)-K108),2))</f>
        <v/>
      </c>
      <c r="AB108" s="85" t="str">
        <f>IF(A108="","",IF(AND(M108&gt;0,M108&gt;=p_DifMin),AA108,0))</f>
        <v/>
      </c>
      <c r="AC108" s="85" t="str">
        <f>IF(A108="","",IF(AND(AB108&gt;0,N(O108)&lt;=p_MaxAtivos),AB108,0))</f>
        <v/>
      </c>
      <c r="AD108" s="85" t="str">
        <f>IF(A108="","",IF(OR(Q108&lt;=0,Q108&lt;p_CompraMin,N(H108)&lt;=0,N(W108)&lt;=0),0,IF($W$3="Sim",TRUNC(ROUND(MAX(0,(Q108-p_CorrFixa)/(H108*W108*$W$6)),9),$W$4),TRUNC(ROUND(MAX(0,(Q108-p_CorrFixa)/(H108*W108*$W$6)),9)/$W$5)*$W$5)))</f>
        <v/>
      </c>
      <c r="AE108" s="85" t="str">
        <f>IF(A108="","",IF(N(AD108)&gt;0,AD108*H108*W108*$W$6+p_CorrFixa,0))</f>
        <v/>
      </c>
      <c r="AF108" s="85" t="str">
        <f>IF(A108="","",IF(OR($Y$1&lt;=0,N(H108)&lt;=0,N(W108)&lt;=0,N(AB108)&lt;=0),0,IF($W$3="Sim",TRUNC(ROUND(MAX(0,($Y$1-IF(N(AD108)&gt;0,0,p_CorrFixa))/(H108*W108*$W$6)),9),$W$4),TRUNC(ROUND(MAX(0,($Y$1-IF(N(AD108)&gt;0,0,p_CorrFixa))/(H108*W108*$W$6)),9)/$W$5)*$W$5)))</f>
        <v/>
      </c>
      <c r="AG108" s="85" t="str">
        <f>IF(A108="","",IF(AND(N(AD108)=0,N(AF108)*(H108*W108*$W$6)+p_CorrFixa&lt;p_CompraMin),0,AF108))</f>
        <v/>
      </c>
      <c r="AH108" s="85" t="str">
        <f>IF(A108="","",IF(N(AG108)&gt;0,AB108,0))</f>
        <v/>
      </c>
      <c r="AI108" s="85" t="str">
        <f>IF(A108="","",IF(AND(AH108&gt;0,AH108=$AH$6,COUNTIF($AH$9:AH108,AH108)=1),1,0))</f>
        <v/>
      </c>
    </row>
    <row r="109">
      <c r="A109" s="96" t="n"/>
      <c r="B109" s="96" t="n"/>
      <c r="C109" s="96" t="n"/>
      <c r="D109" s="97" t="n"/>
      <c r="E109" s="98" t="n"/>
      <c r="F109" s="99" t="n"/>
      <c r="G109" s="100" t="n"/>
      <c r="H109" s="101" t="str">
        <f>IF(A109="","",IF(AND(p_ModoCot="Automático",ISNUMBER(Z109)),Z109,IF(N(G109)&gt;0,G109,0)))</f>
        <v/>
      </c>
      <c r="I109" s="73" t="str">
        <f>IF(A109="","",IF(W109=0,"Sem câmbio",IF(AND(p_ModoCot="Automático",ISNUMBER(Z109)),"Auto",IF(N(G109)&gt;0,"Manual","Sem cotação"))))</f>
        <v/>
      </c>
      <c r="J109" s="102" t="str">
        <f>IF(A109="","",N(E109)*H109)</f>
        <v/>
      </c>
      <c r="K109" s="70" t="str">
        <f>IF(A109="","",J109*W109)</f>
        <v/>
      </c>
      <c r="L109" s="30" t="str">
        <f>IF(A109="","",IF($K$6&gt;0,K109/$K$6,0))</f>
        <v/>
      </c>
      <c r="M109" s="72" t="str">
        <f>IF(A109="","",N(F109)-L109)</f>
        <v/>
      </c>
      <c r="N109" s="30" t="str">
        <f>IF(A109="","",IF($AB$6&gt;0,AB109/$AB$6,0))</f>
        <v/>
      </c>
      <c r="O109" s="74" t="str">
        <f>IF(A109="","",IF(AB109&lt;=0,"",COUNTIF($AB$9:$AB$208,"&gt;"&amp;AB109)+COUNTIF($AB$9:AB109,AB109)))</f>
        <v/>
      </c>
      <c r="P109" s="73" t="str">
        <f>IF(A109="","",IF(Q109&gt;0,"BUY","HOLD"))</f>
        <v/>
      </c>
      <c r="Q109" s="70" t="str">
        <f>IF(A109="","",IF($W$7&lt;=0,0,IF($AC$6&gt;0,$W$7*AC109/$AC$6,IF($F$6&gt;0,$W$7*N(F109)/$F$6,0))))</f>
        <v/>
      </c>
      <c r="R109" s="103" t="str">
        <f>IF(A109="","",N(AD109)+IF(AI109=1,N(AG109),0))</f>
        <v/>
      </c>
      <c r="S109" s="103" t="str">
        <f>IF(A109="","",N(E109)+N(R109))</f>
        <v/>
      </c>
      <c r="T109" s="70" t="str">
        <f>IF(A109="","",IF(N(R109)&gt;0,R109*H109*W109*$W$6+p_CorrFixa,0))</f>
        <v/>
      </c>
      <c r="V109" s="85" t="str">
        <f>IF(A109="","",IF(D109="",$W$1,D109))</f>
        <v/>
      </c>
      <c r="W109" s="85" t="str">
        <f>IF(A109="","",IFERROR(INDEX(moeda_fx,MATCH(V109,moeda_cod,0)),0))</f>
        <v/>
      </c>
      <c r="X109" s="85" t="str">
        <f>IF(A109="","",IF($W$2="",UPPER(TRIM(A109)),IF(RIGHT(UPPER(TRIM(A109)),LEN($W$2))=$W$2,UPPER(TRIM(A109)),UPPER(TRIM(A109))&amp;$W$2)))</f>
        <v/>
      </c>
      <c r="Y109" s="85" t="str">
        <f>IF(OR(A109="",p_ModoCot&lt;&gt;"Automático"),"",IFERROR(_xlfn.WEBSERVICE("https://query1.finance.yahoo.com/v8/finance/chart/"&amp;X109&amp;"?range=1d&amp;interval=1d"),""))</f>
        <v/>
      </c>
      <c r="Z109" s="85" t="str">
        <f>IF(Y109="","",IFERROR(_xlfn.NUMBERVALUE(MID(Y109,SEARCH("""regularMarketPrice"":",Y109)+21,SEARCH(",",Y109&amp;",",SEARCH("""regularMarketPrice"":",Y109)+21)-SEARCH("""regularMarketPrice"":",Y109)-21),".",","),""))</f>
        <v/>
      </c>
      <c r="AA109" s="85" t="str">
        <f>IF(A109="","",ROUND(MAX(0,N(F109)*($K$6+$W$7)-K109),2))</f>
        <v/>
      </c>
      <c r="AB109" s="85" t="str">
        <f>IF(A109="","",IF(AND(M109&gt;0,M109&gt;=p_DifMin),AA109,0))</f>
        <v/>
      </c>
      <c r="AC109" s="85" t="str">
        <f>IF(A109="","",IF(AND(AB109&gt;0,N(O109)&lt;=p_MaxAtivos),AB109,0))</f>
        <v/>
      </c>
      <c r="AD109" s="85" t="str">
        <f>IF(A109="","",IF(OR(Q109&lt;=0,Q109&lt;p_CompraMin,N(H109)&lt;=0,N(W109)&lt;=0),0,IF($W$3="Sim",TRUNC(ROUND(MAX(0,(Q109-p_CorrFixa)/(H109*W109*$W$6)),9),$W$4),TRUNC(ROUND(MAX(0,(Q109-p_CorrFixa)/(H109*W109*$W$6)),9)/$W$5)*$W$5)))</f>
        <v/>
      </c>
      <c r="AE109" s="85" t="str">
        <f>IF(A109="","",IF(N(AD109)&gt;0,AD109*H109*W109*$W$6+p_CorrFixa,0))</f>
        <v/>
      </c>
      <c r="AF109" s="85" t="str">
        <f>IF(A109="","",IF(OR($Y$1&lt;=0,N(H109)&lt;=0,N(W109)&lt;=0,N(AB109)&lt;=0),0,IF($W$3="Sim",TRUNC(ROUND(MAX(0,($Y$1-IF(N(AD109)&gt;0,0,p_CorrFixa))/(H109*W109*$W$6)),9),$W$4),TRUNC(ROUND(MAX(0,($Y$1-IF(N(AD109)&gt;0,0,p_CorrFixa))/(H109*W109*$W$6)),9)/$W$5)*$W$5)))</f>
        <v/>
      </c>
      <c r="AG109" s="85" t="str">
        <f>IF(A109="","",IF(AND(N(AD109)=0,N(AF109)*(H109*W109*$W$6)+p_CorrFixa&lt;p_CompraMin),0,AF109))</f>
        <v/>
      </c>
      <c r="AH109" s="85" t="str">
        <f>IF(A109="","",IF(N(AG109)&gt;0,AB109,0))</f>
        <v/>
      </c>
      <c r="AI109" s="85" t="str">
        <f>IF(A109="","",IF(AND(AH109&gt;0,AH109=$AH$6,COUNTIF($AH$9:AH109,AH109)=1),1,0))</f>
        <v/>
      </c>
    </row>
    <row r="110">
      <c r="A110" s="96" t="n"/>
      <c r="B110" s="96" t="n"/>
      <c r="C110" s="96" t="n"/>
      <c r="D110" s="97" t="n"/>
      <c r="E110" s="98" t="n"/>
      <c r="F110" s="99" t="n"/>
      <c r="G110" s="100" t="n"/>
      <c r="H110" s="104" t="str">
        <f>IF(A110="","",IF(AND(p_ModoCot="Automático",ISNUMBER(Z110)),Z110,IF(N(G110)&gt;0,G110,0)))</f>
        <v/>
      </c>
      <c r="I110" s="105" t="str">
        <f>IF(A110="","",IF(W110=0,"Sem câmbio",IF(AND(p_ModoCot="Automático",ISNUMBER(Z110)),"Auto",IF(N(G110)&gt;0,"Manual","Sem cotação"))))</f>
        <v/>
      </c>
      <c r="J110" s="106" t="str">
        <f>IF(A110="","",N(E110)*H110)</f>
        <v/>
      </c>
      <c r="K110" s="107" t="str">
        <f>IF(A110="","",J110*W110)</f>
        <v/>
      </c>
      <c r="L110" s="108" t="str">
        <f>IF(A110="","",IF($K$6&gt;0,K110/$K$6,0))</f>
        <v/>
      </c>
      <c r="M110" s="109" t="str">
        <f>IF(A110="","",N(F110)-L110)</f>
        <v/>
      </c>
      <c r="N110" s="108" t="str">
        <f>IF(A110="","",IF($AB$6&gt;0,AB110/$AB$6,0))</f>
        <v/>
      </c>
      <c r="O110" s="110" t="str">
        <f>IF(A110="","",IF(AB110&lt;=0,"",COUNTIF($AB$9:$AB$208,"&gt;"&amp;AB110)+COUNTIF($AB$9:AB110,AB110)))</f>
        <v/>
      </c>
      <c r="P110" s="105" t="str">
        <f>IF(A110="","",IF(Q110&gt;0,"BUY","HOLD"))</f>
        <v/>
      </c>
      <c r="Q110" s="107" t="str">
        <f>IF(A110="","",IF($W$7&lt;=0,0,IF($AC$6&gt;0,$W$7*AC110/$AC$6,IF($F$6&gt;0,$W$7*N(F110)/$F$6,0))))</f>
        <v/>
      </c>
      <c r="R110" s="111" t="str">
        <f>IF(A110="","",N(AD110)+IF(AI110=1,N(AG110),0))</f>
        <v/>
      </c>
      <c r="S110" s="111" t="str">
        <f>IF(A110="","",N(E110)+N(R110))</f>
        <v/>
      </c>
      <c r="T110" s="107" t="str">
        <f>IF(A110="","",IF(N(R110)&gt;0,R110*H110*W110*$W$6+p_CorrFixa,0))</f>
        <v/>
      </c>
      <c r="V110" s="85" t="str">
        <f>IF(A110="","",IF(D110="",$W$1,D110))</f>
        <v/>
      </c>
      <c r="W110" s="85" t="str">
        <f>IF(A110="","",IFERROR(INDEX(moeda_fx,MATCH(V110,moeda_cod,0)),0))</f>
        <v/>
      </c>
      <c r="X110" s="85" t="str">
        <f>IF(A110="","",IF($W$2="",UPPER(TRIM(A110)),IF(RIGHT(UPPER(TRIM(A110)),LEN($W$2))=$W$2,UPPER(TRIM(A110)),UPPER(TRIM(A110))&amp;$W$2)))</f>
        <v/>
      </c>
      <c r="Y110" s="85" t="str">
        <f>IF(OR(A110="",p_ModoCot&lt;&gt;"Automático"),"",IFERROR(_xlfn.WEBSERVICE("https://query1.finance.yahoo.com/v8/finance/chart/"&amp;X110&amp;"?range=1d&amp;interval=1d"),""))</f>
        <v/>
      </c>
      <c r="Z110" s="85" t="str">
        <f>IF(Y110="","",IFERROR(_xlfn.NUMBERVALUE(MID(Y110,SEARCH("""regularMarketPrice"":",Y110)+21,SEARCH(",",Y110&amp;",",SEARCH("""regularMarketPrice"":",Y110)+21)-SEARCH("""regularMarketPrice"":",Y110)-21),".",","),""))</f>
        <v/>
      </c>
      <c r="AA110" s="85" t="str">
        <f>IF(A110="","",ROUND(MAX(0,N(F110)*($K$6+$W$7)-K110),2))</f>
        <v/>
      </c>
      <c r="AB110" s="85" t="str">
        <f>IF(A110="","",IF(AND(M110&gt;0,M110&gt;=p_DifMin),AA110,0))</f>
        <v/>
      </c>
      <c r="AC110" s="85" t="str">
        <f>IF(A110="","",IF(AND(AB110&gt;0,N(O110)&lt;=p_MaxAtivos),AB110,0))</f>
        <v/>
      </c>
      <c r="AD110" s="85" t="str">
        <f>IF(A110="","",IF(OR(Q110&lt;=0,Q110&lt;p_CompraMin,N(H110)&lt;=0,N(W110)&lt;=0),0,IF($W$3="Sim",TRUNC(ROUND(MAX(0,(Q110-p_CorrFixa)/(H110*W110*$W$6)),9),$W$4),TRUNC(ROUND(MAX(0,(Q110-p_CorrFixa)/(H110*W110*$W$6)),9)/$W$5)*$W$5)))</f>
        <v/>
      </c>
      <c r="AE110" s="85" t="str">
        <f>IF(A110="","",IF(N(AD110)&gt;0,AD110*H110*W110*$W$6+p_CorrFixa,0))</f>
        <v/>
      </c>
      <c r="AF110" s="85" t="str">
        <f>IF(A110="","",IF(OR($Y$1&lt;=0,N(H110)&lt;=0,N(W110)&lt;=0,N(AB110)&lt;=0),0,IF($W$3="Sim",TRUNC(ROUND(MAX(0,($Y$1-IF(N(AD110)&gt;0,0,p_CorrFixa))/(H110*W110*$W$6)),9),$W$4),TRUNC(ROUND(MAX(0,($Y$1-IF(N(AD110)&gt;0,0,p_CorrFixa))/(H110*W110*$W$6)),9)/$W$5)*$W$5)))</f>
        <v/>
      </c>
      <c r="AG110" s="85" t="str">
        <f>IF(A110="","",IF(AND(N(AD110)=0,N(AF110)*(H110*W110*$W$6)+p_CorrFixa&lt;p_CompraMin),0,AF110))</f>
        <v/>
      </c>
      <c r="AH110" s="85" t="str">
        <f>IF(A110="","",IF(N(AG110)&gt;0,AB110,0))</f>
        <v/>
      </c>
      <c r="AI110" s="85" t="str">
        <f>IF(A110="","",IF(AND(AH110&gt;0,AH110=$AH$6,COUNTIF($AH$9:AH110,AH110)=1),1,0))</f>
        <v/>
      </c>
    </row>
    <row r="111">
      <c r="A111" s="96" t="n"/>
      <c r="B111" s="96" t="n"/>
      <c r="C111" s="96" t="n"/>
      <c r="D111" s="97" t="n"/>
      <c r="E111" s="98" t="n"/>
      <c r="F111" s="99" t="n"/>
      <c r="G111" s="100" t="n"/>
      <c r="H111" s="101" t="str">
        <f>IF(A111="","",IF(AND(p_ModoCot="Automático",ISNUMBER(Z111)),Z111,IF(N(G111)&gt;0,G111,0)))</f>
        <v/>
      </c>
      <c r="I111" s="73" t="str">
        <f>IF(A111="","",IF(W111=0,"Sem câmbio",IF(AND(p_ModoCot="Automático",ISNUMBER(Z111)),"Auto",IF(N(G111)&gt;0,"Manual","Sem cotação"))))</f>
        <v/>
      </c>
      <c r="J111" s="102" t="str">
        <f>IF(A111="","",N(E111)*H111)</f>
        <v/>
      </c>
      <c r="K111" s="70" t="str">
        <f>IF(A111="","",J111*W111)</f>
        <v/>
      </c>
      <c r="L111" s="30" t="str">
        <f>IF(A111="","",IF($K$6&gt;0,K111/$K$6,0))</f>
        <v/>
      </c>
      <c r="M111" s="72" t="str">
        <f>IF(A111="","",N(F111)-L111)</f>
        <v/>
      </c>
      <c r="N111" s="30" t="str">
        <f>IF(A111="","",IF($AB$6&gt;0,AB111/$AB$6,0))</f>
        <v/>
      </c>
      <c r="O111" s="74" t="str">
        <f>IF(A111="","",IF(AB111&lt;=0,"",COUNTIF($AB$9:$AB$208,"&gt;"&amp;AB111)+COUNTIF($AB$9:AB111,AB111)))</f>
        <v/>
      </c>
      <c r="P111" s="73" t="str">
        <f>IF(A111="","",IF(Q111&gt;0,"BUY","HOLD"))</f>
        <v/>
      </c>
      <c r="Q111" s="70" t="str">
        <f>IF(A111="","",IF($W$7&lt;=0,0,IF($AC$6&gt;0,$W$7*AC111/$AC$6,IF($F$6&gt;0,$W$7*N(F111)/$F$6,0))))</f>
        <v/>
      </c>
      <c r="R111" s="103" t="str">
        <f>IF(A111="","",N(AD111)+IF(AI111=1,N(AG111),0))</f>
        <v/>
      </c>
      <c r="S111" s="103" t="str">
        <f>IF(A111="","",N(E111)+N(R111))</f>
        <v/>
      </c>
      <c r="T111" s="70" t="str">
        <f>IF(A111="","",IF(N(R111)&gt;0,R111*H111*W111*$W$6+p_CorrFixa,0))</f>
        <v/>
      </c>
      <c r="V111" s="85" t="str">
        <f>IF(A111="","",IF(D111="",$W$1,D111))</f>
        <v/>
      </c>
      <c r="W111" s="85" t="str">
        <f>IF(A111="","",IFERROR(INDEX(moeda_fx,MATCH(V111,moeda_cod,0)),0))</f>
        <v/>
      </c>
      <c r="X111" s="85" t="str">
        <f>IF(A111="","",IF($W$2="",UPPER(TRIM(A111)),IF(RIGHT(UPPER(TRIM(A111)),LEN($W$2))=$W$2,UPPER(TRIM(A111)),UPPER(TRIM(A111))&amp;$W$2)))</f>
        <v/>
      </c>
      <c r="Y111" s="85" t="str">
        <f>IF(OR(A111="",p_ModoCot&lt;&gt;"Automático"),"",IFERROR(_xlfn.WEBSERVICE("https://query1.finance.yahoo.com/v8/finance/chart/"&amp;X111&amp;"?range=1d&amp;interval=1d"),""))</f>
        <v/>
      </c>
      <c r="Z111" s="85" t="str">
        <f>IF(Y111="","",IFERROR(_xlfn.NUMBERVALUE(MID(Y111,SEARCH("""regularMarketPrice"":",Y111)+21,SEARCH(",",Y111&amp;",",SEARCH("""regularMarketPrice"":",Y111)+21)-SEARCH("""regularMarketPrice"":",Y111)-21),".",","),""))</f>
        <v/>
      </c>
      <c r="AA111" s="85" t="str">
        <f>IF(A111="","",ROUND(MAX(0,N(F111)*($K$6+$W$7)-K111),2))</f>
        <v/>
      </c>
      <c r="AB111" s="85" t="str">
        <f>IF(A111="","",IF(AND(M111&gt;0,M111&gt;=p_DifMin),AA111,0))</f>
        <v/>
      </c>
      <c r="AC111" s="85" t="str">
        <f>IF(A111="","",IF(AND(AB111&gt;0,N(O111)&lt;=p_MaxAtivos),AB111,0))</f>
        <v/>
      </c>
      <c r="AD111" s="85" t="str">
        <f>IF(A111="","",IF(OR(Q111&lt;=0,Q111&lt;p_CompraMin,N(H111)&lt;=0,N(W111)&lt;=0),0,IF($W$3="Sim",TRUNC(ROUND(MAX(0,(Q111-p_CorrFixa)/(H111*W111*$W$6)),9),$W$4),TRUNC(ROUND(MAX(0,(Q111-p_CorrFixa)/(H111*W111*$W$6)),9)/$W$5)*$W$5)))</f>
        <v/>
      </c>
      <c r="AE111" s="85" t="str">
        <f>IF(A111="","",IF(N(AD111)&gt;0,AD111*H111*W111*$W$6+p_CorrFixa,0))</f>
        <v/>
      </c>
      <c r="AF111" s="85" t="str">
        <f>IF(A111="","",IF(OR($Y$1&lt;=0,N(H111)&lt;=0,N(W111)&lt;=0,N(AB111)&lt;=0),0,IF($W$3="Sim",TRUNC(ROUND(MAX(0,($Y$1-IF(N(AD111)&gt;0,0,p_CorrFixa))/(H111*W111*$W$6)),9),$W$4),TRUNC(ROUND(MAX(0,($Y$1-IF(N(AD111)&gt;0,0,p_CorrFixa))/(H111*W111*$W$6)),9)/$W$5)*$W$5)))</f>
        <v/>
      </c>
      <c r="AG111" s="85" t="str">
        <f>IF(A111="","",IF(AND(N(AD111)=0,N(AF111)*(H111*W111*$W$6)+p_CorrFixa&lt;p_CompraMin),0,AF111))</f>
        <v/>
      </c>
      <c r="AH111" s="85" t="str">
        <f>IF(A111="","",IF(N(AG111)&gt;0,AB111,0))</f>
        <v/>
      </c>
      <c r="AI111" s="85" t="str">
        <f>IF(A111="","",IF(AND(AH111&gt;0,AH111=$AH$6,COUNTIF($AH$9:AH111,AH111)=1),1,0))</f>
        <v/>
      </c>
    </row>
    <row r="112">
      <c r="A112" s="96" t="n"/>
      <c r="B112" s="96" t="n"/>
      <c r="C112" s="96" t="n"/>
      <c r="D112" s="97" t="n"/>
      <c r="E112" s="98" t="n"/>
      <c r="F112" s="99" t="n"/>
      <c r="G112" s="100" t="n"/>
      <c r="H112" s="104" t="str">
        <f>IF(A112="","",IF(AND(p_ModoCot="Automático",ISNUMBER(Z112)),Z112,IF(N(G112)&gt;0,G112,0)))</f>
        <v/>
      </c>
      <c r="I112" s="105" t="str">
        <f>IF(A112="","",IF(W112=0,"Sem câmbio",IF(AND(p_ModoCot="Automático",ISNUMBER(Z112)),"Auto",IF(N(G112)&gt;0,"Manual","Sem cotação"))))</f>
        <v/>
      </c>
      <c r="J112" s="106" t="str">
        <f>IF(A112="","",N(E112)*H112)</f>
        <v/>
      </c>
      <c r="K112" s="107" t="str">
        <f>IF(A112="","",J112*W112)</f>
        <v/>
      </c>
      <c r="L112" s="108" t="str">
        <f>IF(A112="","",IF($K$6&gt;0,K112/$K$6,0))</f>
        <v/>
      </c>
      <c r="M112" s="109" t="str">
        <f>IF(A112="","",N(F112)-L112)</f>
        <v/>
      </c>
      <c r="N112" s="108" t="str">
        <f>IF(A112="","",IF($AB$6&gt;0,AB112/$AB$6,0))</f>
        <v/>
      </c>
      <c r="O112" s="110" t="str">
        <f>IF(A112="","",IF(AB112&lt;=0,"",COUNTIF($AB$9:$AB$208,"&gt;"&amp;AB112)+COUNTIF($AB$9:AB112,AB112)))</f>
        <v/>
      </c>
      <c r="P112" s="105" t="str">
        <f>IF(A112="","",IF(Q112&gt;0,"BUY","HOLD"))</f>
        <v/>
      </c>
      <c r="Q112" s="107" t="str">
        <f>IF(A112="","",IF($W$7&lt;=0,0,IF($AC$6&gt;0,$W$7*AC112/$AC$6,IF($F$6&gt;0,$W$7*N(F112)/$F$6,0))))</f>
        <v/>
      </c>
      <c r="R112" s="111" t="str">
        <f>IF(A112="","",N(AD112)+IF(AI112=1,N(AG112),0))</f>
        <v/>
      </c>
      <c r="S112" s="111" t="str">
        <f>IF(A112="","",N(E112)+N(R112))</f>
        <v/>
      </c>
      <c r="T112" s="107" t="str">
        <f>IF(A112="","",IF(N(R112)&gt;0,R112*H112*W112*$W$6+p_CorrFixa,0))</f>
        <v/>
      </c>
      <c r="V112" s="85" t="str">
        <f>IF(A112="","",IF(D112="",$W$1,D112))</f>
        <v/>
      </c>
      <c r="W112" s="85" t="str">
        <f>IF(A112="","",IFERROR(INDEX(moeda_fx,MATCH(V112,moeda_cod,0)),0))</f>
        <v/>
      </c>
      <c r="X112" s="85" t="str">
        <f>IF(A112="","",IF($W$2="",UPPER(TRIM(A112)),IF(RIGHT(UPPER(TRIM(A112)),LEN($W$2))=$W$2,UPPER(TRIM(A112)),UPPER(TRIM(A112))&amp;$W$2)))</f>
        <v/>
      </c>
      <c r="Y112" s="85" t="str">
        <f>IF(OR(A112="",p_ModoCot&lt;&gt;"Automático"),"",IFERROR(_xlfn.WEBSERVICE("https://query1.finance.yahoo.com/v8/finance/chart/"&amp;X112&amp;"?range=1d&amp;interval=1d"),""))</f>
        <v/>
      </c>
      <c r="Z112" s="85" t="str">
        <f>IF(Y112="","",IFERROR(_xlfn.NUMBERVALUE(MID(Y112,SEARCH("""regularMarketPrice"":",Y112)+21,SEARCH(",",Y112&amp;",",SEARCH("""regularMarketPrice"":",Y112)+21)-SEARCH("""regularMarketPrice"":",Y112)-21),".",","),""))</f>
        <v/>
      </c>
      <c r="AA112" s="85" t="str">
        <f>IF(A112="","",ROUND(MAX(0,N(F112)*($K$6+$W$7)-K112),2))</f>
        <v/>
      </c>
      <c r="AB112" s="85" t="str">
        <f>IF(A112="","",IF(AND(M112&gt;0,M112&gt;=p_DifMin),AA112,0))</f>
        <v/>
      </c>
      <c r="AC112" s="85" t="str">
        <f>IF(A112="","",IF(AND(AB112&gt;0,N(O112)&lt;=p_MaxAtivos),AB112,0))</f>
        <v/>
      </c>
      <c r="AD112" s="85" t="str">
        <f>IF(A112="","",IF(OR(Q112&lt;=0,Q112&lt;p_CompraMin,N(H112)&lt;=0,N(W112)&lt;=0),0,IF($W$3="Sim",TRUNC(ROUND(MAX(0,(Q112-p_CorrFixa)/(H112*W112*$W$6)),9),$W$4),TRUNC(ROUND(MAX(0,(Q112-p_CorrFixa)/(H112*W112*$W$6)),9)/$W$5)*$W$5)))</f>
        <v/>
      </c>
      <c r="AE112" s="85" t="str">
        <f>IF(A112="","",IF(N(AD112)&gt;0,AD112*H112*W112*$W$6+p_CorrFixa,0))</f>
        <v/>
      </c>
      <c r="AF112" s="85" t="str">
        <f>IF(A112="","",IF(OR($Y$1&lt;=0,N(H112)&lt;=0,N(W112)&lt;=0,N(AB112)&lt;=0),0,IF($W$3="Sim",TRUNC(ROUND(MAX(0,($Y$1-IF(N(AD112)&gt;0,0,p_CorrFixa))/(H112*W112*$W$6)),9),$W$4),TRUNC(ROUND(MAX(0,($Y$1-IF(N(AD112)&gt;0,0,p_CorrFixa))/(H112*W112*$W$6)),9)/$W$5)*$W$5)))</f>
        <v/>
      </c>
      <c r="AG112" s="85" t="str">
        <f>IF(A112="","",IF(AND(N(AD112)=0,N(AF112)*(H112*W112*$W$6)+p_CorrFixa&lt;p_CompraMin),0,AF112))</f>
        <v/>
      </c>
      <c r="AH112" s="85" t="str">
        <f>IF(A112="","",IF(N(AG112)&gt;0,AB112,0))</f>
        <v/>
      </c>
      <c r="AI112" s="85" t="str">
        <f>IF(A112="","",IF(AND(AH112&gt;0,AH112=$AH$6,COUNTIF($AH$9:AH112,AH112)=1),1,0))</f>
        <v/>
      </c>
    </row>
    <row r="113">
      <c r="A113" s="96" t="n"/>
      <c r="B113" s="96" t="n"/>
      <c r="C113" s="96" t="n"/>
      <c r="D113" s="97" t="n"/>
      <c r="E113" s="98" t="n"/>
      <c r="F113" s="99" t="n"/>
      <c r="G113" s="100" t="n"/>
      <c r="H113" s="101" t="str">
        <f>IF(A113="","",IF(AND(p_ModoCot="Automático",ISNUMBER(Z113)),Z113,IF(N(G113)&gt;0,G113,0)))</f>
        <v/>
      </c>
      <c r="I113" s="73" t="str">
        <f>IF(A113="","",IF(W113=0,"Sem câmbio",IF(AND(p_ModoCot="Automático",ISNUMBER(Z113)),"Auto",IF(N(G113)&gt;0,"Manual","Sem cotação"))))</f>
        <v/>
      </c>
      <c r="J113" s="102" t="str">
        <f>IF(A113="","",N(E113)*H113)</f>
        <v/>
      </c>
      <c r="K113" s="70" t="str">
        <f>IF(A113="","",J113*W113)</f>
        <v/>
      </c>
      <c r="L113" s="30" t="str">
        <f>IF(A113="","",IF($K$6&gt;0,K113/$K$6,0))</f>
        <v/>
      </c>
      <c r="M113" s="72" t="str">
        <f>IF(A113="","",N(F113)-L113)</f>
        <v/>
      </c>
      <c r="N113" s="30" t="str">
        <f>IF(A113="","",IF($AB$6&gt;0,AB113/$AB$6,0))</f>
        <v/>
      </c>
      <c r="O113" s="74" t="str">
        <f>IF(A113="","",IF(AB113&lt;=0,"",COUNTIF($AB$9:$AB$208,"&gt;"&amp;AB113)+COUNTIF($AB$9:AB113,AB113)))</f>
        <v/>
      </c>
      <c r="P113" s="73" t="str">
        <f>IF(A113="","",IF(Q113&gt;0,"BUY","HOLD"))</f>
        <v/>
      </c>
      <c r="Q113" s="70" t="str">
        <f>IF(A113="","",IF($W$7&lt;=0,0,IF($AC$6&gt;0,$W$7*AC113/$AC$6,IF($F$6&gt;0,$W$7*N(F113)/$F$6,0))))</f>
        <v/>
      </c>
      <c r="R113" s="103" t="str">
        <f>IF(A113="","",N(AD113)+IF(AI113=1,N(AG113),0))</f>
        <v/>
      </c>
      <c r="S113" s="103" t="str">
        <f>IF(A113="","",N(E113)+N(R113))</f>
        <v/>
      </c>
      <c r="T113" s="70" t="str">
        <f>IF(A113="","",IF(N(R113)&gt;0,R113*H113*W113*$W$6+p_CorrFixa,0))</f>
        <v/>
      </c>
      <c r="V113" s="85" t="str">
        <f>IF(A113="","",IF(D113="",$W$1,D113))</f>
        <v/>
      </c>
      <c r="W113" s="85" t="str">
        <f>IF(A113="","",IFERROR(INDEX(moeda_fx,MATCH(V113,moeda_cod,0)),0))</f>
        <v/>
      </c>
      <c r="X113" s="85" t="str">
        <f>IF(A113="","",IF($W$2="",UPPER(TRIM(A113)),IF(RIGHT(UPPER(TRIM(A113)),LEN($W$2))=$W$2,UPPER(TRIM(A113)),UPPER(TRIM(A113))&amp;$W$2)))</f>
        <v/>
      </c>
      <c r="Y113" s="85" t="str">
        <f>IF(OR(A113="",p_ModoCot&lt;&gt;"Automático"),"",IFERROR(_xlfn.WEBSERVICE("https://query1.finance.yahoo.com/v8/finance/chart/"&amp;X113&amp;"?range=1d&amp;interval=1d"),""))</f>
        <v/>
      </c>
      <c r="Z113" s="85" t="str">
        <f>IF(Y113="","",IFERROR(_xlfn.NUMBERVALUE(MID(Y113,SEARCH("""regularMarketPrice"":",Y113)+21,SEARCH(",",Y113&amp;",",SEARCH("""regularMarketPrice"":",Y113)+21)-SEARCH("""regularMarketPrice"":",Y113)-21),".",","),""))</f>
        <v/>
      </c>
      <c r="AA113" s="85" t="str">
        <f>IF(A113="","",ROUND(MAX(0,N(F113)*($K$6+$W$7)-K113),2))</f>
        <v/>
      </c>
      <c r="AB113" s="85" t="str">
        <f>IF(A113="","",IF(AND(M113&gt;0,M113&gt;=p_DifMin),AA113,0))</f>
        <v/>
      </c>
      <c r="AC113" s="85" t="str">
        <f>IF(A113="","",IF(AND(AB113&gt;0,N(O113)&lt;=p_MaxAtivos),AB113,0))</f>
        <v/>
      </c>
      <c r="AD113" s="85" t="str">
        <f>IF(A113="","",IF(OR(Q113&lt;=0,Q113&lt;p_CompraMin,N(H113)&lt;=0,N(W113)&lt;=0),0,IF($W$3="Sim",TRUNC(ROUND(MAX(0,(Q113-p_CorrFixa)/(H113*W113*$W$6)),9),$W$4),TRUNC(ROUND(MAX(0,(Q113-p_CorrFixa)/(H113*W113*$W$6)),9)/$W$5)*$W$5)))</f>
        <v/>
      </c>
      <c r="AE113" s="85" t="str">
        <f>IF(A113="","",IF(N(AD113)&gt;0,AD113*H113*W113*$W$6+p_CorrFixa,0))</f>
        <v/>
      </c>
      <c r="AF113" s="85" t="str">
        <f>IF(A113="","",IF(OR($Y$1&lt;=0,N(H113)&lt;=0,N(W113)&lt;=0,N(AB113)&lt;=0),0,IF($W$3="Sim",TRUNC(ROUND(MAX(0,($Y$1-IF(N(AD113)&gt;0,0,p_CorrFixa))/(H113*W113*$W$6)),9),$W$4),TRUNC(ROUND(MAX(0,($Y$1-IF(N(AD113)&gt;0,0,p_CorrFixa))/(H113*W113*$W$6)),9)/$W$5)*$W$5)))</f>
        <v/>
      </c>
      <c r="AG113" s="85" t="str">
        <f>IF(A113="","",IF(AND(N(AD113)=0,N(AF113)*(H113*W113*$W$6)+p_CorrFixa&lt;p_CompraMin),0,AF113))</f>
        <v/>
      </c>
      <c r="AH113" s="85" t="str">
        <f>IF(A113="","",IF(N(AG113)&gt;0,AB113,0))</f>
        <v/>
      </c>
      <c r="AI113" s="85" t="str">
        <f>IF(A113="","",IF(AND(AH113&gt;0,AH113=$AH$6,COUNTIF($AH$9:AH113,AH113)=1),1,0))</f>
        <v/>
      </c>
    </row>
    <row r="114">
      <c r="A114" s="96" t="n"/>
      <c r="B114" s="96" t="n"/>
      <c r="C114" s="96" t="n"/>
      <c r="D114" s="97" t="n"/>
      <c r="E114" s="98" t="n"/>
      <c r="F114" s="99" t="n"/>
      <c r="G114" s="100" t="n"/>
      <c r="H114" s="104" t="str">
        <f>IF(A114="","",IF(AND(p_ModoCot="Automático",ISNUMBER(Z114)),Z114,IF(N(G114)&gt;0,G114,0)))</f>
        <v/>
      </c>
      <c r="I114" s="105" t="str">
        <f>IF(A114="","",IF(W114=0,"Sem câmbio",IF(AND(p_ModoCot="Automático",ISNUMBER(Z114)),"Auto",IF(N(G114)&gt;0,"Manual","Sem cotação"))))</f>
        <v/>
      </c>
      <c r="J114" s="106" t="str">
        <f>IF(A114="","",N(E114)*H114)</f>
        <v/>
      </c>
      <c r="K114" s="107" t="str">
        <f>IF(A114="","",J114*W114)</f>
        <v/>
      </c>
      <c r="L114" s="108" t="str">
        <f>IF(A114="","",IF($K$6&gt;0,K114/$K$6,0))</f>
        <v/>
      </c>
      <c r="M114" s="109" t="str">
        <f>IF(A114="","",N(F114)-L114)</f>
        <v/>
      </c>
      <c r="N114" s="108" t="str">
        <f>IF(A114="","",IF($AB$6&gt;0,AB114/$AB$6,0))</f>
        <v/>
      </c>
      <c r="O114" s="110" t="str">
        <f>IF(A114="","",IF(AB114&lt;=0,"",COUNTIF($AB$9:$AB$208,"&gt;"&amp;AB114)+COUNTIF($AB$9:AB114,AB114)))</f>
        <v/>
      </c>
      <c r="P114" s="105" t="str">
        <f>IF(A114="","",IF(Q114&gt;0,"BUY","HOLD"))</f>
        <v/>
      </c>
      <c r="Q114" s="107" t="str">
        <f>IF(A114="","",IF($W$7&lt;=0,0,IF($AC$6&gt;0,$W$7*AC114/$AC$6,IF($F$6&gt;0,$W$7*N(F114)/$F$6,0))))</f>
        <v/>
      </c>
      <c r="R114" s="111" t="str">
        <f>IF(A114="","",N(AD114)+IF(AI114=1,N(AG114),0))</f>
        <v/>
      </c>
      <c r="S114" s="111" t="str">
        <f>IF(A114="","",N(E114)+N(R114))</f>
        <v/>
      </c>
      <c r="T114" s="107" t="str">
        <f>IF(A114="","",IF(N(R114)&gt;0,R114*H114*W114*$W$6+p_CorrFixa,0))</f>
        <v/>
      </c>
      <c r="V114" s="85" t="str">
        <f>IF(A114="","",IF(D114="",$W$1,D114))</f>
        <v/>
      </c>
      <c r="W114" s="85" t="str">
        <f>IF(A114="","",IFERROR(INDEX(moeda_fx,MATCH(V114,moeda_cod,0)),0))</f>
        <v/>
      </c>
      <c r="X114" s="85" t="str">
        <f>IF(A114="","",IF($W$2="",UPPER(TRIM(A114)),IF(RIGHT(UPPER(TRIM(A114)),LEN($W$2))=$W$2,UPPER(TRIM(A114)),UPPER(TRIM(A114))&amp;$W$2)))</f>
        <v/>
      </c>
      <c r="Y114" s="85" t="str">
        <f>IF(OR(A114="",p_ModoCot&lt;&gt;"Automático"),"",IFERROR(_xlfn.WEBSERVICE("https://query1.finance.yahoo.com/v8/finance/chart/"&amp;X114&amp;"?range=1d&amp;interval=1d"),""))</f>
        <v/>
      </c>
      <c r="Z114" s="85" t="str">
        <f>IF(Y114="","",IFERROR(_xlfn.NUMBERVALUE(MID(Y114,SEARCH("""regularMarketPrice"":",Y114)+21,SEARCH(",",Y114&amp;",",SEARCH("""regularMarketPrice"":",Y114)+21)-SEARCH("""regularMarketPrice"":",Y114)-21),".",","),""))</f>
        <v/>
      </c>
      <c r="AA114" s="85" t="str">
        <f>IF(A114="","",ROUND(MAX(0,N(F114)*($K$6+$W$7)-K114),2))</f>
        <v/>
      </c>
      <c r="AB114" s="85" t="str">
        <f>IF(A114="","",IF(AND(M114&gt;0,M114&gt;=p_DifMin),AA114,0))</f>
        <v/>
      </c>
      <c r="AC114" s="85" t="str">
        <f>IF(A114="","",IF(AND(AB114&gt;0,N(O114)&lt;=p_MaxAtivos),AB114,0))</f>
        <v/>
      </c>
      <c r="AD114" s="85" t="str">
        <f>IF(A114="","",IF(OR(Q114&lt;=0,Q114&lt;p_CompraMin,N(H114)&lt;=0,N(W114)&lt;=0),0,IF($W$3="Sim",TRUNC(ROUND(MAX(0,(Q114-p_CorrFixa)/(H114*W114*$W$6)),9),$W$4),TRUNC(ROUND(MAX(0,(Q114-p_CorrFixa)/(H114*W114*$W$6)),9)/$W$5)*$W$5)))</f>
        <v/>
      </c>
      <c r="AE114" s="85" t="str">
        <f>IF(A114="","",IF(N(AD114)&gt;0,AD114*H114*W114*$W$6+p_CorrFixa,0))</f>
        <v/>
      </c>
      <c r="AF114" s="85" t="str">
        <f>IF(A114="","",IF(OR($Y$1&lt;=0,N(H114)&lt;=0,N(W114)&lt;=0,N(AB114)&lt;=0),0,IF($W$3="Sim",TRUNC(ROUND(MAX(0,($Y$1-IF(N(AD114)&gt;0,0,p_CorrFixa))/(H114*W114*$W$6)),9),$W$4),TRUNC(ROUND(MAX(0,($Y$1-IF(N(AD114)&gt;0,0,p_CorrFixa))/(H114*W114*$W$6)),9)/$W$5)*$W$5)))</f>
        <v/>
      </c>
      <c r="AG114" s="85" t="str">
        <f>IF(A114="","",IF(AND(N(AD114)=0,N(AF114)*(H114*W114*$W$6)+p_CorrFixa&lt;p_CompraMin),0,AF114))</f>
        <v/>
      </c>
      <c r="AH114" s="85" t="str">
        <f>IF(A114="","",IF(N(AG114)&gt;0,AB114,0))</f>
        <v/>
      </c>
      <c r="AI114" s="85" t="str">
        <f>IF(A114="","",IF(AND(AH114&gt;0,AH114=$AH$6,COUNTIF($AH$9:AH114,AH114)=1),1,0))</f>
        <v/>
      </c>
    </row>
    <row r="115">
      <c r="A115" s="96" t="n"/>
      <c r="B115" s="96" t="n"/>
      <c r="C115" s="96" t="n"/>
      <c r="D115" s="97" t="n"/>
      <c r="E115" s="98" t="n"/>
      <c r="F115" s="99" t="n"/>
      <c r="G115" s="100" t="n"/>
      <c r="H115" s="101" t="str">
        <f>IF(A115="","",IF(AND(p_ModoCot="Automático",ISNUMBER(Z115)),Z115,IF(N(G115)&gt;0,G115,0)))</f>
        <v/>
      </c>
      <c r="I115" s="73" t="str">
        <f>IF(A115="","",IF(W115=0,"Sem câmbio",IF(AND(p_ModoCot="Automático",ISNUMBER(Z115)),"Auto",IF(N(G115)&gt;0,"Manual","Sem cotação"))))</f>
        <v/>
      </c>
      <c r="J115" s="102" t="str">
        <f>IF(A115="","",N(E115)*H115)</f>
        <v/>
      </c>
      <c r="K115" s="70" t="str">
        <f>IF(A115="","",J115*W115)</f>
        <v/>
      </c>
      <c r="L115" s="30" t="str">
        <f>IF(A115="","",IF($K$6&gt;0,K115/$K$6,0))</f>
        <v/>
      </c>
      <c r="M115" s="72" t="str">
        <f>IF(A115="","",N(F115)-L115)</f>
        <v/>
      </c>
      <c r="N115" s="30" t="str">
        <f>IF(A115="","",IF($AB$6&gt;0,AB115/$AB$6,0))</f>
        <v/>
      </c>
      <c r="O115" s="74" t="str">
        <f>IF(A115="","",IF(AB115&lt;=0,"",COUNTIF($AB$9:$AB$208,"&gt;"&amp;AB115)+COUNTIF($AB$9:AB115,AB115)))</f>
        <v/>
      </c>
      <c r="P115" s="73" t="str">
        <f>IF(A115="","",IF(Q115&gt;0,"BUY","HOLD"))</f>
        <v/>
      </c>
      <c r="Q115" s="70" t="str">
        <f>IF(A115="","",IF($W$7&lt;=0,0,IF($AC$6&gt;0,$W$7*AC115/$AC$6,IF($F$6&gt;0,$W$7*N(F115)/$F$6,0))))</f>
        <v/>
      </c>
      <c r="R115" s="103" t="str">
        <f>IF(A115="","",N(AD115)+IF(AI115=1,N(AG115),0))</f>
        <v/>
      </c>
      <c r="S115" s="103" t="str">
        <f>IF(A115="","",N(E115)+N(R115))</f>
        <v/>
      </c>
      <c r="T115" s="70" t="str">
        <f>IF(A115="","",IF(N(R115)&gt;0,R115*H115*W115*$W$6+p_CorrFixa,0))</f>
        <v/>
      </c>
      <c r="V115" s="85" t="str">
        <f>IF(A115="","",IF(D115="",$W$1,D115))</f>
        <v/>
      </c>
      <c r="W115" s="85" t="str">
        <f>IF(A115="","",IFERROR(INDEX(moeda_fx,MATCH(V115,moeda_cod,0)),0))</f>
        <v/>
      </c>
      <c r="X115" s="85" t="str">
        <f>IF(A115="","",IF($W$2="",UPPER(TRIM(A115)),IF(RIGHT(UPPER(TRIM(A115)),LEN($W$2))=$W$2,UPPER(TRIM(A115)),UPPER(TRIM(A115))&amp;$W$2)))</f>
        <v/>
      </c>
      <c r="Y115" s="85" t="str">
        <f>IF(OR(A115="",p_ModoCot&lt;&gt;"Automático"),"",IFERROR(_xlfn.WEBSERVICE("https://query1.finance.yahoo.com/v8/finance/chart/"&amp;X115&amp;"?range=1d&amp;interval=1d"),""))</f>
        <v/>
      </c>
      <c r="Z115" s="85" t="str">
        <f>IF(Y115="","",IFERROR(_xlfn.NUMBERVALUE(MID(Y115,SEARCH("""regularMarketPrice"":",Y115)+21,SEARCH(",",Y115&amp;",",SEARCH("""regularMarketPrice"":",Y115)+21)-SEARCH("""regularMarketPrice"":",Y115)-21),".",","),""))</f>
        <v/>
      </c>
      <c r="AA115" s="85" t="str">
        <f>IF(A115="","",ROUND(MAX(0,N(F115)*($K$6+$W$7)-K115),2))</f>
        <v/>
      </c>
      <c r="AB115" s="85" t="str">
        <f>IF(A115="","",IF(AND(M115&gt;0,M115&gt;=p_DifMin),AA115,0))</f>
        <v/>
      </c>
      <c r="AC115" s="85" t="str">
        <f>IF(A115="","",IF(AND(AB115&gt;0,N(O115)&lt;=p_MaxAtivos),AB115,0))</f>
        <v/>
      </c>
      <c r="AD115" s="85" t="str">
        <f>IF(A115="","",IF(OR(Q115&lt;=0,Q115&lt;p_CompraMin,N(H115)&lt;=0,N(W115)&lt;=0),0,IF($W$3="Sim",TRUNC(ROUND(MAX(0,(Q115-p_CorrFixa)/(H115*W115*$W$6)),9),$W$4),TRUNC(ROUND(MAX(0,(Q115-p_CorrFixa)/(H115*W115*$W$6)),9)/$W$5)*$W$5)))</f>
        <v/>
      </c>
      <c r="AE115" s="85" t="str">
        <f>IF(A115="","",IF(N(AD115)&gt;0,AD115*H115*W115*$W$6+p_CorrFixa,0))</f>
        <v/>
      </c>
      <c r="AF115" s="85" t="str">
        <f>IF(A115="","",IF(OR($Y$1&lt;=0,N(H115)&lt;=0,N(W115)&lt;=0,N(AB115)&lt;=0),0,IF($W$3="Sim",TRUNC(ROUND(MAX(0,($Y$1-IF(N(AD115)&gt;0,0,p_CorrFixa))/(H115*W115*$W$6)),9),$W$4),TRUNC(ROUND(MAX(0,($Y$1-IF(N(AD115)&gt;0,0,p_CorrFixa))/(H115*W115*$W$6)),9)/$W$5)*$W$5)))</f>
        <v/>
      </c>
      <c r="AG115" s="85" t="str">
        <f>IF(A115="","",IF(AND(N(AD115)=0,N(AF115)*(H115*W115*$W$6)+p_CorrFixa&lt;p_CompraMin),0,AF115))</f>
        <v/>
      </c>
      <c r="AH115" s="85" t="str">
        <f>IF(A115="","",IF(N(AG115)&gt;0,AB115,0))</f>
        <v/>
      </c>
      <c r="AI115" s="85" t="str">
        <f>IF(A115="","",IF(AND(AH115&gt;0,AH115=$AH$6,COUNTIF($AH$9:AH115,AH115)=1),1,0))</f>
        <v/>
      </c>
    </row>
    <row r="116">
      <c r="A116" s="96" t="n"/>
      <c r="B116" s="96" t="n"/>
      <c r="C116" s="96" t="n"/>
      <c r="D116" s="97" t="n"/>
      <c r="E116" s="98" t="n"/>
      <c r="F116" s="99" t="n"/>
      <c r="G116" s="100" t="n"/>
      <c r="H116" s="104" t="str">
        <f>IF(A116="","",IF(AND(p_ModoCot="Automático",ISNUMBER(Z116)),Z116,IF(N(G116)&gt;0,G116,0)))</f>
        <v/>
      </c>
      <c r="I116" s="105" t="str">
        <f>IF(A116="","",IF(W116=0,"Sem câmbio",IF(AND(p_ModoCot="Automático",ISNUMBER(Z116)),"Auto",IF(N(G116)&gt;0,"Manual","Sem cotação"))))</f>
        <v/>
      </c>
      <c r="J116" s="106" t="str">
        <f>IF(A116="","",N(E116)*H116)</f>
        <v/>
      </c>
      <c r="K116" s="107" t="str">
        <f>IF(A116="","",J116*W116)</f>
        <v/>
      </c>
      <c r="L116" s="108" t="str">
        <f>IF(A116="","",IF($K$6&gt;0,K116/$K$6,0))</f>
        <v/>
      </c>
      <c r="M116" s="109" t="str">
        <f>IF(A116="","",N(F116)-L116)</f>
        <v/>
      </c>
      <c r="N116" s="108" t="str">
        <f>IF(A116="","",IF($AB$6&gt;0,AB116/$AB$6,0))</f>
        <v/>
      </c>
      <c r="O116" s="110" t="str">
        <f>IF(A116="","",IF(AB116&lt;=0,"",COUNTIF($AB$9:$AB$208,"&gt;"&amp;AB116)+COUNTIF($AB$9:AB116,AB116)))</f>
        <v/>
      </c>
      <c r="P116" s="105" t="str">
        <f>IF(A116="","",IF(Q116&gt;0,"BUY","HOLD"))</f>
        <v/>
      </c>
      <c r="Q116" s="107" t="str">
        <f>IF(A116="","",IF($W$7&lt;=0,0,IF($AC$6&gt;0,$W$7*AC116/$AC$6,IF($F$6&gt;0,$W$7*N(F116)/$F$6,0))))</f>
        <v/>
      </c>
      <c r="R116" s="111" t="str">
        <f>IF(A116="","",N(AD116)+IF(AI116=1,N(AG116),0))</f>
        <v/>
      </c>
      <c r="S116" s="111" t="str">
        <f>IF(A116="","",N(E116)+N(R116))</f>
        <v/>
      </c>
      <c r="T116" s="107" t="str">
        <f>IF(A116="","",IF(N(R116)&gt;0,R116*H116*W116*$W$6+p_CorrFixa,0))</f>
        <v/>
      </c>
      <c r="V116" s="85" t="str">
        <f>IF(A116="","",IF(D116="",$W$1,D116))</f>
        <v/>
      </c>
      <c r="W116" s="85" t="str">
        <f>IF(A116="","",IFERROR(INDEX(moeda_fx,MATCH(V116,moeda_cod,0)),0))</f>
        <v/>
      </c>
      <c r="X116" s="85" t="str">
        <f>IF(A116="","",IF($W$2="",UPPER(TRIM(A116)),IF(RIGHT(UPPER(TRIM(A116)),LEN($W$2))=$W$2,UPPER(TRIM(A116)),UPPER(TRIM(A116))&amp;$W$2)))</f>
        <v/>
      </c>
      <c r="Y116" s="85" t="str">
        <f>IF(OR(A116="",p_ModoCot&lt;&gt;"Automático"),"",IFERROR(_xlfn.WEBSERVICE("https://query1.finance.yahoo.com/v8/finance/chart/"&amp;X116&amp;"?range=1d&amp;interval=1d"),""))</f>
        <v/>
      </c>
      <c r="Z116" s="85" t="str">
        <f>IF(Y116="","",IFERROR(_xlfn.NUMBERVALUE(MID(Y116,SEARCH("""regularMarketPrice"":",Y116)+21,SEARCH(",",Y116&amp;",",SEARCH("""regularMarketPrice"":",Y116)+21)-SEARCH("""regularMarketPrice"":",Y116)-21),".",","),""))</f>
        <v/>
      </c>
      <c r="AA116" s="85" t="str">
        <f>IF(A116="","",ROUND(MAX(0,N(F116)*($K$6+$W$7)-K116),2))</f>
        <v/>
      </c>
      <c r="AB116" s="85" t="str">
        <f>IF(A116="","",IF(AND(M116&gt;0,M116&gt;=p_DifMin),AA116,0))</f>
        <v/>
      </c>
      <c r="AC116" s="85" t="str">
        <f>IF(A116="","",IF(AND(AB116&gt;0,N(O116)&lt;=p_MaxAtivos),AB116,0))</f>
        <v/>
      </c>
      <c r="AD116" s="85" t="str">
        <f>IF(A116="","",IF(OR(Q116&lt;=0,Q116&lt;p_CompraMin,N(H116)&lt;=0,N(W116)&lt;=0),0,IF($W$3="Sim",TRUNC(ROUND(MAX(0,(Q116-p_CorrFixa)/(H116*W116*$W$6)),9),$W$4),TRUNC(ROUND(MAX(0,(Q116-p_CorrFixa)/(H116*W116*$W$6)),9)/$W$5)*$W$5)))</f>
        <v/>
      </c>
      <c r="AE116" s="85" t="str">
        <f>IF(A116="","",IF(N(AD116)&gt;0,AD116*H116*W116*$W$6+p_CorrFixa,0))</f>
        <v/>
      </c>
      <c r="AF116" s="85" t="str">
        <f>IF(A116="","",IF(OR($Y$1&lt;=0,N(H116)&lt;=0,N(W116)&lt;=0,N(AB116)&lt;=0),0,IF($W$3="Sim",TRUNC(ROUND(MAX(0,($Y$1-IF(N(AD116)&gt;0,0,p_CorrFixa))/(H116*W116*$W$6)),9),$W$4),TRUNC(ROUND(MAX(0,($Y$1-IF(N(AD116)&gt;0,0,p_CorrFixa))/(H116*W116*$W$6)),9)/$W$5)*$W$5)))</f>
        <v/>
      </c>
      <c r="AG116" s="85" t="str">
        <f>IF(A116="","",IF(AND(N(AD116)=0,N(AF116)*(H116*W116*$W$6)+p_CorrFixa&lt;p_CompraMin),0,AF116))</f>
        <v/>
      </c>
      <c r="AH116" s="85" t="str">
        <f>IF(A116="","",IF(N(AG116)&gt;0,AB116,0))</f>
        <v/>
      </c>
      <c r="AI116" s="85" t="str">
        <f>IF(A116="","",IF(AND(AH116&gt;0,AH116=$AH$6,COUNTIF($AH$9:AH116,AH116)=1),1,0))</f>
        <v/>
      </c>
    </row>
    <row r="117">
      <c r="A117" s="96" t="n"/>
      <c r="B117" s="96" t="n"/>
      <c r="C117" s="96" t="n"/>
      <c r="D117" s="97" t="n"/>
      <c r="E117" s="98" t="n"/>
      <c r="F117" s="99" t="n"/>
      <c r="G117" s="100" t="n"/>
      <c r="H117" s="101" t="str">
        <f>IF(A117="","",IF(AND(p_ModoCot="Automático",ISNUMBER(Z117)),Z117,IF(N(G117)&gt;0,G117,0)))</f>
        <v/>
      </c>
      <c r="I117" s="73" t="str">
        <f>IF(A117="","",IF(W117=0,"Sem câmbio",IF(AND(p_ModoCot="Automático",ISNUMBER(Z117)),"Auto",IF(N(G117)&gt;0,"Manual","Sem cotação"))))</f>
        <v/>
      </c>
      <c r="J117" s="102" t="str">
        <f>IF(A117="","",N(E117)*H117)</f>
        <v/>
      </c>
      <c r="K117" s="70" t="str">
        <f>IF(A117="","",J117*W117)</f>
        <v/>
      </c>
      <c r="L117" s="30" t="str">
        <f>IF(A117="","",IF($K$6&gt;0,K117/$K$6,0))</f>
        <v/>
      </c>
      <c r="M117" s="72" t="str">
        <f>IF(A117="","",N(F117)-L117)</f>
        <v/>
      </c>
      <c r="N117" s="30" t="str">
        <f>IF(A117="","",IF($AB$6&gt;0,AB117/$AB$6,0))</f>
        <v/>
      </c>
      <c r="O117" s="74" t="str">
        <f>IF(A117="","",IF(AB117&lt;=0,"",COUNTIF($AB$9:$AB$208,"&gt;"&amp;AB117)+COUNTIF($AB$9:AB117,AB117)))</f>
        <v/>
      </c>
      <c r="P117" s="73" t="str">
        <f>IF(A117="","",IF(Q117&gt;0,"BUY","HOLD"))</f>
        <v/>
      </c>
      <c r="Q117" s="70" t="str">
        <f>IF(A117="","",IF($W$7&lt;=0,0,IF($AC$6&gt;0,$W$7*AC117/$AC$6,IF($F$6&gt;0,$W$7*N(F117)/$F$6,0))))</f>
        <v/>
      </c>
      <c r="R117" s="103" t="str">
        <f>IF(A117="","",N(AD117)+IF(AI117=1,N(AG117),0))</f>
        <v/>
      </c>
      <c r="S117" s="103" t="str">
        <f>IF(A117="","",N(E117)+N(R117))</f>
        <v/>
      </c>
      <c r="T117" s="70" t="str">
        <f>IF(A117="","",IF(N(R117)&gt;0,R117*H117*W117*$W$6+p_CorrFixa,0))</f>
        <v/>
      </c>
      <c r="V117" s="85" t="str">
        <f>IF(A117="","",IF(D117="",$W$1,D117))</f>
        <v/>
      </c>
      <c r="W117" s="85" t="str">
        <f>IF(A117="","",IFERROR(INDEX(moeda_fx,MATCH(V117,moeda_cod,0)),0))</f>
        <v/>
      </c>
      <c r="X117" s="85" t="str">
        <f>IF(A117="","",IF($W$2="",UPPER(TRIM(A117)),IF(RIGHT(UPPER(TRIM(A117)),LEN($W$2))=$W$2,UPPER(TRIM(A117)),UPPER(TRIM(A117))&amp;$W$2)))</f>
        <v/>
      </c>
      <c r="Y117" s="85" t="str">
        <f>IF(OR(A117="",p_ModoCot&lt;&gt;"Automático"),"",IFERROR(_xlfn.WEBSERVICE("https://query1.finance.yahoo.com/v8/finance/chart/"&amp;X117&amp;"?range=1d&amp;interval=1d"),""))</f>
        <v/>
      </c>
      <c r="Z117" s="85" t="str">
        <f>IF(Y117="","",IFERROR(_xlfn.NUMBERVALUE(MID(Y117,SEARCH("""regularMarketPrice"":",Y117)+21,SEARCH(",",Y117&amp;",",SEARCH("""regularMarketPrice"":",Y117)+21)-SEARCH("""regularMarketPrice"":",Y117)-21),".",","),""))</f>
        <v/>
      </c>
      <c r="AA117" s="85" t="str">
        <f>IF(A117="","",ROUND(MAX(0,N(F117)*($K$6+$W$7)-K117),2))</f>
        <v/>
      </c>
      <c r="AB117" s="85" t="str">
        <f>IF(A117="","",IF(AND(M117&gt;0,M117&gt;=p_DifMin),AA117,0))</f>
        <v/>
      </c>
      <c r="AC117" s="85" t="str">
        <f>IF(A117="","",IF(AND(AB117&gt;0,N(O117)&lt;=p_MaxAtivos),AB117,0))</f>
        <v/>
      </c>
      <c r="AD117" s="85" t="str">
        <f>IF(A117="","",IF(OR(Q117&lt;=0,Q117&lt;p_CompraMin,N(H117)&lt;=0,N(W117)&lt;=0),0,IF($W$3="Sim",TRUNC(ROUND(MAX(0,(Q117-p_CorrFixa)/(H117*W117*$W$6)),9),$W$4),TRUNC(ROUND(MAX(0,(Q117-p_CorrFixa)/(H117*W117*$W$6)),9)/$W$5)*$W$5)))</f>
        <v/>
      </c>
      <c r="AE117" s="85" t="str">
        <f>IF(A117="","",IF(N(AD117)&gt;0,AD117*H117*W117*$W$6+p_CorrFixa,0))</f>
        <v/>
      </c>
      <c r="AF117" s="85" t="str">
        <f>IF(A117="","",IF(OR($Y$1&lt;=0,N(H117)&lt;=0,N(W117)&lt;=0,N(AB117)&lt;=0),0,IF($W$3="Sim",TRUNC(ROUND(MAX(0,($Y$1-IF(N(AD117)&gt;0,0,p_CorrFixa))/(H117*W117*$W$6)),9),$W$4),TRUNC(ROUND(MAX(0,($Y$1-IF(N(AD117)&gt;0,0,p_CorrFixa))/(H117*W117*$W$6)),9)/$W$5)*$W$5)))</f>
        <v/>
      </c>
      <c r="AG117" s="85" t="str">
        <f>IF(A117="","",IF(AND(N(AD117)=0,N(AF117)*(H117*W117*$W$6)+p_CorrFixa&lt;p_CompraMin),0,AF117))</f>
        <v/>
      </c>
      <c r="AH117" s="85" t="str">
        <f>IF(A117="","",IF(N(AG117)&gt;0,AB117,0))</f>
        <v/>
      </c>
      <c r="AI117" s="85" t="str">
        <f>IF(A117="","",IF(AND(AH117&gt;0,AH117=$AH$6,COUNTIF($AH$9:AH117,AH117)=1),1,0))</f>
        <v/>
      </c>
    </row>
    <row r="118">
      <c r="A118" s="96" t="n"/>
      <c r="B118" s="96" t="n"/>
      <c r="C118" s="96" t="n"/>
      <c r="D118" s="97" t="n"/>
      <c r="E118" s="98" t="n"/>
      <c r="F118" s="99" t="n"/>
      <c r="G118" s="100" t="n"/>
      <c r="H118" s="104" t="str">
        <f>IF(A118="","",IF(AND(p_ModoCot="Automático",ISNUMBER(Z118)),Z118,IF(N(G118)&gt;0,G118,0)))</f>
        <v/>
      </c>
      <c r="I118" s="105" t="str">
        <f>IF(A118="","",IF(W118=0,"Sem câmbio",IF(AND(p_ModoCot="Automático",ISNUMBER(Z118)),"Auto",IF(N(G118)&gt;0,"Manual","Sem cotação"))))</f>
        <v/>
      </c>
      <c r="J118" s="106" t="str">
        <f>IF(A118="","",N(E118)*H118)</f>
        <v/>
      </c>
      <c r="K118" s="107" t="str">
        <f>IF(A118="","",J118*W118)</f>
        <v/>
      </c>
      <c r="L118" s="108" t="str">
        <f>IF(A118="","",IF($K$6&gt;0,K118/$K$6,0))</f>
        <v/>
      </c>
      <c r="M118" s="109" t="str">
        <f>IF(A118="","",N(F118)-L118)</f>
        <v/>
      </c>
      <c r="N118" s="108" t="str">
        <f>IF(A118="","",IF($AB$6&gt;0,AB118/$AB$6,0))</f>
        <v/>
      </c>
      <c r="O118" s="110" t="str">
        <f>IF(A118="","",IF(AB118&lt;=0,"",COUNTIF($AB$9:$AB$208,"&gt;"&amp;AB118)+COUNTIF($AB$9:AB118,AB118)))</f>
        <v/>
      </c>
      <c r="P118" s="105" t="str">
        <f>IF(A118="","",IF(Q118&gt;0,"BUY","HOLD"))</f>
        <v/>
      </c>
      <c r="Q118" s="107" t="str">
        <f>IF(A118="","",IF($W$7&lt;=0,0,IF($AC$6&gt;0,$W$7*AC118/$AC$6,IF($F$6&gt;0,$W$7*N(F118)/$F$6,0))))</f>
        <v/>
      </c>
      <c r="R118" s="111" t="str">
        <f>IF(A118="","",N(AD118)+IF(AI118=1,N(AG118),0))</f>
        <v/>
      </c>
      <c r="S118" s="111" t="str">
        <f>IF(A118="","",N(E118)+N(R118))</f>
        <v/>
      </c>
      <c r="T118" s="107" t="str">
        <f>IF(A118="","",IF(N(R118)&gt;0,R118*H118*W118*$W$6+p_CorrFixa,0))</f>
        <v/>
      </c>
      <c r="V118" s="85" t="str">
        <f>IF(A118="","",IF(D118="",$W$1,D118))</f>
        <v/>
      </c>
      <c r="W118" s="85" t="str">
        <f>IF(A118="","",IFERROR(INDEX(moeda_fx,MATCH(V118,moeda_cod,0)),0))</f>
        <v/>
      </c>
      <c r="X118" s="85" t="str">
        <f>IF(A118="","",IF($W$2="",UPPER(TRIM(A118)),IF(RIGHT(UPPER(TRIM(A118)),LEN($W$2))=$W$2,UPPER(TRIM(A118)),UPPER(TRIM(A118))&amp;$W$2)))</f>
        <v/>
      </c>
      <c r="Y118" s="85" t="str">
        <f>IF(OR(A118="",p_ModoCot&lt;&gt;"Automático"),"",IFERROR(_xlfn.WEBSERVICE("https://query1.finance.yahoo.com/v8/finance/chart/"&amp;X118&amp;"?range=1d&amp;interval=1d"),""))</f>
        <v/>
      </c>
      <c r="Z118" s="85" t="str">
        <f>IF(Y118="","",IFERROR(_xlfn.NUMBERVALUE(MID(Y118,SEARCH("""regularMarketPrice"":",Y118)+21,SEARCH(",",Y118&amp;",",SEARCH("""regularMarketPrice"":",Y118)+21)-SEARCH("""regularMarketPrice"":",Y118)-21),".",","),""))</f>
        <v/>
      </c>
      <c r="AA118" s="85" t="str">
        <f>IF(A118="","",ROUND(MAX(0,N(F118)*($K$6+$W$7)-K118),2))</f>
        <v/>
      </c>
      <c r="AB118" s="85" t="str">
        <f>IF(A118="","",IF(AND(M118&gt;0,M118&gt;=p_DifMin),AA118,0))</f>
        <v/>
      </c>
      <c r="AC118" s="85" t="str">
        <f>IF(A118="","",IF(AND(AB118&gt;0,N(O118)&lt;=p_MaxAtivos),AB118,0))</f>
        <v/>
      </c>
      <c r="AD118" s="85" t="str">
        <f>IF(A118="","",IF(OR(Q118&lt;=0,Q118&lt;p_CompraMin,N(H118)&lt;=0,N(W118)&lt;=0),0,IF($W$3="Sim",TRUNC(ROUND(MAX(0,(Q118-p_CorrFixa)/(H118*W118*$W$6)),9),$W$4),TRUNC(ROUND(MAX(0,(Q118-p_CorrFixa)/(H118*W118*$W$6)),9)/$W$5)*$W$5)))</f>
        <v/>
      </c>
      <c r="AE118" s="85" t="str">
        <f>IF(A118="","",IF(N(AD118)&gt;0,AD118*H118*W118*$W$6+p_CorrFixa,0))</f>
        <v/>
      </c>
      <c r="AF118" s="85" t="str">
        <f>IF(A118="","",IF(OR($Y$1&lt;=0,N(H118)&lt;=0,N(W118)&lt;=0,N(AB118)&lt;=0),0,IF($W$3="Sim",TRUNC(ROUND(MAX(0,($Y$1-IF(N(AD118)&gt;0,0,p_CorrFixa))/(H118*W118*$W$6)),9),$W$4),TRUNC(ROUND(MAX(0,($Y$1-IF(N(AD118)&gt;0,0,p_CorrFixa))/(H118*W118*$W$6)),9)/$W$5)*$W$5)))</f>
        <v/>
      </c>
      <c r="AG118" s="85" t="str">
        <f>IF(A118="","",IF(AND(N(AD118)=0,N(AF118)*(H118*W118*$W$6)+p_CorrFixa&lt;p_CompraMin),0,AF118))</f>
        <v/>
      </c>
      <c r="AH118" s="85" t="str">
        <f>IF(A118="","",IF(N(AG118)&gt;0,AB118,0))</f>
        <v/>
      </c>
      <c r="AI118" s="85" t="str">
        <f>IF(A118="","",IF(AND(AH118&gt;0,AH118=$AH$6,COUNTIF($AH$9:AH118,AH118)=1),1,0))</f>
        <v/>
      </c>
    </row>
    <row r="119">
      <c r="A119" s="96" t="n"/>
      <c r="B119" s="96" t="n"/>
      <c r="C119" s="96" t="n"/>
      <c r="D119" s="97" t="n"/>
      <c r="E119" s="98" t="n"/>
      <c r="F119" s="99" t="n"/>
      <c r="G119" s="100" t="n"/>
      <c r="H119" s="101" t="str">
        <f>IF(A119="","",IF(AND(p_ModoCot="Automático",ISNUMBER(Z119)),Z119,IF(N(G119)&gt;0,G119,0)))</f>
        <v/>
      </c>
      <c r="I119" s="73" t="str">
        <f>IF(A119="","",IF(W119=0,"Sem câmbio",IF(AND(p_ModoCot="Automático",ISNUMBER(Z119)),"Auto",IF(N(G119)&gt;0,"Manual","Sem cotação"))))</f>
        <v/>
      </c>
      <c r="J119" s="102" t="str">
        <f>IF(A119="","",N(E119)*H119)</f>
        <v/>
      </c>
      <c r="K119" s="70" t="str">
        <f>IF(A119="","",J119*W119)</f>
        <v/>
      </c>
      <c r="L119" s="30" t="str">
        <f>IF(A119="","",IF($K$6&gt;0,K119/$K$6,0))</f>
        <v/>
      </c>
      <c r="M119" s="72" t="str">
        <f>IF(A119="","",N(F119)-L119)</f>
        <v/>
      </c>
      <c r="N119" s="30" t="str">
        <f>IF(A119="","",IF($AB$6&gt;0,AB119/$AB$6,0))</f>
        <v/>
      </c>
      <c r="O119" s="74" t="str">
        <f>IF(A119="","",IF(AB119&lt;=0,"",COUNTIF($AB$9:$AB$208,"&gt;"&amp;AB119)+COUNTIF($AB$9:AB119,AB119)))</f>
        <v/>
      </c>
      <c r="P119" s="73" t="str">
        <f>IF(A119="","",IF(Q119&gt;0,"BUY","HOLD"))</f>
        <v/>
      </c>
      <c r="Q119" s="70" t="str">
        <f>IF(A119="","",IF($W$7&lt;=0,0,IF($AC$6&gt;0,$W$7*AC119/$AC$6,IF($F$6&gt;0,$W$7*N(F119)/$F$6,0))))</f>
        <v/>
      </c>
      <c r="R119" s="103" t="str">
        <f>IF(A119="","",N(AD119)+IF(AI119=1,N(AG119),0))</f>
        <v/>
      </c>
      <c r="S119" s="103" t="str">
        <f>IF(A119="","",N(E119)+N(R119))</f>
        <v/>
      </c>
      <c r="T119" s="70" t="str">
        <f>IF(A119="","",IF(N(R119)&gt;0,R119*H119*W119*$W$6+p_CorrFixa,0))</f>
        <v/>
      </c>
      <c r="V119" s="85" t="str">
        <f>IF(A119="","",IF(D119="",$W$1,D119))</f>
        <v/>
      </c>
      <c r="W119" s="85" t="str">
        <f>IF(A119="","",IFERROR(INDEX(moeda_fx,MATCH(V119,moeda_cod,0)),0))</f>
        <v/>
      </c>
      <c r="X119" s="85" t="str">
        <f>IF(A119="","",IF($W$2="",UPPER(TRIM(A119)),IF(RIGHT(UPPER(TRIM(A119)),LEN($W$2))=$W$2,UPPER(TRIM(A119)),UPPER(TRIM(A119))&amp;$W$2)))</f>
        <v/>
      </c>
      <c r="Y119" s="85" t="str">
        <f>IF(OR(A119="",p_ModoCot&lt;&gt;"Automático"),"",IFERROR(_xlfn.WEBSERVICE("https://query1.finance.yahoo.com/v8/finance/chart/"&amp;X119&amp;"?range=1d&amp;interval=1d"),""))</f>
        <v/>
      </c>
      <c r="Z119" s="85" t="str">
        <f>IF(Y119="","",IFERROR(_xlfn.NUMBERVALUE(MID(Y119,SEARCH("""regularMarketPrice"":",Y119)+21,SEARCH(",",Y119&amp;",",SEARCH("""regularMarketPrice"":",Y119)+21)-SEARCH("""regularMarketPrice"":",Y119)-21),".",","),""))</f>
        <v/>
      </c>
      <c r="AA119" s="85" t="str">
        <f>IF(A119="","",ROUND(MAX(0,N(F119)*($K$6+$W$7)-K119),2))</f>
        <v/>
      </c>
      <c r="AB119" s="85" t="str">
        <f>IF(A119="","",IF(AND(M119&gt;0,M119&gt;=p_DifMin),AA119,0))</f>
        <v/>
      </c>
      <c r="AC119" s="85" t="str">
        <f>IF(A119="","",IF(AND(AB119&gt;0,N(O119)&lt;=p_MaxAtivos),AB119,0))</f>
        <v/>
      </c>
      <c r="AD119" s="85" t="str">
        <f>IF(A119="","",IF(OR(Q119&lt;=0,Q119&lt;p_CompraMin,N(H119)&lt;=0,N(W119)&lt;=0),0,IF($W$3="Sim",TRUNC(ROUND(MAX(0,(Q119-p_CorrFixa)/(H119*W119*$W$6)),9),$W$4),TRUNC(ROUND(MAX(0,(Q119-p_CorrFixa)/(H119*W119*$W$6)),9)/$W$5)*$W$5)))</f>
        <v/>
      </c>
      <c r="AE119" s="85" t="str">
        <f>IF(A119="","",IF(N(AD119)&gt;0,AD119*H119*W119*$W$6+p_CorrFixa,0))</f>
        <v/>
      </c>
      <c r="AF119" s="85" t="str">
        <f>IF(A119="","",IF(OR($Y$1&lt;=0,N(H119)&lt;=0,N(W119)&lt;=0,N(AB119)&lt;=0),0,IF($W$3="Sim",TRUNC(ROUND(MAX(0,($Y$1-IF(N(AD119)&gt;0,0,p_CorrFixa))/(H119*W119*$W$6)),9),$W$4),TRUNC(ROUND(MAX(0,($Y$1-IF(N(AD119)&gt;0,0,p_CorrFixa))/(H119*W119*$W$6)),9)/$W$5)*$W$5)))</f>
        <v/>
      </c>
      <c r="AG119" s="85" t="str">
        <f>IF(A119="","",IF(AND(N(AD119)=0,N(AF119)*(H119*W119*$W$6)+p_CorrFixa&lt;p_CompraMin),0,AF119))</f>
        <v/>
      </c>
      <c r="AH119" s="85" t="str">
        <f>IF(A119="","",IF(N(AG119)&gt;0,AB119,0))</f>
        <v/>
      </c>
      <c r="AI119" s="85" t="str">
        <f>IF(A119="","",IF(AND(AH119&gt;0,AH119=$AH$6,COUNTIF($AH$9:AH119,AH119)=1),1,0))</f>
        <v/>
      </c>
    </row>
    <row r="120">
      <c r="A120" s="96" t="n"/>
      <c r="B120" s="96" t="n"/>
      <c r="C120" s="96" t="n"/>
      <c r="D120" s="97" t="n"/>
      <c r="E120" s="98" t="n"/>
      <c r="F120" s="99" t="n"/>
      <c r="G120" s="100" t="n"/>
      <c r="H120" s="104" t="str">
        <f>IF(A120="","",IF(AND(p_ModoCot="Automático",ISNUMBER(Z120)),Z120,IF(N(G120)&gt;0,G120,0)))</f>
        <v/>
      </c>
      <c r="I120" s="105" t="str">
        <f>IF(A120="","",IF(W120=0,"Sem câmbio",IF(AND(p_ModoCot="Automático",ISNUMBER(Z120)),"Auto",IF(N(G120)&gt;0,"Manual","Sem cotação"))))</f>
        <v/>
      </c>
      <c r="J120" s="106" t="str">
        <f>IF(A120="","",N(E120)*H120)</f>
        <v/>
      </c>
      <c r="K120" s="107" t="str">
        <f>IF(A120="","",J120*W120)</f>
        <v/>
      </c>
      <c r="L120" s="108" t="str">
        <f>IF(A120="","",IF($K$6&gt;0,K120/$K$6,0))</f>
        <v/>
      </c>
      <c r="M120" s="109" t="str">
        <f>IF(A120="","",N(F120)-L120)</f>
        <v/>
      </c>
      <c r="N120" s="108" t="str">
        <f>IF(A120="","",IF($AB$6&gt;0,AB120/$AB$6,0))</f>
        <v/>
      </c>
      <c r="O120" s="110" t="str">
        <f>IF(A120="","",IF(AB120&lt;=0,"",COUNTIF($AB$9:$AB$208,"&gt;"&amp;AB120)+COUNTIF($AB$9:AB120,AB120)))</f>
        <v/>
      </c>
      <c r="P120" s="105" t="str">
        <f>IF(A120="","",IF(Q120&gt;0,"BUY","HOLD"))</f>
        <v/>
      </c>
      <c r="Q120" s="107" t="str">
        <f>IF(A120="","",IF($W$7&lt;=0,0,IF($AC$6&gt;0,$W$7*AC120/$AC$6,IF($F$6&gt;0,$W$7*N(F120)/$F$6,0))))</f>
        <v/>
      </c>
      <c r="R120" s="111" t="str">
        <f>IF(A120="","",N(AD120)+IF(AI120=1,N(AG120),0))</f>
        <v/>
      </c>
      <c r="S120" s="111" t="str">
        <f>IF(A120="","",N(E120)+N(R120))</f>
        <v/>
      </c>
      <c r="T120" s="107" t="str">
        <f>IF(A120="","",IF(N(R120)&gt;0,R120*H120*W120*$W$6+p_CorrFixa,0))</f>
        <v/>
      </c>
      <c r="V120" s="85" t="str">
        <f>IF(A120="","",IF(D120="",$W$1,D120))</f>
        <v/>
      </c>
      <c r="W120" s="85" t="str">
        <f>IF(A120="","",IFERROR(INDEX(moeda_fx,MATCH(V120,moeda_cod,0)),0))</f>
        <v/>
      </c>
      <c r="X120" s="85" t="str">
        <f>IF(A120="","",IF($W$2="",UPPER(TRIM(A120)),IF(RIGHT(UPPER(TRIM(A120)),LEN($W$2))=$W$2,UPPER(TRIM(A120)),UPPER(TRIM(A120))&amp;$W$2)))</f>
        <v/>
      </c>
      <c r="Y120" s="85" t="str">
        <f>IF(OR(A120="",p_ModoCot&lt;&gt;"Automático"),"",IFERROR(_xlfn.WEBSERVICE("https://query1.finance.yahoo.com/v8/finance/chart/"&amp;X120&amp;"?range=1d&amp;interval=1d"),""))</f>
        <v/>
      </c>
      <c r="Z120" s="85" t="str">
        <f>IF(Y120="","",IFERROR(_xlfn.NUMBERVALUE(MID(Y120,SEARCH("""regularMarketPrice"":",Y120)+21,SEARCH(",",Y120&amp;",",SEARCH("""regularMarketPrice"":",Y120)+21)-SEARCH("""regularMarketPrice"":",Y120)-21),".",","),""))</f>
        <v/>
      </c>
      <c r="AA120" s="85" t="str">
        <f>IF(A120="","",ROUND(MAX(0,N(F120)*($K$6+$W$7)-K120),2))</f>
        <v/>
      </c>
      <c r="AB120" s="85" t="str">
        <f>IF(A120="","",IF(AND(M120&gt;0,M120&gt;=p_DifMin),AA120,0))</f>
        <v/>
      </c>
      <c r="AC120" s="85" t="str">
        <f>IF(A120="","",IF(AND(AB120&gt;0,N(O120)&lt;=p_MaxAtivos),AB120,0))</f>
        <v/>
      </c>
      <c r="AD120" s="85" t="str">
        <f>IF(A120="","",IF(OR(Q120&lt;=0,Q120&lt;p_CompraMin,N(H120)&lt;=0,N(W120)&lt;=0),0,IF($W$3="Sim",TRUNC(ROUND(MAX(0,(Q120-p_CorrFixa)/(H120*W120*$W$6)),9),$W$4),TRUNC(ROUND(MAX(0,(Q120-p_CorrFixa)/(H120*W120*$W$6)),9)/$W$5)*$W$5)))</f>
        <v/>
      </c>
      <c r="AE120" s="85" t="str">
        <f>IF(A120="","",IF(N(AD120)&gt;0,AD120*H120*W120*$W$6+p_CorrFixa,0))</f>
        <v/>
      </c>
      <c r="AF120" s="85" t="str">
        <f>IF(A120="","",IF(OR($Y$1&lt;=0,N(H120)&lt;=0,N(W120)&lt;=0,N(AB120)&lt;=0),0,IF($W$3="Sim",TRUNC(ROUND(MAX(0,($Y$1-IF(N(AD120)&gt;0,0,p_CorrFixa))/(H120*W120*$W$6)),9),$W$4),TRUNC(ROUND(MAX(0,($Y$1-IF(N(AD120)&gt;0,0,p_CorrFixa))/(H120*W120*$W$6)),9)/$W$5)*$W$5)))</f>
        <v/>
      </c>
      <c r="AG120" s="85" t="str">
        <f>IF(A120="","",IF(AND(N(AD120)=0,N(AF120)*(H120*W120*$W$6)+p_CorrFixa&lt;p_CompraMin),0,AF120))</f>
        <v/>
      </c>
      <c r="AH120" s="85" t="str">
        <f>IF(A120="","",IF(N(AG120)&gt;0,AB120,0))</f>
        <v/>
      </c>
      <c r="AI120" s="85" t="str">
        <f>IF(A120="","",IF(AND(AH120&gt;0,AH120=$AH$6,COUNTIF($AH$9:AH120,AH120)=1),1,0))</f>
        <v/>
      </c>
    </row>
    <row r="121">
      <c r="A121" s="96" t="n"/>
      <c r="B121" s="96" t="n"/>
      <c r="C121" s="96" t="n"/>
      <c r="D121" s="97" t="n"/>
      <c r="E121" s="98" t="n"/>
      <c r="F121" s="99" t="n"/>
      <c r="G121" s="100" t="n"/>
      <c r="H121" s="101" t="str">
        <f>IF(A121="","",IF(AND(p_ModoCot="Automático",ISNUMBER(Z121)),Z121,IF(N(G121)&gt;0,G121,0)))</f>
        <v/>
      </c>
      <c r="I121" s="73" t="str">
        <f>IF(A121="","",IF(W121=0,"Sem câmbio",IF(AND(p_ModoCot="Automático",ISNUMBER(Z121)),"Auto",IF(N(G121)&gt;0,"Manual","Sem cotação"))))</f>
        <v/>
      </c>
      <c r="J121" s="102" t="str">
        <f>IF(A121="","",N(E121)*H121)</f>
        <v/>
      </c>
      <c r="K121" s="70" t="str">
        <f>IF(A121="","",J121*W121)</f>
        <v/>
      </c>
      <c r="L121" s="30" t="str">
        <f>IF(A121="","",IF($K$6&gt;0,K121/$K$6,0))</f>
        <v/>
      </c>
      <c r="M121" s="72" t="str">
        <f>IF(A121="","",N(F121)-L121)</f>
        <v/>
      </c>
      <c r="N121" s="30" t="str">
        <f>IF(A121="","",IF($AB$6&gt;0,AB121/$AB$6,0))</f>
        <v/>
      </c>
      <c r="O121" s="74" t="str">
        <f>IF(A121="","",IF(AB121&lt;=0,"",COUNTIF($AB$9:$AB$208,"&gt;"&amp;AB121)+COUNTIF($AB$9:AB121,AB121)))</f>
        <v/>
      </c>
      <c r="P121" s="73" t="str">
        <f>IF(A121="","",IF(Q121&gt;0,"BUY","HOLD"))</f>
        <v/>
      </c>
      <c r="Q121" s="70" t="str">
        <f>IF(A121="","",IF($W$7&lt;=0,0,IF($AC$6&gt;0,$W$7*AC121/$AC$6,IF($F$6&gt;0,$W$7*N(F121)/$F$6,0))))</f>
        <v/>
      </c>
      <c r="R121" s="103" t="str">
        <f>IF(A121="","",N(AD121)+IF(AI121=1,N(AG121),0))</f>
        <v/>
      </c>
      <c r="S121" s="103" t="str">
        <f>IF(A121="","",N(E121)+N(R121))</f>
        <v/>
      </c>
      <c r="T121" s="70" t="str">
        <f>IF(A121="","",IF(N(R121)&gt;0,R121*H121*W121*$W$6+p_CorrFixa,0))</f>
        <v/>
      </c>
      <c r="V121" s="85" t="str">
        <f>IF(A121="","",IF(D121="",$W$1,D121))</f>
        <v/>
      </c>
      <c r="W121" s="85" t="str">
        <f>IF(A121="","",IFERROR(INDEX(moeda_fx,MATCH(V121,moeda_cod,0)),0))</f>
        <v/>
      </c>
      <c r="X121" s="85" t="str">
        <f>IF(A121="","",IF($W$2="",UPPER(TRIM(A121)),IF(RIGHT(UPPER(TRIM(A121)),LEN($W$2))=$W$2,UPPER(TRIM(A121)),UPPER(TRIM(A121))&amp;$W$2)))</f>
        <v/>
      </c>
      <c r="Y121" s="85" t="str">
        <f>IF(OR(A121="",p_ModoCot&lt;&gt;"Automático"),"",IFERROR(_xlfn.WEBSERVICE("https://query1.finance.yahoo.com/v8/finance/chart/"&amp;X121&amp;"?range=1d&amp;interval=1d"),""))</f>
        <v/>
      </c>
      <c r="Z121" s="85" t="str">
        <f>IF(Y121="","",IFERROR(_xlfn.NUMBERVALUE(MID(Y121,SEARCH("""regularMarketPrice"":",Y121)+21,SEARCH(",",Y121&amp;",",SEARCH("""regularMarketPrice"":",Y121)+21)-SEARCH("""regularMarketPrice"":",Y121)-21),".",","),""))</f>
        <v/>
      </c>
      <c r="AA121" s="85" t="str">
        <f>IF(A121="","",ROUND(MAX(0,N(F121)*($K$6+$W$7)-K121),2))</f>
        <v/>
      </c>
      <c r="AB121" s="85" t="str">
        <f>IF(A121="","",IF(AND(M121&gt;0,M121&gt;=p_DifMin),AA121,0))</f>
        <v/>
      </c>
      <c r="AC121" s="85" t="str">
        <f>IF(A121="","",IF(AND(AB121&gt;0,N(O121)&lt;=p_MaxAtivos),AB121,0))</f>
        <v/>
      </c>
      <c r="AD121" s="85" t="str">
        <f>IF(A121="","",IF(OR(Q121&lt;=0,Q121&lt;p_CompraMin,N(H121)&lt;=0,N(W121)&lt;=0),0,IF($W$3="Sim",TRUNC(ROUND(MAX(0,(Q121-p_CorrFixa)/(H121*W121*$W$6)),9),$W$4),TRUNC(ROUND(MAX(0,(Q121-p_CorrFixa)/(H121*W121*$W$6)),9)/$W$5)*$W$5)))</f>
        <v/>
      </c>
      <c r="AE121" s="85" t="str">
        <f>IF(A121="","",IF(N(AD121)&gt;0,AD121*H121*W121*$W$6+p_CorrFixa,0))</f>
        <v/>
      </c>
      <c r="AF121" s="85" t="str">
        <f>IF(A121="","",IF(OR($Y$1&lt;=0,N(H121)&lt;=0,N(W121)&lt;=0,N(AB121)&lt;=0),0,IF($W$3="Sim",TRUNC(ROUND(MAX(0,($Y$1-IF(N(AD121)&gt;0,0,p_CorrFixa))/(H121*W121*$W$6)),9),$W$4),TRUNC(ROUND(MAX(0,($Y$1-IF(N(AD121)&gt;0,0,p_CorrFixa))/(H121*W121*$W$6)),9)/$W$5)*$W$5)))</f>
        <v/>
      </c>
      <c r="AG121" s="85" t="str">
        <f>IF(A121="","",IF(AND(N(AD121)=0,N(AF121)*(H121*W121*$W$6)+p_CorrFixa&lt;p_CompraMin),0,AF121))</f>
        <v/>
      </c>
      <c r="AH121" s="85" t="str">
        <f>IF(A121="","",IF(N(AG121)&gt;0,AB121,0))</f>
        <v/>
      </c>
      <c r="AI121" s="85" t="str">
        <f>IF(A121="","",IF(AND(AH121&gt;0,AH121=$AH$6,COUNTIF($AH$9:AH121,AH121)=1),1,0))</f>
        <v/>
      </c>
    </row>
    <row r="122">
      <c r="A122" s="96" t="n"/>
      <c r="B122" s="96" t="n"/>
      <c r="C122" s="96" t="n"/>
      <c r="D122" s="97" t="n"/>
      <c r="E122" s="98" t="n"/>
      <c r="F122" s="99" t="n"/>
      <c r="G122" s="100" t="n"/>
      <c r="H122" s="104" t="str">
        <f>IF(A122="","",IF(AND(p_ModoCot="Automático",ISNUMBER(Z122)),Z122,IF(N(G122)&gt;0,G122,0)))</f>
        <v/>
      </c>
      <c r="I122" s="105" t="str">
        <f>IF(A122="","",IF(W122=0,"Sem câmbio",IF(AND(p_ModoCot="Automático",ISNUMBER(Z122)),"Auto",IF(N(G122)&gt;0,"Manual","Sem cotação"))))</f>
        <v/>
      </c>
      <c r="J122" s="106" t="str">
        <f>IF(A122="","",N(E122)*H122)</f>
        <v/>
      </c>
      <c r="K122" s="107" t="str">
        <f>IF(A122="","",J122*W122)</f>
        <v/>
      </c>
      <c r="L122" s="108" t="str">
        <f>IF(A122="","",IF($K$6&gt;0,K122/$K$6,0))</f>
        <v/>
      </c>
      <c r="M122" s="109" t="str">
        <f>IF(A122="","",N(F122)-L122)</f>
        <v/>
      </c>
      <c r="N122" s="108" t="str">
        <f>IF(A122="","",IF($AB$6&gt;0,AB122/$AB$6,0))</f>
        <v/>
      </c>
      <c r="O122" s="110" t="str">
        <f>IF(A122="","",IF(AB122&lt;=0,"",COUNTIF($AB$9:$AB$208,"&gt;"&amp;AB122)+COUNTIF($AB$9:AB122,AB122)))</f>
        <v/>
      </c>
      <c r="P122" s="105" t="str">
        <f>IF(A122="","",IF(Q122&gt;0,"BUY","HOLD"))</f>
        <v/>
      </c>
      <c r="Q122" s="107" t="str">
        <f>IF(A122="","",IF($W$7&lt;=0,0,IF($AC$6&gt;0,$W$7*AC122/$AC$6,IF($F$6&gt;0,$W$7*N(F122)/$F$6,0))))</f>
        <v/>
      </c>
      <c r="R122" s="111" t="str">
        <f>IF(A122="","",N(AD122)+IF(AI122=1,N(AG122),0))</f>
        <v/>
      </c>
      <c r="S122" s="111" t="str">
        <f>IF(A122="","",N(E122)+N(R122))</f>
        <v/>
      </c>
      <c r="T122" s="107" t="str">
        <f>IF(A122="","",IF(N(R122)&gt;0,R122*H122*W122*$W$6+p_CorrFixa,0))</f>
        <v/>
      </c>
      <c r="V122" s="85" t="str">
        <f>IF(A122="","",IF(D122="",$W$1,D122))</f>
        <v/>
      </c>
      <c r="W122" s="85" t="str">
        <f>IF(A122="","",IFERROR(INDEX(moeda_fx,MATCH(V122,moeda_cod,0)),0))</f>
        <v/>
      </c>
      <c r="X122" s="85" t="str">
        <f>IF(A122="","",IF($W$2="",UPPER(TRIM(A122)),IF(RIGHT(UPPER(TRIM(A122)),LEN($W$2))=$W$2,UPPER(TRIM(A122)),UPPER(TRIM(A122))&amp;$W$2)))</f>
        <v/>
      </c>
      <c r="Y122" s="85" t="str">
        <f>IF(OR(A122="",p_ModoCot&lt;&gt;"Automático"),"",IFERROR(_xlfn.WEBSERVICE("https://query1.finance.yahoo.com/v8/finance/chart/"&amp;X122&amp;"?range=1d&amp;interval=1d"),""))</f>
        <v/>
      </c>
      <c r="Z122" s="85" t="str">
        <f>IF(Y122="","",IFERROR(_xlfn.NUMBERVALUE(MID(Y122,SEARCH("""regularMarketPrice"":",Y122)+21,SEARCH(",",Y122&amp;",",SEARCH("""regularMarketPrice"":",Y122)+21)-SEARCH("""regularMarketPrice"":",Y122)-21),".",","),""))</f>
        <v/>
      </c>
      <c r="AA122" s="85" t="str">
        <f>IF(A122="","",ROUND(MAX(0,N(F122)*($K$6+$W$7)-K122),2))</f>
        <v/>
      </c>
      <c r="AB122" s="85" t="str">
        <f>IF(A122="","",IF(AND(M122&gt;0,M122&gt;=p_DifMin),AA122,0))</f>
        <v/>
      </c>
      <c r="AC122" s="85" t="str">
        <f>IF(A122="","",IF(AND(AB122&gt;0,N(O122)&lt;=p_MaxAtivos),AB122,0))</f>
        <v/>
      </c>
      <c r="AD122" s="85" t="str">
        <f>IF(A122="","",IF(OR(Q122&lt;=0,Q122&lt;p_CompraMin,N(H122)&lt;=0,N(W122)&lt;=0),0,IF($W$3="Sim",TRUNC(ROUND(MAX(0,(Q122-p_CorrFixa)/(H122*W122*$W$6)),9),$W$4),TRUNC(ROUND(MAX(0,(Q122-p_CorrFixa)/(H122*W122*$W$6)),9)/$W$5)*$W$5)))</f>
        <v/>
      </c>
      <c r="AE122" s="85" t="str">
        <f>IF(A122="","",IF(N(AD122)&gt;0,AD122*H122*W122*$W$6+p_CorrFixa,0))</f>
        <v/>
      </c>
      <c r="AF122" s="85" t="str">
        <f>IF(A122="","",IF(OR($Y$1&lt;=0,N(H122)&lt;=0,N(W122)&lt;=0,N(AB122)&lt;=0),0,IF($W$3="Sim",TRUNC(ROUND(MAX(0,($Y$1-IF(N(AD122)&gt;0,0,p_CorrFixa))/(H122*W122*$W$6)),9),$W$4),TRUNC(ROUND(MAX(0,($Y$1-IF(N(AD122)&gt;0,0,p_CorrFixa))/(H122*W122*$W$6)),9)/$W$5)*$W$5)))</f>
        <v/>
      </c>
      <c r="AG122" s="85" t="str">
        <f>IF(A122="","",IF(AND(N(AD122)=0,N(AF122)*(H122*W122*$W$6)+p_CorrFixa&lt;p_CompraMin),0,AF122))</f>
        <v/>
      </c>
      <c r="AH122" s="85" t="str">
        <f>IF(A122="","",IF(N(AG122)&gt;0,AB122,0))</f>
        <v/>
      </c>
      <c r="AI122" s="85" t="str">
        <f>IF(A122="","",IF(AND(AH122&gt;0,AH122=$AH$6,COUNTIF($AH$9:AH122,AH122)=1),1,0))</f>
        <v/>
      </c>
    </row>
    <row r="123">
      <c r="A123" s="96" t="n"/>
      <c r="B123" s="96" t="n"/>
      <c r="C123" s="96" t="n"/>
      <c r="D123" s="97" t="n"/>
      <c r="E123" s="98" t="n"/>
      <c r="F123" s="99" t="n"/>
      <c r="G123" s="100" t="n"/>
      <c r="H123" s="101" t="str">
        <f>IF(A123="","",IF(AND(p_ModoCot="Automático",ISNUMBER(Z123)),Z123,IF(N(G123)&gt;0,G123,0)))</f>
        <v/>
      </c>
      <c r="I123" s="73" t="str">
        <f>IF(A123="","",IF(W123=0,"Sem câmbio",IF(AND(p_ModoCot="Automático",ISNUMBER(Z123)),"Auto",IF(N(G123)&gt;0,"Manual","Sem cotação"))))</f>
        <v/>
      </c>
      <c r="J123" s="102" t="str">
        <f>IF(A123="","",N(E123)*H123)</f>
        <v/>
      </c>
      <c r="K123" s="70" t="str">
        <f>IF(A123="","",J123*W123)</f>
        <v/>
      </c>
      <c r="L123" s="30" t="str">
        <f>IF(A123="","",IF($K$6&gt;0,K123/$K$6,0))</f>
        <v/>
      </c>
      <c r="M123" s="72" t="str">
        <f>IF(A123="","",N(F123)-L123)</f>
        <v/>
      </c>
      <c r="N123" s="30" t="str">
        <f>IF(A123="","",IF($AB$6&gt;0,AB123/$AB$6,0))</f>
        <v/>
      </c>
      <c r="O123" s="74" t="str">
        <f>IF(A123="","",IF(AB123&lt;=0,"",COUNTIF($AB$9:$AB$208,"&gt;"&amp;AB123)+COUNTIF($AB$9:AB123,AB123)))</f>
        <v/>
      </c>
      <c r="P123" s="73" t="str">
        <f>IF(A123="","",IF(Q123&gt;0,"BUY","HOLD"))</f>
        <v/>
      </c>
      <c r="Q123" s="70" t="str">
        <f>IF(A123="","",IF($W$7&lt;=0,0,IF($AC$6&gt;0,$W$7*AC123/$AC$6,IF($F$6&gt;0,$W$7*N(F123)/$F$6,0))))</f>
        <v/>
      </c>
      <c r="R123" s="103" t="str">
        <f>IF(A123="","",N(AD123)+IF(AI123=1,N(AG123),0))</f>
        <v/>
      </c>
      <c r="S123" s="103" t="str">
        <f>IF(A123="","",N(E123)+N(R123))</f>
        <v/>
      </c>
      <c r="T123" s="70" t="str">
        <f>IF(A123="","",IF(N(R123)&gt;0,R123*H123*W123*$W$6+p_CorrFixa,0))</f>
        <v/>
      </c>
      <c r="V123" s="85" t="str">
        <f>IF(A123="","",IF(D123="",$W$1,D123))</f>
        <v/>
      </c>
      <c r="W123" s="85" t="str">
        <f>IF(A123="","",IFERROR(INDEX(moeda_fx,MATCH(V123,moeda_cod,0)),0))</f>
        <v/>
      </c>
      <c r="X123" s="85" t="str">
        <f>IF(A123="","",IF($W$2="",UPPER(TRIM(A123)),IF(RIGHT(UPPER(TRIM(A123)),LEN($W$2))=$W$2,UPPER(TRIM(A123)),UPPER(TRIM(A123))&amp;$W$2)))</f>
        <v/>
      </c>
      <c r="Y123" s="85" t="str">
        <f>IF(OR(A123="",p_ModoCot&lt;&gt;"Automático"),"",IFERROR(_xlfn.WEBSERVICE("https://query1.finance.yahoo.com/v8/finance/chart/"&amp;X123&amp;"?range=1d&amp;interval=1d"),""))</f>
        <v/>
      </c>
      <c r="Z123" s="85" t="str">
        <f>IF(Y123="","",IFERROR(_xlfn.NUMBERVALUE(MID(Y123,SEARCH("""regularMarketPrice"":",Y123)+21,SEARCH(",",Y123&amp;",",SEARCH("""regularMarketPrice"":",Y123)+21)-SEARCH("""regularMarketPrice"":",Y123)-21),".",","),""))</f>
        <v/>
      </c>
      <c r="AA123" s="85" t="str">
        <f>IF(A123="","",ROUND(MAX(0,N(F123)*($K$6+$W$7)-K123),2))</f>
        <v/>
      </c>
      <c r="AB123" s="85" t="str">
        <f>IF(A123="","",IF(AND(M123&gt;0,M123&gt;=p_DifMin),AA123,0))</f>
        <v/>
      </c>
      <c r="AC123" s="85" t="str">
        <f>IF(A123="","",IF(AND(AB123&gt;0,N(O123)&lt;=p_MaxAtivos),AB123,0))</f>
        <v/>
      </c>
      <c r="AD123" s="85" t="str">
        <f>IF(A123="","",IF(OR(Q123&lt;=0,Q123&lt;p_CompraMin,N(H123)&lt;=0,N(W123)&lt;=0),0,IF($W$3="Sim",TRUNC(ROUND(MAX(0,(Q123-p_CorrFixa)/(H123*W123*$W$6)),9),$W$4),TRUNC(ROUND(MAX(0,(Q123-p_CorrFixa)/(H123*W123*$W$6)),9)/$W$5)*$W$5)))</f>
        <v/>
      </c>
      <c r="AE123" s="85" t="str">
        <f>IF(A123="","",IF(N(AD123)&gt;0,AD123*H123*W123*$W$6+p_CorrFixa,0))</f>
        <v/>
      </c>
      <c r="AF123" s="85" t="str">
        <f>IF(A123="","",IF(OR($Y$1&lt;=0,N(H123)&lt;=0,N(W123)&lt;=0,N(AB123)&lt;=0),0,IF($W$3="Sim",TRUNC(ROUND(MAX(0,($Y$1-IF(N(AD123)&gt;0,0,p_CorrFixa))/(H123*W123*$W$6)),9),$W$4),TRUNC(ROUND(MAX(0,($Y$1-IF(N(AD123)&gt;0,0,p_CorrFixa))/(H123*W123*$W$6)),9)/$W$5)*$W$5)))</f>
        <v/>
      </c>
      <c r="AG123" s="85" t="str">
        <f>IF(A123="","",IF(AND(N(AD123)=0,N(AF123)*(H123*W123*$W$6)+p_CorrFixa&lt;p_CompraMin),0,AF123))</f>
        <v/>
      </c>
      <c r="AH123" s="85" t="str">
        <f>IF(A123="","",IF(N(AG123)&gt;0,AB123,0))</f>
        <v/>
      </c>
      <c r="AI123" s="85" t="str">
        <f>IF(A123="","",IF(AND(AH123&gt;0,AH123=$AH$6,COUNTIF($AH$9:AH123,AH123)=1),1,0))</f>
        <v/>
      </c>
    </row>
    <row r="124">
      <c r="A124" s="96" t="n"/>
      <c r="B124" s="96" t="n"/>
      <c r="C124" s="96" t="n"/>
      <c r="D124" s="97" t="n"/>
      <c r="E124" s="98" t="n"/>
      <c r="F124" s="99" t="n"/>
      <c r="G124" s="100" t="n"/>
      <c r="H124" s="104" t="str">
        <f>IF(A124="","",IF(AND(p_ModoCot="Automático",ISNUMBER(Z124)),Z124,IF(N(G124)&gt;0,G124,0)))</f>
        <v/>
      </c>
      <c r="I124" s="105" t="str">
        <f>IF(A124="","",IF(W124=0,"Sem câmbio",IF(AND(p_ModoCot="Automático",ISNUMBER(Z124)),"Auto",IF(N(G124)&gt;0,"Manual","Sem cotação"))))</f>
        <v/>
      </c>
      <c r="J124" s="106" t="str">
        <f>IF(A124="","",N(E124)*H124)</f>
        <v/>
      </c>
      <c r="K124" s="107" t="str">
        <f>IF(A124="","",J124*W124)</f>
        <v/>
      </c>
      <c r="L124" s="108" t="str">
        <f>IF(A124="","",IF($K$6&gt;0,K124/$K$6,0))</f>
        <v/>
      </c>
      <c r="M124" s="109" t="str">
        <f>IF(A124="","",N(F124)-L124)</f>
        <v/>
      </c>
      <c r="N124" s="108" t="str">
        <f>IF(A124="","",IF($AB$6&gt;0,AB124/$AB$6,0))</f>
        <v/>
      </c>
      <c r="O124" s="110" t="str">
        <f>IF(A124="","",IF(AB124&lt;=0,"",COUNTIF($AB$9:$AB$208,"&gt;"&amp;AB124)+COUNTIF($AB$9:AB124,AB124)))</f>
        <v/>
      </c>
      <c r="P124" s="105" t="str">
        <f>IF(A124="","",IF(Q124&gt;0,"BUY","HOLD"))</f>
        <v/>
      </c>
      <c r="Q124" s="107" t="str">
        <f>IF(A124="","",IF($W$7&lt;=0,0,IF($AC$6&gt;0,$W$7*AC124/$AC$6,IF($F$6&gt;0,$W$7*N(F124)/$F$6,0))))</f>
        <v/>
      </c>
      <c r="R124" s="111" t="str">
        <f>IF(A124="","",N(AD124)+IF(AI124=1,N(AG124),0))</f>
        <v/>
      </c>
      <c r="S124" s="111" t="str">
        <f>IF(A124="","",N(E124)+N(R124))</f>
        <v/>
      </c>
      <c r="T124" s="107" t="str">
        <f>IF(A124="","",IF(N(R124)&gt;0,R124*H124*W124*$W$6+p_CorrFixa,0))</f>
        <v/>
      </c>
      <c r="V124" s="85" t="str">
        <f>IF(A124="","",IF(D124="",$W$1,D124))</f>
        <v/>
      </c>
      <c r="W124" s="85" t="str">
        <f>IF(A124="","",IFERROR(INDEX(moeda_fx,MATCH(V124,moeda_cod,0)),0))</f>
        <v/>
      </c>
      <c r="X124" s="85" t="str">
        <f>IF(A124="","",IF($W$2="",UPPER(TRIM(A124)),IF(RIGHT(UPPER(TRIM(A124)),LEN($W$2))=$W$2,UPPER(TRIM(A124)),UPPER(TRIM(A124))&amp;$W$2)))</f>
        <v/>
      </c>
      <c r="Y124" s="85" t="str">
        <f>IF(OR(A124="",p_ModoCot&lt;&gt;"Automático"),"",IFERROR(_xlfn.WEBSERVICE("https://query1.finance.yahoo.com/v8/finance/chart/"&amp;X124&amp;"?range=1d&amp;interval=1d"),""))</f>
        <v/>
      </c>
      <c r="Z124" s="85" t="str">
        <f>IF(Y124="","",IFERROR(_xlfn.NUMBERVALUE(MID(Y124,SEARCH("""regularMarketPrice"":",Y124)+21,SEARCH(",",Y124&amp;",",SEARCH("""regularMarketPrice"":",Y124)+21)-SEARCH("""regularMarketPrice"":",Y124)-21),".",","),""))</f>
        <v/>
      </c>
      <c r="AA124" s="85" t="str">
        <f>IF(A124="","",ROUND(MAX(0,N(F124)*($K$6+$W$7)-K124),2))</f>
        <v/>
      </c>
      <c r="AB124" s="85" t="str">
        <f>IF(A124="","",IF(AND(M124&gt;0,M124&gt;=p_DifMin),AA124,0))</f>
        <v/>
      </c>
      <c r="AC124" s="85" t="str">
        <f>IF(A124="","",IF(AND(AB124&gt;0,N(O124)&lt;=p_MaxAtivos),AB124,0))</f>
        <v/>
      </c>
      <c r="AD124" s="85" t="str">
        <f>IF(A124="","",IF(OR(Q124&lt;=0,Q124&lt;p_CompraMin,N(H124)&lt;=0,N(W124)&lt;=0),0,IF($W$3="Sim",TRUNC(ROUND(MAX(0,(Q124-p_CorrFixa)/(H124*W124*$W$6)),9),$W$4),TRUNC(ROUND(MAX(0,(Q124-p_CorrFixa)/(H124*W124*$W$6)),9)/$W$5)*$W$5)))</f>
        <v/>
      </c>
      <c r="AE124" s="85" t="str">
        <f>IF(A124="","",IF(N(AD124)&gt;0,AD124*H124*W124*$W$6+p_CorrFixa,0))</f>
        <v/>
      </c>
      <c r="AF124" s="85" t="str">
        <f>IF(A124="","",IF(OR($Y$1&lt;=0,N(H124)&lt;=0,N(W124)&lt;=0,N(AB124)&lt;=0),0,IF($W$3="Sim",TRUNC(ROUND(MAX(0,($Y$1-IF(N(AD124)&gt;0,0,p_CorrFixa))/(H124*W124*$W$6)),9),$W$4),TRUNC(ROUND(MAX(0,($Y$1-IF(N(AD124)&gt;0,0,p_CorrFixa))/(H124*W124*$W$6)),9)/$W$5)*$W$5)))</f>
        <v/>
      </c>
      <c r="AG124" s="85" t="str">
        <f>IF(A124="","",IF(AND(N(AD124)=0,N(AF124)*(H124*W124*$W$6)+p_CorrFixa&lt;p_CompraMin),0,AF124))</f>
        <v/>
      </c>
      <c r="AH124" s="85" t="str">
        <f>IF(A124="","",IF(N(AG124)&gt;0,AB124,0))</f>
        <v/>
      </c>
      <c r="AI124" s="85" t="str">
        <f>IF(A124="","",IF(AND(AH124&gt;0,AH124=$AH$6,COUNTIF($AH$9:AH124,AH124)=1),1,0))</f>
        <v/>
      </c>
    </row>
    <row r="125">
      <c r="A125" s="96" t="n"/>
      <c r="B125" s="96" t="n"/>
      <c r="C125" s="96" t="n"/>
      <c r="D125" s="97" t="n"/>
      <c r="E125" s="98" t="n"/>
      <c r="F125" s="99" t="n"/>
      <c r="G125" s="100" t="n"/>
      <c r="H125" s="101" t="str">
        <f>IF(A125="","",IF(AND(p_ModoCot="Automático",ISNUMBER(Z125)),Z125,IF(N(G125)&gt;0,G125,0)))</f>
        <v/>
      </c>
      <c r="I125" s="73" t="str">
        <f>IF(A125="","",IF(W125=0,"Sem câmbio",IF(AND(p_ModoCot="Automático",ISNUMBER(Z125)),"Auto",IF(N(G125)&gt;0,"Manual","Sem cotação"))))</f>
        <v/>
      </c>
      <c r="J125" s="102" t="str">
        <f>IF(A125="","",N(E125)*H125)</f>
        <v/>
      </c>
      <c r="K125" s="70" t="str">
        <f>IF(A125="","",J125*W125)</f>
        <v/>
      </c>
      <c r="L125" s="30" t="str">
        <f>IF(A125="","",IF($K$6&gt;0,K125/$K$6,0))</f>
        <v/>
      </c>
      <c r="M125" s="72" t="str">
        <f>IF(A125="","",N(F125)-L125)</f>
        <v/>
      </c>
      <c r="N125" s="30" t="str">
        <f>IF(A125="","",IF($AB$6&gt;0,AB125/$AB$6,0))</f>
        <v/>
      </c>
      <c r="O125" s="74" t="str">
        <f>IF(A125="","",IF(AB125&lt;=0,"",COUNTIF($AB$9:$AB$208,"&gt;"&amp;AB125)+COUNTIF($AB$9:AB125,AB125)))</f>
        <v/>
      </c>
      <c r="P125" s="73" t="str">
        <f>IF(A125="","",IF(Q125&gt;0,"BUY","HOLD"))</f>
        <v/>
      </c>
      <c r="Q125" s="70" t="str">
        <f>IF(A125="","",IF($W$7&lt;=0,0,IF($AC$6&gt;0,$W$7*AC125/$AC$6,IF($F$6&gt;0,$W$7*N(F125)/$F$6,0))))</f>
        <v/>
      </c>
      <c r="R125" s="103" t="str">
        <f>IF(A125="","",N(AD125)+IF(AI125=1,N(AG125),0))</f>
        <v/>
      </c>
      <c r="S125" s="103" t="str">
        <f>IF(A125="","",N(E125)+N(R125))</f>
        <v/>
      </c>
      <c r="T125" s="70" t="str">
        <f>IF(A125="","",IF(N(R125)&gt;0,R125*H125*W125*$W$6+p_CorrFixa,0))</f>
        <v/>
      </c>
      <c r="V125" s="85" t="str">
        <f>IF(A125="","",IF(D125="",$W$1,D125))</f>
        <v/>
      </c>
      <c r="W125" s="85" t="str">
        <f>IF(A125="","",IFERROR(INDEX(moeda_fx,MATCH(V125,moeda_cod,0)),0))</f>
        <v/>
      </c>
      <c r="X125" s="85" t="str">
        <f>IF(A125="","",IF($W$2="",UPPER(TRIM(A125)),IF(RIGHT(UPPER(TRIM(A125)),LEN($W$2))=$W$2,UPPER(TRIM(A125)),UPPER(TRIM(A125))&amp;$W$2)))</f>
        <v/>
      </c>
      <c r="Y125" s="85" t="str">
        <f>IF(OR(A125="",p_ModoCot&lt;&gt;"Automático"),"",IFERROR(_xlfn.WEBSERVICE("https://query1.finance.yahoo.com/v8/finance/chart/"&amp;X125&amp;"?range=1d&amp;interval=1d"),""))</f>
        <v/>
      </c>
      <c r="Z125" s="85" t="str">
        <f>IF(Y125="","",IFERROR(_xlfn.NUMBERVALUE(MID(Y125,SEARCH("""regularMarketPrice"":",Y125)+21,SEARCH(",",Y125&amp;",",SEARCH("""regularMarketPrice"":",Y125)+21)-SEARCH("""regularMarketPrice"":",Y125)-21),".",","),""))</f>
        <v/>
      </c>
      <c r="AA125" s="85" t="str">
        <f>IF(A125="","",ROUND(MAX(0,N(F125)*($K$6+$W$7)-K125),2))</f>
        <v/>
      </c>
      <c r="AB125" s="85" t="str">
        <f>IF(A125="","",IF(AND(M125&gt;0,M125&gt;=p_DifMin),AA125,0))</f>
        <v/>
      </c>
      <c r="AC125" s="85" t="str">
        <f>IF(A125="","",IF(AND(AB125&gt;0,N(O125)&lt;=p_MaxAtivos),AB125,0))</f>
        <v/>
      </c>
      <c r="AD125" s="85" t="str">
        <f>IF(A125="","",IF(OR(Q125&lt;=0,Q125&lt;p_CompraMin,N(H125)&lt;=0,N(W125)&lt;=0),0,IF($W$3="Sim",TRUNC(ROUND(MAX(0,(Q125-p_CorrFixa)/(H125*W125*$W$6)),9),$W$4),TRUNC(ROUND(MAX(0,(Q125-p_CorrFixa)/(H125*W125*$W$6)),9)/$W$5)*$W$5)))</f>
        <v/>
      </c>
      <c r="AE125" s="85" t="str">
        <f>IF(A125="","",IF(N(AD125)&gt;0,AD125*H125*W125*$W$6+p_CorrFixa,0))</f>
        <v/>
      </c>
      <c r="AF125" s="85" t="str">
        <f>IF(A125="","",IF(OR($Y$1&lt;=0,N(H125)&lt;=0,N(W125)&lt;=0,N(AB125)&lt;=0),0,IF($W$3="Sim",TRUNC(ROUND(MAX(0,($Y$1-IF(N(AD125)&gt;0,0,p_CorrFixa))/(H125*W125*$W$6)),9),$W$4),TRUNC(ROUND(MAX(0,($Y$1-IF(N(AD125)&gt;0,0,p_CorrFixa))/(H125*W125*$W$6)),9)/$W$5)*$W$5)))</f>
        <v/>
      </c>
      <c r="AG125" s="85" t="str">
        <f>IF(A125="","",IF(AND(N(AD125)=0,N(AF125)*(H125*W125*$W$6)+p_CorrFixa&lt;p_CompraMin),0,AF125))</f>
        <v/>
      </c>
      <c r="AH125" s="85" t="str">
        <f>IF(A125="","",IF(N(AG125)&gt;0,AB125,0))</f>
        <v/>
      </c>
      <c r="AI125" s="85" t="str">
        <f>IF(A125="","",IF(AND(AH125&gt;0,AH125=$AH$6,COUNTIF($AH$9:AH125,AH125)=1),1,0))</f>
        <v/>
      </c>
    </row>
    <row r="126">
      <c r="A126" s="96" t="n"/>
      <c r="B126" s="96" t="n"/>
      <c r="C126" s="96" t="n"/>
      <c r="D126" s="97" t="n"/>
      <c r="E126" s="98" t="n"/>
      <c r="F126" s="99" t="n"/>
      <c r="G126" s="100" t="n"/>
      <c r="H126" s="104" t="str">
        <f>IF(A126="","",IF(AND(p_ModoCot="Automático",ISNUMBER(Z126)),Z126,IF(N(G126)&gt;0,G126,0)))</f>
        <v/>
      </c>
      <c r="I126" s="105" t="str">
        <f>IF(A126="","",IF(W126=0,"Sem câmbio",IF(AND(p_ModoCot="Automático",ISNUMBER(Z126)),"Auto",IF(N(G126)&gt;0,"Manual","Sem cotação"))))</f>
        <v/>
      </c>
      <c r="J126" s="106" t="str">
        <f>IF(A126="","",N(E126)*H126)</f>
        <v/>
      </c>
      <c r="K126" s="107" t="str">
        <f>IF(A126="","",J126*W126)</f>
        <v/>
      </c>
      <c r="L126" s="108" t="str">
        <f>IF(A126="","",IF($K$6&gt;0,K126/$K$6,0))</f>
        <v/>
      </c>
      <c r="M126" s="109" t="str">
        <f>IF(A126="","",N(F126)-L126)</f>
        <v/>
      </c>
      <c r="N126" s="108" t="str">
        <f>IF(A126="","",IF($AB$6&gt;0,AB126/$AB$6,0))</f>
        <v/>
      </c>
      <c r="O126" s="110" t="str">
        <f>IF(A126="","",IF(AB126&lt;=0,"",COUNTIF($AB$9:$AB$208,"&gt;"&amp;AB126)+COUNTIF($AB$9:AB126,AB126)))</f>
        <v/>
      </c>
      <c r="P126" s="105" t="str">
        <f>IF(A126="","",IF(Q126&gt;0,"BUY","HOLD"))</f>
        <v/>
      </c>
      <c r="Q126" s="107" t="str">
        <f>IF(A126="","",IF($W$7&lt;=0,0,IF($AC$6&gt;0,$W$7*AC126/$AC$6,IF($F$6&gt;0,$W$7*N(F126)/$F$6,0))))</f>
        <v/>
      </c>
      <c r="R126" s="111" t="str">
        <f>IF(A126="","",N(AD126)+IF(AI126=1,N(AG126),0))</f>
        <v/>
      </c>
      <c r="S126" s="111" t="str">
        <f>IF(A126="","",N(E126)+N(R126))</f>
        <v/>
      </c>
      <c r="T126" s="107" t="str">
        <f>IF(A126="","",IF(N(R126)&gt;0,R126*H126*W126*$W$6+p_CorrFixa,0))</f>
        <v/>
      </c>
      <c r="V126" s="85" t="str">
        <f>IF(A126="","",IF(D126="",$W$1,D126))</f>
        <v/>
      </c>
      <c r="W126" s="85" t="str">
        <f>IF(A126="","",IFERROR(INDEX(moeda_fx,MATCH(V126,moeda_cod,0)),0))</f>
        <v/>
      </c>
      <c r="X126" s="85" t="str">
        <f>IF(A126="","",IF($W$2="",UPPER(TRIM(A126)),IF(RIGHT(UPPER(TRIM(A126)),LEN($W$2))=$W$2,UPPER(TRIM(A126)),UPPER(TRIM(A126))&amp;$W$2)))</f>
        <v/>
      </c>
      <c r="Y126" s="85" t="str">
        <f>IF(OR(A126="",p_ModoCot&lt;&gt;"Automático"),"",IFERROR(_xlfn.WEBSERVICE("https://query1.finance.yahoo.com/v8/finance/chart/"&amp;X126&amp;"?range=1d&amp;interval=1d"),""))</f>
        <v/>
      </c>
      <c r="Z126" s="85" t="str">
        <f>IF(Y126="","",IFERROR(_xlfn.NUMBERVALUE(MID(Y126,SEARCH("""regularMarketPrice"":",Y126)+21,SEARCH(",",Y126&amp;",",SEARCH("""regularMarketPrice"":",Y126)+21)-SEARCH("""regularMarketPrice"":",Y126)-21),".",","),""))</f>
        <v/>
      </c>
      <c r="AA126" s="85" t="str">
        <f>IF(A126="","",ROUND(MAX(0,N(F126)*($K$6+$W$7)-K126),2))</f>
        <v/>
      </c>
      <c r="AB126" s="85" t="str">
        <f>IF(A126="","",IF(AND(M126&gt;0,M126&gt;=p_DifMin),AA126,0))</f>
        <v/>
      </c>
      <c r="AC126" s="85" t="str">
        <f>IF(A126="","",IF(AND(AB126&gt;0,N(O126)&lt;=p_MaxAtivos),AB126,0))</f>
        <v/>
      </c>
      <c r="AD126" s="85" t="str">
        <f>IF(A126="","",IF(OR(Q126&lt;=0,Q126&lt;p_CompraMin,N(H126)&lt;=0,N(W126)&lt;=0),0,IF($W$3="Sim",TRUNC(ROUND(MAX(0,(Q126-p_CorrFixa)/(H126*W126*$W$6)),9),$W$4),TRUNC(ROUND(MAX(0,(Q126-p_CorrFixa)/(H126*W126*$W$6)),9)/$W$5)*$W$5)))</f>
        <v/>
      </c>
      <c r="AE126" s="85" t="str">
        <f>IF(A126="","",IF(N(AD126)&gt;0,AD126*H126*W126*$W$6+p_CorrFixa,0))</f>
        <v/>
      </c>
      <c r="AF126" s="85" t="str">
        <f>IF(A126="","",IF(OR($Y$1&lt;=0,N(H126)&lt;=0,N(W126)&lt;=0,N(AB126)&lt;=0),0,IF($W$3="Sim",TRUNC(ROUND(MAX(0,($Y$1-IF(N(AD126)&gt;0,0,p_CorrFixa))/(H126*W126*$W$6)),9),$W$4),TRUNC(ROUND(MAX(0,($Y$1-IF(N(AD126)&gt;0,0,p_CorrFixa))/(H126*W126*$W$6)),9)/$W$5)*$W$5)))</f>
        <v/>
      </c>
      <c r="AG126" s="85" t="str">
        <f>IF(A126="","",IF(AND(N(AD126)=0,N(AF126)*(H126*W126*$W$6)+p_CorrFixa&lt;p_CompraMin),0,AF126))</f>
        <v/>
      </c>
      <c r="AH126" s="85" t="str">
        <f>IF(A126="","",IF(N(AG126)&gt;0,AB126,0))</f>
        <v/>
      </c>
      <c r="AI126" s="85" t="str">
        <f>IF(A126="","",IF(AND(AH126&gt;0,AH126=$AH$6,COUNTIF($AH$9:AH126,AH126)=1),1,0))</f>
        <v/>
      </c>
    </row>
    <row r="127">
      <c r="A127" s="96" t="n"/>
      <c r="B127" s="96" t="n"/>
      <c r="C127" s="96" t="n"/>
      <c r="D127" s="97" t="n"/>
      <c r="E127" s="98" t="n"/>
      <c r="F127" s="99" t="n"/>
      <c r="G127" s="100" t="n"/>
      <c r="H127" s="101" t="str">
        <f>IF(A127="","",IF(AND(p_ModoCot="Automático",ISNUMBER(Z127)),Z127,IF(N(G127)&gt;0,G127,0)))</f>
        <v/>
      </c>
      <c r="I127" s="73" t="str">
        <f>IF(A127="","",IF(W127=0,"Sem câmbio",IF(AND(p_ModoCot="Automático",ISNUMBER(Z127)),"Auto",IF(N(G127)&gt;0,"Manual","Sem cotação"))))</f>
        <v/>
      </c>
      <c r="J127" s="102" t="str">
        <f>IF(A127="","",N(E127)*H127)</f>
        <v/>
      </c>
      <c r="K127" s="70" t="str">
        <f>IF(A127="","",J127*W127)</f>
        <v/>
      </c>
      <c r="L127" s="30" t="str">
        <f>IF(A127="","",IF($K$6&gt;0,K127/$K$6,0))</f>
        <v/>
      </c>
      <c r="M127" s="72" t="str">
        <f>IF(A127="","",N(F127)-L127)</f>
        <v/>
      </c>
      <c r="N127" s="30" t="str">
        <f>IF(A127="","",IF($AB$6&gt;0,AB127/$AB$6,0))</f>
        <v/>
      </c>
      <c r="O127" s="74" t="str">
        <f>IF(A127="","",IF(AB127&lt;=0,"",COUNTIF($AB$9:$AB$208,"&gt;"&amp;AB127)+COUNTIF($AB$9:AB127,AB127)))</f>
        <v/>
      </c>
      <c r="P127" s="73" t="str">
        <f>IF(A127="","",IF(Q127&gt;0,"BUY","HOLD"))</f>
        <v/>
      </c>
      <c r="Q127" s="70" t="str">
        <f>IF(A127="","",IF($W$7&lt;=0,0,IF($AC$6&gt;0,$W$7*AC127/$AC$6,IF($F$6&gt;0,$W$7*N(F127)/$F$6,0))))</f>
        <v/>
      </c>
      <c r="R127" s="103" t="str">
        <f>IF(A127="","",N(AD127)+IF(AI127=1,N(AG127),0))</f>
        <v/>
      </c>
      <c r="S127" s="103" t="str">
        <f>IF(A127="","",N(E127)+N(R127))</f>
        <v/>
      </c>
      <c r="T127" s="70" t="str">
        <f>IF(A127="","",IF(N(R127)&gt;0,R127*H127*W127*$W$6+p_CorrFixa,0))</f>
        <v/>
      </c>
      <c r="V127" s="85" t="str">
        <f>IF(A127="","",IF(D127="",$W$1,D127))</f>
        <v/>
      </c>
      <c r="W127" s="85" t="str">
        <f>IF(A127="","",IFERROR(INDEX(moeda_fx,MATCH(V127,moeda_cod,0)),0))</f>
        <v/>
      </c>
      <c r="X127" s="85" t="str">
        <f>IF(A127="","",IF($W$2="",UPPER(TRIM(A127)),IF(RIGHT(UPPER(TRIM(A127)),LEN($W$2))=$W$2,UPPER(TRIM(A127)),UPPER(TRIM(A127))&amp;$W$2)))</f>
        <v/>
      </c>
      <c r="Y127" s="85" t="str">
        <f>IF(OR(A127="",p_ModoCot&lt;&gt;"Automático"),"",IFERROR(_xlfn.WEBSERVICE("https://query1.finance.yahoo.com/v8/finance/chart/"&amp;X127&amp;"?range=1d&amp;interval=1d"),""))</f>
        <v/>
      </c>
      <c r="Z127" s="85" t="str">
        <f>IF(Y127="","",IFERROR(_xlfn.NUMBERVALUE(MID(Y127,SEARCH("""regularMarketPrice"":",Y127)+21,SEARCH(",",Y127&amp;",",SEARCH("""regularMarketPrice"":",Y127)+21)-SEARCH("""regularMarketPrice"":",Y127)-21),".",","),""))</f>
        <v/>
      </c>
      <c r="AA127" s="85" t="str">
        <f>IF(A127="","",ROUND(MAX(0,N(F127)*($K$6+$W$7)-K127),2))</f>
        <v/>
      </c>
      <c r="AB127" s="85" t="str">
        <f>IF(A127="","",IF(AND(M127&gt;0,M127&gt;=p_DifMin),AA127,0))</f>
        <v/>
      </c>
      <c r="AC127" s="85" t="str">
        <f>IF(A127="","",IF(AND(AB127&gt;0,N(O127)&lt;=p_MaxAtivos),AB127,0))</f>
        <v/>
      </c>
      <c r="AD127" s="85" t="str">
        <f>IF(A127="","",IF(OR(Q127&lt;=0,Q127&lt;p_CompraMin,N(H127)&lt;=0,N(W127)&lt;=0),0,IF($W$3="Sim",TRUNC(ROUND(MAX(0,(Q127-p_CorrFixa)/(H127*W127*$W$6)),9),$W$4),TRUNC(ROUND(MAX(0,(Q127-p_CorrFixa)/(H127*W127*$W$6)),9)/$W$5)*$W$5)))</f>
        <v/>
      </c>
      <c r="AE127" s="85" t="str">
        <f>IF(A127="","",IF(N(AD127)&gt;0,AD127*H127*W127*$W$6+p_CorrFixa,0))</f>
        <v/>
      </c>
      <c r="AF127" s="85" t="str">
        <f>IF(A127="","",IF(OR($Y$1&lt;=0,N(H127)&lt;=0,N(W127)&lt;=0,N(AB127)&lt;=0),0,IF($W$3="Sim",TRUNC(ROUND(MAX(0,($Y$1-IF(N(AD127)&gt;0,0,p_CorrFixa))/(H127*W127*$W$6)),9),$W$4),TRUNC(ROUND(MAX(0,($Y$1-IF(N(AD127)&gt;0,0,p_CorrFixa))/(H127*W127*$W$6)),9)/$W$5)*$W$5)))</f>
        <v/>
      </c>
      <c r="AG127" s="85" t="str">
        <f>IF(A127="","",IF(AND(N(AD127)=0,N(AF127)*(H127*W127*$W$6)+p_CorrFixa&lt;p_CompraMin),0,AF127))</f>
        <v/>
      </c>
      <c r="AH127" s="85" t="str">
        <f>IF(A127="","",IF(N(AG127)&gt;0,AB127,0))</f>
        <v/>
      </c>
      <c r="AI127" s="85" t="str">
        <f>IF(A127="","",IF(AND(AH127&gt;0,AH127=$AH$6,COUNTIF($AH$9:AH127,AH127)=1),1,0))</f>
        <v/>
      </c>
    </row>
    <row r="128">
      <c r="A128" s="96" t="n"/>
      <c r="B128" s="96" t="n"/>
      <c r="C128" s="96" t="n"/>
      <c r="D128" s="97" t="n"/>
      <c r="E128" s="98" t="n"/>
      <c r="F128" s="99" t="n"/>
      <c r="G128" s="100" t="n"/>
      <c r="H128" s="104" t="str">
        <f>IF(A128="","",IF(AND(p_ModoCot="Automático",ISNUMBER(Z128)),Z128,IF(N(G128)&gt;0,G128,0)))</f>
        <v/>
      </c>
      <c r="I128" s="105" t="str">
        <f>IF(A128="","",IF(W128=0,"Sem câmbio",IF(AND(p_ModoCot="Automático",ISNUMBER(Z128)),"Auto",IF(N(G128)&gt;0,"Manual","Sem cotação"))))</f>
        <v/>
      </c>
      <c r="J128" s="106" t="str">
        <f>IF(A128="","",N(E128)*H128)</f>
        <v/>
      </c>
      <c r="K128" s="107" t="str">
        <f>IF(A128="","",J128*W128)</f>
        <v/>
      </c>
      <c r="L128" s="108" t="str">
        <f>IF(A128="","",IF($K$6&gt;0,K128/$K$6,0))</f>
        <v/>
      </c>
      <c r="M128" s="109" t="str">
        <f>IF(A128="","",N(F128)-L128)</f>
        <v/>
      </c>
      <c r="N128" s="108" t="str">
        <f>IF(A128="","",IF($AB$6&gt;0,AB128/$AB$6,0))</f>
        <v/>
      </c>
      <c r="O128" s="110" t="str">
        <f>IF(A128="","",IF(AB128&lt;=0,"",COUNTIF($AB$9:$AB$208,"&gt;"&amp;AB128)+COUNTIF($AB$9:AB128,AB128)))</f>
        <v/>
      </c>
      <c r="P128" s="105" t="str">
        <f>IF(A128="","",IF(Q128&gt;0,"BUY","HOLD"))</f>
        <v/>
      </c>
      <c r="Q128" s="107" t="str">
        <f>IF(A128="","",IF($W$7&lt;=0,0,IF($AC$6&gt;0,$W$7*AC128/$AC$6,IF($F$6&gt;0,$W$7*N(F128)/$F$6,0))))</f>
        <v/>
      </c>
      <c r="R128" s="111" t="str">
        <f>IF(A128="","",N(AD128)+IF(AI128=1,N(AG128),0))</f>
        <v/>
      </c>
      <c r="S128" s="111" t="str">
        <f>IF(A128="","",N(E128)+N(R128))</f>
        <v/>
      </c>
      <c r="T128" s="107" t="str">
        <f>IF(A128="","",IF(N(R128)&gt;0,R128*H128*W128*$W$6+p_CorrFixa,0))</f>
        <v/>
      </c>
      <c r="V128" s="85" t="str">
        <f>IF(A128="","",IF(D128="",$W$1,D128))</f>
        <v/>
      </c>
      <c r="W128" s="85" t="str">
        <f>IF(A128="","",IFERROR(INDEX(moeda_fx,MATCH(V128,moeda_cod,0)),0))</f>
        <v/>
      </c>
      <c r="X128" s="85" t="str">
        <f>IF(A128="","",IF($W$2="",UPPER(TRIM(A128)),IF(RIGHT(UPPER(TRIM(A128)),LEN($W$2))=$W$2,UPPER(TRIM(A128)),UPPER(TRIM(A128))&amp;$W$2)))</f>
        <v/>
      </c>
      <c r="Y128" s="85" t="str">
        <f>IF(OR(A128="",p_ModoCot&lt;&gt;"Automático"),"",IFERROR(_xlfn.WEBSERVICE("https://query1.finance.yahoo.com/v8/finance/chart/"&amp;X128&amp;"?range=1d&amp;interval=1d"),""))</f>
        <v/>
      </c>
      <c r="Z128" s="85" t="str">
        <f>IF(Y128="","",IFERROR(_xlfn.NUMBERVALUE(MID(Y128,SEARCH("""regularMarketPrice"":",Y128)+21,SEARCH(",",Y128&amp;",",SEARCH("""regularMarketPrice"":",Y128)+21)-SEARCH("""regularMarketPrice"":",Y128)-21),".",","),""))</f>
        <v/>
      </c>
      <c r="AA128" s="85" t="str">
        <f>IF(A128="","",ROUND(MAX(0,N(F128)*($K$6+$W$7)-K128),2))</f>
        <v/>
      </c>
      <c r="AB128" s="85" t="str">
        <f>IF(A128="","",IF(AND(M128&gt;0,M128&gt;=p_DifMin),AA128,0))</f>
        <v/>
      </c>
      <c r="AC128" s="85" t="str">
        <f>IF(A128="","",IF(AND(AB128&gt;0,N(O128)&lt;=p_MaxAtivos),AB128,0))</f>
        <v/>
      </c>
      <c r="AD128" s="85" t="str">
        <f>IF(A128="","",IF(OR(Q128&lt;=0,Q128&lt;p_CompraMin,N(H128)&lt;=0,N(W128)&lt;=0),0,IF($W$3="Sim",TRUNC(ROUND(MAX(0,(Q128-p_CorrFixa)/(H128*W128*$W$6)),9),$W$4),TRUNC(ROUND(MAX(0,(Q128-p_CorrFixa)/(H128*W128*$W$6)),9)/$W$5)*$W$5)))</f>
        <v/>
      </c>
      <c r="AE128" s="85" t="str">
        <f>IF(A128="","",IF(N(AD128)&gt;0,AD128*H128*W128*$W$6+p_CorrFixa,0))</f>
        <v/>
      </c>
      <c r="AF128" s="85" t="str">
        <f>IF(A128="","",IF(OR($Y$1&lt;=0,N(H128)&lt;=0,N(W128)&lt;=0,N(AB128)&lt;=0),0,IF($W$3="Sim",TRUNC(ROUND(MAX(0,($Y$1-IF(N(AD128)&gt;0,0,p_CorrFixa))/(H128*W128*$W$6)),9),$W$4),TRUNC(ROUND(MAX(0,($Y$1-IF(N(AD128)&gt;0,0,p_CorrFixa))/(H128*W128*$W$6)),9)/$W$5)*$W$5)))</f>
        <v/>
      </c>
      <c r="AG128" s="85" t="str">
        <f>IF(A128="","",IF(AND(N(AD128)=0,N(AF128)*(H128*W128*$W$6)+p_CorrFixa&lt;p_CompraMin),0,AF128))</f>
        <v/>
      </c>
      <c r="AH128" s="85" t="str">
        <f>IF(A128="","",IF(N(AG128)&gt;0,AB128,0))</f>
        <v/>
      </c>
      <c r="AI128" s="85" t="str">
        <f>IF(A128="","",IF(AND(AH128&gt;0,AH128=$AH$6,COUNTIF($AH$9:AH128,AH128)=1),1,0))</f>
        <v/>
      </c>
    </row>
    <row r="129">
      <c r="A129" s="96" t="n"/>
      <c r="B129" s="96" t="n"/>
      <c r="C129" s="96" t="n"/>
      <c r="D129" s="97" t="n"/>
      <c r="E129" s="98" t="n"/>
      <c r="F129" s="99" t="n"/>
      <c r="G129" s="100" t="n"/>
      <c r="H129" s="101" t="str">
        <f>IF(A129="","",IF(AND(p_ModoCot="Automático",ISNUMBER(Z129)),Z129,IF(N(G129)&gt;0,G129,0)))</f>
        <v/>
      </c>
      <c r="I129" s="73" t="str">
        <f>IF(A129="","",IF(W129=0,"Sem câmbio",IF(AND(p_ModoCot="Automático",ISNUMBER(Z129)),"Auto",IF(N(G129)&gt;0,"Manual","Sem cotação"))))</f>
        <v/>
      </c>
      <c r="J129" s="102" t="str">
        <f>IF(A129="","",N(E129)*H129)</f>
        <v/>
      </c>
      <c r="K129" s="70" t="str">
        <f>IF(A129="","",J129*W129)</f>
        <v/>
      </c>
      <c r="L129" s="30" t="str">
        <f>IF(A129="","",IF($K$6&gt;0,K129/$K$6,0))</f>
        <v/>
      </c>
      <c r="M129" s="72" t="str">
        <f>IF(A129="","",N(F129)-L129)</f>
        <v/>
      </c>
      <c r="N129" s="30" t="str">
        <f>IF(A129="","",IF($AB$6&gt;0,AB129/$AB$6,0))</f>
        <v/>
      </c>
      <c r="O129" s="74" t="str">
        <f>IF(A129="","",IF(AB129&lt;=0,"",COUNTIF($AB$9:$AB$208,"&gt;"&amp;AB129)+COUNTIF($AB$9:AB129,AB129)))</f>
        <v/>
      </c>
      <c r="P129" s="73" t="str">
        <f>IF(A129="","",IF(Q129&gt;0,"BUY","HOLD"))</f>
        <v/>
      </c>
      <c r="Q129" s="70" t="str">
        <f>IF(A129="","",IF($W$7&lt;=0,0,IF($AC$6&gt;0,$W$7*AC129/$AC$6,IF($F$6&gt;0,$W$7*N(F129)/$F$6,0))))</f>
        <v/>
      </c>
      <c r="R129" s="103" t="str">
        <f>IF(A129="","",N(AD129)+IF(AI129=1,N(AG129),0))</f>
        <v/>
      </c>
      <c r="S129" s="103" t="str">
        <f>IF(A129="","",N(E129)+N(R129))</f>
        <v/>
      </c>
      <c r="T129" s="70" t="str">
        <f>IF(A129="","",IF(N(R129)&gt;0,R129*H129*W129*$W$6+p_CorrFixa,0))</f>
        <v/>
      </c>
      <c r="V129" s="85" t="str">
        <f>IF(A129="","",IF(D129="",$W$1,D129))</f>
        <v/>
      </c>
      <c r="W129" s="85" t="str">
        <f>IF(A129="","",IFERROR(INDEX(moeda_fx,MATCH(V129,moeda_cod,0)),0))</f>
        <v/>
      </c>
      <c r="X129" s="85" t="str">
        <f>IF(A129="","",IF($W$2="",UPPER(TRIM(A129)),IF(RIGHT(UPPER(TRIM(A129)),LEN($W$2))=$W$2,UPPER(TRIM(A129)),UPPER(TRIM(A129))&amp;$W$2)))</f>
        <v/>
      </c>
      <c r="Y129" s="85" t="str">
        <f>IF(OR(A129="",p_ModoCot&lt;&gt;"Automático"),"",IFERROR(_xlfn.WEBSERVICE("https://query1.finance.yahoo.com/v8/finance/chart/"&amp;X129&amp;"?range=1d&amp;interval=1d"),""))</f>
        <v/>
      </c>
      <c r="Z129" s="85" t="str">
        <f>IF(Y129="","",IFERROR(_xlfn.NUMBERVALUE(MID(Y129,SEARCH("""regularMarketPrice"":",Y129)+21,SEARCH(",",Y129&amp;",",SEARCH("""regularMarketPrice"":",Y129)+21)-SEARCH("""regularMarketPrice"":",Y129)-21),".",","),""))</f>
        <v/>
      </c>
      <c r="AA129" s="85" t="str">
        <f>IF(A129="","",ROUND(MAX(0,N(F129)*($K$6+$W$7)-K129),2))</f>
        <v/>
      </c>
      <c r="AB129" s="85" t="str">
        <f>IF(A129="","",IF(AND(M129&gt;0,M129&gt;=p_DifMin),AA129,0))</f>
        <v/>
      </c>
      <c r="AC129" s="85" t="str">
        <f>IF(A129="","",IF(AND(AB129&gt;0,N(O129)&lt;=p_MaxAtivos),AB129,0))</f>
        <v/>
      </c>
      <c r="AD129" s="85" t="str">
        <f>IF(A129="","",IF(OR(Q129&lt;=0,Q129&lt;p_CompraMin,N(H129)&lt;=0,N(W129)&lt;=0),0,IF($W$3="Sim",TRUNC(ROUND(MAX(0,(Q129-p_CorrFixa)/(H129*W129*$W$6)),9),$W$4),TRUNC(ROUND(MAX(0,(Q129-p_CorrFixa)/(H129*W129*$W$6)),9)/$W$5)*$W$5)))</f>
        <v/>
      </c>
      <c r="AE129" s="85" t="str">
        <f>IF(A129="","",IF(N(AD129)&gt;0,AD129*H129*W129*$W$6+p_CorrFixa,0))</f>
        <v/>
      </c>
      <c r="AF129" s="85" t="str">
        <f>IF(A129="","",IF(OR($Y$1&lt;=0,N(H129)&lt;=0,N(W129)&lt;=0,N(AB129)&lt;=0),0,IF($W$3="Sim",TRUNC(ROUND(MAX(0,($Y$1-IF(N(AD129)&gt;0,0,p_CorrFixa))/(H129*W129*$W$6)),9),$W$4),TRUNC(ROUND(MAX(0,($Y$1-IF(N(AD129)&gt;0,0,p_CorrFixa))/(H129*W129*$W$6)),9)/$W$5)*$W$5)))</f>
        <v/>
      </c>
      <c r="AG129" s="85" t="str">
        <f>IF(A129="","",IF(AND(N(AD129)=0,N(AF129)*(H129*W129*$W$6)+p_CorrFixa&lt;p_CompraMin),0,AF129))</f>
        <v/>
      </c>
      <c r="AH129" s="85" t="str">
        <f>IF(A129="","",IF(N(AG129)&gt;0,AB129,0))</f>
        <v/>
      </c>
      <c r="AI129" s="85" t="str">
        <f>IF(A129="","",IF(AND(AH129&gt;0,AH129=$AH$6,COUNTIF($AH$9:AH129,AH129)=1),1,0))</f>
        <v/>
      </c>
    </row>
    <row r="130">
      <c r="A130" s="96" t="n"/>
      <c r="B130" s="96" t="n"/>
      <c r="C130" s="96" t="n"/>
      <c r="D130" s="97" t="n"/>
      <c r="E130" s="98" t="n"/>
      <c r="F130" s="99" t="n"/>
      <c r="G130" s="100" t="n"/>
      <c r="H130" s="104" t="str">
        <f>IF(A130="","",IF(AND(p_ModoCot="Automático",ISNUMBER(Z130)),Z130,IF(N(G130)&gt;0,G130,0)))</f>
        <v/>
      </c>
      <c r="I130" s="105" t="str">
        <f>IF(A130="","",IF(W130=0,"Sem câmbio",IF(AND(p_ModoCot="Automático",ISNUMBER(Z130)),"Auto",IF(N(G130)&gt;0,"Manual","Sem cotação"))))</f>
        <v/>
      </c>
      <c r="J130" s="106" t="str">
        <f>IF(A130="","",N(E130)*H130)</f>
        <v/>
      </c>
      <c r="K130" s="107" t="str">
        <f>IF(A130="","",J130*W130)</f>
        <v/>
      </c>
      <c r="L130" s="108" t="str">
        <f>IF(A130="","",IF($K$6&gt;0,K130/$K$6,0))</f>
        <v/>
      </c>
      <c r="M130" s="109" t="str">
        <f>IF(A130="","",N(F130)-L130)</f>
        <v/>
      </c>
      <c r="N130" s="108" t="str">
        <f>IF(A130="","",IF($AB$6&gt;0,AB130/$AB$6,0))</f>
        <v/>
      </c>
      <c r="O130" s="110" t="str">
        <f>IF(A130="","",IF(AB130&lt;=0,"",COUNTIF($AB$9:$AB$208,"&gt;"&amp;AB130)+COUNTIF($AB$9:AB130,AB130)))</f>
        <v/>
      </c>
      <c r="P130" s="105" t="str">
        <f>IF(A130="","",IF(Q130&gt;0,"BUY","HOLD"))</f>
        <v/>
      </c>
      <c r="Q130" s="107" t="str">
        <f>IF(A130="","",IF($W$7&lt;=0,0,IF($AC$6&gt;0,$W$7*AC130/$AC$6,IF($F$6&gt;0,$W$7*N(F130)/$F$6,0))))</f>
        <v/>
      </c>
      <c r="R130" s="111" t="str">
        <f>IF(A130="","",N(AD130)+IF(AI130=1,N(AG130),0))</f>
        <v/>
      </c>
      <c r="S130" s="111" t="str">
        <f>IF(A130="","",N(E130)+N(R130))</f>
        <v/>
      </c>
      <c r="T130" s="107" t="str">
        <f>IF(A130="","",IF(N(R130)&gt;0,R130*H130*W130*$W$6+p_CorrFixa,0))</f>
        <v/>
      </c>
      <c r="V130" s="85" t="str">
        <f>IF(A130="","",IF(D130="",$W$1,D130))</f>
        <v/>
      </c>
      <c r="W130" s="85" t="str">
        <f>IF(A130="","",IFERROR(INDEX(moeda_fx,MATCH(V130,moeda_cod,0)),0))</f>
        <v/>
      </c>
      <c r="X130" s="85" t="str">
        <f>IF(A130="","",IF($W$2="",UPPER(TRIM(A130)),IF(RIGHT(UPPER(TRIM(A130)),LEN($W$2))=$W$2,UPPER(TRIM(A130)),UPPER(TRIM(A130))&amp;$W$2)))</f>
        <v/>
      </c>
      <c r="Y130" s="85" t="str">
        <f>IF(OR(A130="",p_ModoCot&lt;&gt;"Automático"),"",IFERROR(_xlfn.WEBSERVICE("https://query1.finance.yahoo.com/v8/finance/chart/"&amp;X130&amp;"?range=1d&amp;interval=1d"),""))</f>
        <v/>
      </c>
      <c r="Z130" s="85" t="str">
        <f>IF(Y130="","",IFERROR(_xlfn.NUMBERVALUE(MID(Y130,SEARCH("""regularMarketPrice"":",Y130)+21,SEARCH(",",Y130&amp;",",SEARCH("""regularMarketPrice"":",Y130)+21)-SEARCH("""regularMarketPrice"":",Y130)-21),".",","),""))</f>
        <v/>
      </c>
      <c r="AA130" s="85" t="str">
        <f>IF(A130="","",ROUND(MAX(0,N(F130)*($K$6+$W$7)-K130),2))</f>
        <v/>
      </c>
      <c r="AB130" s="85" t="str">
        <f>IF(A130="","",IF(AND(M130&gt;0,M130&gt;=p_DifMin),AA130,0))</f>
        <v/>
      </c>
      <c r="AC130" s="85" t="str">
        <f>IF(A130="","",IF(AND(AB130&gt;0,N(O130)&lt;=p_MaxAtivos),AB130,0))</f>
        <v/>
      </c>
      <c r="AD130" s="85" t="str">
        <f>IF(A130="","",IF(OR(Q130&lt;=0,Q130&lt;p_CompraMin,N(H130)&lt;=0,N(W130)&lt;=0),0,IF($W$3="Sim",TRUNC(ROUND(MAX(0,(Q130-p_CorrFixa)/(H130*W130*$W$6)),9),$W$4),TRUNC(ROUND(MAX(0,(Q130-p_CorrFixa)/(H130*W130*$W$6)),9)/$W$5)*$W$5)))</f>
        <v/>
      </c>
      <c r="AE130" s="85" t="str">
        <f>IF(A130="","",IF(N(AD130)&gt;0,AD130*H130*W130*$W$6+p_CorrFixa,0))</f>
        <v/>
      </c>
      <c r="AF130" s="85" t="str">
        <f>IF(A130="","",IF(OR($Y$1&lt;=0,N(H130)&lt;=0,N(W130)&lt;=0,N(AB130)&lt;=0),0,IF($W$3="Sim",TRUNC(ROUND(MAX(0,($Y$1-IF(N(AD130)&gt;0,0,p_CorrFixa))/(H130*W130*$W$6)),9),$W$4),TRUNC(ROUND(MAX(0,($Y$1-IF(N(AD130)&gt;0,0,p_CorrFixa))/(H130*W130*$W$6)),9)/$W$5)*$W$5)))</f>
        <v/>
      </c>
      <c r="AG130" s="85" t="str">
        <f>IF(A130="","",IF(AND(N(AD130)=0,N(AF130)*(H130*W130*$W$6)+p_CorrFixa&lt;p_CompraMin),0,AF130))</f>
        <v/>
      </c>
      <c r="AH130" s="85" t="str">
        <f>IF(A130="","",IF(N(AG130)&gt;0,AB130,0))</f>
        <v/>
      </c>
      <c r="AI130" s="85" t="str">
        <f>IF(A130="","",IF(AND(AH130&gt;0,AH130=$AH$6,COUNTIF($AH$9:AH130,AH130)=1),1,0))</f>
        <v/>
      </c>
    </row>
    <row r="131">
      <c r="A131" s="96" t="n"/>
      <c r="B131" s="96" t="n"/>
      <c r="C131" s="96" t="n"/>
      <c r="D131" s="97" t="n"/>
      <c r="E131" s="98" t="n"/>
      <c r="F131" s="99" t="n"/>
      <c r="G131" s="100" t="n"/>
      <c r="H131" s="101" t="str">
        <f>IF(A131="","",IF(AND(p_ModoCot="Automático",ISNUMBER(Z131)),Z131,IF(N(G131)&gt;0,G131,0)))</f>
        <v/>
      </c>
      <c r="I131" s="73" t="str">
        <f>IF(A131="","",IF(W131=0,"Sem câmbio",IF(AND(p_ModoCot="Automático",ISNUMBER(Z131)),"Auto",IF(N(G131)&gt;0,"Manual","Sem cotação"))))</f>
        <v/>
      </c>
      <c r="J131" s="102" t="str">
        <f>IF(A131="","",N(E131)*H131)</f>
        <v/>
      </c>
      <c r="K131" s="70" t="str">
        <f>IF(A131="","",J131*W131)</f>
        <v/>
      </c>
      <c r="L131" s="30" t="str">
        <f>IF(A131="","",IF($K$6&gt;0,K131/$K$6,0))</f>
        <v/>
      </c>
      <c r="M131" s="72" t="str">
        <f>IF(A131="","",N(F131)-L131)</f>
        <v/>
      </c>
      <c r="N131" s="30" t="str">
        <f>IF(A131="","",IF($AB$6&gt;0,AB131/$AB$6,0))</f>
        <v/>
      </c>
      <c r="O131" s="74" t="str">
        <f>IF(A131="","",IF(AB131&lt;=0,"",COUNTIF($AB$9:$AB$208,"&gt;"&amp;AB131)+COUNTIF($AB$9:AB131,AB131)))</f>
        <v/>
      </c>
      <c r="P131" s="73" t="str">
        <f>IF(A131="","",IF(Q131&gt;0,"BUY","HOLD"))</f>
        <v/>
      </c>
      <c r="Q131" s="70" t="str">
        <f>IF(A131="","",IF($W$7&lt;=0,0,IF($AC$6&gt;0,$W$7*AC131/$AC$6,IF($F$6&gt;0,$W$7*N(F131)/$F$6,0))))</f>
        <v/>
      </c>
      <c r="R131" s="103" t="str">
        <f>IF(A131="","",N(AD131)+IF(AI131=1,N(AG131),0))</f>
        <v/>
      </c>
      <c r="S131" s="103" t="str">
        <f>IF(A131="","",N(E131)+N(R131))</f>
        <v/>
      </c>
      <c r="T131" s="70" t="str">
        <f>IF(A131="","",IF(N(R131)&gt;0,R131*H131*W131*$W$6+p_CorrFixa,0))</f>
        <v/>
      </c>
      <c r="V131" s="85" t="str">
        <f>IF(A131="","",IF(D131="",$W$1,D131))</f>
        <v/>
      </c>
      <c r="W131" s="85" t="str">
        <f>IF(A131="","",IFERROR(INDEX(moeda_fx,MATCH(V131,moeda_cod,0)),0))</f>
        <v/>
      </c>
      <c r="X131" s="85" t="str">
        <f>IF(A131="","",IF($W$2="",UPPER(TRIM(A131)),IF(RIGHT(UPPER(TRIM(A131)),LEN($W$2))=$W$2,UPPER(TRIM(A131)),UPPER(TRIM(A131))&amp;$W$2)))</f>
        <v/>
      </c>
      <c r="Y131" s="85" t="str">
        <f>IF(OR(A131="",p_ModoCot&lt;&gt;"Automático"),"",IFERROR(_xlfn.WEBSERVICE("https://query1.finance.yahoo.com/v8/finance/chart/"&amp;X131&amp;"?range=1d&amp;interval=1d"),""))</f>
        <v/>
      </c>
      <c r="Z131" s="85" t="str">
        <f>IF(Y131="","",IFERROR(_xlfn.NUMBERVALUE(MID(Y131,SEARCH("""regularMarketPrice"":",Y131)+21,SEARCH(",",Y131&amp;",",SEARCH("""regularMarketPrice"":",Y131)+21)-SEARCH("""regularMarketPrice"":",Y131)-21),".",","),""))</f>
        <v/>
      </c>
      <c r="AA131" s="85" t="str">
        <f>IF(A131="","",ROUND(MAX(0,N(F131)*($K$6+$W$7)-K131),2))</f>
        <v/>
      </c>
      <c r="AB131" s="85" t="str">
        <f>IF(A131="","",IF(AND(M131&gt;0,M131&gt;=p_DifMin),AA131,0))</f>
        <v/>
      </c>
      <c r="AC131" s="85" t="str">
        <f>IF(A131="","",IF(AND(AB131&gt;0,N(O131)&lt;=p_MaxAtivos),AB131,0))</f>
        <v/>
      </c>
      <c r="AD131" s="85" t="str">
        <f>IF(A131="","",IF(OR(Q131&lt;=0,Q131&lt;p_CompraMin,N(H131)&lt;=0,N(W131)&lt;=0),0,IF($W$3="Sim",TRUNC(ROUND(MAX(0,(Q131-p_CorrFixa)/(H131*W131*$W$6)),9),$W$4),TRUNC(ROUND(MAX(0,(Q131-p_CorrFixa)/(H131*W131*$W$6)),9)/$W$5)*$W$5)))</f>
        <v/>
      </c>
      <c r="AE131" s="85" t="str">
        <f>IF(A131="","",IF(N(AD131)&gt;0,AD131*H131*W131*$W$6+p_CorrFixa,0))</f>
        <v/>
      </c>
      <c r="AF131" s="85" t="str">
        <f>IF(A131="","",IF(OR($Y$1&lt;=0,N(H131)&lt;=0,N(W131)&lt;=0,N(AB131)&lt;=0),0,IF($W$3="Sim",TRUNC(ROUND(MAX(0,($Y$1-IF(N(AD131)&gt;0,0,p_CorrFixa))/(H131*W131*$W$6)),9),$W$4),TRUNC(ROUND(MAX(0,($Y$1-IF(N(AD131)&gt;0,0,p_CorrFixa))/(H131*W131*$W$6)),9)/$W$5)*$W$5)))</f>
        <v/>
      </c>
      <c r="AG131" s="85" t="str">
        <f>IF(A131="","",IF(AND(N(AD131)=0,N(AF131)*(H131*W131*$W$6)+p_CorrFixa&lt;p_CompraMin),0,AF131))</f>
        <v/>
      </c>
      <c r="AH131" s="85" t="str">
        <f>IF(A131="","",IF(N(AG131)&gt;0,AB131,0))</f>
        <v/>
      </c>
      <c r="AI131" s="85" t="str">
        <f>IF(A131="","",IF(AND(AH131&gt;0,AH131=$AH$6,COUNTIF($AH$9:AH131,AH131)=1),1,0))</f>
        <v/>
      </c>
    </row>
    <row r="132">
      <c r="A132" s="96" t="n"/>
      <c r="B132" s="96" t="n"/>
      <c r="C132" s="96" t="n"/>
      <c r="D132" s="97" t="n"/>
      <c r="E132" s="98" t="n"/>
      <c r="F132" s="99" t="n"/>
      <c r="G132" s="100" t="n"/>
      <c r="H132" s="104" t="str">
        <f>IF(A132="","",IF(AND(p_ModoCot="Automático",ISNUMBER(Z132)),Z132,IF(N(G132)&gt;0,G132,0)))</f>
        <v/>
      </c>
      <c r="I132" s="105" t="str">
        <f>IF(A132="","",IF(W132=0,"Sem câmbio",IF(AND(p_ModoCot="Automático",ISNUMBER(Z132)),"Auto",IF(N(G132)&gt;0,"Manual","Sem cotação"))))</f>
        <v/>
      </c>
      <c r="J132" s="106" t="str">
        <f>IF(A132="","",N(E132)*H132)</f>
        <v/>
      </c>
      <c r="K132" s="107" t="str">
        <f>IF(A132="","",J132*W132)</f>
        <v/>
      </c>
      <c r="L132" s="108" t="str">
        <f>IF(A132="","",IF($K$6&gt;0,K132/$K$6,0))</f>
        <v/>
      </c>
      <c r="M132" s="109" t="str">
        <f>IF(A132="","",N(F132)-L132)</f>
        <v/>
      </c>
      <c r="N132" s="108" t="str">
        <f>IF(A132="","",IF($AB$6&gt;0,AB132/$AB$6,0))</f>
        <v/>
      </c>
      <c r="O132" s="110" t="str">
        <f>IF(A132="","",IF(AB132&lt;=0,"",COUNTIF($AB$9:$AB$208,"&gt;"&amp;AB132)+COUNTIF($AB$9:AB132,AB132)))</f>
        <v/>
      </c>
      <c r="P132" s="105" t="str">
        <f>IF(A132="","",IF(Q132&gt;0,"BUY","HOLD"))</f>
        <v/>
      </c>
      <c r="Q132" s="107" t="str">
        <f>IF(A132="","",IF($W$7&lt;=0,0,IF($AC$6&gt;0,$W$7*AC132/$AC$6,IF($F$6&gt;0,$W$7*N(F132)/$F$6,0))))</f>
        <v/>
      </c>
      <c r="R132" s="111" t="str">
        <f>IF(A132="","",N(AD132)+IF(AI132=1,N(AG132),0))</f>
        <v/>
      </c>
      <c r="S132" s="111" t="str">
        <f>IF(A132="","",N(E132)+N(R132))</f>
        <v/>
      </c>
      <c r="T132" s="107" t="str">
        <f>IF(A132="","",IF(N(R132)&gt;0,R132*H132*W132*$W$6+p_CorrFixa,0))</f>
        <v/>
      </c>
      <c r="V132" s="85" t="str">
        <f>IF(A132="","",IF(D132="",$W$1,D132))</f>
        <v/>
      </c>
      <c r="W132" s="85" t="str">
        <f>IF(A132="","",IFERROR(INDEX(moeda_fx,MATCH(V132,moeda_cod,0)),0))</f>
        <v/>
      </c>
      <c r="X132" s="85" t="str">
        <f>IF(A132="","",IF($W$2="",UPPER(TRIM(A132)),IF(RIGHT(UPPER(TRIM(A132)),LEN($W$2))=$W$2,UPPER(TRIM(A132)),UPPER(TRIM(A132))&amp;$W$2)))</f>
        <v/>
      </c>
      <c r="Y132" s="85" t="str">
        <f>IF(OR(A132="",p_ModoCot&lt;&gt;"Automático"),"",IFERROR(_xlfn.WEBSERVICE("https://query1.finance.yahoo.com/v8/finance/chart/"&amp;X132&amp;"?range=1d&amp;interval=1d"),""))</f>
        <v/>
      </c>
      <c r="Z132" s="85" t="str">
        <f>IF(Y132="","",IFERROR(_xlfn.NUMBERVALUE(MID(Y132,SEARCH("""regularMarketPrice"":",Y132)+21,SEARCH(",",Y132&amp;",",SEARCH("""regularMarketPrice"":",Y132)+21)-SEARCH("""regularMarketPrice"":",Y132)-21),".",","),""))</f>
        <v/>
      </c>
      <c r="AA132" s="85" t="str">
        <f>IF(A132="","",ROUND(MAX(0,N(F132)*($K$6+$W$7)-K132),2))</f>
        <v/>
      </c>
      <c r="AB132" s="85" t="str">
        <f>IF(A132="","",IF(AND(M132&gt;0,M132&gt;=p_DifMin),AA132,0))</f>
        <v/>
      </c>
      <c r="AC132" s="85" t="str">
        <f>IF(A132="","",IF(AND(AB132&gt;0,N(O132)&lt;=p_MaxAtivos),AB132,0))</f>
        <v/>
      </c>
      <c r="AD132" s="85" t="str">
        <f>IF(A132="","",IF(OR(Q132&lt;=0,Q132&lt;p_CompraMin,N(H132)&lt;=0,N(W132)&lt;=0),0,IF($W$3="Sim",TRUNC(ROUND(MAX(0,(Q132-p_CorrFixa)/(H132*W132*$W$6)),9),$W$4),TRUNC(ROUND(MAX(0,(Q132-p_CorrFixa)/(H132*W132*$W$6)),9)/$W$5)*$W$5)))</f>
        <v/>
      </c>
      <c r="AE132" s="85" t="str">
        <f>IF(A132="","",IF(N(AD132)&gt;0,AD132*H132*W132*$W$6+p_CorrFixa,0))</f>
        <v/>
      </c>
      <c r="AF132" s="85" t="str">
        <f>IF(A132="","",IF(OR($Y$1&lt;=0,N(H132)&lt;=0,N(W132)&lt;=0,N(AB132)&lt;=0),0,IF($W$3="Sim",TRUNC(ROUND(MAX(0,($Y$1-IF(N(AD132)&gt;0,0,p_CorrFixa))/(H132*W132*$W$6)),9),$W$4),TRUNC(ROUND(MAX(0,($Y$1-IF(N(AD132)&gt;0,0,p_CorrFixa))/(H132*W132*$W$6)),9)/$W$5)*$W$5)))</f>
        <v/>
      </c>
      <c r="AG132" s="85" t="str">
        <f>IF(A132="","",IF(AND(N(AD132)=0,N(AF132)*(H132*W132*$W$6)+p_CorrFixa&lt;p_CompraMin),0,AF132))</f>
        <v/>
      </c>
      <c r="AH132" s="85" t="str">
        <f>IF(A132="","",IF(N(AG132)&gt;0,AB132,0))</f>
        <v/>
      </c>
      <c r="AI132" s="85" t="str">
        <f>IF(A132="","",IF(AND(AH132&gt;0,AH132=$AH$6,COUNTIF($AH$9:AH132,AH132)=1),1,0))</f>
        <v/>
      </c>
    </row>
    <row r="133">
      <c r="A133" s="96" t="n"/>
      <c r="B133" s="96" t="n"/>
      <c r="C133" s="96" t="n"/>
      <c r="D133" s="97" t="n"/>
      <c r="E133" s="98" t="n"/>
      <c r="F133" s="99" t="n"/>
      <c r="G133" s="100" t="n"/>
      <c r="H133" s="101" t="str">
        <f>IF(A133="","",IF(AND(p_ModoCot="Automático",ISNUMBER(Z133)),Z133,IF(N(G133)&gt;0,G133,0)))</f>
        <v/>
      </c>
      <c r="I133" s="73" t="str">
        <f>IF(A133="","",IF(W133=0,"Sem câmbio",IF(AND(p_ModoCot="Automático",ISNUMBER(Z133)),"Auto",IF(N(G133)&gt;0,"Manual","Sem cotação"))))</f>
        <v/>
      </c>
      <c r="J133" s="102" t="str">
        <f>IF(A133="","",N(E133)*H133)</f>
        <v/>
      </c>
      <c r="K133" s="70" t="str">
        <f>IF(A133="","",J133*W133)</f>
        <v/>
      </c>
      <c r="L133" s="30" t="str">
        <f>IF(A133="","",IF($K$6&gt;0,K133/$K$6,0))</f>
        <v/>
      </c>
      <c r="M133" s="72" t="str">
        <f>IF(A133="","",N(F133)-L133)</f>
        <v/>
      </c>
      <c r="N133" s="30" t="str">
        <f>IF(A133="","",IF($AB$6&gt;0,AB133/$AB$6,0))</f>
        <v/>
      </c>
      <c r="O133" s="74" t="str">
        <f>IF(A133="","",IF(AB133&lt;=0,"",COUNTIF($AB$9:$AB$208,"&gt;"&amp;AB133)+COUNTIF($AB$9:AB133,AB133)))</f>
        <v/>
      </c>
      <c r="P133" s="73" t="str">
        <f>IF(A133="","",IF(Q133&gt;0,"BUY","HOLD"))</f>
        <v/>
      </c>
      <c r="Q133" s="70" t="str">
        <f>IF(A133="","",IF($W$7&lt;=0,0,IF($AC$6&gt;0,$W$7*AC133/$AC$6,IF($F$6&gt;0,$W$7*N(F133)/$F$6,0))))</f>
        <v/>
      </c>
      <c r="R133" s="103" t="str">
        <f>IF(A133="","",N(AD133)+IF(AI133=1,N(AG133),0))</f>
        <v/>
      </c>
      <c r="S133" s="103" t="str">
        <f>IF(A133="","",N(E133)+N(R133))</f>
        <v/>
      </c>
      <c r="T133" s="70" t="str">
        <f>IF(A133="","",IF(N(R133)&gt;0,R133*H133*W133*$W$6+p_CorrFixa,0))</f>
        <v/>
      </c>
      <c r="V133" s="85" t="str">
        <f>IF(A133="","",IF(D133="",$W$1,D133))</f>
        <v/>
      </c>
      <c r="W133" s="85" t="str">
        <f>IF(A133="","",IFERROR(INDEX(moeda_fx,MATCH(V133,moeda_cod,0)),0))</f>
        <v/>
      </c>
      <c r="X133" s="85" t="str">
        <f>IF(A133="","",IF($W$2="",UPPER(TRIM(A133)),IF(RIGHT(UPPER(TRIM(A133)),LEN($W$2))=$W$2,UPPER(TRIM(A133)),UPPER(TRIM(A133))&amp;$W$2)))</f>
        <v/>
      </c>
      <c r="Y133" s="85" t="str">
        <f>IF(OR(A133="",p_ModoCot&lt;&gt;"Automático"),"",IFERROR(_xlfn.WEBSERVICE("https://query1.finance.yahoo.com/v8/finance/chart/"&amp;X133&amp;"?range=1d&amp;interval=1d"),""))</f>
        <v/>
      </c>
      <c r="Z133" s="85" t="str">
        <f>IF(Y133="","",IFERROR(_xlfn.NUMBERVALUE(MID(Y133,SEARCH("""regularMarketPrice"":",Y133)+21,SEARCH(",",Y133&amp;",",SEARCH("""regularMarketPrice"":",Y133)+21)-SEARCH("""regularMarketPrice"":",Y133)-21),".",","),""))</f>
        <v/>
      </c>
      <c r="AA133" s="85" t="str">
        <f>IF(A133="","",ROUND(MAX(0,N(F133)*($K$6+$W$7)-K133),2))</f>
        <v/>
      </c>
      <c r="AB133" s="85" t="str">
        <f>IF(A133="","",IF(AND(M133&gt;0,M133&gt;=p_DifMin),AA133,0))</f>
        <v/>
      </c>
      <c r="AC133" s="85" t="str">
        <f>IF(A133="","",IF(AND(AB133&gt;0,N(O133)&lt;=p_MaxAtivos),AB133,0))</f>
        <v/>
      </c>
      <c r="AD133" s="85" t="str">
        <f>IF(A133="","",IF(OR(Q133&lt;=0,Q133&lt;p_CompraMin,N(H133)&lt;=0,N(W133)&lt;=0),0,IF($W$3="Sim",TRUNC(ROUND(MAX(0,(Q133-p_CorrFixa)/(H133*W133*$W$6)),9),$W$4),TRUNC(ROUND(MAX(0,(Q133-p_CorrFixa)/(H133*W133*$W$6)),9)/$W$5)*$W$5)))</f>
        <v/>
      </c>
      <c r="AE133" s="85" t="str">
        <f>IF(A133="","",IF(N(AD133)&gt;0,AD133*H133*W133*$W$6+p_CorrFixa,0))</f>
        <v/>
      </c>
      <c r="AF133" s="85" t="str">
        <f>IF(A133="","",IF(OR($Y$1&lt;=0,N(H133)&lt;=0,N(W133)&lt;=0,N(AB133)&lt;=0),0,IF($W$3="Sim",TRUNC(ROUND(MAX(0,($Y$1-IF(N(AD133)&gt;0,0,p_CorrFixa))/(H133*W133*$W$6)),9),$W$4),TRUNC(ROUND(MAX(0,($Y$1-IF(N(AD133)&gt;0,0,p_CorrFixa))/(H133*W133*$W$6)),9)/$W$5)*$W$5)))</f>
        <v/>
      </c>
      <c r="AG133" s="85" t="str">
        <f>IF(A133="","",IF(AND(N(AD133)=0,N(AF133)*(H133*W133*$W$6)+p_CorrFixa&lt;p_CompraMin),0,AF133))</f>
        <v/>
      </c>
      <c r="AH133" s="85" t="str">
        <f>IF(A133="","",IF(N(AG133)&gt;0,AB133,0))</f>
        <v/>
      </c>
      <c r="AI133" s="85" t="str">
        <f>IF(A133="","",IF(AND(AH133&gt;0,AH133=$AH$6,COUNTIF($AH$9:AH133,AH133)=1),1,0))</f>
        <v/>
      </c>
    </row>
    <row r="134">
      <c r="A134" s="96" t="n"/>
      <c r="B134" s="96" t="n"/>
      <c r="C134" s="96" t="n"/>
      <c r="D134" s="97" t="n"/>
      <c r="E134" s="98" t="n"/>
      <c r="F134" s="99" t="n"/>
      <c r="G134" s="100" t="n"/>
      <c r="H134" s="104" t="str">
        <f>IF(A134="","",IF(AND(p_ModoCot="Automático",ISNUMBER(Z134)),Z134,IF(N(G134)&gt;0,G134,0)))</f>
        <v/>
      </c>
      <c r="I134" s="105" t="str">
        <f>IF(A134="","",IF(W134=0,"Sem câmbio",IF(AND(p_ModoCot="Automático",ISNUMBER(Z134)),"Auto",IF(N(G134)&gt;0,"Manual","Sem cotação"))))</f>
        <v/>
      </c>
      <c r="J134" s="106" t="str">
        <f>IF(A134="","",N(E134)*H134)</f>
        <v/>
      </c>
      <c r="K134" s="107" t="str">
        <f>IF(A134="","",J134*W134)</f>
        <v/>
      </c>
      <c r="L134" s="108" t="str">
        <f>IF(A134="","",IF($K$6&gt;0,K134/$K$6,0))</f>
        <v/>
      </c>
      <c r="M134" s="109" t="str">
        <f>IF(A134="","",N(F134)-L134)</f>
        <v/>
      </c>
      <c r="N134" s="108" t="str">
        <f>IF(A134="","",IF($AB$6&gt;0,AB134/$AB$6,0))</f>
        <v/>
      </c>
      <c r="O134" s="110" t="str">
        <f>IF(A134="","",IF(AB134&lt;=0,"",COUNTIF($AB$9:$AB$208,"&gt;"&amp;AB134)+COUNTIF($AB$9:AB134,AB134)))</f>
        <v/>
      </c>
      <c r="P134" s="105" t="str">
        <f>IF(A134="","",IF(Q134&gt;0,"BUY","HOLD"))</f>
        <v/>
      </c>
      <c r="Q134" s="107" t="str">
        <f>IF(A134="","",IF($W$7&lt;=0,0,IF($AC$6&gt;0,$W$7*AC134/$AC$6,IF($F$6&gt;0,$W$7*N(F134)/$F$6,0))))</f>
        <v/>
      </c>
      <c r="R134" s="111" t="str">
        <f>IF(A134="","",N(AD134)+IF(AI134=1,N(AG134),0))</f>
        <v/>
      </c>
      <c r="S134" s="111" t="str">
        <f>IF(A134="","",N(E134)+N(R134))</f>
        <v/>
      </c>
      <c r="T134" s="107" t="str">
        <f>IF(A134="","",IF(N(R134)&gt;0,R134*H134*W134*$W$6+p_CorrFixa,0))</f>
        <v/>
      </c>
      <c r="V134" s="85" t="str">
        <f>IF(A134="","",IF(D134="",$W$1,D134))</f>
        <v/>
      </c>
      <c r="W134" s="85" t="str">
        <f>IF(A134="","",IFERROR(INDEX(moeda_fx,MATCH(V134,moeda_cod,0)),0))</f>
        <v/>
      </c>
      <c r="X134" s="85" t="str">
        <f>IF(A134="","",IF($W$2="",UPPER(TRIM(A134)),IF(RIGHT(UPPER(TRIM(A134)),LEN($W$2))=$W$2,UPPER(TRIM(A134)),UPPER(TRIM(A134))&amp;$W$2)))</f>
        <v/>
      </c>
      <c r="Y134" s="85" t="str">
        <f>IF(OR(A134="",p_ModoCot&lt;&gt;"Automático"),"",IFERROR(_xlfn.WEBSERVICE("https://query1.finance.yahoo.com/v8/finance/chart/"&amp;X134&amp;"?range=1d&amp;interval=1d"),""))</f>
        <v/>
      </c>
      <c r="Z134" s="85" t="str">
        <f>IF(Y134="","",IFERROR(_xlfn.NUMBERVALUE(MID(Y134,SEARCH("""regularMarketPrice"":",Y134)+21,SEARCH(",",Y134&amp;",",SEARCH("""regularMarketPrice"":",Y134)+21)-SEARCH("""regularMarketPrice"":",Y134)-21),".",","),""))</f>
        <v/>
      </c>
      <c r="AA134" s="85" t="str">
        <f>IF(A134="","",ROUND(MAX(0,N(F134)*($K$6+$W$7)-K134),2))</f>
        <v/>
      </c>
      <c r="AB134" s="85" t="str">
        <f>IF(A134="","",IF(AND(M134&gt;0,M134&gt;=p_DifMin),AA134,0))</f>
        <v/>
      </c>
      <c r="AC134" s="85" t="str">
        <f>IF(A134="","",IF(AND(AB134&gt;0,N(O134)&lt;=p_MaxAtivos),AB134,0))</f>
        <v/>
      </c>
      <c r="AD134" s="85" t="str">
        <f>IF(A134="","",IF(OR(Q134&lt;=0,Q134&lt;p_CompraMin,N(H134)&lt;=0,N(W134)&lt;=0),0,IF($W$3="Sim",TRUNC(ROUND(MAX(0,(Q134-p_CorrFixa)/(H134*W134*$W$6)),9),$W$4),TRUNC(ROUND(MAX(0,(Q134-p_CorrFixa)/(H134*W134*$W$6)),9)/$W$5)*$W$5)))</f>
        <v/>
      </c>
      <c r="AE134" s="85" t="str">
        <f>IF(A134="","",IF(N(AD134)&gt;0,AD134*H134*W134*$W$6+p_CorrFixa,0))</f>
        <v/>
      </c>
      <c r="AF134" s="85" t="str">
        <f>IF(A134="","",IF(OR($Y$1&lt;=0,N(H134)&lt;=0,N(W134)&lt;=0,N(AB134)&lt;=0),0,IF($W$3="Sim",TRUNC(ROUND(MAX(0,($Y$1-IF(N(AD134)&gt;0,0,p_CorrFixa))/(H134*W134*$W$6)),9),$W$4),TRUNC(ROUND(MAX(0,($Y$1-IF(N(AD134)&gt;0,0,p_CorrFixa))/(H134*W134*$W$6)),9)/$W$5)*$W$5)))</f>
        <v/>
      </c>
      <c r="AG134" s="85" t="str">
        <f>IF(A134="","",IF(AND(N(AD134)=0,N(AF134)*(H134*W134*$W$6)+p_CorrFixa&lt;p_CompraMin),0,AF134))</f>
        <v/>
      </c>
      <c r="AH134" s="85" t="str">
        <f>IF(A134="","",IF(N(AG134)&gt;0,AB134,0))</f>
        <v/>
      </c>
      <c r="AI134" s="85" t="str">
        <f>IF(A134="","",IF(AND(AH134&gt;0,AH134=$AH$6,COUNTIF($AH$9:AH134,AH134)=1),1,0))</f>
        <v/>
      </c>
    </row>
    <row r="135">
      <c r="A135" s="96" t="n"/>
      <c r="B135" s="96" t="n"/>
      <c r="C135" s="96" t="n"/>
      <c r="D135" s="97" t="n"/>
      <c r="E135" s="98" t="n"/>
      <c r="F135" s="99" t="n"/>
      <c r="G135" s="100" t="n"/>
      <c r="H135" s="101" t="str">
        <f>IF(A135="","",IF(AND(p_ModoCot="Automático",ISNUMBER(Z135)),Z135,IF(N(G135)&gt;0,G135,0)))</f>
        <v/>
      </c>
      <c r="I135" s="73" t="str">
        <f>IF(A135="","",IF(W135=0,"Sem câmbio",IF(AND(p_ModoCot="Automático",ISNUMBER(Z135)),"Auto",IF(N(G135)&gt;0,"Manual","Sem cotação"))))</f>
        <v/>
      </c>
      <c r="J135" s="102" t="str">
        <f>IF(A135="","",N(E135)*H135)</f>
        <v/>
      </c>
      <c r="K135" s="70" t="str">
        <f>IF(A135="","",J135*W135)</f>
        <v/>
      </c>
      <c r="L135" s="30" t="str">
        <f>IF(A135="","",IF($K$6&gt;0,K135/$K$6,0))</f>
        <v/>
      </c>
      <c r="M135" s="72" t="str">
        <f>IF(A135="","",N(F135)-L135)</f>
        <v/>
      </c>
      <c r="N135" s="30" t="str">
        <f>IF(A135="","",IF($AB$6&gt;0,AB135/$AB$6,0))</f>
        <v/>
      </c>
      <c r="O135" s="74" t="str">
        <f>IF(A135="","",IF(AB135&lt;=0,"",COUNTIF($AB$9:$AB$208,"&gt;"&amp;AB135)+COUNTIF($AB$9:AB135,AB135)))</f>
        <v/>
      </c>
      <c r="P135" s="73" t="str">
        <f>IF(A135="","",IF(Q135&gt;0,"BUY","HOLD"))</f>
        <v/>
      </c>
      <c r="Q135" s="70" t="str">
        <f>IF(A135="","",IF($W$7&lt;=0,0,IF($AC$6&gt;0,$W$7*AC135/$AC$6,IF($F$6&gt;0,$W$7*N(F135)/$F$6,0))))</f>
        <v/>
      </c>
      <c r="R135" s="103" t="str">
        <f>IF(A135="","",N(AD135)+IF(AI135=1,N(AG135),0))</f>
        <v/>
      </c>
      <c r="S135" s="103" t="str">
        <f>IF(A135="","",N(E135)+N(R135))</f>
        <v/>
      </c>
      <c r="T135" s="70" t="str">
        <f>IF(A135="","",IF(N(R135)&gt;0,R135*H135*W135*$W$6+p_CorrFixa,0))</f>
        <v/>
      </c>
      <c r="V135" s="85" t="str">
        <f>IF(A135="","",IF(D135="",$W$1,D135))</f>
        <v/>
      </c>
      <c r="W135" s="85" t="str">
        <f>IF(A135="","",IFERROR(INDEX(moeda_fx,MATCH(V135,moeda_cod,0)),0))</f>
        <v/>
      </c>
      <c r="X135" s="85" t="str">
        <f>IF(A135="","",IF($W$2="",UPPER(TRIM(A135)),IF(RIGHT(UPPER(TRIM(A135)),LEN($W$2))=$W$2,UPPER(TRIM(A135)),UPPER(TRIM(A135))&amp;$W$2)))</f>
        <v/>
      </c>
      <c r="Y135" s="85" t="str">
        <f>IF(OR(A135="",p_ModoCot&lt;&gt;"Automático"),"",IFERROR(_xlfn.WEBSERVICE("https://query1.finance.yahoo.com/v8/finance/chart/"&amp;X135&amp;"?range=1d&amp;interval=1d"),""))</f>
        <v/>
      </c>
      <c r="Z135" s="85" t="str">
        <f>IF(Y135="","",IFERROR(_xlfn.NUMBERVALUE(MID(Y135,SEARCH("""regularMarketPrice"":",Y135)+21,SEARCH(",",Y135&amp;",",SEARCH("""regularMarketPrice"":",Y135)+21)-SEARCH("""regularMarketPrice"":",Y135)-21),".",","),""))</f>
        <v/>
      </c>
      <c r="AA135" s="85" t="str">
        <f>IF(A135="","",ROUND(MAX(0,N(F135)*($K$6+$W$7)-K135),2))</f>
        <v/>
      </c>
      <c r="AB135" s="85" t="str">
        <f>IF(A135="","",IF(AND(M135&gt;0,M135&gt;=p_DifMin),AA135,0))</f>
        <v/>
      </c>
      <c r="AC135" s="85" t="str">
        <f>IF(A135="","",IF(AND(AB135&gt;0,N(O135)&lt;=p_MaxAtivos),AB135,0))</f>
        <v/>
      </c>
      <c r="AD135" s="85" t="str">
        <f>IF(A135="","",IF(OR(Q135&lt;=0,Q135&lt;p_CompraMin,N(H135)&lt;=0,N(W135)&lt;=0),0,IF($W$3="Sim",TRUNC(ROUND(MAX(0,(Q135-p_CorrFixa)/(H135*W135*$W$6)),9),$W$4),TRUNC(ROUND(MAX(0,(Q135-p_CorrFixa)/(H135*W135*$W$6)),9)/$W$5)*$W$5)))</f>
        <v/>
      </c>
      <c r="AE135" s="85" t="str">
        <f>IF(A135="","",IF(N(AD135)&gt;0,AD135*H135*W135*$W$6+p_CorrFixa,0))</f>
        <v/>
      </c>
      <c r="AF135" s="85" t="str">
        <f>IF(A135="","",IF(OR($Y$1&lt;=0,N(H135)&lt;=0,N(W135)&lt;=0,N(AB135)&lt;=0),0,IF($W$3="Sim",TRUNC(ROUND(MAX(0,($Y$1-IF(N(AD135)&gt;0,0,p_CorrFixa))/(H135*W135*$W$6)),9),$W$4),TRUNC(ROUND(MAX(0,($Y$1-IF(N(AD135)&gt;0,0,p_CorrFixa))/(H135*W135*$W$6)),9)/$W$5)*$W$5)))</f>
        <v/>
      </c>
      <c r="AG135" s="85" t="str">
        <f>IF(A135="","",IF(AND(N(AD135)=0,N(AF135)*(H135*W135*$W$6)+p_CorrFixa&lt;p_CompraMin),0,AF135))</f>
        <v/>
      </c>
      <c r="AH135" s="85" t="str">
        <f>IF(A135="","",IF(N(AG135)&gt;0,AB135,0))</f>
        <v/>
      </c>
      <c r="AI135" s="85" t="str">
        <f>IF(A135="","",IF(AND(AH135&gt;0,AH135=$AH$6,COUNTIF($AH$9:AH135,AH135)=1),1,0))</f>
        <v/>
      </c>
    </row>
    <row r="136">
      <c r="A136" s="96" t="n"/>
      <c r="B136" s="96" t="n"/>
      <c r="C136" s="96" t="n"/>
      <c r="D136" s="97" t="n"/>
      <c r="E136" s="98" t="n"/>
      <c r="F136" s="99" t="n"/>
      <c r="G136" s="100" t="n"/>
      <c r="H136" s="104" t="str">
        <f>IF(A136="","",IF(AND(p_ModoCot="Automático",ISNUMBER(Z136)),Z136,IF(N(G136)&gt;0,G136,0)))</f>
        <v/>
      </c>
      <c r="I136" s="105" t="str">
        <f>IF(A136="","",IF(W136=0,"Sem câmbio",IF(AND(p_ModoCot="Automático",ISNUMBER(Z136)),"Auto",IF(N(G136)&gt;0,"Manual","Sem cotação"))))</f>
        <v/>
      </c>
      <c r="J136" s="106" t="str">
        <f>IF(A136="","",N(E136)*H136)</f>
        <v/>
      </c>
      <c r="K136" s="107" t="str">
        <f>IF(A136="","",J136*W136)</f>
        <v/>
      </c>
      <c r="L136" s="108" t="str">
        <f>IF(A136="","",IF($K$6&gt;0,K136/$K$6,0))</f>
        <v/>
      </c>
      <c r="M136" s="109" t="str">
        <f>IF(A136="","",N(F136)-L136)</f>
        <v/>
      </c>
      <c r="N136" s="108" t="str">
        <f>IF(A136="","",IF($AB$6&gt;0,AB136/$AB$6,0))</f>
        <v/>
      </c>
      <c r="O136" s="110" t="str">
        <f>IF(A136="","",IF(AB136&lt;=0,"",COUNTIF($AB$9:$AB$208,"&gt;"&amp;AB136)+COUNTIF($AB$9:AB136,AB136)))</f>
        <v/>
      </c>
      <c r="P136" s="105" t="str">
        <f>IF(A136="","",IF(Q136&gt;0,"BUY","HOLD"))</f>
        <v/>
      </c>
      <c r="Q136" s="107" t="str">
        <f>IF(A136="","",IF($W$7&lt;=0,0,IF($AC$6&gt;0,$W$7*AC136/$AC$6,IF($F$6&gt;0,$W$7*N(F136)/$F$6,0))))</f>
        <v/>
      </c>
      <c r="R136" s="111" t="str">
        <f>IF(A136="","",N(AD136)+IF(AI136=1,N(AG136),0))</f>
        <v/>
      </c>
      <c r="S136" s="111" t="str">
        <f>IF(A136="","",N(E136)+N(R136))</f>
        <v/>
      </c>
      <c r="T136" s="107" t="str">
        <f>IF(A136="","",IF(N(R136)&gt;0,R136*H136*W136*$W$6+p_CorrFixa,0))</f>
        <v/>
      </c>
      <c r="V136" s="85" t="str">
        <f>IF(A136="","",IF(D136="",$W$1,D136))</f>
        <v/>
      </c>
      <c r="W136" s="85" t="str">
        <f>IF(A136="","",IFERROR(INDEX(moeda_fx,MATCH(V136,moeda_cod,0)),0))</f>
        <v/>
      </c>
      <c r="X136" s="85" t="str">
        <f>IF(A136="","",IF($W$2="",UPPER(TRIM(A136)),IF(RIGHT(UPPER(TRIM(A136)),LEN($W$2))=$W$2,UPPER(TRIM(A136)),UPPER(TRIM(A136))&amp;$W$2)))</f>
        <v/>
      </c>
      <c r="Y136" s="85" t="str">
        <f>IF(OR(A136="",p_ModoCot&lt;&gt;"Automático"),"",IFERROR(_xlfn.WEBSERVICE("https://query1.finance.yahoo.com/v8/finance/chart/"&amp;X136&amp;"?range=1d&amp;interval=1d"),""))</f>
        <v/>
      </c>
      <c r="Z136" s="85" t="str">
        <f>IF(Y136="","",IFERROR(_xlfn.NUMBERVALUE(MID(Y136,SEARCH("""regularMarketPrice"":",Y136)+21,SEARCH(",",Y136&amp;",",SEARCH("""regularMarketPrice"":",Y136)+21)-SEARCH("""regularMarketPrice"":",Y136)-21),".",","),""))</f>
        <v/>
      </c>
      <c r="AA136" s="85" t="str">
        <f>IF(A136="","",ROUND(MAX(0,N(F136)*($K$6+$W$7)-K136),2))</f>
        <v/>
      </c>
      <c r="AB136" s="85" t="str">
        <f>IF(A136="","",IF(AND(M136&gt;0,M136&gt;=p_DifMin),AA136,0))</f>
        <v/>
      </c>
      <c r="AC136" s="85" t="str">
        <f>IF(A136="","",IF(AND(AB136&gt;0,N(O136)&lt;=p_MaxAtivos),AB136,0))</f>
        <v/>
      </c>
      <c r="AD136" s="85" t="str">
        <f>IF(A136="","",IF(OR(Q136&lt;=0,Q136&lt;p_CompraMin,N(H136)&lt;=0,N(W136)&lt;=0),0,IF($W$3="Sim",TRUNC(ROUND(MAX(0,(Q136-p_CorrFixa)/(H136*W136*$W$6)),9),$W$4),TRUNC(ROUND(MAX(0,(Q136-p_CorrFixa)/(H136*W136*$W$6)),9)/$W$5)*$W$5)))</f>
        <v/>
      </c>
      <c r="AE136" s="85" t="str">
        <f>IF(A136="","",IF(N(AD136)&gt;0,AD136*H136*W136*$W$6+p_CorrFixa,0))</f>
        <v/>
      </c>
      <c r="AF136" s="85" t="str">
        <f>IF(A136="","",IF(OR($Y$1&lt;=0,N(H136)&lt;=0,N(W136)&lt;=0,N(AB136)&lt;=0),0,IF($W$3="Sim",TRUNC(ROUND(MAX(0,($Y$1-IF(N(AD136)&gt;0,0,p_CorrFixa))/(H136*W136*$W$6)),9),$W$4),TRUNC(ROUND(MAX(0,($Y$1-IF(N(AD136)&gt;0,0,p_CorrFixa))/(H136*W136*$W$6)),9)/$W$5)*$W$5)))</f>
        <v/>
      </c>
      <c r="AG136" s="85" t="str">
        <f>IF(A136="","",IF(AND(N(AD136)=0,N(AF136)*(H136*W136*$W$6)+p_CorrFixa&lt;p_CompraMin),0,AF136))</f>
        <v/>
      </c>
      <c r="AH136" s="85" t="str">
        <f>IF(A136="","",IF(N(AG136)&gt;0,AB136,0))</f>
        <v/>
      </c>
      <c r="AI136" s="85" t="str">
        <f>IF(A136="","",IF(AND(AH136&gt;0,AH136=$AH$6,COUNTIF($AH$9:AH136,AH136)=1),1,0))</f>
        <v/>
      </c>
    </row>
    <row r="137">
      <c r="A137" s="96" t="n"/>
      <c r="B137" s="96" t="n"/>
      <c r="C137" s="96" t="n"/>
      <c r="D137" s="97" t="n"/>
      <c r="E137" s="98" t="n"/>
      <c r="F137" s="99" t="n"/>
      <c r="G137" s="100" t="n"/>
      <c r="H137" s="101" t="str">
        <f>IF(A137="","",IF(AND(p_ModoCot="Automático",ISNUMBER(Z137)),Z137,IF(N(G137)&gt;0,G137,0)))</f>
        <v/>
      </c>
      <c r="I137" s="73" t="str">
        <f>IF(A137="","",IF(W137=0,"Sem câmbio",IF(AND(p_ModoCot="Automático",ISNUMBER(Z137)),"Auto",IF(N(G137)&gt;0,"Manual","Sem cotação"))))</f>
        <v/>
      </c>
      <c r="J137" s="102" t="str">
        <f>IF(A137="","",N(E137)*H137)</f>
        <v/>
      </c>
      <c r="K137" s="70" t="str">
        <f>IF(A137="","",J137*W137)</f>
        <v/>
      </c>
      <c r="L137" s="30" t="str">
        <f>IF(A137="","",IF($K$6&gt;0,K137/$K$6,0))</f>
        <v/>
      </c>
      <c r="M137" s="72" t="str">
        <f>IF(A137="","",N(F137)-L137)</f>
        <v/>
      </c>
      <c r="N137" s="30" t="str">
        <f>IF(A137="","",IF($AB$6&gt;0,AB137/$AB$6,0))</f>
        <v/>
      </c>
      <c r="O137" s="74" t="str">
        <f>IF(A137="","",IF(AB137&lt;=0,"",COUNTIF($AB$9:$AB$208,"&gt;"&amp;AB137)+COUNTIF($AB$9:AB137,AB137)))</f>
        <v/>
      </c>
      <c r="P137" s="73" t="str">
        <f>IF(A137="","",IF(Q137&gt;0,"BUY","HOLD"))</f>
        <v/>
      </c>
      <c r="Q137" s="70" t="str">
        <f>IF(A137="","",IF($W$7&lt;=0,0,IF($AC$6&gt;0,$W$7*AC137/$AC$6,IF($F$6&gt;0,$W$7*N(F137)/$F$6,0))))</f>
        <v/>
      </c>
      <c r="R137" s="103" t="str">
        <f>IF(A137="","",N(AD137)+IF(AI137=1,N(AG137),0))</f>
        <v/>
      </c>
      <c r="S137" s="103" t="str">
        <f>IF(A137="","",N(E137)+N(R137))</f>
        <v/>
      </c>
      <c r="T137" s="70" t="str">
        <f>IF(A137="","",IF(N(R137)&gt;0,R137*H137*W137*$W$6+p_CorrFixa,0))</f>
        <v/>
      </c>
      <c r="V137" s="85" t="str">
        <f>IF(A137="","",IF(D137="",$W$1,D137))</f>
        <v/>
      </c>
      <c r="W137" s="85" t="str">
        <f>IF(A137="","",IFERROR(INDEX(moeda_fx,MATCH(V137,moeda_cod,0)),0))</f>
        <v/>
      </c>
      <c r="X137" s="85" t="str">
        <f>IF(A137="","",IF($W$2="",UPPER(TRIM(A137)),IF(RIGHT(UPPER(TRIM(A137)),LEN($W$2))=$W$2,UPPER(TRIM(A137)),UPPER(TRIM(A137))&amp;$W$2)))</f>
        <v/>
      </c>
      <c r="Y137" s="85" t="str">
        <f>IF(OR(A137="",p_ModoCot&lt;&gt;"Automático"),"",IFERROR(_xlfn.WEBSERVICE("https://query1.finance.yahoo.com/v8/finance/chart/"&amp;X137&amp;"?range=1d&amp;interval=1d"),""))</f>
        <v/>
      </c>
      <c r="Z137" s="85" t="str">
        <f>IF(Y137="","",IFERROR(_xlfn.NUMBERVALUE(MID(Y137,SEARCH("""regularMarketPrice"":",Y137)+21,SEARCH(",",Y137&amp;",",SEARCH("""regularMarketPrice"":",Y137)+21)-SEARCH("""regularMarketPrice"":",Y137)-21),".",","),""))</f>
        <v/>
      </c>
      <c r="AA137" s="85" t="str">
        <f>IF(A137="","",ROUND(MAX(0,N(F137)*($K$6+$W$7)-K137),2))</f>
        <v/>
      </c>
      <c r="AB137" s="85" t="str">
        <f>IF(A137="","",IF(AND(M137&gt;0,M137&gt;=p_DifMin),AA137,0))</f>
        <v/>
      </c>
      <c r="AC137" s="85" t="str">
        <f>IF(A137="","",IF(AND(AB137&gt;0,N(O137)&lt;=p_MaxAtivos),AB137,0))</f>
        <v/>
      </c>
      <c r="AD137" s="85" t="str">
        <f>IF(A137="","",IF(OR(Q137&lt;=0,Q137&lt;p_CompraMin,N(H137)&lt;=0,N(W137)&lt;=0),0,IF($W$3="Sim",TRUNC(ROUND(MAX(0,(Q137-p_CorrFixa)/(H137*W137*$W$6)),9),$W$4),TRUNC(ROUND(MAX(0,(Q137-p_CorrFixa)/(H137*W137*$W$6)),9)/$W$5)*$W$5)))</f>
        <v/>
      </c>
      <c r="AE137" s="85" t="str">
        <f>IF(A137="","",IF(N(AD137)&gt;0,AD137*H137*W137*$W$6+p_CorrFixa,0))</f>
        <v/>
      </c>
      <c r="AF137" s="85" t="str">
        <f>IF(A137="","",IF(OR($Y$1&lt;=0,N(H137)&lt;=0,N(W137)&lt;=0,N(AB137)&lt;=0),0,IF($W$3="Sim",TRUNC(ROUND(MAX(0,($Y$1-IF(N(AD137)&gt;0,0,p_CorrFixa))/(H137*W137*$W$6)),9),$W$4),TRUNC(ROUND(MAX(0,($Y$1-IF(N(AD137)&gt;0,0,p_CorrFixa))/(H137*W137*$W$6)),9)/$W$5)*$W$5)))</f>
        <v/>
      </c>
      <c r="AG137" s="85" t="str">
        <f>IF(A137="","",IF(AND(N(AD137)=0,N(AF137)*(H137*W137*$W$6)+p_CorrFixa&lt;p_CompraMin),0,AF137))</f>
        <v/>
      </c>
      <c r="AH137" s="85" t="str">
        <f>IF(A137="","",IF(N(AG137)&gt;0,AB137,0))</f>
        <v/>
      </c>
      <c r="AI137" s="85" t="str">
        <f>IF(A137="","",IF(AND(AH137&gt;0,AH137=$AH$6,COUNTIF($AH$9:AH137,AH137)=1),1,0))</f>
        <v/>
      </c>
    </row>
    <row r="138">
      <c r="A138" s="96" t="n"/>
      <c r="B138" s="96" t="n"/>
      <c r="C138" s="96" t="n"/>
      <c r="D138" s="97" t="n"/>
      <c r="E138" s="98" t="n"/>
      <c r="F138" s="99" t="n"/>
      <c r="G138" s="100" t="n"/>
      <c r="H138" s="104" t="str">
        <f>IF(A138="","",IF(AND(p_ModoCot="Automático",ISNUMBER(Z138)),Z138,IF(N(G138)&gt;0,G138,0)))</f>
        <v/>
      </c>
      <c r="I138" s="105" t="str">
        <f>IF(A138="","",IF(W138=0,"Sem câmbio",IF(AND(p_ModoCot="Automático",ISNUMBER(Z138)),"Auto",IF(N(G138)&gt;0,"Manual","Sem cotação"))))</f>
        <v/>
      </c>
      <c r="J138" s="106" t="str">
        <f>IF(A138="","",N(E138)*H138)</f>
        <v/>
      </c>
      <c r="K138" s="107" t="str">
        <f>IF(A138="","",J138*W138)</f>
        <v/>
      </c>
      <c r="L138" s="108" t="str">
        <f>IF(A138="","",IF($K$6&gt;0,K138/$K$6,0))</f>
        <v/>
      </c>
      <c r="M138" s="109" t="str">
        <f>IF(A138="","",N(F138)-L138)</f>
        <v/>
      </c>
      <c r="N138" s="108" t="str">
        <f>IF(A138="","",IF($AB$6&gt;0,AB138/$AB$6,0))</f>
        <v/>
      </c>
      <c r="O138" s="110" t="str">
        <f>IF(A138="","",IF(AB138&lt;=0,"",COUNTIF($AB$9:$AB$208,"&gt;"&amp;AB138)+COUNTIF($AB$9:AB138,AB138)))</f>
        <v/>
      </c>
      <c r="P138" s="105" t="str">
        <f>IF(A138="","",IF(Q138&gt;0,"BUY","HOLD"))</f>
        <v/>
      </c>
      <c r="Q138" s="107" t="str">
        <f>IF(A138="","",IF($W$7&lt;=0,0,IF($AC$6&gt;0,$W$7*AC138/$AC$6,IF($F$6&gt;0,$W$7*N(F138)/$F$6,0))))</f>
        <v/>
      </c>
      <c r="R138" s="111" t="str">
        <f>IF(A138="","",N(AD138)+IF(AI138=1,N(AG138),0))</f>
        <v/>
      </c>
      <c r="S138" s="111" t="str">
        <f>IF(A138="","",N(E138)+N(R138))</f>
        <v/>
      </c>
      <c r="T138" s="107" t="str">
        <f>IF(A138="","",IF(N(R138)&gt;0,R138*H138*W138*$W$6+p_CorrFixa,0))</f>
        <v/>
      </c>
      <c r="V138" s="85" t="str">
        <f>IF(A138="","",IF(D138="",$W$1,D138))</f>
        <v/>
      </c>
      <c r="W138" s="85" t="str">
        <f>IF(A138="","",IFERROR(INDEX(moeda_fx,MATCH(V138,moeda_cod,0)),0))</f>
        <v/>
      </c>
      <c r="X138" s="85" t="str">
        <f>IF(A138="","",IF($W$2="",UPPER(TRIM(A138)),IF(RIGHT(UPPER(TRIM(A138)),LEN($W$2))=$W$2,UPPER(TRIM(A138)),UPPER(TRIM(A138))&amp;$W$2)))</f>
        <v/>
      </c>
      <c r="Y138" s="85" t="str">
        <f>IF(OR(A138="",p_ModoCot&lt;&gt;"Automático"),"",IFERROR(_xlfn.WEBSERVICE("https://query1.finance.yahoo.com/v8/finance/chart/"&amp;X138&amp;"?range=1d&amp;interval=1d"),""))</f>
        <v/>
      </c>
      <c r="Z138" s="85" t="str">
        <f>IF(Y138="","",IFERROR(_xlfn.NUMBERVALUE(MID(Y138,SEARCH("""regularMarketPrice"":",Y138)+21,SEARCH(",",Y138&amp;",",SEARCH("""regularMarketPrice"":",Y138)+21)-SEARCH("""regularMarketPrice"":",Y138)-21),".",","),""))</f>
        <v/>
      </c>
      <c r="AA138" s="85" t="str">
        <f>IF(A138="","",ROUND(MAX(0,N(F138)*($K$6+$W$7)-K138),2))</f>
        <v/>
      </c>
      <c r="AB138" s="85" t="str">
        <f>IF(A138="","",IF(AND(M138&gt;0,M138&gt;=p_DifMin),AA138,0))</f>
        <v/>
      </c>
      <c r="AC138" s="85" t="str">
        <f>IF(A138="","",IF(AND(AB138&gt;0,N(O138)&lt;=p_MaxAtivos),AB138,0))</f>
        <v/>
      </c>
      <c r="AD138" s="85" t="str">
        <f>IF(A138="","",IF(OR(Q138&lt;=0,Q138&lt;p_CompraMin,N(H138)&lt;=0,N(W138)&lt;=0),0,IF($W$3="Sim",TRUNC(ROUND(MAX(0,(Q138-p_CorrFixa)/(H138*W138*$W$6)),9),$W$4),TRUNC(ROUND(MAX(0,(Q138-p_CorrFixa)/(H138*W138*$W$6)),9)/$W$5)*$W$5)))</f>
        <v/>
      </c>
      <c r="AE138" s="85" t="str">
        <f>IF(A138="","",IF(N(AD138)&gt;0,AD138*H138*W138*$W$6+p_CorrFixa,0))</f>
        <v/>
      </c>
      <c r="AF138" s="85" t="str">
        <f>IF(A138="","",IF(OR($Y$1&lt;=0,N(H138)&lt;=0,N(W138)&lt;=0,N(AB138)&lt;=0),0,IF($W$3="Sim",TRUNC(ROUND(MAX(0,($Y$1-IF(N(AD138)&gt;0,0,p_CorrFixa))/(H138*W138*$W$6)),9),$W$4),TRUNC(ROUND(MAX(0,($Y$1-IF(N(AD138)&gt;0,0,p_CorrFixa))/(H138*W138*$W$6)),9)/$W$5)*$W$5)))</f>
        <v/>
      </c>
      <c r="AG138" s="85" t="str">
        <f>IF(A138="","",IF(AND(N(AD138)=0,N(AF138)*(H138*W138*$W$6)+p_CorrFixa&lt;p_CompraMin),0,AF138))</f>
        <v/>
      </c>
      <c r="AH138" s="85" t="str">
        <f>IF(A138="","",IF(N(AG138)&gt;0,AB138,0))</f>
        <v/>
      </c>
      <c r="AI138" s="85" t="str">
        <f>IF(A138="","",IF(AND(AH138&gt;0,AH138=$AH$6,COUNTIF($AH$9:AH138,AH138)=1),1,0))</f>
        <v/>
      </c>
    </row>
    <row r="139">
      <c r="A139" s="96" t="n"/>
      <c r="B139" s="96" t="n"/>
      <c r="C139" s="96" t="n"/>
      <c r="D139" s="97" t="n"/>
      <c r="E139" s="98" t="n"/>
      <c r="F139" s="99" t="n"/>
      <c r="G139" s="100" t="n"/>
      <c r="H139" s="101" t="str">
        <f>IF(A139="","",IF(AND(p_ModoCot="Automático",ISNUMBER(Z139)),Z139,IF(N(G139)&gt;0,G139,0)))</f>
        <v/>
      </c>
      <c r="I139" s="73" t="str">
        <f>IF(A139="","",IF(W139=0,"Sem câmbio",IF(AND(p_ModoCot="Automático",ISNUMBER(Z139)),"Auto",IF(N(G139)&gt;0,"Manual","Sem cotação"))))</f>
        <v/>
      </c>
      <c r="J139" s="102" t="str">
        <f>IF(A139="","",N(E139)*H139)</f>
        <v/>
      </c>
      <c r="K139" s="70" t="str">
        <f>IF(A139="","",J139*W139)</f>
        <v/>
      </c>
      <c r="L139" s="30" t="str">
        <f>IF(A139="","",IF($K$6&gt;0,K139/$K$6,0))</f>
        <v/>
      </c>
      <c r="M139" s="72" t="str">
        <f>IF(A139="","",N(F139)-L139)</f>
        <v/>
      </c>
      <c r="N139" s="30" t="str">
        <f>IF(A139="","",IF($AB$6&gt;0,AB139/$AB$6,0))</f>
        <v/>
      </c>
      <c r="O139" s="74" t="str">
        <f>IF(A139="","",IF(AB139&lt;=0,"",COUNTIF($AB$9:$AB$208,"&gt;"&amp;AB139)+COUNTIF($AB$9:AB139,AB139)))</f>
        <v/>
      </c>
      <c r="P139" s="73" t="str">
        <f>IF(A139="","",IF(Q139&gt;0,"BUY","HOLD"))</f>
        <v/>
      </c>
      <c r="Q139" s="70" t="str">
        <f>IF(A139="","",IF($W$7&lt;=0,0,IF($AC$6&gt;0,$W$7*AC139/$AC$6,IF($F$6&gt;0,$W$7*N(F139)/$F$6,0))))</f>
        <v/>
      </c>
      <c r="R139" s="103" t="str">
        <f>IF(A139="","",N(AD139)+IF(AI139=1,N(AG139),0))</f>
        <v/>
      </c>
      <c r="S139" s="103" t="str">
        <f>IF(A139="","",N(E139)+N(R139))</f>
        <v/>
      </c>
      <c r="T139" s="70" t="str">
        <f>IF(A139="","",IF(N(R139)&gt;0,R139*H139*W139*$W$6+p_CorrFixa,0))</f>
        <v/>
      </c>
      <c r="V139" s="85" t="str">
        <f>IF(A139="","",IF(D139="",$W$1,D139))</f>
        <v/>
      </c>
      <c r="W139" s="85" t="str">
        <f>IF(A139="","",IFERROR(INDEX(moeda_fx,MATCH(V139,moeda_cod,0)),0))</f>
        <v/>
      </c>
      <c r="X139" s="85" t="str">
        <f>IF(A139="","",IF($W$2="",UPPER(TRIM(A139)),IF(RIGHT(UPPER(TRIM(A139)),LEN($W$2))=$W$2,UPPER(TRIM(A139)),UPPER(TRIM(A139))&amp;$W$2)))</f>
        <v/>
      </c>
      <c r="Y139" s="85" t="str">
        <f>IF(OR(A139="",p_ModoCot&lt;&gt;"Automático"),"",IFERROR(_xlfn.WEBSERVICE("https://query1.finance.yahoo.com/v8/finance/chart/"&amp;X139&amp;"?range=1d&amp;interval=1d"),""))</f>
        <v/>
      </c>
      <c r="Z139" s="85" t="str">
        <f>IF(Y139="","",IFERROR(_xlfn.NUMBERVALUE(MID(Y139,SEARCH("""regularMarketPrice"":",Y139)+21,SEARCH(",",Y139&amp;",",SEARCH("""regularMarketPrice"":",Y139)+21)-SEARCH("""regularMarketPrice"":",Y139)-21),".",","),""))</f>
        <v/>
      </c>
      <c r="AA139" s="85" t="str">
        <f>IF(A139="","",ROUND(MAX(0,N(F139)*($K$6+$W$7)-K139),2))</f>
        <v/>
      </c>
      <c r="AB139" s="85" t="str">
        <f>IF(A139="","",IF(AND(M139&gt;0,M139&gt;=p_DifMin),AA139,0))</f>
        <v/>
      </c>
      <c r="AC139" s="85" t="str">
        <f>IF(A139="","",IF(AND(AB139&gt;0,N(O139)&lt;=p_MaxAtivos),AB139,0))</f>
        <v/>
      </c>
      <c r="AD139" s="85" t="str">
        <f>IF(A139="","",IF(OR(Q139&lt;=0,Q139&lt;p_CompraMin,N(H139)&lt;=0,N(W139)&lt;=0),0,IF($W$3="Sim",TRUNC(ROUND(MAX(0,(Q139-p_CorrFixa)/(H139*W139*$W$6)),9),$W$4),TRUNC(ROUND(MAX(0,(Q139-p_CorrFixa)/(H139*W139*$W$6)),9)/$W$5)*$W$5)))</f>
        <v/>
      </c>
      <c r="AE139" s="85" t="str">
        <f>IF(A139="","",IF(N(AD139)&gt;0,AD139*H139*W139*$W$6+p_CorrFixa,0))</f>
        <v/>
      </c>
      <c r="AF139" s="85" t="str">
        <f>IF(A139="","",IF(OR($Y$1&lt;=0,N(H139)&lt;=0,N(W139)&lt;=0,N(AB139)&lt;=0),0,IF($W$3="Sim",TRUNC(ROUND(MAX(0,($Y$1-IF(N(AD139)&gt;0,0,p_CorrFixa))/(H139*W139*$W$6)),9),$W$4),TRUNC(ROUND(MAX(0,($Y$1-IF(N(AD139)&gt;0,0,p_CorrFixa))/(H139*W139*$W$6)),9)/$W$5)*$W$5)))</f>
        <v/>
      </c>
      <c r="AG139" s="85" t="str">
        <f>IF(A139="","",IF(AND(N(AD139)=0,N(AF139)*(H139*W139*$W$6)+p_CorrFixa&lt;p_CompraMin),0,AF139))</f>
        <v/>
      </c>
      <c r="AH139" s="85" t="str">
        <f>IF(A139="","",IF(N(AG139)&gt;0,AB139,0))</f>
        <v/>
      </c>
      <c r="AI139" s="85" t="str">
        <f>IF(A139="","",IF(AND(AH139&gt;0,AH139=$AH$6,COUNTIF($AH$9:AH139,AH139)=1),1,0))</f>
        <v/>
      </c>
    </row>
    <row r="140">
      <c r="A140" s="96" t="n"/>
      <c r="B140" s="96" t="n"/>
      <c r="C140" s="96" t="n"/>
      <c r="D140" s="97" t="n"/>
      <c r="E140" s="98" t="n"/>
      <c r="F140" s="99" t="n"/>
      <c r="G140" s="100" t="n"/>
      <c r="H140" s="104" t="str">
        <f>IF(A140="","",IF(AND(p_ModoCot="Automático",ISNUMBER(Z140)),Z140,IF(N(G140)&gt;0,G140,0)))</f>
        <v/>
      </c>
      <c r="I140" s="105" t="str">
        <f>IF(A140="","",IF(W140=0,"Sem câmbio",IF(AND(p_ModoCot="Automático",ISNUMBER(Z140)),"Auto",IF(N(G140)&gt;0,"Manual","Sem cotação"))))</f>
        <v/>
      </c>
      <c r="J140" s="106" t="str">
        <f>IF(A140="","",N(E140)*H140)</f>
        <v/>
      </c>
      <c r="K140" s="107" t="str">
        <f>IF(A140="","",J140*W140)</f>
        <v/>
      </c>
      <c r="L140" s="108" t="str">
        <f>IF(A140="","",IF($K$6&gt;0,K140/$K$6,0))</f>
        <v/>
      </c>
      <c r="M140" s="109" t="str">
        <f>IF(A140="","",N(F140)-L140)</f>
        <v/>
      </c>
      <c r="N140" s="108" t="str">
        <f>IF(A140="","",IF($AB$6&gt;0,AB140/$AB$6,0))</f>
        <v/>
      </c>
      <c r="O140" s="110" t="str">
        <f>IF(A140="","",IF(AB140&lt;=0,"",COUNTIF($AB$9:$AB$208,"&gt;"&amp;AB140)+COUNTIF($AB$9:AB140,AB140)))</f>
        <v/>
      </c>
      <c r="P140" s="105" t="str">
        <f>IF(A140="","",IF(Q140&gt;0,"BUY","HOLD"))</f>
        <v/>
      </c>
      <c r="Q140" s="107" t="str">
        <f>IF(A140="","",IF($W$7&lt;=0,0,IF($AC$6&gt;0,$W$7*AC140/$AC$6,IF($F$6&gt;0,$W$7*N(F140)/$F$6,0))))</f>
        <v/>
      </c>
      <c r="R140" s="111" t="str">
        <f>IF(A140="","",N(AD140)+IF(AI140=1,N(AG140),0))</f>
        <v/>
      </c>
      <c r="S140" s="111" t="str">
        <f>IF(A140="","",N(E140)+N(R140))</f>
        <v/>
      </c>
      <c r="T140" s="107" t="str">
        <f>IF(A140="","",IF(N(R140)&gt;0,R140*H140*W140*$W$6+p_CorrFixa,0))</f>
        <v/>
      </c>
      <c r="V140" s="85" t="str">
        <f>IF(A140="","",IF(D140="",$W$1,D140))</f>
        <v/>
      </c>
      <c r="W140" s="85" t="str">
        <f>IF(A140="","",IFERROR(INDEX(moeda_fx,MATCH(V140,moeda_cod,0)),0))</f>
        <v/>
      </c>
      <c r="X140" s="85" t="str">
        <f>IF(A140="","",IF($W$2="",UPPER(TRIM(A140)),IF(RIGHT(UPPER(TRIM(A140)),LEN($W$2))=$W$2,UPPER(TRIM(A140)),UPPER(TRIM(A140))&amp;$W$2)))</f>
        <v/>
      </c>
      <c r="Y140" s="85" t="str">
        <f>IF(OR(A140="",p_ModoCot&lt;&gt;"Automático"),"",IFERROR(_xlfn.WEBSERVICE("https://query1.finance.yahoo.com/v8/finance/chart/"&amp;X140&amp;"?range=1d&amp;interval=1d"),""))</f>
        <v/>
      </c>
      <c r="Z140" s="85" t="str">
        <f>IF(Y140="","",IFERROR(_xlfn.NUMBERVALUE(MID(Y140,SEARCH("""regularMarketPrice"":",Y140)+21,SEARCH(",",Y140&amp;",",SEARCH("""regularMarketPrice"":",Y140)+21)-SEARCH("""regularMarketPrice"":",Y140)-21),".",","),""))</f>
        <v/>
      </c>
      <c r="AA140" s="85" t="str">
        <f>IF(A140="","",ROUND(MAX(0,N(F140)*($K$6+$W$7)-K140),2))</f>
        <v/>
      </c>
      <c r="AB140" s="85" t="str">
        <f>IF(A140="","",IF(AND(M140&gt;0,M140&gt;=p_DifMin),AA140,0))</f>
        <v/>
      </c>
      <c r="AC140" s="85" t="str">
        <f>IF(A140="","",IF(AND(AB140&gt;0,N(O140)&lt;=p_MaxAtivos),AB140,0))</f>
        <v/>
      </c>
      <c r="AD140" s="85" t="str">
        <f>IF(A140="","",IF(OR(Q140&lt;=0,Q140&lt;p_CompraMin,N(H140)&lt;=0,N(W140)&lt;=0),0,IF($W$3="Sim",TRUNC(ROUND(MAX(0,(Q140-p_CorrFixa)/(H140*W140*$W$6)),9),$W$4),TRUNC(ROUND(MAX(0,(Q140-p_CorrFixa)/(H140*W140*$W$6)),9)/$W$5)*$W$5)))</f>
        <v/>
      </c>
      <c r="AE140" s="85" t="str">
        <f>IF(A140="","",IF(N(AD140)&gt;0,AD140*H140*W140*$W$6+p_CorrFixa,0))</f>
        <v/>
      </c>
      <c r="AF140" s="85" t="str">
        <f>IF(A140="","",IF(OR($Y$1&lt;=0,N(H140)&lt;=0,N(W140)&lt;=0,N(AB140)&lt;=0),0,IF($W$3="Sim",TRUNC(ROUND(MAX(0,($Y$1-IF(N(AD140)&gt;0,0,p_CorrFixa))/(H140*W140*$W$6)),9),$W$4),TRUNC(ROUND(MAX(0,($Y$1-IF(N(AD140)&gt;0,0,p_CorrFixa))/(H140*W140*$W$6)),9)/$W$5)*$W$5)))</f>
        <v/>
      </c>
      <c r="AG140" s="85" t="str">
        <f>IF(A140="","",IF(AND(N(AD140)=0,N(AF140)*(H140*W140*$W$6)+p_CorrFixa&lt;p_CompraMin),0,AF140))</f>
        <v/>
      </c>
      <c r="AH140" s="85" t="str">
        <f>IF(A140="","",IF(N(AG140)&gt;0,AB140,0))</f>
        <v/>
      </c>
      <c r="AI140" s="85" t="str">
        <f>IF(A140="","",IF(AND(AH140&gt;0,AH140=$AH$6,COUNTIF($AH$9:AH140,AH140)=1),1,0))</f>
        <v/>
      </c>
    </row>
    <row r="141">
      <c r="A141" s="96" t="n"/>
      <c r="B141" s="96" t="n"/>
      <c r="C141" s="96" t="n"/>
      <c r="D141" s="97" t="n"/>
      <c r="E141" s="98" t="n"/>
      <c r="F141" s="99" t="n"/>
      <c r="G141" s="100" t="n"/>
      <c r="H141" s="101" t="str">
        <f>IF(A141="","",IF(AND(p_ModoCot="Automático",ISNUMBER(Z141)),Z141,IF(N(G141)&gt;0,G141,0)))</f>
        <v/>
      </c>
      <c r="I141" s="73" t="str">
        <f>IF(A141="","",IF(W141=0,"Sem câmbio",IF(AND(p_ModoCot="Automático",ISNUMBER(Z141)),"Auto",IF(N(G141)&gt;0,"Manual","Sem cotação"))))</f>
        <v/>
      </c>
      <c r="J141" s="102" t="str">
        <f>IF(A141="","",N(E141)*H141)</f>
        <v/>
      </c>
      <c r="K141" s="70" t="str">
        <f>IF(A141="","",J141*W141)</f>
        <v/>
      </c>
      <c r="L141" s="30" t="str">
        <f>IF(A141="","",IF($K$6&gt;0,K141/$K$6,0))</f>
        <v/>
      </c>
      <c r="M141" s="72" t="str">
        <f>IF(A141="","",N(F141)-L141)</f>
        <v/>
      </c>
      <c r="N141" s="30" t="str">
        <f>IF(A141="","",IF($AB$6&gt;0,AB141/$AB$6,0))</f>
        <v/>
      </c>
      <c r="O141" s="74" t="str">
        <f>IF(A141="","",IF(AB141&lt;=0,"",COUNTIF($AB$9:$AB$208,"&gt;"&amp;AB141)+COUNTIF($AB$9:AB141,AB141)))</f>
        <v/>
      </c>
      <c r="P141" s="73" t="str">
        <f>IF(A141="","",IF(Q141&gt;0,"BUY","HOLD"))</f>
        <v/>
      </c>
      <c r="Q141" s="70" t="str">
        <f>IF(A141="","",IF($W$7&lt;=0,0,IF($AC$6&gt;0,$W$7*AC141/$AC$6,IF($F$6&gt;0,$W$7*N(F141)/$F$6,0))))</f>
        <v/>
      </c>
      <c r="R141" s="103" t="str">
        <f>IF(A141="","",N(AD141)+IF(AI141=1,N(AG141),0))</f>
        <v/>
      </c>
      <c r="S141" s="103" t="str">
        <f>IF(A141="","",N(E141)+N(R141))</f>
        <v/>
      </c>
      <c r="T141" s="70" t="str">
        <f>IF(A141="","",IF(N(R141)&gt;0,R141*H141*W141*$W$6+p_CorrFixa,0))</f>
        <v/>
      </c>
      <c r="V141" s="85" t="str">
        <f>IF(A141="","",IF(D141="",$W$1,D141))</f>
        <v/>
      </c>
      <c r="W141" s="85" t="str">
        <f>IF(A141="","",IFERROR(INDEX(moeda_fx,MATCH(V141,moeda_cod,0)),0))</f>
        <v/>
      </c>
      <c r="X141" s="85" t="str">
        <f>IF(A141="","",IF($W$2="",UPPER(TRIM(A141)),IF(RIGHT(UPPER(TRIM(A141)),LEN($W$2))=$W$2,UPPER(TRIM(A141)),UPPER(TRIM(A141))&amp;$W$2)))</f>
        <v/>
      </c>
      <c r="Y141" s="85" t="str">
        <f>IF(OR(A141="",p_ModoCot&lt;&gt;"Automático"),"",IFERROR(_xlfn.WEBSERVICE("https://query1.finance.yahoo.com/v8/finance/chart/"&amp;X141&amp;"?range=1d&amp;interval=1d"),""))</f>
        <v/>
      </c>
      <c r="Z141" s="85" t="str">
        <f>IF(Y141="","",IFERROR(_xlfn.NUMBERVALUE(MID(Y141,SEARCH("""regularMarketPrice"":",Y141)+21,SEARCH(",",Y141&amp;",",SEARCH("""regularMarketPrice"":",Y141)+21)-SEARCH("""regularMarketPrice"":",Y141)-21),".",","),""))</f>
        <v/>
      </c>
      <c r="AA141" s="85" t="str">
        <f>IF(A141="","",ROUND(MAX(0,N(F141)*($K$6+$W$7)-K141),2))</f>
        <v/>
      </c>
      <c r="AB141" s="85" t="str">
        <f>IF(A141="","",IF(AND(M141&gt;0,M141&gt;=p_DifMin),AA141,0))</f>
        <v/>
      </c>
      <c r="AC141" s="85" t="str">
        <f>IF(A141="","",IF(AND(AB141&gt;0,N(O141)&lt;=p_MaxAtivos),AB141,0))</f>
        <v/>
      </c>
      <c r="AD141" s="85" t="str">
        <f>IF(A141="","",IF(OR(Q141&lt;=0,Q141&lt;p_CompraMin,N(H141)&lt;=0,N(W141)&lt;=0),0,IF($W$3="Sim",TRUNC(ROUND(MAX(0,(Q141-p_CorrFixa)/(H141*W141*$W$6)),9),$W$4),TRUNC(ROUND(MAX(0,(Q141-p_CorrFixa)/(H141*W141*$W$6)),9)/$W$5)*$W$5)))</f>
        <v/>
      </c>
      <c r="AE141" s="85" t="str">
        <f>IF(A141="","",IF(N(AD141)&gt;0,AD141*H141*W141*$W$6+p_CorrFixa,0))</f>
        <v/>
      </c>
      <c r="AF141" s="85" t="str">
        <f>IF(A141="","",IF(OR($Y$1&lt;=0,N(H141)&lt;=0,N(W141)&lt;=0,N(AB141)&lt;=0),0,IF($W$3="Sim",TRUNC(ROUND(MAX(0,($Y$1-IF(N(AD141)&gt;0,0,p_CorrFixa))/(H141*W141*$W$6)),9),$W$4),TRUNC(ROUND(MAX(0,($Y$1-IF(N(AD141)&gt;0,0,p_CorrFixa))/(H141*W141*$W$6)),9)/$W$5)*$W$5)))</f>
        <v/>
      </c>
      <c r="AG141" s="85" t="str">
        <f>IF(A141="","",IF(AND(N(AD141)=0,N(AF141)*(H141*W141*$W$6)+p_CorrFixa&lt;p_CompraMin),0,AF141))</f>
        <v/>
      </c>
      <c r="AH141" s="85" t="str">
        <f>IF(A141="","",IF(N(AG141)&gt;0,AB141,0))</f>
        <v/>
      </c>
      <c r="AI141" s="85" t="str">
        <f>IF(A141="","",IF(AND(AH141&gt;0,AH141=$AH$6,COUNTIF($AH$9:AH141,AH141)=1),1,0))</f>
        <v/>
      </c>
    </row>
    <row r="142">
      <c r="A142" s="96" t="n"/>
      <c r="B142" s="96" t="n"/>
      <c r="C142" s="96" t="n"/>
      <c r="D142" s="97" t="n"/>
      <c r="E142" s="98" t="n"/>
      <c r="F142" s="99" t="n"/>
      <c r="G142" s="100" t="n"/>
      <c r="H142" s="104" t="str">
        <f>IF(A142="","",IF(AND(p_ModoCot="Automático",ISNUMBER(Z142)),Z142,IF(N(G142)&gt;0,G142,0)))</f>
        <v/>
      </c>
      <c r="I142" s="105" t="str">
        <f>IF(A142="","",IF(W142=0,"Sem câmbio",IF(AND(p_ModoCot="Automático",ISNUMBER(Z142)),"Auto",IF(N(G142)&gt;0,"Manual","Sem cotação"))))</f>
        <v/>
      </c>
      <c r="J142" s="106" t="str">
        <f>IF(A142="","",N(E142)*H142)</f>
        <v/>
      </c>
      <c r="K142" s="107" t="str">
        <f>IF(A142="","",J142*W142)</f>
        <v/>
      </c>
      <c r="L142" s="108" t="str">
        <f>IF(A142="","",IF($K$6&gt;0,K142/$K$6,0))</f>
        <v/>
      </c>
      <c r="M142" s="109" t="str">
        <f>IF(A142="","",N(F142)-L142)</f>
        <v/>
      </c>
      <c r="N142" s="108" t="str">
        <f>IF(A142="","",IF($AB$6&gt;0,AB142/$AB$6,0))</f>
        <v/>
      </c>
      <c r="O142" s="110" t="str">
        <f>IF(A142="","",IF(AB142&lt;=0,"",COUNTIF($AB$9:$AB$208,"&gt;"&amp;AB142)+COUNTIF($AB$9:AB142,AB142)))</f>
        <v/>
      </c>
      <c r="P142" s="105" t="str">
        <f>IF(A142="","",IF(Q142&gt;0,"BUY","HOLD"))</f>
        <v/>
      </c>
      <c r="Q142" s="107" t="str">
        <f>IF(A142="","",IF($W$7&lt;=0,0,IF($AC$6&gt;0,$W$7*AC142/$AC$6,IF($F$6&gt;0,$W$7*N(F142)/$F$6,0))))</f>
        <v/>
      </c>
      <c r="R142" s="111" t="str">
        <f>IF(A142="","",N(AD142)+IF(AI142=1,N(AG142),0))</f>
        <v/>
      </c>
      <c r="S142" s="111" t="str">
        <f>IF(A142="","",N(E142)+N(R142))</f>
        <v/>
      </c>
      <c r="T142" s="107" t="str">
        <f>IF(A142="","",IF(N(R142)&gt;0,R142*H142*W142*$W$6+p_CorrFixa,0))</f>
        <v/>
      </c>
      <c r="V142" s="85" t="str">
        <f>IF(A142="","",IF(D142="",$W$1,D142))</f>
        <v/>
      </c>
      <c r="W142" s="85" t="str">
        <f>IF(A142="","",IFERROR(INDEX(moeda_fx,MATCH(V142,moeda_cod,0)),0))</f>
        <v/>
      </c>
      <c r="X142" s="85" t="str">
        <f>IF(A142="","",IF($W$2="",UPPER(TRIM(A142)),IF(RIGHT(UPPER(TRIM(A142)),LEN($W$2))=$W$2,UPPER(TRIM(A142)),UPPER(TRIM(A142))&amp;$W$2)))</f>
        <v/>
      </c>
      <c r="Y142" s="85" t="str">
        <f>IF(OR(A142="",p_ModoCot&lt;&gt;"Automático"),"",IFERROR(_xlfn.WEBSERVICE("https://query1.finance.yahoo.com/v8/finance/chart/"&amp;X142&amp;"?range=1d&amp;interval=1d"),""))</f>
        <v/>
      </c>
      <c r="Z142" s="85" t="str">
        <f>IF(Y142="","",IFERROR(_xlfn.NUMBERVALUE(MID(Y142,SEARCH("""regularMarketPrice"":",Y142)+21,SEARCH(",",Y142&amp;",",SEARCH("""regularMarketPrice"":",Y142)+21)-SEARCH("""regularMarketPrice"":",Y142)-21),".",","),""))</f>
        <v/>
      </c>
      <c r="AA142" s="85" t="str">
        <f>IF(A142="","",ROUND(MAX(0,N(F142)*($K$6+$W$7)-K142),2))</f>
        <v/>
      </c>
      <c r="AB142" s="85" t="str">
        <f>IF(A142="","",IF(AND(M142&gt;0,M142&gt;=p_DifMin),AA142,0))</f>
        <v/>
      </c>
      <c r="AC142" s="85" t="str">
        <f>IF(A142="","",IF(AND(AB142&gt;0,N(O142)&lt;=p_MaxAtivos),AB142,0))</f>
        <v/>
      </c>
      <c r="AD142" s="85" t="str">
        <f>IF(A142="","",IF(OR(Q142&lt;=0,Q142&lt;p_CompraMin,N(H142)&lt;=0,N(W142)&lt;=0),0,IF($W$3="Sim",TRUNC(ROUND(MAX(0,(Q142-p_CorrFixa)/(H142*W142*$W$6)),9),$W$4),TRUNC(ROUND(MAX(0,(Q142-p_CorrFixa)/(H142*W142*$W$6)),9)/$W$5)*$W$5)))</f>
        <v/>
      </c>
      <c r="AE142" s="85" t="str">
        <f>IF(A142="","",IF(N(AD142)&gt;0,AD142*H142*W142*$W$6+p_CorrFixa,0))</f>
        <v/>
      </c>
      <c r="AF142" s="85" t="str">
        <f>IF(A142="","",IF(OR($Y$1&lt;=0,N(H142)&lt;=0,N(W142)&lt;=0,N(AB142)&lt;=0),0,IF($W$3="Sim",TRUNC(ROUND(MAX(0,($Y$1-IF(N(AD142)&gt;0,0,p_CorrFixa))/(H142*W142*$W$6)),9),$W$4),TRUNC(ROUND(MAX(0,($Y$1-IF(N(AD142)&gt;0,0,p_CorrFixa))/(H142*W142*$W$6)),9)/$W$5)*$W$5)))</f>
        <v/>
      </c>
      <c r="AG142" s="85" t="str">
        <f>IF(A142="","",IF(AND(N(AD142)=0,N(AF142)*(H142*W142*$W$6)+p_CorrFixa&lt;p_CompraMin),0,AF142))</f>
        <v/>
      </c>
      <c r="AH142" s="85" t="str">
        <f>IF(A142="","",IF(N(AG142)&gt;0,AB142,0))</f>
        <v/>
      </c>
      <c r="AI142" s="85" t="str">
        <f>IF(A142="","",IF(AND(AH142&gt;0,AH142=$AH$6,COUNTIF($AH$9:AH142,AH142)=1),1,0))</f>
        <v/>
      </c>
    </row>
    <row r="143">
      <c r="A143" s="96" t="n"/>
      <c r="B143" s="96" t="n"/>
      <c r="C143" s="96" t="n"/>
      <c r="D143" s="97" t="n"/>
      <c r="E143" s="98" t="n"/>
      <c r="F143" s="99" t="n"/>
      <c r="G143" s="100" t="n"/>
      <c r="H143" s="101" t="str">
        <f>IF(A143="","",IF(AND(p_ModoCot="Automático",ISNUMBER(Z143)),Z143,IF(N(G143)&gt;0,G143,0)))</f>
        <v/>
      </c>
      <c r="I143" s="73" t="str">
        <f>IF(A143="","",IF(W143=0,"Sem câmbio",IF(AND(p_ModoCot="Automático",ISNUMBER(Z143)),"Auto",IF(N(G143)&gt;0,"Manual","Sem cotação"))))</f>
        <v/>
      </c>
      <c r="J143" s="102" t="str">
        <f>IF(A143="","",N(E143)*H143)</f>
        <v/>
      </c>
      <c r="K143" s="70" t="str">
        <f>IF(A143="","",J143*W143)</f>
        <v/>
      </c>
      <c r="L143" s="30" t="str">
        <f>IF(A143="","",IF($K$6&gt;0,K143/$K$6,0))</f>
        <v/>
      </c>
      <c r="M143" s="72" t="str">
        <f>IF(A143="","",N(F143)-L143)</f>
        <v/>
      </c>
      <c r="N143" s="30" t="str">
        <f>IF(A143="","",IF($AB$6&gt;0,AB143/$AB$6,0))</f>
        <v/>
      </c>
      <c r="O143" s="74" t="str">
        <f>IF(A143="","",IF(AB143&lt;=0,"",COUNTIF($AB$9:$AB$208,"&gt;"&amp;AB143)+COUNTIF($AB$9:AB143,AB143)))</f>
        <v/>
      </c>
      <c r="P143" s="73" t="str">
        <f>IF(A143="","",IF(Q143&gt;0,"BUY","HOLD"))</f>
        <v/>
      </c>
      <c r="Q143" s="70" t="str">
        <f>IF(A143="","",IF($W$7&lt;=0,0,IF($AC$6&gt;0,$W$7*AC143/$AC$6,IF($F$6&gt;0,$W$7*N(F143)/$F$6,0))))</f>
        <v/>
      </c>
      <c r="R143" s="103" t="str">
        <f>IF(A143="","",N(AD143)+IF(AI143=1,N(AG143),0))</f>
        <v/>
      </c>
      <c r="S143" s="103" t="str">
        <f>IF(A143="","",N(E143)+N(R143))</f>
        <v/>
      </c>
      <c r="T143" s="70" t="str">
        <f>IF(A143="","",IF(N(R143)&gt;0,R143*H143*W143*$W$6+p_CorrFixa,0))</f>
        <v/>
      </c>
      <c r="V143" s="85" t="str">
        <f>IF(A143="","",IF(D143="",$W$1,D143))</f>
        <v/>
      </c>
      <c r="W143" s="85" t="str">
        <f>IF(A143="","",IFERROR(INDEX(moeda_fx,MATCH(V143,moeda_cod,0)),0))</f>
        <v/>
      </c>
      <c r="X143" s="85" t="str">
        <f>IF(A143="","",IF($W$2="",UPPER(TRIM(A143)),IF(RIGHT(UPPER(TRIM(A143)),LEN($W$2))=$W$2,UPPER(TRIM(A143)),UPPER(TRIM(A143))&amp;$W$2)))</f>
        <v/>
      </c>
      <c r="Y143" s="85" t="str">
        <f>IF(OR(A143="",p_ModoCot&lt;&gt;"Automático"),"",IFERROR(_xlfn.WEBSERVICE("https://query1.finance.yahoo.com/v8/finance/chart/"&amp;X143&amp;"?range=1d&amp;interval=1d"),""))</f>
        <v/>
      </c>
      <c r="Z143" s="85" t="str">
        <f>IF(Y143="","",IFERROR(_xlfn.NUMBERVALUE(MID(Y143,SEARCH("""regularMarketPrice"":",Y143)+21,SEARCH(",",Y143&amp;",",SEARCH("""regularMarketPrice"":",Y143)+21)-SEARCH("""regularMarketPrice"":",Y143)-21),".",","),""))</f>
        <v/>
      </c>
      <c r="AA143" s="85" t="str">
        <f>IF(A143="","",ROUND(MAX(0,N(F143)*($K$6+$W$7)-K143),2))</f>
        <v/>
      </c>
      <c r="AB143" s="85" t="str">
        <f>IF(A143="","",IF(AND(M143&gt;0,M143&gt;=p_DifMin),AA143,0))</f>
        <v/>
      </c>
      <c r="AC143" s="85" t="str">
        <f>IF(A143="","",IF(AND(AB143&gt;0,N(O143)&lt;=p_MaxAtivos),AB143,0))</f>
        <v/>
      </c>
      <c r="AD143" s="85" t="str">
        <f>IF(A143="","",IF(OR(Q143&lt;=0,Q143&lt;p_CompraMin,N(H143)&lt;=0,N(W143)&lt;=0),0,IF($W$3="Sim",TRUNC(ROUND(MAX(0,(Q143-p_CorrFixa)/(H143*W143*$W$6)),9),$W$4),TRUNC(ROUND(MAX(0,(Q143-p_CorrFixa)/(H143*W143*$W$6)),9)/$W$5)*$W$5)))</f>
        <v/>
      </c>
      <c r="AE143" s="85" t="str">
        <f>IF(A143="","",IF(N(AD143)&gt;0,AD143*H143*W143*$W$6+p_CorrFixa,0))</f>
        <v/>
      </c>
      <c r="AF143" s="85" t="str">
        <f>IF(A143="","",IF(OR($Y$1&lt;=0,N(H143)&lt;=0,N(W143)&lt;=0,N(AB143)&lt;=0),0,IF($W$3="Sim",TRUNC(ROUND(MAX(0,($Y$1-IF(N(AD143)&gt;0,0,p_CorrFixa))/(H143*W143*$W$6)),9),$W$4),TRUNC(ROUND(MAX(0,($Y$1-IF(N(AD143)&gt;0,0,p_CorrFixa))/(H143*W143*$W$6)),9)/$W$5)*$W$5)))</f>
        <v/>
      </c>
      <c r="AG143" s="85" t="str">
        <f>IF(A143="","",IF(AND(N(AD143)=0,N(AF143)*(H143*W143*$W$6)+p_CorrFixa&lt;p_CompraMin),0,AF143))</f>
        <v/>
      </c>
      <c r="AH143" s="85" t="str">
        <f>IF(A143="","",IF(N(AG143)&gt;0,AB143,0))</f>
        <v/>
      </c>
      <c r="AI143" s="85" t="str">
        <f>IF(A143="","",IF(AND(AH143&gt;0,AH143=$AH$6,COUNTIF($AH$9:AH143,AH143)=1),1,0))</f>
        <v/>
      </c>
    </row>
    <row r="144">
      <c r="A144" s="96" t="n"/>
      <c r="B144" s="96" t="n"/>
      <c r="C144" s="96" t="n"/>
      <c r="D144" s="97" t="n"/>
      <c r="E144" s="98" t="n"/>
      <c r="F144" s="99" t="n"/>
      <c r="G144" s="100" t="n"/>
      <c r="H144" s="104" t="str">
        <f>IF(A144="","",IF(AND(p_ModoCot="Automático",ISNUMBER(Z144)),Z144,IF(N(G144)&gt;0,G144,0)))</f>
        <v/>
      </c>
      <c r="I144" s="105" t="str">
        <f>IF(A144="","",IF(W144=0,"Sem câmbio",IF(AND(p_ModoCot="Automático",ISNUMBER(Z144)),"Auto",IF(N(G144)&gt;0,"Manual","Sem cotação"))))</f>
        <v/>
      </c>
      <c r="J144" s="106" t="str">
        <f>IF(A144="","",N(E144)*H144)</f>
        <v/>
      </c>
      <c r="K144" s="107" t="str">
        <f>IF(A144="","",J144*W144)</f>
        <v/>
      </c>
      <c r="L144" s="108" t="str">
        <f>IF(A144="","",IF($K$6&gt;0,K144/$K$6,0))</f>
        <v/>
      </c>
      <c r="M144" s="109" t="str">
        <f>IF(A144="","",N(F144)-L144)</f>
        <v/>
      </c>
      <c r="N144" s="108" t="str">
        <f>IF(A144="","",IF($AB$6&gt;0,AB144/$AB$6,0))</f>
        <v/>
      </c>
      <c r="O144" s="110" t="str">
        <f>IF(A144="","",IF(AB144&lt;=0,"",COUNTIF($AB$9:$AB$208,"&gt;"&amp;AB144)+COUNTIF($AB$9:AB144,AB144)))</f>
        <v/>
      </c>
      <c r="P144" s="105" t="str">
        <f>IF(A144="","",IF(Q144&gt;0,"BUY","HOLD"))</f>
        <v/>
      </c>
      <c r="Q144" s="107" t="str">
        <f>IF(A144="","",IF($W$7&lt;=0,0,IF($AC$6&gt;0,$W$7*AC144/$AC$6,IF($F$6&gt;0,$W$7*N(F144)/$F$6,0))))</f>
        <v/>
      </c>
      <c r="R144" s="111" t="str">
        <f>IF(A144="","",N(AD144)+IF(AI144=1,N(AG144),0))</f>
        <v/>
      </c>
      <c r="S144" s="111" t="str">
        <f>IF(A144="","",N(E144)+N(R144))</f>
        <v/>
      </c>
      <c r="T144" s="107" t="str">
        <f>IF(A144="","",IF(N(R144)&gt;0,R144*H144*W144*$W$6+p_CorrFixa,0))</f>
        <v/>
      </c>
      <c r="V144" s="85" t="str">
        <f>IF(A144="","",IF(D144="",$W$1,D144))</f>
        <v/>
      </c>
      <c r="W144" s="85" t="str">
        <f>IF(A144="","",IFERROR(INDEX(moeda_fx,MATCH(V144,moeda_cod,0)),0))</f>
        <v/>
      </c>
      <c r="X144" s="85" t="str">
        <f>IF(A144="","",IF($W$2="",UPPER(TRIM(A144)),IF(RIGHT(UPPER(TRIM(A144)),LEN($W$2))=$W$2,UPPER(TRIM(A144)),UPPER(TRIM(A144))&amp;$W$2)))</f>
        <v/>
      </c>
      <c r="Y144" s="85" t="str">
        <f>IF(OR(A144="",p_ModoCot&lt;&gt;"Automático"),"",IFERROR(_xlfn.WEBSERVICE("https://query1.finance.yahoo.com/v8/finance/chart/"&amp;X144&amp;"?range=1d&amp;interval=1d"),""))</f>
        <v/>
      </c>
      <c r="Z144" s="85" t="str">
        <f>IF(Y144="","",IFERROR(_xlfn.NUMBERVALUE(MID(Y144,SEARCH("""regularMarketPrice"":",Y144)+21,SEARCH(",",Y144&amp;",",SEARCH("""regularMarketPrice"":",Y144)+21)-SEARCH("""regularMarketPrice"":",Y144)-21),".",","),""))</f>
        <v/>
      </c>
      <c r="AA144" s="85" t="str">
        <f>IF(A144="","",ROUND(MAX(0,N(F144)*($K$6+$W$7)-K144),2))</f>
        <v/>
      </c>
      <c r="AB144" s="85" t="str">
        <f>IF(A144="","",IF(AND(M144&gt;0,M144&gt;=p_DifMin),AA144,0))</f>
        <v/>
      </c>
      <c r="AC144" s="85" t="str">
        <f>IF(A144="","",IF(AND(AB144&gt;0,N(O144)&lt;=p_MaxAtivos),AB144,0))</f>
        <v/>
      </c>
      <c r="AD144" s="85" t="str">
        <f>IF(A144="","",IF(OR(Q144&lt;=0,Q144&lt;p_CompraMin,N(H144)&lt;=0,N(W144)&lt;=0),0,IF($W$3="Sim",TRUNC(ROUND(MAX(0,(Q144-p_CorrFixa)/(H144*W144*$W$6)),9),$W$4),TRUNC(ROUND(MAX(0,(Q144-p_CorrFixa)/(H144*W144*$W$6)),9)/$W$5)*$W$5)))</f>
        <v/>
      </c>
      <c r="AE144" s="85" t="str">
        <f>IF(A144="","",IF(N(AD144)&gt;0,AD144*H144*W144*$W$6+p_CorrFixa,0))</f>
        <v/>
      </c>
      <c r="AF144" s="85" t="str">
        <f>IF(A144="","",IF(OR($Y$1&lt;=0,N(H144)&lt;=0,N(W144)&lt;=0,N(AB144)&lt;=0),0,IF($W$3="Sim",TRUNC(ROUND(MAX(0,($Y$1-IF(N(AD144)&gt;0,0,p_CorrFixa))/(H144*W144*$W$6)),9),$W$4),TRUNC(ROUND(MAX(0,($Y$1-IF(N(AD144)&gt;0,0,p_CorrFixa))/(H144*W144*$W$6)),9)/$W$5)*$W$5)))</f>
        <v/>
      </c>
      <c r="AG144" s="85" t="str">
        <f>IF(A144="","",IF(AND(N(AD144)=0,N(AF144)*(H144*W144*$W$6)+p_CorrFixa&lt;p_CompraMin),0,AF144))</f>
        <v/>
      </c>
      <c r="AH144" s="85" t="str">
        <f>IF(A144="","",IF(N(AG144)&gt;0,AB144,0))</f>
        <v/>
      </c>
      <c r="AI144" s="85" t="str">
        <f>IF(A144="","",IF(AND(AH144&gt;0,AH144=$AH$6,COUNTIF($AH$9:AH144,AH144)=1),1,0))</f>
        <v/>
      </c>
    </row>
    <row r="145">
      <c r="A145" s="96" t="n"/>
      <c r="B145" s="96" t="n"/>
      <c r="C145" s="96" t="n"/>
      <c r="D145" s="97" t="n"/>
      <c r="E145" s="98" t="n"/>
      <c r="F145" s="99" t="n"/>
      <c r="G145" s="100" t="n"/>
      <c r="H145" s="101" t="str">
        <f>IF(A145="","",IF(AND(p_ModoCot="Automático",ISNUMBER(Z145)),Z145,IF(N(G145)&gt;0,G145,0)))</f>
        <v/>
      </c>
      <c r="I145" s="73" t="str">
        <f>IF(A145="","",IF(W145=0,"Sem câmbio",IF(AND(p_ModoCot="Automático",ISNUMBER(Z145)),"Auto",IF(N(G145)&gt;0,"Manual","Sem cotação"))))</f>
        <v/>
      </c>
      <c r="J145" s="102" t="str">
        <f>IF(A145="","",N(E145)*H145)</f>
        <v/>
      </c>
      <c r="K145" s="70" t="str">
        <f>IF(A145="","",J145*W145)</f>
        <v/>
      </c>
      <c r="L145" s="30" t="str">
        <f>IF(A145="","",IF($K$6&gt;0,K145/$K$6,0))</f>
        <v/>
      </c>
      <c r="M145" s="72" t="str">
        <f>IF(A145="","",N(F145)-L145)</f>
        <v/>
      </c>
      <c r="N145" s="30" t="str">
        <f>IF(A145="","",IF($AB$6&gt;0,AB145/$AB$6,0))</f>
        <v/>
      </c>
      <c r="O145" s="74" t="str">
        <f>IF(A145="","",IF(AB145&lt;=0,"",COUNTIF($AB$9:$AB$208,"&gt;"&amp;AB145)+COUNTIF($AB$9:AB145,AB145)))</f>
        <v/>
      </c>
      <c r="P145" s="73" t="str">
        <f>IF(A145="","",IF(Q145&gt;0,"BUY","HOLD"))</f>
        <v/>
      </c>
      <c r="Q145" s="70" t="str">
        <f>IF(A145="","",IF($W$7&lt;=0,0,IF($AC$6&gt;0,$W$7*AC145/$AC$6,IF($F$6&gt;0,$W$7*N(F145)/$F$6,0))))</f>
        <v/>
      </c>
      <c r="R145" s="103" t="str">
        <f>IF(A145="","",N(AD145)+IF(AI145=1,N(AG145),0))</f>
        <v/>
      </c>
      <c r="S145" s="103" t="str">
        <f>IF(A145="","",N(E145)+N(R145))</f>
        <v/>
      </c>
      <c r="T145" s="70" t="str">
        <f>IF(A145="","",IF(N(R145)&gt;0,R145*H145*W145*$W$6+p_CorrFixa,0))</f>
        <v/>
      </c>
      <c r="V145" s="85" t="str">
        <f>IF(A145="","",IF(D145="",$W$1,D145))</f>
        <v/>
      </c>
      <c r="W145" s="85" t="str">
        <f>IF(A145="","",IFERROR(INDEX(moeda_fx,MATCH(V145,moeda_cod,0)),0))</f>
        <v/>
      </c>
      <c r="X145" s="85" t="str">
        <f>IF(A145="","",IF($W$2="",UPPER(TRIM(A145)),IF(RIGHT(UPPER(TRIM(A145)),LEN($W$2))=$W$2,UPPER(TRIM(A145)),UPPER(TRIM(A145))&amp;$W$2)))</f>
        <v/>
      </c>
      <c r="Y145" s="85" t="str">
        <f>IF(OR(A145="",p_ModoCot&lt;&gt;"Automático"),"",IFERROR(_xlfn.WEBSERVICE("https://query1.finance.yahoo.com/v8/finance/chart/"&amp;X145&amp;"?range=1d&amp;interval=1d"),""))</f>
        <v/>
      </c>
      <c r="Z145" s="85" t="str">
        <f>IF(Y145="","",IFERROR(_xlfn.NUMBERVALUE(MID(Y145,SEARCH("""regularMarketPrice"":",Y145)+21,SEARCH(",",Y145&amp;",",SEARCH("""regularMarketPrice"":",Y145)+21)-SEARCH("""regularMarketPrice"":",Y145)-21),".",","),""))</f>
        <v/>
      </c>
      <c r="AA145" s="85" t="str">
        <f>IF(A145="","",ROUND(MAX(0,N(F145)*($K$6+$W$7)-K145),2))</f>
        <v/>
      </c>
      <c r="AB145" s="85" t="str">
        <f>IF(A145="","",IF(AND(M145&gt;0,M145&gt;=p_DifMin),AA145,0))</f>
        <v/>
      </c>
      <c r="AC145" s="85" t="str">
        <f>IF(A145="","",IF(AND(AB145&gt;0,N(O145)&lt;=p_MaxAtivos),AB145,0))</f>
        <v/>
      </c>
      <c r="AD145" s="85" t="str">
        <f>IF(A145="","",IF(OR(Q145&lt;=0,Q145&lt;p_CompraMin,N(H145)&lt;=0,N(W145)&lt;=0),0,IF($W$3="Sim",TRUNC(ROUND(MAX(0,(Q145-p_CorrFixa)/(H145*W145*$W$6)),9),$W$4),TRUNC(ROUND(MAX(0,(Q145-p_CorrFixa)/(H145*W145*$W$6)),9)/$W$5)*$W$5)))</f>
        <v/>
      </c>
      <c r="AE145" s="85" t="str">
        <f>IF(A145="","",IF(N(AD145)&gt;0,AD145*H145*W145*$W$6+p_CorrFixa,0))</f>
        <v/>
      </c>
      <c r="AF145" s="85" t="str">
        <f>IF(A145="","",IF(OR($Y$1&lt;=0,N(H145)&lt;=0,N(W145)&lt;=0,N(AB145)&lt;=0),0,IF($W$3="Sim",TRUNC(ROUND(MAX(0,($Y$1-IF(N(AD145)&gt;0,0,p_CorrFixa))/(H145*W145*$W$6)),9),$W$4),TRUNC(ROUND(MAX(0,($Y$1-IF(N(AD145)&gt;0,0,p_CorrFixa))/(H145*W145*$W$6)),9)/$W$5)*$W$5)))</f>
        <v/>
      </c>
      <c r="AG145" s="85" t="str">
        <f>IF(A145="","",IF(AND(N(AD145)=0,N(AF145)*(H145*W145*$W$6)+p_CorrFixa&lt;p_CompraMin),0,AF145))</f>
        <v/>
      </c>
      <c r="AH145" s="85" t="str">
        <f>IF(A145="","",IF(N(AG145)&gt;0,AB145,0))</f>
        <v/>
      </c>
      <c r="AI145" s="85" t="str">
        <f>IF(A145="","",IF(AND(AH145&gt;0,AH145=$AH$6,COUNTIF($AH$9:AH145,AH145)=1),1,0))</f>
        <v/>
      </c>
    </row>
    <row r="146">
      <c r="A146" s="96" t="n"/>
      <c r="B146" s="96" t="n"/>
      <c r="C146" s="96" t="n"/>
      <c r="D146" s="97" t="n"/>
      <c r="E146" s="98" t="n"/>
      <c r="F146" s="99" t="n"/>
      <c r="G146" s="100" t="n"/>
      <c r="H146" s="104" t="str">
        <f>IF(A146="","",IF(AND(p_ModoCot="Automático",ISNUMBER(Z146)),Z146,IF(N(G146)&gt;0,G146,0)))</f>
        <v/>
      </c>
      <c r="I146" s="105" t="str">
        <f>IF(A146="","",IF(W146=0,"Sem câmbio",IF(AND(p_ModoCot="Automático",ISNUMBER(Z146)),"Auto",IF(N(G146)&gt;0,"Manual","Sem cotação"))))</f>
        <v/>
      </c>
      <c r="J146" s="106" t="str">
        <f>IF(A146="","",N(E146)*H146)</f>
        <v/>
      </c>
      <c r="K146" s="107" t="str">
        <f>IF(A146="","",J146*W146)</f>
        <v/>
      </c>
      <c r="L146" s="108" t="str">
        <f>IF(A146="","",IF($K$6&gt;0,K146/$K$6,0))</f>
        <v/>
      </c>
      <c r="M146" s="109" t="str">
        <f>IF(A146="","",N(F146)-L146)</f>
        <v/>
      </c>
      <c r="N146" s="108" t="str">
        <f>IF(A146="","",IF($AB$6&gt;0,AB146/$AB$6,0))</f>
        <v/>
      </c>
      <c r="O146" s="110" t="str">
        <f>IF(A146="","",IF(AB146&lt;=0,"",COUNTIF($AB$9:$AB$208,"&gt;"&amp;AB146)+COUNTIF($AB$9:AB146,AB146)))</f>
        <v/>
      </c>
      <c r="P146" s="105" t="str">
        <f>IF(A146="","",IF(Q146&gt;0,"BUY","HOLD"))</f>
        <v/>
      </c>
      <c r="Q146" s="107" t="str">
        <f>IF(A146="","",IF($W$7&lt;=0,0,IF($AC$6&gt;0,$W$7*AC146/$AC$6,IF($F$6&gt;0,$W$7*N(F146)/$F$6,0))))</f>
        <v/>
      </c>
      <c r="R146" s="111" t="str">
        <f>IF(A146="","",N(AD146)+IF(AI146=1,N(AG146),0))</f>
        <v/>
      </c>
      <c r="S146" s="111" t="str">
        <f>IF(A146="","",N(E146)+N(R146))</f>
        <v/>
      </c>
      <c r="T146" s="107" t="str">
        <f>IF(A146="","",IF(N(R146)&gt;0,R146*H146*W146*$W$6+p_CorrFixa,0))</f>
        <v/>
      </c>
      <c r="V146" s="85" t="str">
        <f>IF(A146="","",IF(D146="",$W$1,D146))</f>
        <v/>
      </c>
      <c r="W146" s="85" t="str">
        <f>IF(A146="","",IFERROR(INDEX(moeda_fx,MATCH(V146,moeda_cod,0)),0))</f>
        <v/>
      </c>
      <c r="X146" s="85" t="str">
        <f>IF(A146="","",IF($W$2="",UPPER(TRIM(A146)),IF(RIGHT(UPPER(TRIM(A146)),LEN($W$2))=$W$2,UPPER(TRIM(A146)),UPPER(TRIM(A146))&amp;$W$2)))</f>
        <v/>
      </c>
      <c r="Y146" s="85" t="str">
        <f>IF(OR(A146="",p_ModoCot&lt;&gt;"Automático"),"",IFERROR(_xlfn.WEBSERVICE("https://query1.finance.yahoo.com/v8/finance/chart/"&amp;X146&amp;"?range=1d&amp;interval=1d"),""))</f>
        <v/>
      </c>
      <c r="Z146" s="85" t="str">
        <f>IF(Y146="","",IFERROR(_xlfn.NUMBERVALUE(MID(Y146,SEARCH("""regularMarketPrice"":",Y146)+21,SEARCH(",",Y146&amp;",",SEARCH("""regularMarketPrice"":",Y146)+21)-SEARCH("""regularMarketPrice"":",Y146)-21),".",","),""))</f>
        <v/>
      </c>
      <c r="AA146" s="85" t="str">
        <f>IF(A146="","",ROUND(MAX(0,N(F146)*($K$6+$W$7)-K146),2))</f>
        <v/>
      </c>
      <c r="AB146" s="85" t="str">
        <f>IF(A146="","",IF(AND(M146&gt;0,M146&gt;=p_DifMin),AA146,0))</f>
        <v/>
      </c>
      <c r="AC146" s="85" t="str">
        <f>IF(A146="","",IF(AND(AB146&gt;0,N(O146)&lt;=p_MaxAtivos),AB146,0))</f>
        <v/>
      </c>
      <c r="AD146" s="85" t="str">
        <f>IF(A146="","",IF(OR(Q146&lt;=0,Q146&lt;p_CompraMin,N(H146)&lt;=0,N(W146)&lt;=0),0,IF($W$3="Sim",TRUNC(ROUND(MAX(0,(Q146-p_CorrFixa)/(H146*W146*$W$6)),9),$W$4),TRUNC(ROUND(MAX(0,(Q146-p_CorrFixa)/(H146*W146*$W$6)),9)/$W$5)*$W$5)))</f>
        <v/>
      </c>
      <c r="AE146" s="85" t="str">
        <f>IF(A146="","",IF(N(AD146)&gt;0,AD146*H146*W146*$W$6+p_CorrFixa,0))</f>
        <v/>
      </c>
      <c r="AF146" s="85" t="str">
        <f>IF(A146="","",IF(OR($Y$1&lt;=0,N(H146)&lt;=0,N(W146)&lt;=0,N(AB146)&lt;=0),0,IF($W$3="Sim",TRUNC(ROUND(MAX(0,($Y$1-IF(N(AD146)&gt;0,0,p_CorrFixa))/(H146*W146*$W$6)),9),$W$4),TRUNC(ROUND(MAX(0,($Y$1-IF(N(AD146)&gt;0,0,p_CorrFixa))/(H146*W146*$W$6)),9)/$W$5)*$W$5)))</f>
        <v/>
      </c>
      <c r="AG146" s="85" t="str">
        <f>IF(A146="","",IF(AND(N(AD146)=0,N(AF146)*(H146*W146*$W$6)+p_CorrFixa&lt;p_CompraMin),0,AF146))</f>
        <v/>
      </c>
      <c r="AH146" s="85" t="str">
        <f>IF(A146="","",IF(N(AG146)&gt;0,AB146,0))</f>
        <v/>
      </c>
      <c r="AI146" s="85" t="str">
        <f>IF(A146="","",IF(AND(AH146&gt;0,AH146=$AH$6,COUNTIF($AH$9:AH146,AH146)=1),1,0))</f>
        <v/>
      </c>
    </row>
    <row r="147">
      <c r="A147" s="96" t="n"/>
      <c r="B147" s="96" t="n"/>
      <c r="C147" s="96" t="n"/>
      <c r="D147" s="97" t="n"/>
      <c r="E147" s="98" t="n"/>
      <c r="F147" s="99" t="n"/>
      <c r="G147" s="100" t="n"/>
      <c r="H147" s="101" t="str">
        <f>IF(A147="","",IF(AND(p_ModoCot="Automático",ISNUMBER(Z147)),Z147,IF(N(G147)&gt;0,G147,0)))</f>
        <v/>
      </c>
      <c r="I147" s="73" t="str">
        <f>IF(A147="","",IF(W147=0,"Sem câmbio",IF(AND(p_ModoCot="Automático",ISNUMBER(Z147)),"Auto",IF(N(G147)&gt;0,"Manual","Sem cotação"))))</f>
        <v/>
      </c>
      <c r="J147" s="102" t="str">
        <f>IF(A147="","",N(E147)*H147)</f>
        <v/>
      </c>
      <c r="K147" s="70" t="str">
        <f>IF(A147="","",J147*W147)</f>
        <v/>
      </c>
      <c r="L147" s="30" t="str">
        <f>IF(A147="","",IF($K$6&gt;0,K147/$K$6,0))</f>
        <v/>
      </c>
      <c r="M147" s="72" t="str">
        <f>IF(A147="","",N(F147)-L147)</f>
        <v/>
      </c>
      <c r="N147" s="30" t="str">
        <f>IF(A147="","",IF($AB$6&gt;0,AB147/$AB$6,0))</f>
        <v/>
      </c>
      <c r="O147" s="74" t="str">
        <f>IF(A147="","",IF(AB147&lt;=0,"",COUNTIF($AB$9:$AB$208,"&gt;"&amp;AB147)+COUNTIF($AB$9:AB147,AB147)))</f>
        <v/>
      </c>
      <c r="P147" s="73" t="str">
        <f>IF(A147="","",IF(Q147&gt;0,"BUY","HOLD"))</f>
        <v/>
      </c>
      <c r="Q147" s="70" t="str">
        <f>IF(A147="","",IF($W$7&lt;=0,0,IF($AC$6&gt;0,$W$7*AC147/$AC$6,IF($F$6&gt;0,$W$7*N(F147)/$F$6,0))))</f>
        <v/>
      </c>
      <c r="R147" s="103" t="str">
        <f>IF(A147="","",N(AD147)+IF(AI147=1,N(AG147),0))</f>
        <v/>
      </c>
      <c r="S147" s="103" t="str">
        <f>IF(A147="","",N(E147)+N(R147))</f>
        <v/>
      </c>
      <c r="T147" s="70" t="str">
        <f>IF(A147="","",IF(N(R147)&gt;0,R147*H147*W147*$W$6+p_CorrFixa,0))</f>
        <v/>
      </c>
      <c r="V147" s="85" t="str">
        <f>IF(A147="","",IF(D147="",$W$1,D147))</f>
        <v/>
      </c>
      <c r="W147" s="85" t="str">
        <f>IF(A147="","",IFERROR(INDEX(moeda_fx,MATCH(V147,moeda_cod,0)),0))</f>
        <v/>
      </c>
      <c r="X147" s="85" t="str">
        <f>IF(A147="","",IF($W$2="",UPPER(TRIM(A147)),IF(RIGHT(UPPER(TRIM(A147)),LEN($W$2))=$W$2,UPPER(TRIM(A147)),UPPER(TRIM(A147))&amp;$W$2)))</f>
        <v/>
      </c>
      <c r="Y147" s="85" t="str">
        <f>IF(OR(A147="",p_ModoCot&lt;&gt;"Automático"),"",IFERROR(_xlfn.WEBSERVICE("https://query1.finance.yahoo.com/v8/finance/chart/"&amp;X147&amp;"?range=1d&amp;interval=1d"),""))</f>
        <v/>
      </c>
      <c r="Z147" s="85" t="str">
        <f>IF(Y147="","",IFERROR(_xlfn.NUMBERVALUE(MID(Y147,SEARCH("""regularMarketPrice"":",Y147)+21,SEARCH(",",Y147&amp;",",SEARCH("""regularMarketPrice"":",Y147)+21)-SEARCH("""regularMarketPrice"":",Y147)-21),".",","),""))</f>
        <v/>
      </c>
      <c r="AA147" s="85" t="str">
        <f>IF(A147="","",ROUND(MAX(0,N(F147)*($K$6+$W$7)-K147),2))</f>
        <v/>
      </c>
      <c r="AB147" s="85" t="str">
        <f>IF(A147="","",IF(AND(M147&gt;0,M147&gt;=p_DifMin),AA147,0))</f>
        <v/>
      </c>
      <c r="AC147" s="85" t="str">
        <f>IF(A147="","",IF(AND(AB147&gt;0,N(O147)&lt;=p_MaxAtivos),AB147,0))</f>
        <v/>
      </c>
      <c r="AD147" s="85" t="str">
        <f>IF(A147="","",IF(OR(Q147&lt;=0,Q147&lt;p_CompraMin,N(H147)&lt;=0,N(W147)&lt;=0),0,IF($W$3="Sim",TRUNC(ROUND(MAX(0,(Q147-p_CorrFixa)/(H147*W147*$W$6)),9),$W$4),TRUNC(ROUND(MAX(0,(Q147-p_CorrFixa)/(H147*W147*$W$6)),9)/$W$5)*$W$5)))</f>
        <v/>
      </c>
      <c r="AE147" s="85" t="str">
        <f>IF(A147="","",IF(N(AD147)&gt;0,AD147*H147*W147*$W$6+p_CorrFixa,0))</f>
        <v/>
      </c>
      <c r="AF147" s="85" t="str">
        <f>IF(A147="","",IF(OR($Y$1&lt;=0,N(H147)&lt;=0,N(W147)&lt;=0,N(AB147)&lt;=0),0,IF($W$3="Sim",TRUNC(ROUND(MAX(0,($Y$1-IF(N(AD147)&gt;0,0,p_CorrFixa))/(H147*W147*$W$6)),9),$W$4),TRUNC(ROUND(MAX(0,($Y$1-IF(N(AD147)&gt;0,0,p_CorrFixa))/(H147*W147*$W$6)),9)/$W$5)*$W$5)))</f>
        <v/>
      </c>
      <c r="AG147" s="85" t="str">
        <f>IF(A147="","",IF(AND(N(AD147)=0,N(AF147)*(H147*W147*$W$6)+p_CorrFixa&lt;p_CompraMin),0,AF147))</f>
        <v/>
      </c>
      <c r="AH147" s="85" t="str">
        <f>IF(A147="","",IF(N(AG147)&gt;0,AB147,0))</f>
        <v/>
      </c>
      <c r="AI147" s="85" t="str">
        <f>IF(A147="","",IF(AND(AH147&gt;0,AH147=$AH$6,COUNTIF($AH$9:AH147,AH147)=1),1,0))</f>
        <v/>
      </c>
    </row>
    <row r="148">
      <c r="A148" s="96" t="n"/>
      <c r="B148" s="96" t="n"/>
      <c r="C148" s="96" t="n"/>
      <c r="D148" s="97" t="n"/>
      <c r="E148" s="98" t="n"/>
      <c r="F148" s="99" t="n"/>
      <c r="G148" s="100" t="n"/>
      <c r="H148" s="104" t="str">
        <f>IF(A148="","",IF(AND(p_ModoCot="Automático",ISNUMBER(Z148)),Z148,IF(N(G148)&gt;0,G148,0)))</f>
        <v/>
      </c>
      <c r="I148" s="105" t="str">
        <f>IF(A148="","",IF(W148=0,"Sem câmbio",IF(AND(p_ModoCot="Automático",ISNUMBER(Z148)),"Auto",IF(N(G148)&gt;0,"Manual","Sem cotação"))))</f>
        <v/>
      </c>
      <c r="J148" s="106" t="str">
        <f>IF(A148="","",N(E148)*H148)</f>
        <v/>
      </c>
      <c r="K148" s="107" t="str">
        <f>IF(A148="","",J148*W148)</f>
        <v/>
      </c>
      <c r="L148" s="108" t="str">
        <f>IF(A148="","",IF($K$6&gt;0,K148/$K$6,0))</f>
        <v/>
      </c>
      <c r="M148" s="109" t="str">
        <f>IF(A148="","",N(F148)-L148)</f>
        <v/>
      </c>
      <c r="N148" s="108" t="str">
        <f>IF(A148="","",IF($AB$6&gt;0,AB148/$AB$6,0))</f>
        <v/>
      </c>
      <c r="O148" s="110" t="str">
        <f>IF(A148="","",IF(AB148&lt;=0,"",COUNTIF($AB$9:$AB$208,"&gt;"&amp;AB148)+COUNTIF($AB$9:AB148,AB148)))</f>
        <v/>
      </c>
      <c r="P148" s="105" t="str">
        <f>IF(A148="","",IF(Q148&gt;0,"BUY","HOLD"))</f>
        <v/>
      </c>
      <c r="Q148" s="107" t="str">
        <f>IF(A148="","",IF($W$7&lt;=0,0,IF($AC$6&gt;0,$W$7*AC148/$AC$6,IF($F$6&gt;0,$W$7*N(F148)/$F$6,0))))</f>
        <v/>
      </c>
      <c r="R148" s="111" t="str">
        <f>IF(A148="","",N(AD148)+IF(AI148=1,N(AG148),0))</f>
        <v/>
      </c>
      <c r="S148" s="111" t="str">
        <f>IF(A148="","",N(E148)+N(R148))</f>
        <v/>
      </c>
      <c r="T148" s="107" t="str">
        <f>IF(A148="","",IF(N(R148)&gt;0,R148*H148*W148*$W$6+p_CorrFixa,0))</f>
        <v/>
      </c>
      <c r="V148" s="85" t="str">
        <f>IF(A148="","",IF(D148="",$W$1,D148))</f>
        <v/>
      </c>
      <c r="W148" s="85" t="str">
        <f>IF(A148="","",IFERROR(INDEX(moeda_fx,MATCH(V148,moeda_cod,0)),0))</f>
        <v/>
      </c>
      <c r="X148" s="85" t="str">
        <f>IF(A148="","",IF($W$2="",UPPER(TRIM(A148)),IF(RIGHT(UPPER(TRIM(A148)),LEN($W$2))=$W$2,UPPER(TRIM(A148)),UPPER(TRIM(A148))&amp;$W$2)))</f>
        <v/>
      </c>
      <c r="Y148" s="85" t="str">
        <f>IF(OR(A148="",p_ModoCot&lt;&gt;"Automático"),"",IFERROR(_xlfn.WEBSERVICE("https://query1.finance.yahoo.com/v8/finance/chart/"&amp;X148&amp;"?range=1d&amp;interval=1d"),""))</f>
        <v/>
      </c>
      <c r="Z148" s="85" t="str">
        <f>IF(Y148="","",IFERROR(_xlfn.NUMBERVALUE(MID(Y148,SEARCH("""regularMarketPrice"":",Y148)+21,SEARCH(",",Y148&amp;",",SEARCH("""regularMarketPrice"":",Y148)+21)-SEARCH("""regularMarketPrice"":",Y148)-21),".",","),""))</f>
        <v/>
      </c>
      <c r="AA148" s="85" t="str">
        <f>IF(A148="","",ROUND(MAX(0,N(F148)*($K$6+$W$7)-K148),2))</f>
        <v/>
      </c>
      <c r="AB148" s="85" t="str">
        <f>IF(A148="","",IF(AND(M148&gt;0,M148&gt;=p_DifMin),AA148,0))</f>
        <v/>
      </c>
      <c r="AC148" s="85" t="str">
        <f>IF(A148="","",IF(AND(AB148&gt;0,N(O148)&lt;=p_MaxAtivos),AB148,0))</f>
        <v/>
      </c>
      <c r="AD148" s="85" t="str">
        <f>IF(A148="","",IF(OR(Q148&lt;=0,Q148&lt;p_CompraMin,N(H148)&lt;=0,N(W148)&lt;=0),0,IF($W$3="Sim",TRUNC(ROUND(MAX(0,(Q148-p_CorrFixa)/(H148*W148*$W$6)),9),$W$4),TRUNC(ROUND(MAX(0,(Q148-p_CorrFixa)/(H148*W148*$W$6)),9)/$W$5)*$W$5)))</f>
        <v/>
      </c>
      <c r="AE148" s="85" t="str">
        <f>IF(A148="","",IF(N(AD148)&gt;0,AD148*H148*W148*$W$6+p_CorrFixa,0))</f>
        <v/>
      </c>
      <c r="AF148" s="85" t="str">
        <f>IF(A148="","",IF(OR($Y$1&lt;=0,N(H148)&lt;=0,N(W148)&lt;=0,N(AB148)&lt;=0),0,IF($W$3="Sim",TRUNC(ROUND(MAX(0,($Y$1-IF(N(AD148)&gt;0,0,p_CorrFixa))/(H148*W148*$W$6)),9),$W$4),TRUNC(ROUND(MAX(0,($Y$1-IF(N(AD148)&gt;0,0,p_CorrFixa))/(H148*W148*$W$6)),9)/$W$5)*$W$5)))</f>
        <v/>
      </c>
      <c r="AG148" s="85" t="str">
        <f>IF(A148="","",IF(AND(N(AD148)=0,N(AF148)*(H148*W148*$W$6)+p_CorrFixa&lt;p_CompraMin),0,AF148))</f>
        <v/>
      </c>
      <c r="AH148" s="85" t="str">
        <f>IF(A148="","",IF(N(AG148)&gt;0,AB148,0))</f>
        <v/>
      </c>
      <c r="AI148" s="85" t="str">
        <f>IF(A148="","",IF(AND(AH148&gt;0,AH148=$AH$6,COUNTIF($AH$9:AH148,AH148)=1),1,0))</f>
        <v/>
      </c>
    </row>
    <row r="149">
      <c r="A149" s="96" t="n"/>
      <c r="B149" s="96" t="n"/>
      <c r="C149" s="96" t="n"/>
      <c r="D149" s="97" t="n"/>
      <c r="E149" s="98" t="n"/>
      <c r="F149" s="99" t="n"/>
      <c r="G149" s="100" t="n"/>
      <c r="H149" s="101" t="str">
        <f>IF(A149="","",IF(AND(p_ModoCot="Automático",ISNUMBER(Z149)),Z149,IF(N(G149)&gt;0,G149,0)))</f>
        <v/>
      </c>
      <c r="I149" s="73" t="str">
        <f>IF(A149="","",IF(W149=0,"Sem câmbio",IF(AND(p_ModoCot="Automático",ISNUMBER(Z149)),"Auto",IF(N(G149)&gt;0,"Manual","Sem cotação"))))</f>
        <v/>
      </c>
      <c r="J149" s="102" t="str">
        <f>IF(A149="","",N(E149)*H149)</f>
        <v/>
      </c>
      <c r="K149" s="70" t="str">
        <f>IF(A149="","",J149*W149)</f>
        <v/>
      </c>
      <c r="L149" s="30" t="str">
        <f>IF(A149="","",IF($K$6&gt;0,K149/$K$6,0))</f>
        <v/>
      </c>
      <c r="M149" s="72" t="str">
        <f>IF(A149="","",N(F149)-L149)</f>
        <v/>
      </c>
      <c r="N149" s="30" t="str">
        <f>IF(A149="","",IF($AB$6&gt;0,AB149/$AB$6,0))</f>
        <v/>
      </c>
      <c r="O149" s="74" t="str">
        <f>IF(A149="","",IF(AB149&lt;=0,"",COUNTIF($AB$9:$AB$208,"&gt;"&amp;AB149)+COUNTIF($AB$9:AB149,AB149)))</f>
        <v/>
      </c>
      <c r="P149" s="73" t="str">
        <f>IF(A149="","",IF(Q149&gt;0,"BUY","HOLD"))</f>
        <v/>
      </c>
      <c r="Q149" s="70" t="str">
        <f>IF(A149="","",IF($W$7&lt;=0,0,IF($AC$6&gt;0,$W$7*AC149/$AC$6,IF($F$6&gt;0,$W$7*N(F149)/$F$6,0))))</f>
        <v/>
      </c>
      <c r="R149" s="103" t="str">
        <f>IF(A149="","",N(AD149)+IF(AI149=1,N(AG149),0))</f>
        <v/>
      </c>
      <c r="S149" s="103" t="str">
        <f>IF(A149="","",N(E149)+N(R149))</f>
        <v/>
      </c>
      <c r="T149" s="70" t="str">
        <f>IF(A149="","",IF(N(R149)&gt;0,R149*H149*W149*$W$6+p_CorrFixa,0))</f>
        <v/>
      </c>
      <c r="V149" s="85" t="str">
        <f>IF(A149="","",IF(D149="",$W$1,D149))</f>
        <v/>
      </c>
      <c r="W149" s="85" t="str">
        <f>IF(A149="","",IFERROR(INDEX(moeda_fx,MATCH(V149,moeda_cod,0)),0))</f>
        <v/>
      </c>
      <c r="X149" s="85" t="str">
        <f>IF(A149="","",IF($W$2="",UPPER(TRIM(A149)),IF(RIGHT(UPPER(TRIM(A149)),LEN($W$2))=$W$2,UPPER(TRIM(A149)),UPPER(TRIM(A149))&amp;$W$2)))</f>
        <v/>
      </c>
      <c r="Y149" s="85" t="str">
        <f>IF(OR(A149="",p_ModoCot&lt;&gt;"Automático"),"",IFERROR(_xlfn.WEBSERVICE("https://query1.finance.yahoo.com/v8/finance/chart/"&amp;X149&amp;"?range=1d&amp;interval=1d"),""))</f>
        <v/>
      </c>
      <c r="Z149" s="85" t="str">
        <f>IF(Y149="","",IFERROR(_xlfn.NUMBERVALUE(MID(Y149,SEARCH("""regularMarketPrice"":",Y149)+21,SEARCH(",",Y149&amp;",",SEARCH("""regularMarketPrice"":",Y149)+21)-SEARCH("""regularMarketPrice"":",Y149)-21),".",","),""))</f>
        <v/>
      </c>
      <c r="AA149" s="85" t="str">
        <f>IF(A149="","",ROUND(MAX(0,N(F149)*($K$6+$W$7)-K149),2))</f>
        <v/>
      </c>
      <c r="AB149" s="85" t="str">
        <f>IF(A149="","",IF(AND(M149&gt;0,M149&gt;=p_DifMin),AA149,0))</f>
        <v/>
      </c>
      <c r="AC149" s="85" t="str">
        <f>IF(A149="","",IF(AND(AB149&gt;0,N(O149)&lt;=p_MaxAtivos),AB149,0))</f>
        <v/>
      </c>
      <c r="AD149" s="85" t="str">
        <f>IF(A149="","",IF(OR(Q149&lt;=0,Q149&lt;p_CompraMin,N(H149)&lt;=0,N(W149)&lt;=0),0,IF($W$3="Sim",TRUNC(ROUND(MAX(0,(Q149-p_CorrFixa)/(H149*W149*$W$6)),9),$W$4),TRUNC(ROUND(MAX(0,(Q149-p_CorrFixa)/(H149*W149*$W$6)),9)/$W$5)*$W$5)))</f>
        <v/>
      </c>
      <c r="AE149" s="85" t="str">
        <f>IF(A149="","",IF(N(AD149)&gt;0,AD149*H149*W149*$W$6+p_CorrFixa,0))</f>
        <v/>
      </c>
      <c r="AF149" s="85" t="str">
        <f>IF(A149="","",IF(OR($Y$1&lt;=0,N(H149)&lt;=0,N(W149)&lt;=0,N(AB149)&lt;=0),0,IF($W$3="Sim",TRUNC(ROUND(MAX(0,($Y$1-IF(N(AD149)&gt;0,0,p_CorrFixa))/(H149*W149*$W$6)),9),$W$4),TRUNC(ROUND(MAX(0,($Y$1-IF(N(AD149)&gt;0,0,p_CorrFixa))/(H149*W149*$W$6)),9)/$W$5)*$W$5)))</f>
        <v/>
      </c>
      <c r="AG149" s="85" t="str">
        <f>IF(A149="","",IF(AND(N(AD149)=0,N(AF149)*(H149*W149*$W$6)+p_CorrFixa&lt;p_CompraMin),0,AF149))</f>
        <v/>
      </c>
      <c r="AH149" s="85" t="str">
        <f>IF(A149="","",IF(N(AG149)&gt;0,AB149,0))</f>
        <v/>
      </c>
      <c r="AI149" s="85" t="str">
        <f>IF(A149="","",IF(AND(AH149&gt;0,AH149=$AH$6,COUNTIF($AH$9:AH149,AH149)=1),1,0))</f>
        <v/>
      </c>
    </row>
    <row r="150">
      <c r="A150" s="96" t="n"/>
      <c r="B150" s="96" t="n"/>
      <c r="C150" s="96" t="n"/>
      <c r="D150" s="97" t="n"/>
      <c r="E150" s="98" t="n"/>
      <c r="F150" s="99" t="n"/>
      <c r="G150" s="100" t="n"/>
      <c r="H150" s="104" t="str">
        <f>IF(A150="","",IF(AND(p_ModoCot="Automático",ISNUMBER(Z150)),Z150,IF(N(G150)&gt;0,G150,0)))</f>
        <v/>
      </c>
      <c r="I150" s="105" t="str">
        <f>IF(A150="","",IF(W150=0,"Sem câmbio",IF(AND(p_ModoCot="Automático",ISNUMBER(Z150)),"Auto",IF(N(G150)&gt;0,"Manual","Sem cotação"))))</f>
        <v/>
      </c>
      <c r="J150" s="106" t="str">
        <f>IF(A150="","",N(E150)*H150)</f>
        <v/>
      </c>
      <c r="K150" s="107" t="str">
        <f>IF(A150="","",J150*W150)</f>
        <v/>
      </c>
      <c r="L150" s="108" t="str">
        <f>IF(A150="","",IF($K$6&gt;0,K150/$K$6,0))</f>
        <v/>
      </c>
      <c r="M150" s="109" t="str">
        <f>IF(A150="","",N(F150)-L150)</f>
        <v/>
      </c>
      <c r="N150" s="108" t="str">
        <f>IF(A150="","",IF($AB$6&gt;0,AB150/$AB$6,0))</f>
        <v/>
      </c>
      <c r="O150" s="110" t="str">
        <f>IF(A150="","",IF(AB150&lt;=0,"",COUNTIF($AB$9:$AB$208,"&gt;"&amp;AB150)+COUNTIF($AB$9:AB150,AB150)))</f>
        <v/>
      </c>
      <c r="P150" s="105" t="str">
        <f>IF(A150="","",IF(Q150&gt;0,"BUY","HOLD"))</f>
        <v/>
      </c>
      <c r="Q150" s="107" t="str">
        <f>IF(A150="","",IF($W$7&lt;=0,0,IF($AC$6&gt;0,$W$7*AC150/$AC$6,IF($F$6&gt;0,$W$7*N(F150)/$F$6,0))))</f>
        <v/>
      </c>
      <c r="R150" s="111" t="str">
        <f>IF(A150="","",N(AD150)+IF(AI150=1,N(AG150),0))</f>
        <v/>
      </c>
      <c r="S150" s="111" t="str">
        <f>IF(A150="","",N(E150)+N(R150))</f>
        <v/>
      </c>
      <c r="T150" s="107" t="str">
        <f>IF(A150="","",IF(N(R150)&gt;0,R150*H150*W150*$W$6+p_CorrFixa,0))</f>
        <v/>
      </c>
      <c r="V150" s="85" t="str">
        <f>IF(A150="","",IF(D150="",$W$1,D150))</f>
        <v/>
      </c>
      <c r="W150" s="85" t="str">
        <f>IF(A150="","",IFERROR(INDEX(moeda_fx,MATCH(V150,moeda_cod,0)),0))</f>
        <v/>
      </c>
      <c r="X150" s="85" t="str">
        <f>IF(A150="","",IF($W$2="",UPPER(TRIM(A150)),IF(RIGHT(UPPER(TRIM(A150)),LEN($W$2))=$W$2,UPPER(TRIM(A150)),UPPER(TRIM(A150))&amp;$W$2)))</f>
        <v/>
      </c>
      <c r="Y150" s="85" t="str">
        <f>IF(OR(A150="",p_ModoCot&lt;&gt;"Automático"),"",IFERROR(_xlfn.WEBSERVICE("https://query1.finance.yahoo.com/v8/finance/chart/"&amp;X150&amp;"?range=1d&amp;interval=1d"),""))</f>
        <v/>
      </c>
      <c r="Z150" s="85" t="str">
        <f>IF(Y150="","",IFERROR(_xlfn.NUMBERVALUE(MID(Y150,SEARCH("""regularMarketPrice"":",Y150)+21,SEARCH(",",Y150&amp;",",SEARCH("""regularMarketPrice"":",Y150)+21)-SEARCH("""regularMarketPrice"":",Y150)-21),".",","),""))</f>
        <v/>
      </c>
      <c r="AA150" s="85" t="str">
        <f>IF(A150="","",ROUND(MAX(0,N(F150)*($K$6+$W$7)-K150),2))</f>
        <v/>
      </c>
      <c r="AB150" s="85" t="str">
        <f>IF(A150="","",IF(AND(M150&gt;0,M150&gt;=p_DifMin),AA150,0))</f>
        <v/>
      </c>
      <c r="AC150" s="85" t="str">
        <f>IF(A150="","",IF(AND(AB150&gt;0,N(O150)&lt;=p_MaxAtivos),AB150,0))</f>
        <v/>
      </c>
      <c r="AD150" s="85" t="str">
        <f>IF(A150="","",IF(OR(Q150&lt;=0,Q150&lt;p_CompraMin,N(H150)&lt;=0,N(W150)&lt;=0),0,IF($W$3="Sim",TRUNC(ROUND(MAX(0,(Q150-p_CorrFixa)/(H150*W150*$W$6)),9),$W$4),TRUNC(ROUND(MAX(0,(Q150-p_CorrFixa)/(H150*W150*$W$6)),9)/$W$5)*$W$5)))</f>
        <v/>
      </c>
      <c r="AE150" s="85" t="str">
        <f>IF(A150="","",IF(N(AD150)&gt;0,AD150*H150*W150*$W$6+p_CorrFixa,0))</f>
        <v/>
      </c>
      <c r="AF150" s="85" t="str">
        <f>IF(A150="","",IF(OR($Y$1&lt;=0,N(H150)&lt;=0,N(W150)&lt;=0,N(AB150)&lt;=0),0,IF($W$3="Sim",TRUNC(ROUND(MAX(0,($Y$1-IF(N(AD150)&gt;0,0,p_CorrFixa))/(H150*W150*$W$6)),9),$W$4),TRUNC(ROUND(MAX(0,($Y$1-IF(N(AD150)&gt;0,0,p_CorrFixa))/(H150*W150*$W$6)),9)/$W$5)*$W$5)))</f>
        <v/>
      </c>
      <c r="AG150" s="85" t="str">
        <f>IF(A150="","",IF(AND(N(AD150)=0,N(AF150)*(H150*W150*$W$6)+p_CorrFixa&lt;p_CompraMin),0,AF150))</f>
        <v/>
      </c>
      <c r="AH150" s="85" t="str">
        <f>IF(A150="","",IF(N(AG150)&gt;0,AB150,0))</f>
        <v/>
      </c>
      <c r="AI150" s="85" t="str">
        <f>IF(A150="","",IF(AND(AH150&gt;0,AH150=$AH$6,COUNTIF($AH$9:AH150,AH150)=1),1,0))</f>
        <v/>
      </c>
    </row>
    <row r="151">
      <c r="A151" s="96" t="n"/>
      <c r="B151" s="96" t="n"/>
      <c r="C151" s="96" t="n"/>
      <c r="D151" s="97" t="n"/>
      <c r="E151" s="98" t="n"/>
      <c r="F151" s="99" t="n"/>
      <c r="G151" s="100" t="n"/>
      <c r="H151" s="101" t="str">
        <f>IF(A151="","",IF(AND(p_ModoCot="Automático",ISNUMBER(Z151)),Z151,IF(N(G151)&gt;0,G151,0)))</f>
        <v/>
      </c>
      <c r="I151" s="73" t="str">
        <f>IF(A151="","",IF(W151=0,"Sem câmbio",IF(AND(p_ModoCot="Automático",ISNUMBER(Z151)),"Auto",IF(N(G151)&gt;0,"Manual","Sem cotação"))))</f>
        <v/>
      </c>
      <c r="J151" s="102" t="str">
        <f>IF(A151="","",N(E151)*H151)</f>
        <v/>
      </c>
      <c r="K151" s="70" t="str">
        <f>IF(A151="","",J151*W151)</f>
        <v/>
      </c>
      <c r="L151" s="30" t="str">
        <f>IF(A151="","",IF($K$6&gt;0,K151/$K$6,0))</f>
        <v/>
      </c>
      <c r="M151" s="72" t="str">
        <f>IF(A151="","",N(F151)-L151)</f>
        <v/>
      </c>
      <c r="N151" s="30" t="str">
        <f>IF(A151="","",IF($AB$6&gt;0,AB151/$AB$6,0))</f>
        <v/>
      </c>
      <c r="O151" s="74" t="str">
        <f>IF(A151="","",IF(AB151&lt;=0,"",COUNTIF($AB$9:$AB$208,"&gt;"&amp;AB151)+COUNTIF($AB$9:AB151,AB151)))</f>
        <v/>
      </c>
      <c r="P151" s="73" t="str">
        <f>IF(A151="","",IF(Q151&gt;0,"BUY","HOLD"))</f>
        <v/>
      </c>
      <c r="Q151" s="70" t="str">
        <f>IF(A151="","",IF($W$7&lt;=0,0,IF($AC$6&gt;0,$W$7*AC151/$AC$6,IF($F$6&gt;0,$W$7*N(F151)/$F$6,0))))</f>
        <v/>
      </c>
      <c r="R151" s="103" t="str">
        <f>IF(A151="","",N(AD151)+IF(AI151=1,N(AG151),0))</f>
        <v/>
      </c>
      <c r="S151" s="103" t="str">
        <f>IF(A151="","",N(E151)+N(R151))</f>
        <v/>
      </c>
      <c r="T151" s="70" t="str">
        <f>IF(A151="","",IF(N(R151)&gt;0,R151*H151*W151*$W$6+p_CorrFixa,0))</f>
        <v/>
      </c>
      <c r="V151" s="85" t="str">
        <f>IF(A151="","",IF(D151="",$W$1,D151))</f>
        <v/>
      </c>
      <c r="W151" s="85" t="str">
        <f>IF(A151="","",IFERROR(INDEX(moeda_fx,MATCH(V151,moeda_cod,0)),0))</f>
        <v/>
      </c>
      <c r="X151" s="85" t="str">
        <f>IF(A151="","",IF($W$2="",UPPER(TRIM(A151)),IF(RIGHT(UPPER(TRIM(A151)),LEN($W$2))=$W$2,UPPER(TRIM(A151)),UPPER(TRIM(A151))&amp;$W$2)))</f>
        <v/>
      </c>
      <c r="Y151" s="85" t="str">
        <f>IF(OR(A151="",p_ModoCot&lt;&gt;"Automático"),"",IFERROR(_xlfn.WEBSERVICE("https://query1.finance.yahoo.com/v8/finance/chart/"&amp;X151&amp;"?range=1d&amp;interval=1d"),""))</f>
        <v/>
      </c>
      <c r="Z151" s="85" t="str">
        <f>IF(Y151="","",IFERROR(_xlfn.NUMBERVALUE(MID(Y151,SEARCH("""regularMarketPrice"":",Y151)+21,SEARCH(",",Y151&amp;",",SEARCH("""regularMarketPrice"":",Y151)+21)-SEARCH("""regularMarketPrice"":",Y151)-21),".",","),""))</f>
        <v/>
      </c>
      <c r="AA151" s="85" t="str">
        <f>IF(A151="","",ROUND(MAX(0,N(F151)*($K$6+$W$7)-K151),2))</f>
        <v/>
      </c>
      <c r="AB151" s="85" t="str">
        <f>IF(A151="","",IF(AND(M151&gt;0,M151&gt;=p_DifMin),AA151,0))</f>
        <v/>
      </c>
      <c r="AC151" s="85" t="str">
        <f>IF(A151="","",IF(AND(AB151&gt;0,N(O151)&lt;=p_MaxAtivos),AB151,0))</f>
        <v/>
      </c>
      <c r="AD151" s="85" t="str">
        <f>IF(A151="","",IF(OR(Q151&lt;=0,Q151&lt;p_CompraMin,N(H151)&lt;=0,N(W151)&lt;=0),0,IF($W$3="Sim",TRUNC(ROUND(MAX(0,(Q151-p_CorrFixa)/(H151*W151*$W$6)),9),$W$4),TRUNC(ROUND(MAX(0,(Q151-p_CorrFixa)/(H151*W151*$W$6)),9)/$W$5)*$W$5)))</f>
        <v/>
      </c>
      <c r="AE151" s="85" t="str">
        <f>IF(A151="","",IF(N(AD151)&gt;0,AD151*H151*W151*$W$6+p_CorrFixa,0))</f>
        <v/>
      </c>
      <c r="AF151" s="85" t="str">
        <f>IF(A151="","",IF(OR($Y$1&lt;=0,N(H151)&lt;=0,N(W151)&lt;=0,N(AB151)&lt;=0),0,IF($W$3="Sim",TRUNC(ROUND(MAX(0,($Y$1-IF(N(AD151)&gt;0,0,p_CorrFixa))/(H151*W151*$W$6)),9),$W$4),TRUNC(ROUND(MAX(0,($Y$1-IF(N(AD151)&gt;0,0,p_CorrFixa))/(H151*W151*$W$6)),9)/$W$5)*$W$5)))</f>
        <v/>
      </c>
      <c r="AG151" s="85" t="str">
        <f>IF(A151="","",IF(AND(N(AD151)=0,N(AF151)*(H151*W151*$W$6)+p_CorrFixa&lt;p_CompraMin),0,AF151))</f>
        <v/>
      </c>
      <c r="AH151" s="85" t="str">
        <f>IF(A151="","",IF(N(AG151)&gt;0,AB151,0))</f>
        <v/>
      </c>
      <c r="AI151" s="85" t="str">
        <f>IF(A151="","",IF(AND(AH151&gt;0,AH151=$AH$6,COUNTIF($AH$9:AH151,AH151)=1),1,0))</f>
        <v/>
      </c>
    </row>
    <row r="152">
      <c r="A152" s="96" t="n"/>
      <c r="B152" s="96" t="n"/>
      <c r="C152" s="96" t="n"/>
      <c r="D152" s="97" t="n"/>
      <c r="E152" s="98" t="n"/>
      <c r="F152" s="99" t="n"/>
      <c r="G152" s="100" t="n"/>
      <c r="H152" s="104" t="str">
        <f>IF(A152="","",IF(AND(p_ModoCot="Automático",ISNUMBER(Z152)),Z152,IF(N(G152)&gt;0,G152,0)))</f>
        <v/>
      </c>
      <c r="I152" s="105" t="str">
        <f>IF(A152="","",IF(W152=0,"Sem câmbio",IF(AND(p_ModoCot="Automático",ISNUMBER(Z152)),"Auto",IF(N(G152)&gt;0,"Manual","Sem cotação"))))</f>
        <v/>
      </c>
      <c r="J152" s="106" t="str">
        <f>IF(A152="","",N(E152)*H152)</f>
        <v/>
      </c>
      <c r="K152" s="107" t="str">
        <f>IF(A152="","",J152*W152)</f>
        <v/>
      </c>
      <c r="L152" s="108" t="str">
        <f>IF(A152="","",IF($K$6&gt;0,K152/$K$6,0))</f>
        <v/>
      </c>
      <c r="M152" s="109" t="str">
        <f>IF(A152="","",N(F152)-L152)</f>
        <v/>
      </c>
      <c r="N152" s="108" t="str">
        <f>IF(A152="","",IF($AB$6&gt;0,AB152/$AB$6,0))</f>
        <v/>
      </c>
      <c r="O152" s="110" t="str">
        <f>IF(A152="","",IF(AB152&lt;=0,"",COUNTIF($AB$9:$AB$208,"&gt;"&amp;AB152)+COUNTIF($AB$9:AB152,AB152)))</f>
        <v/>
      </c>
      <c r="P152" s="105" t="str">
        <f>IF(A152="","",IF(Q152&gt;0,"BUY","HOLD"))</f>
        <v/>
      </c>
      <c r="Q152" s="107" t="str">
        <f>IF(A152="","",IF($W$7&lt;=0,0,IF($AC$6&gt;0,$W$7*AC152/$AC$6,IF($F$6&gt;0,$W$7*N(F152)/$F$6,0))))</f>
        <v/>
      </c>
      <c r="R152" s="111" t="str">
        <f>IF(A152="","",N(AD152)+IF(AI152=1,N(AG152),0))</f>
        <v/>
      </c>
      <c r="S152" s="111" t="str">
        <f>IF(A152="","",N(E152)+N(R152))</f>
        <v/>
      </c>
      <c r="T152" s="107" t="str">
        <f>IF(A152="","",IF(N(R152)&gt;0,R152*H152*W152*$W$6+p_CorrFixa,0))</f>
        <v/>
      </c>
      <c r="V152" s="85" t="str">
        <f>IF(A152="","",IF(D152="",$W$1,D152))</f>
        <v/>
      </c>
      <c r="W152" s="85" t="str">
        <f>IF(A152="","",IFERROR(INDEX(moeda_fx,MATCH(V152,moeda_cod,0)),0))</f>
        <v/>
      </c>
      <c r="X152" s="85" t="str">
        <f>IF(A152="","",IF($W$2="",UPPER(TRIM(A152)),IF(RIGHT(UPPER(TRIM(A152)),LEN($W$2))=$W$2,UPPER(TRIM(A152)),UPPER(TRIM(A152))&amp;$W$2)))</f>
        <v/>
      </c>
      <c r="Y152" s="85" t="str">
        <f>IF(OR(A152="",p_ModoCot&lt;&gt;"Automático"),"",IFERROR(_xlfn.WEBSERVICE("https://query1.finance.yahoo.com/v8/finance/chart/"&amp;X152&amp;"?range=1d&amp;interval=1d"),""))</f>
        <v/>
      </c>
      <c r="Z152" s="85" t="str">
        <f>IF(Y152="","",IFERROR(_xlfn.NUMBERVALUE(MID(Y152,SEARCH("""regularMarketPrice"":",Y152)+21,SEARCH(",",Y152&amp;",",SEARCH("""regularMarketPrice"":",Y152)+21)-SEARCH("""regularMarketPrice"":",Y152)-21),".",","),""))</f>
        <v/>
      </c>
      <c r="AA152" s="85" t="str">
        <f>IF(A152="","",ROUND(MAX(0,N(F152)*($K$6+$W$7)-K152),2))</f>
        <v/>
      </c>
      <c r="AB152" s="85" t="str">
        <f>IF(A152="","",IF(AND(M152&gt;0,M152&gt;=p_DifMin),AA152,0))</f>
        <v/>
      </c>
      <c r="AC152" s="85" t="str">
        <f>IF(A152="","",IF(AND(AB152&gt;0,N(O152)&lt;=p_MaxAtivos),AB152,0))</f>
        <v/>
      </c>
      <c r="AD152" s="85" t="str">
        <f>IF(A152="","",IF(OR(Q152&lt;=0,Q152&lt;p_CompraMin,N(H152)&lt;=0,N(W152)&lt;=0),0,IF($W$3="Sim",TRUNC(ROUND(MAX(0,(Q152-p_CorrFixa)/(H152*W152*$W$6)),9),$W$4),TRUNC(ROUND(MAX(0,(Q152-p_CorrFixa)/(H152*W152*$W$6)),9)/$W$5)*$W$5)))</f>
        <v/>
      </c>
      <c r="AE152" s="85" t="str">
        <f>IF(A152="","",IF(N(AD152)&gt;0,AD152*H152*W152*$W$6+p_CorrFixa,0))</f>
        <v/>
      </c>
      <c r="AF152" s="85" t="str">
        <f>IF(A152="","",IF(OR($Y$1&lt;=0,N(H152)&lt;=0,N(W152)&lt;=0,N(AB152)&lt;=0),0,IF($W$3="Sim",TRUNC(ROUND(MAX(0,($Y$1-IF(N(AD152)&gt;0,0,p_CorrFixa))/(H152*W152*$W$6)),9),$W$4),TRUNC(ROUND(MAX(0,($Y$1-IF(N(AD152)&gt;0,0,p_CorrFixa))/(H152*W152*$W$6)),9)/$W$5)*$W$5)))</f>
        <v/>
      </c>
      <c r="AG152" s="85" t="str">
        <f>IF(A152="","",IF(AND(N(AD152)=0,N(AF152)*(H152*W152*$W$6)+p_CorrFixa&lt;p_CompraMin),0,AF152))</f>
        <v/>
      </c>
      <c r="AH152" s="85" t="str">
        <f>IF(A152="","",IF(N(AG152)&gt;0,AB152,0))</f>
        <v/>
      </c>
      <c r="AI152" s="85" t="str">
        <f>IF(A152="","",IF(AND(AH152&gt;0,AH152=$AH$6,COUNTIF($AH$9:AH152,AH152)=1),1,0))</f>
        <v/>
      </c>
    </row>
    <row r="153">
      <c r="A153" s="96" t="n"/>
      <c r="B153" s="96" t="n"/>
      <c r="C153" s="96" t="n"/>
      <c r="D153" s="97" t="n"/>
      <c r="E153" s="98" t="n"/>
      <c r="F153" s="99" t="n"/>
      <c r="G153" s="100" t="n"/>
      <c r="H153" s="101" t="str">
        <f>IF(A153="","",IF(AND(p_ModoCot="Automático",ISNUMBER(Z153)),Z153,IF(N(G153)&gt;0,G153,0)))</f>
        <v/>
      </c>
      <c r="I153" s="73" t="str">
        <f>IF(A153="","",IF(W153=0,"Sem câmbio",IF(AND(p_ModoCot="Automático",ISNUMBER(Z153)),"Auto",IF(N(G153)&gt;0,"Manual","Sem cotação"))))</f>
        <v/>
      </c>
      <c r="J153" s="102" t="str">
        <f>IF(A153="","",N(E153)*H153)</f>
        <v/>
      </c>
      <c r="K153" s="70" t="str">
        <f>IF(A153="","",J153*W153)</f>
        <v/>
      </c>
      <c r="L153" s="30" t="str">
        <f>IF(A153="","",IF($K$6&gt;0,K153/$K$6,0))</f>
        <v/>
      </c>
      <c r="M153" s="72" t="str">
        <f>IF(A153="","",N(F153)-L153)</f>
        <v/>
      </c>
      <c r="N153" s="30" t="str">
        <f>IF(A153="","",IF($AB$6&gt;0,AB153/$AB$6,0))</f>
        <v/>
      </c>
      <c r="O153" s="74" t="str">
        <f>IF(A153="","",IF(AB153&lt;=0,"",COUNTIF($AB$9:$AB$208,"&gt;"&amp;AB153)+COUNTIF($AB$9:AB153,AB153)))</f>
        <v/>
      </c>
      <c r="P153" s="73" t="str">
        <f>IF(A153="","",IF(Q153&gt;0,"BUY","HOLD"))</f>
        <v/>
      </c>
      <c r="Q153" s="70" t="str">
        <f>IF(A153="","",IF($W$7&lt;=0,0,IF($AC$6&gt;0,$W$7*AC153/$AC$6,IF($F$6&gt;0,$W$7*N(F153)/$F$6,0))))</f>
        <v/>
      </c>
      <c r="R153" s="103" t="str">
        <f>IF(A153="","",N(AD153)+IF(AI153=1,N(AG153),0))</f>
        <v/>
      </c>
      <c r="S153" s="103" t="str">
        <f>IF(A153="","",N(E153)+N(R153))</f>
        <v/>
      </c>
      <c r="T153" s="70" t="str">
        <f>IF(A153="","",IF(N(R153)&gt;0,R153*H153*W153*$W$6+p_CorrFixa,0))</f>
        <v/>
      </c>
      <c r="V153" s="85" t="str">
        <f>IF(A153="","",IF(D153="",$W$1,D153))</f>
        <v/>
      </c>
      <c r="W153" s="85" t="str">
        <f>IF(A153="","",IFERROR(INDEX(moeda_fx,MATCH(V153,moeda_cod,0)),0))</f>
        <v/>
      </c>
      <c r="X153" s="85" t="str">
        <f>IF(A153="","",IF($W$2="",UPPER(TRIM(A153)),IF(RIGHT(UPPER(TRIM(A153)),LEN($W$2))=$W$2,UPPER(TRIM(A153)),UPPER(TRIM(A153))&amp;$W$2)))</f>
        <v/>
      </c>
      <c r="Y153" s="85" t="str">
        <f>IF(OR(A153="",p_ModoCot&lt;&gt;"Automático"),"",IFERROR(_xlfn.WEBSERVICE("https://query1.finance.yahoo.com/v8/finance/chart/"&amp;X153&amp;"?range=1d&amp;interval=1d"),""))</f>
        <v/>
      </c>
      <c r="Z153" s="85" t="str">
        <f>IF(Y153="","",IFERROR(_xlfn.NUMBERVALUE(MID(Y153,SEARCH("""regularMarketPrice"":",Y153)+21,SEARCH(",",Y153&amp;",",SEARCH("""regularMarketPrice"":",Y153)+21)-SEARCH("""regularMarketPrice"":",Y153)-21),".",","),""))</f>
        <v/>
      </c>
      <c r="AA153" s="85" t="str">
        <f>IF(A153="","",ROUND(MAX(0,N(F153)*($K$6+$W$7)-K153),2))</f>
        <v/>
      </c>
      <c r="AB153" s="85" t="str">
        <f>IF(A153="","",IF(AND(M153&gt;0,M153&gt;=p_DifMin),AA153,0))</f>
        <v/>
      </c>
      <c r="AC153" s="85" t="str">
        <f>IF(A153="","",IF(AND(AB153&gt;0,N(O153)&lt;=p_MaxAtivos),AB153,0))</f>
        <v/>
      </c>
      <c r="AD153" s="85" t="str">
        <f>IF(A153="","",IF(OR(Q153&lt;=0,Q153&lt;p_CompraMin,N(H153)&lt;=0,N(W153)&lt;=0),0,IF($W$3="Sim",TRUNC(ROUND(MAX(0,(Q153-p_CorrFixa)/(H153*W153*$W$6)),9),$W$4),TRUNC(ROUND(MAX(0,(Q153-p_CorrFixa)/(H153*W153*$W$6)),9)/$W$5)*$W$5)))</f>
        <v/>
      </c>
      <c r="AE153" s="85" t="str">
        <f>IF(A153="","",IF(N(AD153)&gt;0,AD153*H153*W153*$W$6+p_CorrFixa,0))</f>
        <v/>
      </c>
      <c r="AF153" s="85" t="str">
        <f>IF(A153="","",IF(OR($Y$1&lt;=0,N(H153)&lt;=0,N(W153)&lt;=0,N(AB153)&lt;=0),0,IF($W$3="Sim",TRUNC(ROUND(MAX(0,($Y$1-IF(N(AD153)&gt;0,0,p_CorrFixa))/(H153*W153*$W$6)),9),$W$4),TRUNC(ROUND(MAX(0,($Y$1-IF(N(AD153)&gt;0,0,p_CorrFixa))/(H153*W153*$W$6)),9)/$W$5)*$W$5)))</f>
        <v/>
      </c>
      <c r="AG153" s="85" t="str">
        <f>IF(A153="","",IF(AND(N(AD153)=0,N(AF153)*(H153*W153*$W$6)+p_CorrFixa&lt;p_CompraMin),0,AF153))</f>
        <v/>
      </c>
      <c r="AH153" s="85" t="str">
        <f>IF(A153="","",IF(N(AG153)&gt;0,AB153,0))</f>
        <v/>
      </c>
      <c r="AI153" s="85" t="str">
        <f>IF(A153="","",IF(AND(AH153&gt;0,AH153=$AH$6,COUNTIF($AH$9:AH153,AH153)=1),1,0))</f>
        <v/>
      </c>
    </row>
    <row r="154">
      <c r="A154" s="96" t="n"/>
      <c r="B154" s="96" t="n"/>
      <c r="C154" s="96" t="n"/>
      <c r="D154" s="97" t="n"/>
      <c r="E154" s="98" t="n"/>
      <c r="F154" s="99" t="n"/>
      <c r="G154" s="100" t="n"/>
      <c r="H154" s="104" t="str">
        <f>IF(A154="","",IF(AND(p_ModoCot="Automático",ISNUMBER(Z154)),Z154,IF(N(G154)&gt;0,G154,0)))</f>
        <v/>
      </c>
      <c r="I154" s="105" t="str">
        <f>IF(A154="","",IF(W154=0,"Sem câmbio",IF(AND(p_ModoCot="Automático",ISNUMBER(Z154)),"Auto",IF(N(G154)&gt;0,"Manual","Sem cotação"))))</f>
        <v/>
      </c>
      <c r="J154" s="106" t="str">
        <f>IF(A154="","",N(E154)*H154)</f>
        <v/>
      </c>
      <c r="K154" s="107" t="str">
        <f>IF(A154="","",J154*W154)</f>
        <v/>
      </c>
      <c r="L154" s="108" t="str">
        <f>IF(A154="","",IF($K$6&gt;0,K154/$K$6,0))</f>
        <v/>
      </c>
      <c r="M154" s="109" t="str">
        <f>IF(A154="","",N(F154)-L154)</f>
        <v/>
      </c>
      <c r="N154" s="108" t="str">
        <f>IF(A154="","",IF($AB$6&gt;0,AB154/$AB$6,0))</f>
        <v/>
      </c>
      <c r="O154" s="110" t="str">
        <f>IF(A154="","",IF(AB154&lt;=0,"",COUNTIF($AB$9:$AB$208,"&gt;"&amp;AB154)+COUNTIF($AB$9:AB154,AB154)))</f>
        <v/>
      </c>
      <c r="P154" s="105" t="str">
        <f>IF(A154="","",IF(Q154&gt;0,"BUY","HOLD"))</f>
        <v/>
      </c>
      <c r="Q154" s="107" t="str">
        <f>IF(A154="","",IF($W$7&lt;=0,0,IF($AC$6&gt;0,$W$7*AC154/$AC$6,IF($F$6&gt;0,$W$7*N(F154)/$F$6,0))))</f>
        <v/>
      </c>
      <c r="R154" s="111" t="str">
        <f>IF(A154="","",N(AD154)+IF(AI154=1,N(AG154),0))</f>
        <v/>
      </c>
      <c r="S154" s="111" t="str">
        <f>IF(A154="","",N(E154)+N(R154))</f>
        <v/>
      </c>
      <c r="T154" s="107" t="str">
        <f>IF(A154="","",IF(N(R154)&gt;0,R154*H154*W154*$W$6+p_CorrFixa,0))</f>
        <v/>
      </c>
      <c r="V154" s="85" t="str">
        <f>IF(A154="","",IF(D154="",$W$1,D154))</f>
        <v/>
      </c>
      <c r="W154" s="85" t="str">
        <f>IF(A154="","",IFERROR(INDEX(moeda_fx,MATCH(V154,moeda_cod,0)),0))</f>
        <v/>
      </c>
      <c r="X154" s="85" t="str">
        <f>IF(A154="","",IF($W$2="",UPPER(TRIM(A154)),IF(RIGHT(UPPER(TRIM(A154)),LEN($W$2))=$W$2,UPPER(TRIM(A154)),UPPER(TRIM(A154))&amp;$W$2)))</f>
        <v/>
      </c>
      <c r="Y154" s="85" t="str">
        <f>IF(OR(A154="",p_ModoCot&lt;&gt;"Automático"),"",IFERROR(_xlfn.WEBSERVICE("https://query1.finance.yahoo.com/v8/finance/chart/"&amp;X154&amp;"?range=1d&amp;interval=1d"),""))</f>
        <v/>
      </c>
      <c r="Z154" s="85" t="str">
        <f>IF(Y154="","",IFERROR(_xlfn.NUMBERVALUE(MID(Y154,SEARCH("""regularMarketPrice"":",Y154)+21,SEARCH(",",Y154&amp;",",SEARCH("""regularMarketPrice"":",Y154)+21)-SEARCH("""regularMarketPrice"":",Y154)-21),".",","),""))</f>
        <v/>
      </c>
      <c r="AA154" s="85" t="str">
        <f>IF(A154="","",ROUND(MAX(0,N(F154)*($K$6+$W$7)-K154),2))</f>
        <v/>
      </c>
      <c r="AB154" s="85" t="str">
        <f>IF(A154="","",IF(AND(M154&gt;0,M154&gt;=p_DifMin),AA154,0))</f>
        <v/>
      </c>
      <c r="AC154" s="85" t="str">
        <f>IF(A154="","",IF(AND(AB154&gt;0,N(O154)&lt;=p_MaxAtivos),AB154,0))</f>
        <v/>
      </c>
      <c r="AD154" s="85" t="str">
        <f>IF(A154="","",IF(OR(Q154&lt;=0,Q154&lt;p_CompraMin,N(H154)&lt;=0,N(W154)&lt;=0),0,IF($W$3="Sim",TRUNC(ROUND(MAX(0,(Q154-p_CorrFixa)/(H154*W154*$W$6)),9),$W$4),TRUNC(ROUND(MAX(0,(Q154-p_CorrFixa)/(H154*W154*$W$6)),9)/$W$5)*$W$5)))</f>
        <v/>
      </c>
      <c r="AE154" s="85" t="str">
        <f>IF(A154="","",IF(N(AD154)&gt;0,AD154*H154*W154*$W$6+p_CorrFixa,0))</f>
        <v/>
      </c>
      <c r="AF154" s="85" t="str">
        <f>IF(A154="","",IF(OR($Y$1&lt;=0,N(H154)&lt;=0,N(W154)&lt;=0,N(AB154)&lt;=0),0,IF($W$3="Sim",TRUNC(ROUND(MAX(0,($Y$1-IF(N(AD154)&gt;0,0,p_CorrFixa))/(H154*W154*$W$6)),9),$W$4),TRUNC(ROUND(MAX(0,($Y$1-IF(N(AD154)&gt;0,0,p_CorrFixa))/(H154*W154*$W$6)),9)/$W$5)*$W$5)))</f>
        <v/>
      </c>
      <c r="AG154" s="85" t="str">
        <f>IF(A154="","",IF(AND(N(AD154)=0,N(AF154)*(H154*W154*$W$6)+p_CorrFixa&lt;p_CompraMin),0,AF154))</f>
        <v/>
      </c>
      <c r="AH154" s="85" t="str">
        <f>IF(A154="","",IF(N(AG154)&gt;0,AB154,0))</f>
        <v/>
      </c>
      <c r="AI154" s="85" t="str">
        <f>IF(A154="","",IF(AND(AH154&gt;0,AH154=$AH$6,COUNTIF($AH$9:AH154,AH154)=1),1,0))</f>
        <v/>
      </c>
    </row>
    <row r="155">
      <c r="A155" s="96" t="n"/>
      <c r="B155" s="96" t="n"/>
      <c r="C155" s="96" t="n"/>
      <c r="D155" s="97" t="n"/>
      <c r="E155" s="98" t="n"/>
      <c r="F155" s="99" t="n"/>
      <c r="G155" s="100" t="n"/>
      <c r="H155" s="101" t="str">
        <f>IF(A155="","",IF(AND(p_ModoCot="Automático",ISNUMBER(Z155)),Z155,IF(N(G155)&gt;0,G155,0)))</f>
        <v/>
      </c>
      <c r="I155" s="73" t="str">
        <f>IF(A155="","",IF(W155=0,"Sem câmbio",IF(AND(p_ModoCot="Automático",ISNUMBER(Z155)),"Auto",IF(N(G155)&gt;0,"Manual","Sem cotação"))))</f>
        <v/>
      </c>
      <c r="J155" s="102" t="str">
        <f>IF(A155="","",N(E155)*H155)</f>
        <v/>
      </c>
      <c r="K155" s="70" t="str">
        <f>IF(A155="","",J155*W155)</f>
        <v/>
      </c>
      <c r="L155" s="30" t="str">
        <f>IF(A155="","",IF($K$6&gt;0,K155/$K$6,0))</f>
        <v/>
      </c>
      <c r="M155" s="72" t="str">
        <f>IF(A155="","",N(F155)-L155)</f>
        <v/>
      </c>
      <c r="N155" s="30" t="str">
        <f>IF(A155="","",IF($AB$6&gt;0,AB155/$AB$6,0))</f>
        <v/>
      </c>
      <c r="O155" s="74" t="str">
        <f>IF(A155="","",IF(AB155&lt;=0,"",COUNTIF($AB$9:$AB$208,"&gt;"&amp;AB155)+COUNTIF($AB$9:AB155,AB155)))</f>
        <v/>
      </c>
      <c r="P155" s="73" t="str">
        <f>IF(A155="","",IF(Q155&gt;0,"BUY","HOLD"))</f>
        <v/>
      </c>
      <c r="Q155" s="70" t="str">
        <f>IF(A155="","",IF($W$7&lt;=0,0,IF($AC$6&gt;0,$W$7*AC155/$AC$6,IF($F$6&gt;0,$W$7*N(F155)/$F$6,0))))</f>
        <v/>
      </c>
      <c r="R155" s="103" t="str">
        <f>IF(A155="","",N(AD155)+IF(AI155=1,N(AG155),0))</f>
        <v/>
      </c>
      <c r="S155" s="103" t="str">
        <f>IF(A155="","",N(E155)+N(R155))</f>
        <v/>
      </c>
      <c r="T155" s="70" t="str">
        <f>IF(A155="","",IF(N(R155)&gt;0,R155*H155*W155*$W$6+p_CorrFixa,0))</f>
        <v/>
      </c>
      <c r="V155" s="85" t="str">
        <f>IF(A155="","",IF(D155="",$W$1,D155))</f>
        <v/>
      </c>
      <c r="W155" s="85" t="str">
        <f>IF(A155="","",IFERROR(INDEX(moeda_fx,MATCH(V155,moeda_cod,0)),0))</f>
        <v/>
      </c>
      <c r="X155" s="85" t="str">
        <f>IF(A155="","",IF($W$2="",UPPER(TRIM(A155)),IF(RIGHT(UPPER(TRIM(A155)),LEN($W$2))=$W$2,UPPER(TRIM(A155)),UPPER(TRIM(A155))&amp;$W$2)))</f>
        <v/>
      </c>
      <c r="Y155" s="85" t="str">
        <f>IF(OR(A155="",p_ModoCot&lt;&gt;"Automático"),"",IFERROR(_xlfn.WEBSERVICE("https://query1.finance.yahoo.com/v8/finance/chart/"&amp;X155&amp;"?range=1d&amp;interval=1d"),""))</f>
        <v/>
      </c>
      <c r="Z155" s="85" t="str">
        <f>IF(Y155="","",IFERROR(_xlfn.NUMBERVALUE(MID(Y155,SEARCH("""regularMarketPrice"":",Y155)+21,SEARCH(",",Y155&amp;",",SEARCH("""regularMarketPrice"":",Y155)+21)-SEARCH("""regularMarketPrice"":",Y155)-21),".",","),""))</f>
        <v/>
      </c>
      <c r="AA155" s="85" t="str">
        <f>IF(A155="","",ROUND(MAX(0,N(F155)*($K$6+$W$7)-K155),2))</f>
        <v/>
      </c>
      <c r="AB155" s="85" t="str">
        <f>IF(A155="","",IF(AND(M155&gt;0,M155&gt;=p_DifMin),AA155,0))</f>
        <v/>
      </c>
      <c r="AC155" s="85" t="str">
        <f>IF(A155="","",IF(AND(AB155&gt;0,N(O155)&lt;=p_MaxAtivos),AB155,0))</f>
        <v/>
      </c>
      <c r="AD155" s="85" t="str">
        <f>IF(A155="","",IF(OR(Q155&lt;=0,Q155&lt;p_CompraMin,N(H155)&lt;=0,N(W155)&lt;=0),0,IF($W$3="Sim",TRUNC(ROUND(MAX(0,(Q155-p_CorrFixa)/(H155*W155*$W$6)),9),$W$4),TRUNC(ROUND(MAX(0,(Q155-p_CorrFixa)/(H155*W155*$W$6)),9)/$W$5)*$W$5)))</f>
        <v/>
      </c>
      <c r="AE155" s="85" t="str">
        <f>IF(A155="","",IF(N(AD155)&gt;0,AD155*H155*W155*$W$6+p_CorrFixa,0))</f>
        <v/>
      </c>
      <c r="AF155" s="85" t="str">
        <f>IF(A155="","",IF(OR($Y$1&lt;=0,N(H155)&lt;=0,N(W155)&lt;=0,N(AB155)&lt;=0),0,IF($W$3="Sim",TRUNC(ROUND(MAX(0,($Y$1-IF(N(AD155)&gt;0,0,p_CorrFixa))/(H155*W155*$W$6)),9),$W$4),TRUNC(ROUND(MAX(0,($Y$1-IF(N(AD155)&gt;0,0,p_CorrFixa))/(H155*W155*$W$6)),9)/$W$5)*$W$5)))</f>
        <v/>
      </c>
      <c r="AG155" s="85" t="str">
        <f>IF(A155="","",IF(AND(N(AD155)=0,N(AF155)*(H155*W155*$W$6)+p_CorrFixa&lt;p_CompraMin),0,AF155))</f>
        <v/>
      </c>
      <c r="AH155" s="85" t="str">
        <f>IF(A155="","",IF(N(AG155)&gt;0,AB155,0))</f>
        <v/>
      </c>
      <c r="AI155" s="85" t="str">
        <f>IF(A155="","",IF(AND(AH155&gt;0,AH155=$AH$6,COUNTIF($AH$9:AH155,AH155)=1),1,0))</f>
        <v/>
      </c>
    </row>
    <row r="156">
      <c r="A156" s="96" t="n"/>
      <c r="B156" s="96" t="n"/>
      <c r="C156" s="96" t="n"/>
      <c r="D156" s="97" t="n"/>
      <c r="E156" s="98" t="n"/>
      <c r="F156" s="99" t="n"/>
      <c r="G156" s="100" t="n"/>
      <c r="H156" s="104" t="str">
        <f>IF(A156="","",IF(AND(p_ModoCot="Automático",ISNUMBER(Z156)),Z156,IF(N(G156)&gt;0,G156,0)))</f>
        <v/>
      </c>
      <c r="I156" s="105" t="str">
        <f>IF(A156="","",IF(W156=0,"Sem câmbio",IF(AND(p_ModoCot="Automático",ISNUMBER(Z156)),"Auto",IF(N(G156)&gt;0,"Manual","Sem cotação"))))</f>
        <v/>
      </c>
      <c r="J156" s="106" t="str">
        <f>IF(A156="","",N(E156)*H156)</f>
        <v/>
      </c>
      <c r="K156" s="107" t="str">
        <f>IF(A156="","",J156*W156)</f>
        <v/>
      </c>
      <c r="L156" s="108" t="str">
        <f>IF(A156="","",IF($K$6&gt;0,K156/$K$6,0))</f>
        <v/>
      </c>
      <c r="M156" s="109" t="str">
        <f>IF(A156="","",N(F156)-L156)</f>
        <v/>
      </c>
      <c r="N156" s="108" t="str">
        <f>IF(A156="","",IF($AB$6&gt;0,AB156/$AB$6,0))</f>
        <v/>
      </c>
      <c r="O156" s="110" t="str">
        <f>IF(A156="","",IF(AB156&lt;=0,"",COUNTIF($AB$9:$AB$208,"&gt;"&amp;AB156)+COUNTIF($AB$9:AB156,AB156)))</f>
        <v/>
      </c>
      <c r="P156" s="105" t="str">
        <f>IF(A156="","",IF(Q156&gt;0,"BUY","HOLD"))</f>
        <v/>
      </c>
      <c r="Q156" s="107" t="str">
        <f>IF(A156="","",IF($W$7&lt;=0,0,IF($AC$6&gt;0,$W$7*AC156/$AC$6,IF($F$6&gt;0,$W$7*N(F156)/$F$6,0))))</f>
        <v/>
      </c>
      <c r="R156" s="111" t="str">
        <f>IF(A156="","",N(AD156)+IF(AI156=1,N(AG156),0))</f>
        <v/>
      </c>
      <c r="S156" s="111" t="str">
        <f>IF(A156="","",N(E156)+N(R156))</f>
        <v/>
      </c>
      <c r="T156" s="107" t="str">
        <f>IF(A156="","",IF(N(R156)&gt;0,R156*H156*W156*$W$6+p_CorrFixa,0))</f>
        <v/>
      </c>
      <c r="V156" s="85" t="str">
        <f>IF(A156="","",IF(D156="",$W$1,D156))</f>
        <v/>
      </c>
      <c r="W156" s="85" t="str">
        <f>IF(A156="","",IFERROR(INDEX(moeda_fx,MATCH(V156,moeda_cod,0)),0))</f>
        <v/>
      </c>
      <c r="X156" s="85" t="str">
        <f>IF(A156="","",IF($W$2="",UPPER(TRIM(A156)),IF(RIGHT(UPPER(TRIM(A156)),LEN($W$2))=$W$2,UPPER(TRIM(A156)),UPPER(TRIM(A156))&amp;$W$2)))</f>
        <v/>
      </c>
      <c r="Y156" s="85" t="str">
        <f>IF(OR(A156="",p_ModoCot&lt;&gt;"Automático"),"",IFERROR(_xlfn.WEBSERVICE("https://query1.finance.yahoo.com/v8/finance/chart/"&amp;X156&amp;"?range=1d&amp;interval=1d"),""))</f>
        <v/>
      </c>
      <c r="Z156" s="85" t="str">
        <f>IF(Y156="","",IFERROR(_xlfn.NUMBERVALUE(MID(Y156,SEARCH("""regularMarketPrice"":",Y156)+21,SEARCH(",",Y156&amp;",",SEARCH("""regularMarketPrice"":",Y156)+21)-SEARCH("""regularMarketPrice"":",Y156)-21),".",","),""))</f>
        <v/>
      </c>
      <c r="AA156" s="85" t="str">
        <f>IF(A156="","",ROUND(MAX(0,N(F156)*($K$6+$W$7)-K156),2))</f>
        <v/>
      </c>
      <c r="AB156" s="85" t="str">
        <f>IF(A156="","",IF(AND(M156&gt;0,M156&gt;=p_DifMin),AA156,0))</f>
        <v/>
      </c>
      <c r="AC156" s="85" t="str">
        <f>IF(A156="","",IF(AND(AB156&gt;0,N(O156)&lt;=p_MaxAtivos),AB156,0))</f>
        <v/>
      </c>
      <c r="AD156" s="85" t="str">
        <f>IF(A156="","",IF(OR(Q156&lt;=0,Q156&lt;p_CompraMin,N(H156)&lt;=0,N(W156)&lt;=0),0,IF($W$3="Sim",TRUNC(ROUND(MAX(0,(Q156-p_CorrFixa)/(H156*W156*$W$6)),9),$W$4),TRUNC(ROUND(MAX(0,(Q156-p_CorrFixa)/(H156*W156*$W$6)),9)/$W$5)*$W$5)))</f>
        <v/>
      </c>
      <c r="AE156" s="85" t="str">
        <f>IF(A156="","",IF(N(AD156)&gt;0,AD156*H156*W156*$W$6+p_CorrFixa,0))</f>
        <v/>
      </c>
      <c r="AF156" s="85" t="str">
        <f>IF(A156="","",IF(OR($Y$1&lt;=0,N(H156)&lt;=0,N(W156)&lt;=0,N(AB156)&lt;=0),0,IF($W$3="Sim",TRUNC(ROUND(MAX(0,($Y$1-IF(N(AD156)&gt;0,0,p_CorrFixa))/(H156*W156*$W$6)),9),$W$4),TRUNC(ROUND(MAX(0,($Y$1-IF(N(AD156)&gt;0,0,p_CorrFixa))/(H156*W156*$W$6)),9)/$W$5)*$W$5)))</f>
        <v/>
      </c>
      <c r="AG156" s="85" t="str">
        <f>IF(A156="","",IF(AND(N(AD156)=0,N(AF156)*(H156*W156*$W$6)+p_CorrFixa&lt;p_CompraMin),0,AF156))</f>
        <v/>
      </c>
      <c r="AH156" s="85" t="str">
        <f>IF(A156="","",IF(N(AG156)&gt;0,AB156,0))</f>
        <v/>
      </c>
      <c r="AI156" s="85" t="str">
        <f>IF(A156="","",IF(AND(AH156&gt;0,AH156=$AH$6,COUNTIF($AH$9:AH156,AH156)=1),1,0))</f>
        <v/>
      </c>
    </row>
    <row r="157">
      <c r="A157" s="96" t="n"/>
      <c r="B157" s="96" t="n"/>
      <c r="C157" s="96" t="n"/>
      <c r="D157" s="97" t="n"/>
      <c r="E157" s="98" t="n"/>
      <c r="F157" s="99" t="n"/>
      <c r="G157" s="100" t="n"/>
      <c r="H157" s="101" t="str">
        <f>IF(A157="","",IF(AND(p_ModoCot="Automático",ISNUMBER(Z157)),Z157,IF(N(G157)&gt;0,G157,0)))</f>
        <v/>
      </c>
      <c r="I157" s="73" t="str">
        <f>IF(A157="","",IF(W157=0,"Sem câmbio",IF(AND(p_ModoCot="Automático",ISNUMBER(Z157)),"Auto",IF(N(G157)&gt;0,"Manual","Sem cotação"))))</f>
        <v/>
      </c>
      <c r="J157" s="102" t="str">
        <f>IF(A157="","",N(E157)*H157)</f>
        <v/>
      </c>
      <c r="K157" s="70" t="str">
        <f>IF(A157="","",J157*W157)</f>
        <v/>
      </c>
      <c r="L157" s="30" t="str">
        <f>IF(A157="","",IF($K$6&gt;0,K157/$K$6,0))</f>
        <v/>
      </c>
      <c r="M157" s="72" t="str">
        <f>IF(A157="","",N(F157)-L157)</f>
        <v/>
      </c>
      <c r="N157" s="30" t="str">
        <f>IF(A157="","",IF($AB$6&gt;0,AB157/$AB$6,0))</f>
        <v/>
      </c>
      <c r="O157" s="74" t="str">
        <f>IF(A157="","",IF(AB157&lt;=0,"",COUNTIF($AB$9:$AB$208,"&gt;"&amp;AB157)+COUNTIF($AB$9:AB157,AB157)))</f>
        <v/>
      </c>
      <c r="P157" s="73" t="str">
        <f>IF(A157="","",IF(Q157&gt;0,"BUY","HOLD"))</f>
        <v/>
      </c>
      <c r="Q157" s="70" t="str">
        <f>IF(A157="","",IF($W$7&lt;=0,0,IF($AC$6&gt;0,$W$7*AC157/$AC$6,IF($F$6&gt;0,$W$7*N(F157)/$F$6,0))))</f>
        <v/>
      </c>
      <c r="R157" s="103" t="str">
        <f>IF(A157="","",N(AD157)+IF(AI157=1,N(AG157),0))</f>
        <v/>
      </c>
      <c r="S157" s="103" t="str">
        <f>IF(A157="","",N(E157)+N(R157))</f>
        <v/>
      </c>
      <c r="T157" s="70" t="str">
        <f>IF(A157="","",IF(N(R157)&gt;0,R157*H157*W157*$W$6+p_CorrFixa,0))</f>
        <v/>
      </c>
      <c r="V157" s="85" t="str">
        <f>IF(A157="","",IF(D157="",$W$1,D157))</f>
        <v/>
      </c>
      <c r="W157" s="85" t="str">
        <f>IF(A157="","",IFERROR(INDEX(moeda_fx,MATCH(V157,moeda_cod,0)),0))</f>
        <v/>
      </c>
      <c r="X157" s="85" t="str">
        <f>IF(A157="","",IF($W$2="",UPPER(TRIM(A157)),IF(RIGHT(UPPER(TRIM(A157)),LEN($W$2))=$W$2,UPPER(TRIM(A157)),UPPER(TRIM(A157))&amp;$W$2)))</f>
        <v/>
      </c>
      <c r="Y157" s="85" t="str">
        <f>IF(OR(A157="",p_ModoCot&lt;&gt;"Automático"),"",IFERROR(_xlfn.WEBSERVICE("https://query1.finance.yahoo.com/v8/finance/chart/"&amp;X157&amp;"?range=1d&amp;interval=1d"),""))</f>
        <v/>
      </c>
      <c r="Z157" s="85" t="str">
        <f>IF(Y157="","",IFERROR(_xlfn.NUMBERVALUE(MID(Y157,SEARCH("""regularMarketPrice"":",Y157)+21,SEARCH(",",Y157&amp;",",SEARCH("""regularMarketPrice"":",Y157)+21)-SEARCH("""regularMarketPrice"":",Y157)-21),".",","),""))</f>
        <v/>
      </c>
      <c r="AA157" s="85" t="str">
        <f>IF(A157="","",ROUND(MAX(0,N(F157)*($K$6+$W$7)-K157),2))</f>
        <v/>
      </c>
      <c r="AB157" s="85" t="str">
        <f>IF(A157="","",IF(AND(M157&gt;0,M157&gt;=p_DifMin),AA157,0))</f>
        <v/>
      </c>
      <c r="AC157" s="85" t="str">
        <f>IF(A157="","",IF(AND(AB157&gt;0,N(O157)&lt;=p_MaxAtivos),AB157,0))</f>
        <v/>
      </c>
      <c r="AD157" s="85" t="str">
        <f>IF(A157="","",IF(OR(Q157&lt;=0,Q157&lt;p_CompraMin,N(H157)&lt;=0,N(W157)&lt;=0),0,IF($W$3="Sim",TRUNC(ROUND(MAX(0,(Q157-p_CorrFixa)/(H157*W157*$W$6)),9),$W$4),TRUNC(ROUND(MAX(0,(Q157-p_CorrFixa)/(H157*W157*$W$6)),9)/$W$5)*$W$5)))</f>
        <v/>
      </c>
      <c r="AE157" s="85" t="str">
        <f>IF(A157="","",IF(N(AD157)&gt;0,AD157*H157*W157*$W$6+p_CorrFixa,0))</f>
        <v/>
      </c>
      <c r="AF157" s="85" t="str">
        <f>IF(A157="","",IF(OR($Y$1&lt;=0,N(H157)&lt;=0,N(W157)&lt;=0,N(AB157)&lt;=0),0,IF($W$3="Sim",TRUNC(ROUND(MAX(0,($Y$1-IF(N(AD157)&gt;0,0,p_CorrFixa))/(H157*W157*$W$6)),9),$W$4),TRUNC(ROUND(MAX(0,($Y$1-IF(N(AD157)&gt;0,0,p_CorrFixa))/(H157*W157*$W$6)),9)/$W$5)*$W$5)))</f>
        <v/>
      </c>
      <c r="AG157" s="85" t="str">
        <f>IF(A157="","",IF(AND(N(AD157)=0,N(AF157)*(H157*W157*$W$6)+p_CorrFixa&lt;p_CompraMin),0,AF157))</f>
        <v/>
      </c>
      <c r="AH157" s="85" t="str">
        <f>IF(A157="","",IF(N(AG157)&gt;0,AB157,0))</f>
        <v/>
      </c>
      <c r="AI157" s="85" t="str">
        <f>IF(A157="","",IF(AND(AH157&gt;0,AH157=$AH$6,COUNTIF($AH$9:AH157,AH157)=1),1,0))</f>
        <v/>
      </c>
    </row>
    <row r="158">
      <c r="A158" s="96" t="n"/>
      <c r="B158" s="96" t="n"/>
      <c r="C158" s="96" t="n"/>
      <c r="D158" s="97" t="n"/>
      <c r="E158" s="98" t="n"/>
      <c r="F158" s="99" t="n"/>
      <c r="G158" s="100" t="n"/>
      <c r="H158" s="104" t="str">
        <f>IF(A158="","",IF(AND(p_ModoCot="Automático",ISNUMBER(Z158)),Z158,IF(N(G158)&gt;0,G158,0)))</f>
        <v/>
      </c>
      <c r="I158" s="105" t="str">
        <f>IF(A158="","",IF(W158=0,"Sem câmbio",IF(AND(p_ModoCot="Automático",ISNUMBER(Z158)),"Auto",IF(N(G158)&gt;0,"Manual","Sem cotação"))))</f>
        <v/>
      </c>
      <c r="J158" s="106" t="str">
        <f>IF(A158="","",N(E158)*H158)</f>
        <v/>
      </c>
      <c r="K158" s="107" t="str">
        <f>IF(A158="","",J158*W158)</f>
        <v/>
      </c>
      <c r="L158" s="108" t="str">
        <f>IF(A158="","",IF($K$6&gt;0,K158/$K$6,0))</f>
        <v/>
      </c>
      <c r="M158" s="109" t="str">
        <f>IF(A158="","",N(F158)-L158)</f>
        <v/>
      </c>
      <c r="N158" s="108" t="str">
        <f>IF(A158="","",IF($AB$6&gt;0,AB158/$AB$6,0))</f>
        <v/>
      </c>
      <c r="O158" s="110" t="str">
        <f>IF(A158="","",IF(AB158&lt;=0,"",COUNTIF($AB$9:$AB$208,"&gt;"&amp;AB158)+COUNTIF($AB$9:AB158,AB158)))</f>
        <v/>
      </c>
      <c r="P158" s="105" t="str">
        <f>IF(A158="","",IF(Q158&gt;0,"BUY","HOLD"))</f>
        <v/>
      </c>
      <c r="Q158" s="107" t="str">
        <f>IF(A158="","",IF($W$7&lt;=0,0,IF($AC$6&gt;0,$W$7*AC158/$AC$6,IF($F$6&gt;0,$W$7*N(F158)/$F$6,0))))</f>
        <v/>
      </c>
      <c r="R158" s="111" t="str">
        <f>IF(A158="","",N(AD158)+IF(AI158=1,N(AG158),0))</f>
        <v/>
      </c>
      <c r="S158" s="111" t="str">
        <f>IF(A158="","",N(E158)+N(R158))</f>
        <v/>
      </c>
      <c r="T158" s="107" t="str">
        <f>IF(A158="","",IF(N(R158)&gt;0,R158*H158*W158*$W$6+p_CorrFixa,0))</f>
        <v/>
      </c>
      <c r="V158" s="85" t="str">
        <f>IF(A158="","",IF(D158="",$W$1,D158))</f>
        <v/>
      </c>
      <c r="W158" s="85" t="str">
        <f>IF(A158="","",IFERROR(INDEX(moeda_fx,MATCH(V158,moeda_cod,0)),0))</f>
        <v/>
      </c>
      <c r="X158" s="85" t="str">
        <f>IF(A158="","",IF($W$2="",UPPER(TRIM(A158)),IF(RIGHT(UPPER(TRIM(A158)),LEN($W$2))=$W$2,UPPER(TRIM(A158)),UPPER(TRIM(A158))&amp;$W$2)))</f>
        <v/>
      </c>
      <c r="Y158" s="85" t="str">
        <f>IF(OR(A158="",p_ModoCot&lt;&gt;"Automático"),"",IFERROR(_xlfn.WEBSERVICE("https://query1.finance.yahoo.com/v8/finance/chart/"&amp;X158&amp;"?range=1d&amp;interval=1d"),""))</f>
        <v/>
      </c>
      <c r="Z158" s="85" t="str">
        <f>IF(Y158="","",IFERROR(_xlfn.NUMBERVALUE(MID(Y158,SEARCH("""regularMarketPrice"":",Y158)+21,SEARCH(",",Y158&amp;",",SEARCH("""regularMarketPrice"":",Y158)+21)-SEARCH("""regularMarketPrice"":",Y158)-21),".",","),""))</f>
        <v/>
      </c>
      <c r="AA158" s="85" t="str">
        <f>IF(A158="","",ROUND(MAX(0,N(F158)*($K$6+$W$7)-K158),2))</f>
        <v/>
      </c>
      <c r="AB158" s="85" t="str">
        <f>IF(A158="","",IF(AND(M158&gt;0,M158&gt;=p_DifMin),AA158,0))</f>
        <v/>
      </c>
      <c r="AC158" s="85" t="str">
        <f>IF(A158="","",IF(AND(AB158&gt;0,N(O158)&lt;=p_MaxAtivos),AB158,0))</f>
        <v/>
      </c>
      <c r="AD158" s="85" t="str">
        <f>IF(A158="","",IF(OR(Q158&lt;=0,Q158&lt;p_CompraMin,N(H158)&lt;=0,N(W158)&lt;=0),0,IF($W$3="Sim",TRUNC(ROUND(MAX(0,(Q158-p_CorrFixa)/(H158*W158*$W$6)),9),$W$4),TRUNC(ROUND(MAX(0,(Q158-p_CorrFixa)/(H158*W158*$W$6)),9)/$W$5)*$W$5)))</f>
        <v/>
      </c>
      <c r="AE158" s="85" t="str">
        <f>IF(A158="","",IF(N(AD158)&gt;0,AD158*H158*W158*$W$6+p_CorrFixa,0))</f>
        <v/>
      </c>
      <c r="AF158" s="85" t="str">
        <f>IF(A158="","",IF(OR($Y$1&lt;=0,N(H158)&lt;=0,N(W158)&lt;=0,N(AB158)&lt;=0),0,IF($W$3="Sim",TRUNC(ROUND(MAX(0,($Y$1-IF(N(AD158)&gt;0,0,p_CorrFixa))/(H158*W158*$W$6)),9),$W$4),TRUNC(ROUND(MAX(0,($Y$1-IF(N(AD158)&gt;0,0,p_CorrFixa))/(H158*W158*$W$6)),9)/$W$5)*$W$5)))</f>
        <v/>
      </c>
      <c r="AG158" s="85" t="str">
        <f>IF(A158="","",IF(AND(N(AD158)=0,N(AF158)*(H158*W158*$W$6)+p_CorrFixa&lt;p_CompraMin),0,AF158))</f>
        <v/>
      </c>
      <c r="AH158" s="85" t="str">
        <f>IF(A158="","",IF(N(AG158)&gt;0,AB158,0))</f>
        <v/>
      </c>
      <c r="AI158" s="85" t="str">
        <f>IF(A158="","",IF(AND(AH158&gt;0,AH158=$AH$6,COUNTIF($AH$9:AH158,AH158)=1),1,0))</f>
        <v/>
      </c>
    </row>
    <row r="159">
      <c r="A159" s="96" t="n"/>
      <c r="B159" s="96" t="n"/>
      <c r="C159" s="96" t="n"/>
      <c r="D159" s="97" t="n"/>
      <c r="E159" s="98" t="n"/>
      <c r="F159" s="99" t="n"/>
      <c r="G159" s="100" t="n"/>
      <c r="H159" s="101" t="str">
        <f>IF(A159="","",IF(AND(p_ModoCot="Automático",ISNUMBER(Z159)),Z159,IF(N(G159)&gt;0,G159,0)))</f>
        <v/>
      </c>
      <c r="I159" s="73" t="str">
        <f>IF(A159="","",IF(W159=0,"Sem câmbio",IF(AND(p_ModoCot="Automático",ISNUMBER(Z159)),"Auto",IF(N(G159)&gt;0,"Manual","Sem cotação"))))</f>
        <v/>
      </c>
      <c r="J159" s="102" t="str">
        <f>IF(A159="","",N(E159)*H159)</f>
        <v/>
      </c>
      <c r="K159" s="70" t="str">
        <f>IF(A159="","",J159*W159)</f>
        <v/>
      </c>
      <c r="L159" s="30" t="str">
        <f>IF(A159="","",IF($K$6&gt;0,K159/$K$6,0))</f>
        <v/>
      </c>
      <c r="M159" s="72" t="str">
        <f>IF(A159="","",N(F159)-L159)</f>
        <v/>
      </c>
      <c r="N159" s="30" t="str">
        <f>IF(A159="","",IF($AB$6&gt;0,AB159/$AB$6,0))</f>
        <v/>
      </c>
      <c r="O159" s="74" t="str">
        <f>IF(A159="","",IF(AB159&lt;=0,"",COUNTIF($AB$9:$AB$208,"&gt;"&amp;AB159)+COUNTIF($AB$9:AB159,AB159)))</f>
        <v/>
      </c>
      <c r="P159" s="73" t="str">
        <f>IF(A159="","",IF(Q159&gt;0,"BUY","HOLD"))</f>
        <v/>
      </c>
      <c r="Q159" s="70" t="str">
        <f>IF(A159="","",IF($W$7&lt;=0,0,IF($AC$6&gt;0,$W$7*AC159/$AC$6,IF($F$6&gt;0,$W$7*N(F159)/$F$6,0))))</f>
        <v/>
      </c>
      <c r="R159" s="103" t="str">
        <f>IF(A159="","",N(AD159)+IF(AI159=1,N(AG159),0))</f>
        <v/>
      </c>
      <c r="S159" s="103" t="str">
        <f>IF(A159="","",N(E159)+N(R159))</f>
        <v/>
      </c>
      <c r="T159" s="70" t="str">
        <f>IF(A159="","",IF(N(R159)&gt;0,R159*H159*W159*$W$6+p_CorrFixa,0))</f>
        <v/>
      </c>
      <c r="V159" s="85" t="str">
        <f>IF(A159="","",IF(D159="",$W$1,D159))</f>
        <v/>
      </c>
      <c r="W159" s="85" t="str">
        <f>IF(A159="","",IFERROR(INDEX(moeda_fx,MATCH(V159,moeda_cod,0)),0))</f>
        <v/>
      </c>
      <c r="X159" s="85" t="str">
        <f>IF(A159="","",IF($W$2="",UPPER(TRIM(A159)),IF(RIGHT(UPPER(TRIM(A159)),LEN($W$2))=$W$2,UPPER(TRIM(A159)),UPPER(TRIM(A159))&amp;$W$2)))</f>
        <v/>
      </c>
      <c r="Y159" s="85" t="str">
        <f>IF(OR(A159="",p_ModoCot&lt;&gt;"Automático"),"",IFERROR(_xlfn.WEBSERVICE("https://query1.finance.yahoo.com/v8/finance/chart/"&amp;X159&amp;"?range=1d&amp;interval=1d"),""))</f>
        <v/>
      </c>
      <c r="Z159" s="85" t="str">
        <f>IF(Y159="","",IFERROR(_xlfn.NUMBERVALUE(MID(Y159,SEARCH("""regularMarketPrice"":",Y159)+21,SEARCH(",",Y159&amp;",",SEARCH("""regularMarketPrice"":",Y159)+21)-SEARCH("""regularMarketPrice"":",Y159)-21),".",","),""))</f>
        <v/>
      </c>
      <c r="AA159" s="85" t="str">
        <f>IF(A159="","",ROUND(MAX(0,N(F159)*($K$6+$W$7)-K159),2))</f>
        <v/>
      </c>
      <c r="AB159" s="85" t="str">
        <f>IF(A159="","",IF(AND(M159&gt;0,M159&gt;=p_DifMin),AA159,0))</f>
        <v/>
      </c>
      <c r="AC159" s="85" t="str">
        <f>IF(A159="","",IF(AND(AB159&gt;0,N(O159)&lt;=p_MaxAtivos),AB159,0))</f>
        <v/>
      </c>
      <c r="AD159" s="85" t="str">
        <f>IF(A159="","",IF(OR(Q159&lt;=0,Q159&lt;p_CompraMin,N(H159)&lt;=0,N(W159)&lt;=0),0,IF($W$3="Sim",TRUNC(ROUND(MAX(0,(Q159-p_CorrFixa)/(H159*W159*$W$6)),9),$W$4),TRUNC(ROUND(MAX(0,(Q159-p_CorrFixa)/(H159*W159*$W$6)),9)/$W$5)*$W$5)))</f>
        <v/>
      </c>
      <c r="AE159" s="85" t="str">
        <f>IF(A159="","",IF(N(AD159)&gt;0,AD159*H159*W159*$W$6+p_CorrFixa,0))</f>
        <v/>
      </c>
      <c r="AF159" s="85" t="str">
        <f>IF(A159="","",IF(OR($Y$1&lt;=0,N(H159)&lt;=0,N(W159)&lt;=0,N(AB159)&lt;=0),0,IF($W$3="Sim",TRUNC(ROUND(MAX(0,($Y$1-IF(N(AD159)&gt;0,0,p_CorrFixa))/(H159*W159*$W$6)),9),$W$4),TRUNC(ROUND(MAX(0,($Y$1-IF(N(AD159)&gt;0,0,p_CorrFixa))/(H159*W159*$W$6)),9)/$W$5)*$W$5)))</f>
        <v/>
      </c>
      <c r="AG159" s="85" t="str">
        <f>IF(A159="","",IF(AND(N(AD159)=0,N(AF159)*(H159*W159*$W$6)+p_CorrFixa&lt;p_CompraMin),0,AF159))</f>
        <v/>
      </c>
      <c r="AH159" s="85" t="str">
        <f>IF(A159="","",IF(N(AG159)&gt;0,AB159,0))</f>
        <v/>
      </c>
      <c r="AI159" s="85" t="str">
        <f>IF(A159="","",IF(AND(AH159&gt;0,AH159=$AH$6,COUNTIF($AH$9:AH159,AH159)=1),1,0))</f>
        <v/>
      </c>
    </row>
    <row r="160">
      <c r="A160" s="96" t="n"/>
      <c r="B160" s="96" t="n"/>
      <c r="C160" s="96" t="n"/>
      <c r="D160" s="97" t="n"/>
      <c r="E160" s="98" t="n"/>
      <c r="F160" s="99" t="n"/>
      <c r="G160" s="100" t="n"/>
      <c r="H160" s="104" t="str">
        <f>IF(A160="","",IF(AND(p_ModoCot="Automático",ISNUMBER(Z160)),Z160,IF(N(G160)&gt;0,G160,0)))</f>
        <v/>
      </c>
      <c r="I160" s="105" t="str">
        <f>IF(A160="","",IF(W160=0,"Sem câmbio",IF(AND(p_ModoCot="Automático",ISNUMBER(Z160)),"Auto",IF(N(G160)&gt;0,"Manual","Sem cotação"))))</f>
        <v/>
      </c>
      <c r="J160" s="106" t="str">
        <f>IF(A160="","",N(E160)*H160)</f>
        <v/>
      </c>
      <c r="K160" s="107" t="str">
        <f>IF(A160="","",J160*W160)</f>
        <v/>
      </c>
      <c r="L160" s="108" t="str">
        <f>IF(A160="","",IF($K$6&gt;0,K160/$K$6,0))</f>
        <v/>
      </c>
      <c r="M160" s="109" t="str">
        <f>IF(A160="","",N(F160)-L160)</f>
        <v/>
      </c>
      <c r="N160" s="108" t="str">
        <f>IF(A160="","",IF($AB$6&gt;0,AB160/$AB$6,0))</f>
        <v/>
      </c>
      <c r="O160" s="110" t="str">
        <f>IF(A160="","",IF(AB160&lt;=0,"",COUNTIF($AB$9:$AB$208,"&gt;"&amp;AB160)+COUNTIF($AB$9:AB160,AB160)))</f>
        <v/>
      </c>
      <c r="P160" s="105" t="str">
        <f>IF(A160="","",IF(Q160&gt;0,"BUY","HOLD"))</f>
        <v/>
      </c>
      <c r="Q160" s="107" t="str">
        <f>IF(A160="","",IF($W$7&lt;=0,0,IF($AC$6&gt;0,$W$7*AC160/$AC$6,IF($F$6&gt;0,$W$7*N(F160)/$F$6,0))))</f>
        <v/>
      </c>
      <c r="R160" s="111" t="str">
        <f>IF(A160="","",N(AD160)+IF(AI160=1,N(AG160),0))</f>
        <v/>
      </c>
      <c r="S160" s="111" t="str">
        <f>IF(A160="","",N(E160)+N(R160))</f>
        <v/>
      </c>
      <c r="T160" s="107" t="str">
        <f>IF(A160="","",IF(N(R160)&gt;0,R160*H160*W160*$W$6+p_CorrFixa,0))</f>
        <v/>
      </c>
      <c r="V160" s="85" t="str">
        <f>IF(A160="","",IF(D160="",$W$1,D160))</f>
        <v/>
      </c>
      <c r="W160" s="85" t="str">
        <f>IF(A160="","",IFERROR(INDEX(moeda_fx,MATCH(V160,moeda_cod,0)),0))</f>
        <v/>
      </c>
      <c r="X160" s="85" t="str">
        <f>IF(A160="","",IF($W$2="",UPPER(TRIM(A160)),IF(RIGHT(UPPER(TRIM(A160)),LEN($W$2))=$W$2,UPPER(TRIM(A160)),UPPER(TRIM(A160))&amp;$W$2)))</f>
        <v/>
      </c>
      <c r="Y160" s="85" t="str">
        <f>IF(OR(A160="",p_ModoCot&lt;&gt;"Automático"),"",IFERROR(_xlfn.WEBSERVICE("https://query1.finance.yahoo.com/v8/finance/chart/"&amp;X160&amp;"?range=1d&amp;interval=1d"),""))</f>
        <v/>
      </c>
      <c r="Z160" s="85" t="str">
        <f>IF(Y160="","",IFERROR(_xlfn.NUMBERVALUE(MID(Y160,SEARCH("""regularMarketPrice"":",Y160)+21,SEARCH(",",Y160&amp;",",SEARCH("""regularMarketPrice"":",Y160)+21)-SEARCH("""regularMarketPrice"":",Y160)-21),".",","),""))</f>
        <v/>
      </c>
      <c r="AA160" s="85" t="str">
        <f>IF(A160="","",ROUND(MAX(0,N(F160)*($K$6+$W$7)-K160),2))</f>
        <v/>
      </c>
      <c r="AB160" s="85" t="str">
        <f>IF(A160="","",IF(AND(M160&gt;0,M160&gt;=p_DifMin),AA160,0))</f>
        <v/>
      </c>
      <c r="AC160" s="85" t="str">
        <f>IF(A160="","",IF(AND(AB160&gt;0,N(O160)&lt;=p_MaxAtivos),AB160,0))</f>
        <v/>
      </c>
      <c r="AD160" s="85" t="str">
        <f>IF(A160="","",IF(OR(Q160&lt;=0,Q160&lt;p_CompraMin,N(H160)&lt;=0,N(W160)&lt;=0),0,IF($W$3="Sim",TRUNC(ROUND(MAX(0,(Q160-p_CorrFixa)/(H160*W160*$W$6)),9),$W$4),TRUNC(ROUND(MAX(0,(Q160-p_CorrFixa)/(H160*W160*$W$6)),9)/$W$5)*$W$5)))</f>
        <v/>
      </c>
      <c r="AE160" s="85" t="str">
        <f>IF(A160="","",IF(N(AD160)&gt;0,AD160*H160*W160*$W$6+p_CorrFixa,0))</f>
        <v/>
      </c>
      <c r="AF160" s="85" t="str">
        <f>IF(A160="","",IF(OR($Y$1&lt;=0,N(H160)&lt;=0,N(W160)&lt;=0,N(AB160)&lt;=0),0,IF($W$3="Sim",TRUNC(ROUND(MAX(0,($Y$1-IF(N(AD160)&gt;0,0,p_CorrFixa))/(H160*W160*$W$6)),9),$W$4),TRUNC(ROUND(MAX(0,($Y$1-IF(N(AD160)&gt;0,0,p_CorrFixa))/(H160*W160*$W$6)),9)/$W$5)*$W$5)))</f>
        <v/>
      </c>
      <c r="AG160" s="85" t="str">
        <f>IF(A160="","",IF(AND(N(AD160)=0,N(AF160)*(H160*W160*$W$6)+p_CorrFixa&lt;p_CompraMin),0,AF160))</f>
        <v/>
      </c>
      <c r="AH160" s="85" t="str">
        <f>IF(A160="","",IF(N(AG160)&gt;0,AB160,0))</f>
        <v/>
      </c>
      <c r="AI160" s="85" t="str">
        <f>IF(A160="","",IF(AND(AH160&gt;0,AH160=$AH$6,COUNTIF($AH$9:AH160,AH160)=1),1,0))</f>
        <v/>
      </c>
    </row>
    <row r="161">
      <c r="A161" s="96" t="n"/>
      <c r="B161" s="96" t="n"/>
      <c r="C161" s="96" t="n"/>
      <c r="D161" s="97" t="n"/>
      <c r="E161" s="98" t="n"/>
      <c r="F161" s="99" t="n"/>
      <c r="G161" s="100" t="n"/>
      <c r="H161" s="101" t="str">
        <f>IF(A161="","",IF(AND(p_ModoCot="Automático",ISNUMBER(Z161)),Z161,IF(N(G161)&gt;0,G161,0)))</f>
        <v/>
      </c>
      <c r="I161" s="73" t="str">
        <f>IF(A161="","",IF(W161=0,"Sem câmbio",IF(AND(p_ModoCot="Automático",ISNUMBER(Z161)),"Auto",IF(N(G161)&gt;0,"Manual","Sem cotação"))))</f>
        <v/>
      </c>
      <c r="J161" s="102" t="str">
        <f>IF(A161="","",N(E161)*H161)</f>
        <v/>
      </c>
      <c r="K161" s="70" t="str">
        <f>IF(A161="","",J161*W161)</f>
        <v/>
      </c>
      <c r="L161" s="30" t="str">
        <f>IF(A161="","",IF($K$6&gt;0,K161/$K$6,0))</f>
        <v/>
      </c>
      <c r="M161" s="72" t="str">
        <f>IF(A161="","",N(F161)-L161)</f>
        <v/>
      </c>
      <c r="N161" s="30" t="str">
        <f>IF(A161="","",IF($AB$6&gt;0,AB161/$AB$6,0))</f>
        <v/>
      </c>
      <c r="O161" s="74" t="str">
        <f>IF(A161="","",IF(AB161&lt;=0,"",COUNTIF($AB$9:$AB$208,"&gt;"&amp;AB161)+COUNTIF($AB$9:AB161,AB161)))</f>
        <v/>
      </c>
      <c r="P161" s="73" t="str">
        <f>IF(A161="","",IF(Q161&gt;0,"BUY","HOLD"))</f>
        <v/>
      </c>
      <c r="Q161" s="70" t="str">
        <f>IF(A161="","",IF($W$7&lt;=0,0,IF($AC$6&gt;0,$W$7*AC161/$AC$6,IF($F$6&gt;0,$W$7*N(F161)/$F$6,0))))</f>
        <v/>
      </c>
      <c r="R161" s="103" t="str">
        <f>IF(A161="","",N(AD161)+IF(AI161=1,N(AG161),0))</f>
        <v/>
      </c>
      <c r="S161" s="103" t="str">
        <f>IF(A161="","",N(E161)+N(R161))</f>
        <v/>
      </c>
      <c r="T161" s="70" t="str">
        <f>IF(A161="","",IF(N(R161)&gt;0,R161*H161*W161*$W$6+p_CorrFixa,0))</f>
        <v/>
      </c>
      <c r="V161" s="85" t="str">
        <f>IF(A161="","",IF(D161="",$W$1,D161))</f>
        <v/>
      </c>
      <c r="W161" s="85" t="str">
        <f>IF(A161="","",IFERROR(INDEX(moeda_fx,MATCH(V161,moeda_cod,0)),0))</f>
        <v/>
      </c>
      <c r="X161" s="85" t="str">
        <f>IF(A161="","",IF($W$2="",UPPER(TRIM(A161)),IF(RIGHT(UPPER(TRIM(A161)),LEN($W$2))=$W$2,UPPER(TRIM(A161)),UPPER(TRIM(A161))&amp;$W$2)))</f>
        <v/>
      </c>
      <c r="Y161" s="85" t="str">
        <f>IF(OR(A161="",p_ModoCot&lt;&gt;"Automático"),"",IFERROR(_xlfn.WEBSERVICE("https://query1.finance.yahoo.com/v8/finance/chart/"&amp;X161&amp;"?range=1d&amp;interval=1d"),""))</f>
        <v/>
      </c>
      <c r="Z161" s="85" t="str">
        <f>IF(Y161="","",IFERROR(_xlfn.NUMBERVALUE(MID(Y161,SEARCH("""regularMarketPrice"":",Y161)+21,SEARCH(",",Y161&amp;",",SEARCH("""regularMarketPrice"":",Y161)+21)-SEARCH("""regularMarketPrice"":",Y161)-21),".",","),""))</f>
        <v/>
      </c>
      <c r="AA161" s="85" t="str">
        <f>IF(A161="","",ROUND(MAX(0,N(F161)*($K$6+$W$7)-K161),2))</f>
        <v/>
      </c>
      <c r="AB161" s="85" t="str">
        <f>IF(A161="","",IF(AND(M161&gt;0,M161&gt;=p_DifMin),AA161,0))</f>
        <v/>
      </c>
      <c r="AC161" s="85" t="str">
        <f>IF(A161="","",IF(AND(AB161&gt;0,N(O161)&lt;=p_MaxAtivos),AB161,0))</f>
        <v/>
      </c>
      <c r="AD161" s="85" t="str">
        <f>IF(A161="","",IF(OR(Q161&lt;=0,Q161&lt;p_CompraMin,N(H161)&lt;=0,N(W161)&lt;=0),0,IF($W$3="Sim",TRUNC(ROUND(MAX(0,(Q161-p_CorrFixa)/(H161*W161*$W$6)),9),$W$4),TRUNC(ROUND(MAX(0,(Q161-p_CorrFixa)/(H161*W161*$W$6)),9)/$W$5)*$W$5)))</f>
        <v/>
      </c>
      <c r="AE161" s="85" t="str">
        <f>IF(A161="","",IF(N(AD161)&gt;0,AD161*H161*W161*$W$6+p_CorrFixa,0))</f>
        <v/>
      </c>
      <c r="AF161" s="85" t="str">
        <f>IF(A161="","",IF(OR($Y$1&lt;=0,N(H161)&lt;=0,N(W161)&lt;=0,N(AB161)&lt;=0),0,IF($W$3="Sim",TRUNC(ROUND(MAX(0,($Y$1-IF(N(AD161)&gt;0,0,p_CorrFixa))/(H161*W161*$W$6)),9),$W$4),TRUNC(ROUND(MAX(0,($Y$1-IF(N(AD161)&gt;0,0,p_CorrFixa))/(H161*W161*$W$6)),9)/$W$5)*$W$5)))</f>
        <v/>
      </c>
      <c r="AG161" s="85" t="str">
        <f>IF(A161="","",IF(AND(N(AD161)=0,N(AF161)*(H161*W161*$W$6)+p_CorrFixa&lt;p_CompraMin),0,AF161))</f>
        <v/>
      </c>
      <c r="AH161" s="85" t="str">
        <f>IF(A161="","",IF(N(AG161)&gt;0,AB161,0))</f>
        <v/>
      </c>
      <c r="AI161" s="85" t="str">
        <f>IF(A161="","",IF(AND(AH161&gt;0,AH161=$AH$6,COUNTIF($AH$9:AH161,AH161)=1),1,0))</f>
        <v/>
      </c>
    </row>
    <row r="162">
      <c r="A162" s="96" t="n"/>
      <c r="B162" s="96" t="n"/>
      <c r="C162" s="96" t="n"/>
      <c r="D162" s="97" t="n"/>
      <c r="E162" s="98" t="n"/>
      <c r="F162" s="99" t="n"/>
      <c r="G162" s="100" t="n"/>
      <c r="H162" s="104" t="str">
        <f>IF(A162="","",IF(AND(p_ModoCot="Automático",ISNUMBER(Z162)),Z162,IF(N(G162)&gt;0,G162,0)))</f>
        <v/>
      </c>
      <c r="I162" s="105" t="str">
        <f>IF(A162="","",IF(W162=0,"Sem câmbio",IF(AND(p_ModoCot="Automático",ISNUMBER(Z162)),"Auto",IF(N(G162)&gt;0,"Manual","Sem cotação"))))</f>
        <v/>
      </c>
      <c r="J162" s="106" t="str">
        <f>IF(A162="","",N(E162)*H162)</f>
        <v/>
      </c>
      <c r="K162" s="107" t="str">
        <f>IF(A162="","",J162*W162)</f>
        <v/>
      </c>
      <c r="L162" s="108" t="str">
        <f>IF(A162="","",IF($K$6&gt;0,K162/$K$6,0))</f>
        <v/>
      </c>
      <c r="M162" s="109" t="str">
        <f>IF(A162="","",N(F162)-L162)</f>
        <v/>
      </c>
      <c r="N162" s="108" t="str">
        <f>IF(A162="","",IF($AB$6&gt;0,AB162/$AB$6,0))</f>
        <v/>
      </c>
      <c r="O162" s="110" t="str">
        <f>IF(A162="","",IF(AB162&lt;=0,"",COUNTIF($AB$9:$AB$208,"&gt;"&amp;AB162)+COUNTIF($AB$9:AB162,AB162)))</f>
        <v/>
      </c>
      <c r="P162" s="105" t="str">
        <f>IF(A162="","",IF(Q162&gt;0,"BUY","HOLD"))</f>
        <v/>
      </c>
      <c r="Q162" s="107" t="str">
        <f>IF(A162="","",IF($W$7&lt;=0,0,IF($AC$6&gt;0,$W$7*AC162/$AC$6,IF($F$6&gt;0,$W$7*N(F162)/$F$6,0))))</f>
        <v/>
      </c>
      <c r="R162" s="111" t="str">
        <f>IF(A162="","",N(AD162)+IF(AI162=1,N(AG162),0))</f>
        <v/>
      </c>
      <c r="S162" s="111" t="str">
        <f>IF(A162="","",N(E162)+N(R162))</f>
        <v/>
      </c>
      <c r="T162" s="107" t="str">
        <f>IF(A162="","",IF(N(R162)&gt;0,R162*H162*W162*$W$6+p_CorrFixa,0))</f>
        <v/>
      </c>
      <c r="V162" s="85" t="str">
        <f>IF(A162="","",IF(D162="",$W$1,D162))</f>
        <v/>
      </c>
      <c r="W162" s="85" t="str">
        <f>IF(A162="","",IFERROR(INDEX(moeda_fx,MATCH(V162,moeda_cod,0)),0))</f>
        <v/>
      </c>
      <c r="X162" s="85" t="str">
        <f>IF(A162="","",IF($W$2="",UPPER(TRIM(A162)),IF(RIGHT(UPPER(TRIM(A162)),LEN($W$2))=$W$2,UPPER(TRIM(A162)),UPPER(TRIM(A162))&amp;$W$2)))</f>
        <v/>
      </c>
      <c r="Y162" s="85" t="str">
        <f>IF(OR(A162="",p_ModoCot&lt;&gt;"Automático"),"",IFERROR(_xlfn.WEBSERVICE("https://query1.finance.yahoo.com/v8/finance/chart/"&amp;X162&amp;"?range=1d&amp;interval=1d"),""))</f>
        <v/>
      </c>
      <c r="Z162" s="85" t="str">
        <f>IF(Y162="","",IFERROR(_xlfn.NUMBERVALUE(MID(Y162,SEARCH("""regularMarketPrice"":",Y162)+21,SEARCH(",",Y162&amp;",",SEARCH("""regularMarketPrice"":",Y162)+21)-SEARCH("""regularMarketPrice"":",Y162)-21),".",","),""))</f>
        <v/>
      </c>
      <c r="AA162" s="85" t="str">
        <f>IF(A162="","",ROUND(MAX(0,N(F162)*($K$6+$W$7)-K162),2))</f>
        <v/>
      </c>
      <c r="AB162" s="85" t="str">
        <f>IF(A162="","",IF(AND(M162&gt;0,M162&gt;=p_DifMin),AA162,0))</f>
        <v/>
      </c>
      <c r="AC162" s="85" t="str">
        <f>IF(A162="","",IF(AND(AB162&gt;0,N(O162)&lt;=p_MaxAtivos),AB162,0))</f>
        <v/>
      </c>
      <c r="AD162" s="85" t="str">
        <f>IF(A162="","",IF(OR(Q162&lt;=0,Q162&lt;p_CompraMin,N(H162)&lt;=0,N(W162)&lt;=0),0,IF($W$3="Sim",TRUNC(ROUND(MAX(0,(Q162-p_CorrFixa)/(H162*W162*$W$6)),9),$W$4),TRUNC(ROUND(MAX(0,(Q162-p_CorrFixa)/(H162*W162*$W$6)),9)/$W$5)*$W$5)))</f>
        <v/>
      </c>
      <c r="AE162" s="85" t="str">
        <f>IF(A162="","",IF(N(AD162)&gt;0,AD162*H162*W162*$W$6+p_CorrFixa,0))</f>
        <v/>
      </c>
      <c r="AF162" s="85" t="str">
        <f>IF(A162="","",IF(OR($Y$1&lt;=0,N(H162)&lt;=0,N(W162)&lt;=0,N(AB162)&lt;=0),0,IF($W$3="Sim",TRUNC(ROUND(MAX(0,($Y$1-IF(N(AD162)&gt;0,0,p_CorrFixa))/(H162*W162*$W$6)),9),$W$4),TRUNC(ROUND(MAX(0,($Y$1-IF(N(AD162)&gt;0,0,p_CorrFixa))/(H162*W162*$W$6)),9)/$W$5)*$W$5)))</f>
        <v/>
      </c>
      <c r="AG162" s="85" t="str">
        <f>IF(A162="","",IF(AND(N(AD162)=0,N(AF162)*(H162*W162*$W$6)+p_CorrFixa&lt;p_CompraMin),0,AF162))</f>
        <v/>
      </c>
      <c r="AH162" s="85" t="str">
        <f>IF(A162="","",IF(N(AG162)&gt;0,AB162,0))</f>
        <v/>
      </c>
      <c r="AI162" s="85" t="str">
        <f>IF(A162="","",IF(AND(AH162&gt;0,AH162=$AH$6,COUNTIF($AH$9:AH162,AH162)=1),1,0))</f>
        <v/>
      </c>
    </row>
    <row r="163">
      <c r="A163" s="96" t="n"/>
      <c r="B163" s="96" t="n"/>
      <c r="C163" s="96" t="n"/>
      <c r="D163" s="97" t="n"/>
      <c r="E163" s="98" t="n"/>
      <c r="F163" s="99" t="n"/>
      <c r="G163" s="100" t="n"/>
      <c r="H163" s="101" t="str">
        <f>IF(A163="","",IF(AND(p_ModoCot="Automático",ISNUMBER(Z163)),Z163,IF(N(G163)&gt;0,G163,0)))</f>
        <v/>
      </c>
      <c r="I163" s="73" t="str">
        <f>IF(A163="","",IF(W163=0,"Sem câmbio",IF(AND(p_ModoCot="Automático",ISNUMBER(Z163)),"Auto",IF(N(G163)&gt;0,"Manual","Sem cotação"))))</f>
        <v/>
      </c>
      <c r="J163" s="102" t="str">
        <f>IF(A163="","",N(E163)*H163)</f>
        <v/>
      </c>
      <c r="K163" s="70" t="str">
        <f>IF(A163="","",J163*W163)</f>
        <v/>
      </c>
      <c r="L163" s="30" t="str">
        <f>IF(A163="","",IF($K$6&gt;0,K163/$K$6,0))</f>
        <v/>
      </c>
      <c r="M163" s="72" t="str">
        <f>IF(A163="","",N(F163)-L163)</f>
        <v/>
      </c>
      <c r="N163" s="30" t="str">
        <f>IF(A163="","",IF($AB$6&gt;0,AB163/$AB$6,0))</f>
        <v/>
      </c>
      <c r="O163" s="74" t="str">
        <f>IF(A163="","",IF(AB163&lt;=0,"",COUNTIF($AB$9:$AB$208,"&gt;"&amp;AB163)+COUNTIF($AB$9:AB163,AB163)))</f>
        <v/>
      </c>
      <c r="P163" s="73" t="str">
        <f>IF(A163="","",IF(Q163&gt;0,"BUY","HOLD"))</f>
        <v/>
      </c>
      <c r="Q163" s="70" t="str">
        <f>IF(A163="","",IF($W$7&lt;=0,0,IF($AC$6&gt;0,$W$7*AC163/$AC$6,IF($F$6&gt;0,$W$7*N(F163)/$F$6,0))))</f>
        <v/>
      </c>
      <c r="R163" s="103" t="str">
        <f>IF(A163="","",N(AD163)+IF(AI163=1,N(AG163),0))</f>
        <v/>
      </c>
      <c r="S163" s="103" t="str">
        <f>IF(A163="","",N(E163)+N(R163))</f>
        <v/>
      </c>
      <c r="T163" s="70" t="str">
        <f>IF(A163="","",IF(N(R163)&gt;0,R163*H163*W163*$W$6+p_CorrFixa,0))</f>
        <v/>
      </c>
      <c r="V163" s="85" t="str">
        <f>IF(A163="","",IF(D163="",$W$1,D163))</f>
        <v/>
      </c>
      <c r="W163" s="85" t="str">
        <f>IF(A163="","",IFERROR(INDEX(moeda_fx,MATCH(V163,moeda_cod,0)),0))</f>
        <v/>
      </c>
      <c r="X163" s="85" t="str">
        <f>IF(A163="","",IF($W$2="",UPPER(TRIM(A163)),IF(RIGHT(UPPER(TRIM(A163)),LEN($W$2))=$W$2,UPPER(TRIM(A163)),UPPER(TRIM(A163))&amp;$W$2)))</f>
        <v/>
      </c>
      <c r="Y163" s="85" t="str">
        <f>IF(OR(A163="",p_ModoCot&lt;&gt;"Automático"),"",IFERROR(_xlfn.WEBSERVICE("https://query1.finance.yahoo.com/v8/finance/chart/"&amp;X163&amp;"?range=1d&amp;interval=1d"),""))</f>
        <v/>
      </c>
      <c r="Z163" s="85" t="str">
        <f>IF(Y163="","",IFERROR(_xlfn.NUMBERVALUE(MID(Y163,SEARCH("""regularMarketPrice"":",Y163)+21,SEARCH(",",Y163&amp;",",SEARCH("""regularMarketPrice"":",Y163)+21)-SEARCH("""regularMarketPrice"":",Y163)-21),".",","),""))</f>
        <v/>
      </c>
      <c r="AA163" s="85" t="str">
        <f>IF(A163="","",ROUND(MAX(0,N(F163)*($K$6+$W$7)-K163),2))</f>
        <v/>
      </c>
      <c r="AB163" s="85" t="str">
        <f>IF(A163="","",IF(AND(M163&gt;0,M163&gt;=p_DifMin),AA163,0))</f>
        <v/>
      </c>
      <c r="AC163" s="85" t="str">
        <f>IF(A163="","",IF(AND(AB163&gt;0,N(O163)&lt;=p_MaxAtivos),AB163,0))</f>
        <v/>
      </c>
      <c r="AD163" s="85" t="str">
        <f>IF(A163="","",IF(OR(Q163&lt;=0,Q163&lt;p_CompraMin,N(H163)&lt;=0,N(W163)&lt;=0),0,IF($W$3="Sim",TRUNC(ROUND(MAX(0,(Q163-p_CorrFixa)/(H163*W163*$W$6)),9),$W$4),TRUNC(ROUND(MAX(0,(Q163-p_CorrFixa)/(H163*W163*$W$6)),9)/$W$5)*$W$5)))</f>
        <v/>
      </c>
      <c r="AE163" s="85" t="str">
        <f>IF(A163="","",IF(N(AD163)&gt;0,AD163*H163*W163*$W$6+p_CorrFixa,0))</f>
        <v/>
      </c>
      <c r="AF163" s="85" t="str">
        <f>IF(A163="","",IF(OR($Y$1&lt;=0,N(H163)&lt;=0,N(W163)&lt;=0,N(AB163)&lt;=0),0,IF($W$3="Sim",TRUNC(ROUND(MAX(0,($Y$1-IF(N(AD163)&gt;0,0,p_CorrFixa))/(H163*W163*$W$6)),9),$W$4),TRUNC(ROUND(MAX(0,($Y$1-IF(N(AD163)&gt;0,0,p_CorrFixa))/(H163*W163*$W$6)),9)/$W$5)*$W$5)))</f>
        <v/>
      </c>
      <c r="AG163" s="85" t="str">
        <f>IF(A163="","",IF(AND(N(AD163)=0,N(AF163)*(H163*W163*$W$6)+p_CorrFixa&lt;p_CompraMin),0,AF163))</f>
        <v/>
      </c>
      <c r="AH163" s="85" t="str">
        <f>IF(A163="","",IF(N(AG163)&gt;0,AB163,0))</f>
        <v/>
      </c>
      <c r="AI163" s="85" t="str">
        <f>IF(A163="","",IF(AND(AH163&gt;0,AH163=$AH$6,COUNTIF($AH$9:AH163,AH163)=1),1,0))</f>
        <v/>
      </c>
    </row>
    <row r="164">
      <c r="A164" s="96" t="n"/>
      <c r="B164" s="96" t="n"/>
      <c r="C164" s="96" t="n"/>
      <c r="D164" s="97" t="n"/>
      <c r="E164" s="98" t="n"/>
      <c r="F164" s="99" t="n"/>
      <c r="G164" s="100" t="n"/>
      <c r="H164" s="104" t="str">
        <f>IF(A164="","",IF(AND(p_ModoCot="Automático",ISNUMBER(Z164)),Z164,IF(N(G164)&gt;0,G164,0)))</f>
        <v/>
      </c>
      <c r="I164" s="105" t="str">
        <f>IF(A164="","",IF(W164=0,"Sem câmbio",IF(AND(p_ModoCot="Automático",ISNUMBER(Z164)),"Auto",IF(N(G164)&gt;0,"Manual","Sem cotação"))))</f>
        <v/>
      </c>
      <c r="J164" s="106" t="str">
        <f>IF(A164="","",N(E164)*H164)</f>
        <v/>
      </c>
      <c r="K164" s="107" t="str">
        <f>IF(A164="","",J164*W164)</f>
        <v/>
      </c>
      <c r="L164" s="108" t="str">
        <f>IF(A164="","",IF($K$6&gt;0,K164/$K$6,0))</f>
        <v/>
      </c>
      <c r="M164" s="109" t="str">
        <f>IF(A164="","",N(F164)-L164)</f>
        <v/>
      </c>
      <c r="N164" s="108" t="str">
        <f>IF(A164="","",IF($AB$6&gt;0,AB164/$AB$6,0))</f>
        <v/>
      </c>
      <c r="O164" s="110" t="str">
        <f>IF(A164="","",IF(AB164&lt;=0,"",COUNTIF($AB$9:$AB$208,"&gt;"&amp;AB164)+COUNTIF($AB$9:AB164,AB164)))</f>
        <v/>
      </c>
      <c r="P164" s="105" t="str">
        <f>IF(A164="","",IF(Q164&gt;0,"BUY","HOLD"))</f>
        <v/>
      </c>
      <c r="Q164" s="107" t="str">
        <f>IF(A164="","",IF($W$7&lt;=0,0,IF($AC$6&gt;0,$W$7*AC164/$AC$6,IF($F$6&gt;0,$W$7*N(F164)/$F$6,0))))</f>
        <v/>
      </c>
      <c r="R164" s="111" t="str">
        <f>IF(A164="","",N(AD164)+IF(AI164=1,N(AG164),0))</f>
        <v/>
      </c>
      <c r="S164" s="111" t="str">
        <f>IF(A164="","",N(E164)+N(R164))</f>
        <v/>
      </c>
      <c r="T164" s="107" t="str">
        <f>IF(A164="","",IF(N(R164)&gt;0,R164*H164*W164*$W$6+p_CorrFixa,0))</f>
        <v/>
      </c>
      <c r="V164" s="85" t="str">
        <f>IF(A164="","",IF(D164="",$W$1,D164))</f>
        <v/>
      </c>
      <c r="W164" s="85" t="str">
        <f>IF(A164="","",IFERROR(INDEX(moeda_fx,MATCH(V164,moeda_cod,0)),0))</f>
        <v/>
      </c>
      <c r="X164" s="85" t="str">
        <f>IF(A164="","",IF($W$2="",UPPER(TRIM(A164)),IF(RIGHT(UPPER(TRIM(A164)),LEN($W$2))=$W$2,UPPER(TRIM(A164)),UPPER(TRIM(A164))&amp;$W$2)))</f>
        <v/>
      </c>
      <c r="Y164" s="85" t="str">
        <f>IF(OR(A164="",p_ModoCot&lt;&gt;"Automático"),"",IFERROR(_xlfn.WEBSERVICE("https://query1.finance.yahoo.com/v8/finance/chart/"&amp;X164&amp;"?range=1d&amp;interval=1d"),""))</f>
        <v/>
      </c>
      <c r="Z164" s="85" t="str">
        <f>IF(Y164="","",IFERROR(_xlfn.NUMBERVALUE(MID(Y164,SEARCH("""regularMarketPrice"":",Y164)+21,SEARCH(",",Y164&amp;",",SEARCH("""regularMarketPrice"":",Y164)+21)-SEARCH("""regularMarketPrice"":",Y164)-21),".",","),""))</f>
        <v/>
      </c>
      <c r="AA164" s="85" t="str">
        <f>IF(A164="","",ROUND(MAX(0,N(F164)*($K$6+$W$7)-K164),2))</f>
        <v/>
      </c>
      <c r="AB164" s="85" t="str">
        <f>IF(A164="","",IF(AND(M164&gt;0,M164&gt;=p_DifMin),AA164,0))</f>
        <v/>
      </c>
      <c r="AC164" s="85" t="str">
        <f>IF(A164="","",IF(AND(AB164&gt;0,N(O164)&lt;=p_MaxAtivos),AB164,0))</f>
        <v/>
      </c>
      <c r="AD164" s="85" t="str">
        <f>IF(A164="","",IF(OR(Q164&lt;=0,Q164&lt;p_CompraMin,N(H164)&lt;=0,N(W164)&lt;=0),0,IF($W$3="Sim",TRUNC(ROUND(MAX(0,(Q164-p_CorrFixa)/(H164*W164*$W$6)),9),$W$4),TRUNC(ROUND(MAX(0,(Q164-p_CorrFixa)/(H164*W164*$W$6)),9)/$W$5)*$W$5)))</f>
        <v/>
      </c>
      <c r="AE164" s="85" t="str">
        <f>IF(A164="","",IF(N(AD164)&gt;0,AD164*H164*W164*$W$6+p_CorrFixa,0))</f>
        <v/>
      </c>
      <c r="AF164" s="85" t="str">
        <f>IF(A164="","",IF(OR($Y$1&lt;=0,N(H164)&lt;=0,N(W164)&lt;=0,N(AB164)&lt;=0),0,IF($W$3="Sim",TRUNC(ROUND(MAX(0,($Y$1-IF(N(AD164)&gt;0,0,p_CorrFixa))/(H164*W164*$W$6)),9),$W$4),TRUNC(ROUND(MAX(0,($Y$1-IF(N(AD164)&gt;0,0,p_CorrFixa))/(H164*W164*$W$6)),9)/$W$5)*$W$5)))</f>
        <v/>
      </c>
      <c r="AG164" s="85" t="str">
        <f>IF(A164="","",IF(AND(N(AD164)=0,N(AF164)*(H164*W164*$W$6)+p_CorrFixa&lt;p_CompraMin),0,AF164))</f>
        <v/>
      </c>
      <c r="AH164" s="85" t="str">
        <f>IF(A164="","",IF(N(AG164)&gt;0,AB164,0))</f>
        <v/>
      </c>
      <c r="AI164" s="85" t="str">
        <f>IF(A164="","",IF(AND(AH164&gt;0,AH164=$AH$6,COUNTIF($AH$9:AH164,AH164)=1),1,0))</f>
        <v/>
      </c>
    </row>
    <row r="165">
      <c r="A165" s="96" t="n"/>
      <c r="B165" s="96" t="n"/>
      <c r="C165" s="96" t="n"/>
      <c r="D165" s="97" t="n"/>
      <c r="E165" s="98" t="n"/>
      <c r="F165" s="99" t="n"/>
      <c r="G165" s="100" t="n"/>
      <c r="H165" s="101" t="str">
        <f>IF(A165="","",IF(AND(p_ModoCot="Automático",ISNUMBER(Z165)),Z165,IF(N(G165)&gt;0,G165,0)))</f>
        <v/>
      </c>
      <c r="I165" s="73" t="str">
        <f>IF(A165="","",IF(W165=0,"Sem câmbio",IF(AND(p_ModoCot="Automático",ISNUMBER(Z165)),"Auto",IF(N(G165)&gt;0,"Manual","Sem cotação"))))</f>
        <v/>
      </c>
      <c r="J165" s="102" t="str">
        <f>IF(A165="","",N(E165)*H165)</f>
        <v/>
      </c>
      <c r="K165" s="70" t="str">
        <f>IF(A165="","",J165*W165)</f>
        <v/>
      </c>
      <c r="L165" s="30" t="str">
        <f>IF(A165="","",IF($K$6&gt;0,K165/$K$6,0))</f>
        <v/>
      </c>
      <c r="M165" s="72" t="str">
        <f>IF(A165="","",N(F165)-L165)</f>
        <v/>
      </c>
      <c r="N165" s="30" t="str">
        <f>IF(A165="","",IF($AB$6&gt;0,AB165/$AB$6,0))</f>
        <v/>
      </c>
      <c r="O165" s="74" t="str">
        <f>IF(A165="","",IF(AB165&lt;=0,"",COUNTIF($AB$9:$AB$208,"&gt;"&amp;AB165)+COUNTIF($AB$9:AB165,AB165)))</f>
        <v/>
      </c>
      <c r="P165" s="73" t="str">
        <f>IF(A165="","",IF(Q165&gt;0,"BUY","HOLD"))</f>
        <v/>
      </c>
      <c r="Q165" s="70" t="str">
        <f>IF(A165="","",IF($W$7&lt;=0,0,IF($AC$6&gt;0,$W$7*AC165/$AC$6,IF($F$6&gt;0,$W$7*N(F165)/$F$6,0))))</f>
        <v/>
      </c>
      <c r="R165" s="103" t="str">
        <f>IF(A165="","",N(AD165)+IF(AI165=1,N(AG165),0))</f>
        <v/>
      </c>
      <c r="S165" s="103" t="str">
        <f>IF(A165="","",N(E165)+N(R165))</f>
        <v/>
      </c>
      <c r="T165" s="70" t="str">
        <f>IF(A165="","",IF(N(R165)&gt;0,R165*H165*W165*$W$6+p_CorrFixa,0))</f>
        <v/>
      </c>
      <c r="V165" s="85" t="str">
        <f>IF(A165="","",IF(D165="",$W$1,D165))</f>
        <v/>
      </c>
      <c r="W165" s="85" t="str">
        <f>IF(A165="","",IFERROR(INDEX(moeda_fx,MATCH(V165,moeda_cod,0)),0))</f>
        <v/>
      </c>
      <c r="X165" s="85" t="str">
        <f>IF(A165="","",IF($W$2="",UPPER(TRIM(A165)),IF(RIGHT(UPPER(TRIM(A165)),LEN($W$2))=$W$2,UPPER(TRIM(A165)),UPPER(TRIM(A165))&amp;$W$2)))</f>
        <v/>
      </c>
      <c r="Y165" s="85" t="str">
        <f>IF(OR(A165="",p_ModoCot&lt;&gt;"Automático"),"",IFERROR(_xlfn.WEBSERVICE("https://query1.finance.yahoo.com/v8/finance/chart/"&amp;X165&amp;"?range=1d&amp;interval=1d"),""))</f>
        <v/>
      </c>
      <c r="Z165" s="85" t="str">
        <f>IF(Y165="","",IFERROR(_xlfn.NUMBERVALUE(MID(Y165,SEARCH("""regularMarketPrice"":",Y165)+21,SEARCH(",",Y165&amp;",",SEARCH("""regularMarketPrice"":",Y165)+21)-SEARCH("""regularMarketPrice"":",Y165)-21),".",","),""))</f>
        <v/>
      </c>
      <c r="AA165" s="85" t="str">
        <f>IF(A165="","",ROUND(MAX(0,N(F165)*($K$6+$W$7)-K165),2))</f>
        <v/>
      </c>
      <c r="AB165" s="85" t="str">
        <f>IF(A165="","",IF(AND(M165&gt;0,M165&gt;=p_DifMin),AA165,0))</f>
        <v/>
      </c>
      <c r="AC165" s="85" t="str">
        <f>IF(A165="","",IF(AND(AB165&gt;0,N(O165)&lt;=p_MaxAtivos),AB165,0))</f>
        <v/>
      </c>
      <c r="AD165" s="85" t="str">
        <f>IF(A165="","",IF(OR(Q165&lt;=0,Q165&lt;p_CompraMin,N(H165)&lt;=0,N(W165)&lt;=0),0,IF($W$3="Sim",TRUNC(ROUND(MAX(0,(Q165-p_CorrFixa)/(H165*W165*$W$6)),9),$W$4),TRUNC(ROUND(MAX(0,(Q165-p_CorrFixa)/(H165*W165*$W$6)),9)/$W$5)*$W$5)))</f>
        <v/>
      </c>
      <c r="AE165" s="85" t="str">
        <f>IF(A165="","",IF(N(AD165)&gt;0,AD165*H165*W165*$W$6+p_CorrFixa,0))</f>
        <v/>
      </c>
      <c r="AF165" s="85" t="str">
        <f>IF(A165="","",IF(OR($Y$1&lt;=0,N(H165)&lt;=0,N(W165)&lt;=0,N(AB165)&lt;=0),0,IF($W$3="Sim",TRUNC(ROUND(MAX(0,($Y$1-IF(N(AD165)&gt;0,0,p_CorrFixa))/(H165*W165*$W$6)),9),$W$4),TRUNC(ROUND(MAX(0,($Y$1-IF(N(AD165)&gt;0,0,p_CorrFixa))/(H165*W165*$W$6)),9)/$W$5)*$W$5)))</f>
        <v/>
      </c>
      <c r="AG165" s="85" t="str">
        <f>IF(A165="","",IF(AND(N(AD165)=0,N(AF165)*(H165*W165*$W$6)+p_CorrFixa&lt;p_CompraMin),0,AF165))</f>
        <v/>
      </c>
      <c r="AH165" s="85" t="str">
        <f>IF(A165="","",IF(N(AG165)&gt;0,AB165,0))</f>
        <v/>
      </c>
      <c r="AI165" s="85" t="str">
        <f>IF(A165="","",IF(AND(AH165&gt;0,AH165=$AH$6,COUNTIF($AH$9:AH165,AH165)=1),1,0))</f>
        <v/>
      </c>
    </row>
    <row r="166">
      <c r="A166" s="96" t="n"/>
      <c r="B166" s="96" t="n"/>
      <c r="C166" s="96" t="n"/>
      <c r="D166" s="97" t="n"/>
      <c r="E166" s="98" t="n"/>
      <c r="F166" s="99" t="n"/>
      <c r="G166" s="100" t="n"/>
      <c r="H166" s="104" t="str">
        <f>IF(A166="","",IF(AND(p_ModoCot="Automático",ISNUMBER(Z166)),Z166,IF(N(G166)&gt;0,G166,0)))</f>
        <v/>
      </c>
      <c r="I166" s="105" t="str">
        <f>IF(A166="","",IF(W166=0,"Sem câmbio",IF(AND(p_ModoCot="Automático",ISNUMBER(Z166)),"Auto",IF(N(G166)&gt;0,"Manual","Sem cotação"))))</f>
        <v/>
      </c>
      <c r="J166" s="106" t="str">
        <f>IF(A166="","",N(E166)*H166)</f>
        <v/>
      </c>
      <c r="K166" s="107" t="str">
        <f>IF(A166="","",J166*W166)</f>
        <v/>
      </c>
      <c r="L166" s="108" t="str">
        <f>IF(A166="","",IF($K$6&gt;0,K166/$K$6,0))</f>
        <v/>
      </c>
      <c r="M166" s="109" t="str">
        <f>IF(A166="","",N(F166)-L166)</f>
        <v/>
      </c>
      <c r="N166" s="108" t="str">
        <f>IF(A166="","",IF($AB$6&gt;0,AB166/$AB$6,0))</f>
        <v/>
      </c>
      <c r="O166" s="110" t="str">
        <f>IF(A166="","",IF(AB166&lt;=0,"",COUNTIF($AB$9:$AB$208,"&gt;"&amp;AB166)+COUNTIF($AB$9:AB166,AB166)))</f>
        <v/>
      </c>
      <c r="P166" s="105" t="str">
        <f>IF(A166="","",IF(Q166&gt;0,"BUY","HOLD"))</f>
        <v/>
      </c>
      <c r="Q166" s="107" t="str">
        <f>IF(A166="","",IF($W$7&lt;=0,0,IF($AC$6&gt;0,$W$7*AC166/$AC$6,IF($F$6&gt;0,$W$7*N(F166)/$F$6,0))))</f>
        <v/>
      </c>
      <c r="R166" s="111" t="str">
        <f>IF(A166="","",N(AD166)+IF(AI166=1,N(AG166),0))</f>
        <v/>
      </c>
      <c r="S166" s="111" t="str">
        <f>IF(A166="","",N(E166)+N(R166))</f>
        <v/>
      </c>
      <c r="T166" s="107" t="str">
        <f>IF(A166="","",IF(N(R166)&gt;0,R166*H166*W166*$W$6+p_CorrFixa,0))</f>
        <v/>
      </c>
      <c r="V166" s="85" t="str">
        <f>IF(A166="","",IF(D166="",$W$1,D166))</f>
        <v/>
      </c>
      <c r="W166" s="85" t="str">
        <f>IF(A166="","",IFERROR(INDEX(moeda_fx,MATCH(V166,moeda_cod,0)),0))</f>
        <v/>
      </c>
      <c r="X166" s="85" t="str">
        <f>IF(A166="","",IF($W$2="",UPPER(TRIM(A166)),IF(RIGHT(UPPER(TRIM(A166)),LEN($W$2))=$W$2,UPPER(TRIM(A166)),UPPER(TRIM(A166))&amp;$W$2)))</f>
        <v/>
      </c>
      <c r="Y166" s="85" t="str">
        <f>IF(OR(A166="",p_ModoCot&lt;&gt;"Automático"),"",IFERROR(_xlfn.WEBSERVICE("https://query1.finance.yahoo.com/v8/finance/chart/"&amp;X166&amp;"?range=1d&amp;interval=1d"),""))</f>
        <v/>
      </c>
      <c r="Z166" s="85" t="str">
        <f>IF(Y166="","",IFERROR(_xlfn.NUMBERVALUE(MID(Y166,SEARCH("""regularMarketPrice"":",Y166)+21,SEARCH(",",Y166&amp;",",SEARCH("""regularMarketPrice"":",Y166)+21)-SEARCH("""regularMarketPrice"":",Y166)-21),".",","),""))</f>
        <v/>
      </c>
      <c r="AA166" s="85" t="str">
        <f>IF(A166="","",ROUND(MAX(0,N(F166)*($K$6+$W$7)-K166),2))</f>
        <v/>
      </c>
      <c r="AB166" s="85" t="str">
        <f>IF(A166="","",IF(AND(M166&gt;0,M166&gt;=p_DifMin),AA166,0))</f>
        <v/>
      </c>
      <c r="AC166" s="85" t="str">
        <f>IF(A166="","",IF(AND(AB166&gt;0,N(O166)&lt;=p_MaxAtivos),AB166,0))</f>
        <v/>
      </c>
      <c r="AD166" s="85" t="str">
        <f>IF(A166="","",IF(OR(Q166&lt;=0,Q166&lt;p_CompraMin,N(H166)&lt;=0,N(W166)&lt;=0),0,IF($W$3="Sim",TRUNC(ROUND(MAX(0,(Q166-p_CorrFixa)/(H166*W166*$W$6)),9),$W$4),TRUNC(ROUND(MAX(0,(Q166-p_CorrFixa)/(H166*W166*$W$6)),9)/$W$5)*$W$5)))</f>
        <v/>
      </c>
      <c r="AE166" s="85" t="str">
        <f>IF(A166="","",IF(N(AD166)&gt;0,AD166*H166*W166*$W$6+p_CorrFixa,0))</f>
        <v/>
      </c>
      <c r="AF166" s="85" t="str">
        <f>IF(A166="","",IF(OR($Y$1&lt;=0,N(H166)&lt;=0,N(W166)&lt;=0,N(AB166)&lt;=0),0,IF($W$3="Sim",TRUNC(ROUND(MAX(0,($Y$1-IF(N(AD166)&gt;0,0,p_CorrFixa))/(H166*W166*$W$6)),9),$W$4),TRUNC(ROUND(MAX(0,($Y$1-IF(N(AD166)&gt;0,0,p_CorrFixa))/(H166*W166*$W$6)),9)/$W$5)*$W$5)))</f>
        <v/>
      </c>
      <c r="AG166" s="85" t="str">
        <f>IF(A166="","",IF(AND(N(AD166)=0,N(AF166)*(H166*W166*$W$6)+p_CorrFixa&lt;p_CompraMin),0,AF166))</f>
        <v/>
      </c>
      <c r="AH166" s="85" t="str">
        <f>IF(A166="","",IF(N(AG166)&gt;0,AB166,0))</f>
        <v/>
      </c>
      <c r="AI166" s="85" t="str">
        <f>IF(A166="","",IF(AND(AH166&gt;0,AH166=$AH$6,COUNTIF($AH$9:AH166,AH166)=1),1,0))</f>
        <v/>
      </c>
    </row>
    <row r="167">
      <c r="A167" s="96" t="n"/>
      <c r="B167" s="96" t="n"/>
      <c r="C167" s="96" t="n"/>
      <c r="D167" s="97" t="n"/>
      <c r="E167" s="98" t="n"/>
      <c r="F167" s="99" t="n"/>
      <c r="G167" s="100" t="n"/>
      <c r="H167" s="101" t="str">
        <f>IF(A167="","",IF(AND(p_ModoCot="Automático",ISNUMBER(Z167)),Z167,IF(N(G167)&gt;0,G167,0)))</f>
        <v/>
      </c>
      <c r="I167" s="73" t="str">
        <f>IF(A167="","",IF(W167=0,"Sem câmbio",IF(AND(p_ModoCot="Automático",ISNUMBER(Z167)),"Auto",IF(N(G167)&gt;0,"Manual","Sem cotação"))))</f>
        <v/>
      </c>
      <c r="J167" s="102" t="str">
        <f>IF(A167="","",N(E167)*H167)</f>
        <v/>
      </c>
      <c r="K167" s="70" t="str">
        <f>IF(A167="","",J167*W167)</f>
        <v/>
      </c>
      <c r="L167" s="30" t="str">
        <f>IF(A167="","",IF($K$6&gt;0,K167/$K$6,0))</f>
        <v/>
      </c>
      <c r="M167" s="72" t="str">
        <f>IF(A167="","",N(F167)-L167)</f>
        <v/>
      </c>
      <c r="N167" s="30" t="str">
        <f>IF(A167="","",IF($AB$6&gt;0,AB167/$AB$6,0))</f>
        <v/>
      </c>
      <c r="O167" s="74" t="str">
        <f>IF(A167="","",IF(AB167&lt;=0,"",COUNTIF($AB$9:$AB$208,"&gt;"&amp;AB167)+COUNTIF($AB$9:AB167,AB167)))</f>
        <v/>
      </c>
      <c r="P167" s="73" t="str">
        <f>IF(A167="","",IF(Q167&gt;0,"BUY","HOLD"))</f>
        <v/>
      </c>
      <c r="Q167" s="70" t="str">
        <f>IF(A167="","",IF($W$7&lt;=0,0,IF($AC$6&gt;0,$W$7*AC167/$AC$6,IF($F$6&gt;0,$W$7*N(F167)/$F$6,0))))</f>
        <v/>
      </c>
      <c r="R167" s="103" t="str">
        <f>IF(A167="","",N(AD167)+IF(AI167=1,N(AG167),0))</f>
        <v/>
      </c>
      <c r="S167" s="103" t="str">
        <f>IF(A167="","",N(E167)+N(R167))</f>
        <v/>
      </c>
      <c r="T167" s="70" t="str">
        <f>IF(A167="","",IF(N(R167)&gt;0,R167*H167*W167*$W$6+p_CorrFixa,0))</f>
        <v/>
      </c>
      <c r="V167" s="85" t="str">
        <f>IF(A167="","",IF(D167="",$W$1,D167))</f>
        <v/>
      </c>
      <c r="W167" s="85" t="str">
        <f>IF(A167="","",IFERROR(INDEX(moeda_fx,MATCH(V167,moeda_cod,0)),0))</f>
        <v/>
      </c>
      <c r="X167" s="85" t="str">
        <f>IF(A167="","",IF($W$2="",UPPER(TRIM(A167)),IF(RIGHT(UPPER(TRIM(A167)),LEN($W$2))=$W$2,UPPER(TRIM(A167)),UPPER(TRIM(A167))&amp;$W$2)))</f>
        <v/>
      </c>
      <c r="Y167" s="85" t="str">
        <f>IF(OR(A167="",p_ModoCot&lt;&gt;"Automático"),"",IFERROR(_xlfn.WEBSERVICE("https://query1.finance.yahoo.com/v8/finance/chart/"&amp;X167&amp;"?range=1d&amp;interval=1d"),""))</f>
        <v/>
      </c>
      <c r="Z167" s="85" t="str">
        <f>IF(Y167="","",IFERROR(_xlfn.NUMBERVALUE(MID(Y167,SEARCH("""regularMarketPrice"":",Y167)+21,SEARCH(",",Y167&amp;",",SEARCH("""regularMarketPrice"":",Y167)+21)-SEARCH("""regularMarketPrice"":",Y167)-21),".",","),""))</f>
        <v/>
      </c>
      <c r="AA167" s="85" t="str">
        <f>IF(A167="","",ROUND(MAX(0,N(F167)*($K$6+$W$7)-K167),2))</f>
        <v/>
      </c>
      <c r="AB167" s="85" t="str">
        <f>IF(A167="","",IF(AND(M167&gt;0,M167&gt;=p_DifMin),AA167,0))</f>
        <v/>
      </c>
      <c r="AC167" s="85" t="str">
        <f>IF(A167="","",IF(AND(AB167&gt;0,N(O167)&lt;=p_MaxAtivos),AB167,0))</f>
        <v/>
      </c>
      <c r="AD167" s="85" t="str">
        <f>IF(A167="","",IF(OR(Q167&lt;=0,Q167&lt;p_CompraMin,N(H167)&lt;=0,N(W167)&lt;=0),0,IF($W$3="Sim",TRUNC(ROUND(MAX(0,(Q167-p_CorrFixa)/(H167*W167*$W$6)),9),$W$4),TRUNC(ROUND(MAX(0,(Q167-p_CorrFixa)/(H167*W167*$W$6)),9)/$W$5)*$W$5)))</f>
        <v/>
      </c>
      <c r="AE167" s="85" t="str">
        <f>IF(A167="","",IF(N(AD167)&gt;0,AD167*H167*W167*$W$6+p_CorrFixa,0))</f>
        <v/>
      </c>
      <c r="AF167" s="85" t="str">
        <f>IF(A167="","",IF(OR($Y$1&lt;=0,N(H167)&lt;=0,N(W167)&lt;=0,N(AB167)&lt;=0),0,IF($W$3="Sim",TRUNC(ROUND(MAX(0,($Y$1-IF(N(AD167)&gt;0,0,p_CorrFixa))/(H167*W167*$W$6)),9),$W$4),TRUNC(ROUND(MAX(0,($Y$1-IF(N(AD167)&gt;0,0,p_CorrFixa))/(H167*W167*$W$6)),9)/$W$5)*$W$5)))</f>
        <v/>
      </c>
      <c r="AG167" s="85" t="str">
        <f>IF(A167="","",IF(AND(N(AD167)=0,N(AF167)*(H167*W167*$W$6)+p_CorrFixa&lt;p_CompraMin),0,AF167))</f>
        <v/>
      </c>
      <c r="AH167" s="85" t="str">
        <f>IF(A167="","",IF(N(AG167)&gt;0,AB167,0))</f>
        <v/>
      </c>
      <c r="AI167" s="85" t="str">
        <f>IF(A167="","",IF(AND(AH167&gt;0,AH167=$AH$6,COUNTIF($AH$9:AH167,AH167)=1),1,0))</f>
        <v/>
      </c>
    </row>
    <row r="168">
      <c r="A168" s="96" t="n"/>
      <c r="B168" s="96" t="n"/>
      <c r="C168" s="96" t="n"/>
      <c r="D168" s="97" t="n"/>
      <c r="E168" s="98" t="n"/>
      <c r="F168" s="99" t="n"/>
      <c r="G168" s="100" t="n"/>
      <c r="H168" s="104" t="str">
        <f>IF(A168="","",IF(AND(p_ModoCot="Automático",ISNUMBER(Z168)),Z168,IF(N(G168)&gt;0,G168,0)))</f>
        <v/>
      </c>
      <c r="I168" s="105" t="str">
        <f>IF(A168="","",IF(W168=0,"Sem câmbio",IF(AND(p_ModoCot="Automático",ISNUMBER(Z168)),"Auto",IF(N(G168)&gt;0,"Manual","Sem cotação"))))</f>
        <v/>
      </c>
      <c r="J168" s="106" t="str">
        <f>IF(A168="","",N(E168)*H168)</f>
        <v/>
      </c>
      <c r="K168" s="107" t="str">
        <f>IF(A168="","",J168*W168)</f>
        <v/>
      </c>
      <c r="L168" s="108" t="str">
        <f>IF(A168="","",IF($K$6&gt;0,K168/$K$6,0))</f>
        <v/>
      </c>
      <c r="M168" s="109" t="str">
        <f>IF(A168="","",N(F168)-L168)</f>
        <v/>
      </c>
      <c r="N168" s="108" t="str">
        <f>IF(A168="","",IF($AB$6&gt;0,AB168/$AB$6,0))</f>
        <v/>
      </c>
      <c r="O168" s="110" t="str">
        <f>IF(A168="","",IF(AB168&lt;=0,"",COUNTIF($AB$9:$AB$208,"&gt;"&amp;AB168)+COUNTIF($AB$9:AB168,AB168)))</f>
        <v/>
      </c>
      <c r="P168" s="105" t="str">
        <f>IF(A168="","",IF(Q168&gt;0,"BUY","HOLD"))</f>
        <v/>
      </c>
      <c r="Q168" s="107" t="str">
        <f>IF(A168="","",IF($W$7&lt;=0,0,IF($AC$6&gt;0,$W$7*AC168/$AC$6,IF($F$6&gt;0,$W$7*N(F168)/$F$6,0))))</f>
        <v/>
      </c>
      <c r="R168" s="111" t="str">
        <f>IF(A168="","",N(AD168)+IF(AI168=1,N(AG168),0))</f>
        <v/>
      </c>
      <c r="S168" s="111" t="str">
        <f>IF(A168="","",N(E168)+N(R168))</f>
        <v/>
      </c>
      <c r="T168" s="107" t="str">
        <f>IF(A168="","",IF(N(R168)&gt;0,R168*H168*W168*$W$6+p_CorrFixa,0))</f>
        <v/>
      </c>
      <c r="V168" s="85" t="str">
        <f>IF(A168="","",IF(D168="",$W$1,D168))</f>
        <v/>
      </c>
      <c r="W168" s="85" t="str">
        <f>IF(A168="","",IFERROR(INDEX(moeda_fx,MATCH(V168,moeda_cod,0)),0))</f>
        <v/>
      </c>
      <c r="X168" s="85" t="str">
        <f>IF(A168="","",IF($W$2="",UPPER(TRIM(A168)),IF(RIGHT(UPPER(TRIM(A168)),LEN($W$2))=$W$2,UPPER(TRIM(A168)),UPPER(TRIM(A168))&amp;$W$2)))</f>
        <v/>
      </c>
      <c r="Y168" s="85" t="str">
        <f>IF(OR(A168="",p_ModoCot&lt;&gt;"Automático"),"",IFERROR(_xlfn.WEBSERVICE("https://query1.finance.yahoo.com/v8/finance/chart/"&amp;X168&amp;"?range=1d&amp;interval=1d"),""))</f>
        <v/>
      </c>
      <c r="Z168" s="85" t="str">
        <f>IF(Y168="","",IFERROR(_xlfn.NUMBERVALUE(MID(Y168,SEARCH("""regularMarketPrice"":",Y168)+21,SEARCH(",",Y168&amp;",",SEARCH("""regularMarketPrice"":",Y168)+21)-SEARCH("""regularMarketPrice"":",Y168)-21),".",","),""))</f>
        <v/>
      </c>
      <c r="AA168" s="85" t="str">
        <f>IF(A168="","",ROUND(MAX(0,N(F168)*($K$6+$W$7)-K168),2))</f>
        <v/>
      </c>
      <c r="AB168" s="85" t="str">
        <f>IF(A168="","",IF(AND(M168&gt;0,M168&gt;=p_DifMin),AA168,0))</f>
        <v/>
      </c>
      <c r="AC168" s="85" t="str">
        <f>IF(A168="","",IF(AND(AB168&gt;0,N(O168)&lt;=p_MaxAtivos),AB168,0))</f>
        <v/>
      </c>
      <c r="AD168" s="85" t="str">
        <f>IF(A168="","",IF(OR(Q168&lt;=0,Q168&lt;p_CompraMin,N(H168)&lt;=0,N(W168)&lt;=0),0,IF($W$3="Sim",TRUNC(ROUND(MAX(0,(Q168-p_CorrFixa)/(H168*W168*$W$6)),9),$W$4),TRUNC(ROUND(MAX(0,(Q168-p_CorrFixa)/(H168*W168*$W$6)),9)/$W$5)*$W$5)))</f>
        <v/>
      </c>
      <c r="AE168" s="85" t="str">
        <f>IF(A168="","",IF(N(AD168)&gt;0,AD168*H168*W168*$W$6+p_CorrFixa,0))</f>
        <v/>
      </c>
      <c r="AF168" s="85" t="str">
        <f>IF(A168="","",IF(OR($Y$1&lt;=0,N(H168)&lt;=0,N(W168)&lt;=0,N(AB168)&lt;=0),0,IF($W$3="Sim",TRUNC(ROUND(MAX(0,($Y$1-IF(N(AD168)&gt;0,0,p_CorrFixa))/(H168*W168*$W$6)),9),$W$4),TRUNC(ROUND(MAX(0,($Y$1-IF(N(AD168)&gt;0,0,p_CorrFixa))/(H168*W168*$W$6)),9)/$W$5)*$W$5)))</f>
        <v/>
      </c>
      <c r="AG168" s="85" t="str">
        <f>IF(A168="","",IF(AND(N(AD168)=0,N(AF168)*(H168*W168*$W$6)+p_CorrFixa&lt;p_CompraMin),0,AF168))</f>
        <v/>
      </c>
      <c r="AH168" s="85" t="str">
        <f>IF(A168="","",IF(N(AG168)&gt;0,AB168,0))</f>
        <v/>
      </c>
      <c r="AI168" s="85" t="str">
        <f>IF(A168="","",IF(AND(AH168&gt;0,AH168=$AH$6,COUNTIF($AH$9:AH168,AH168)=1),1,0))</f>
        <v/>
      </c>
    </row>
    <row r="169">
      <c r="A169" s="96" t="n"/>
      <c r="B169" s="96" t="n"/>
      <c r="C169" s="96" t="n"/>
      <c r="D169" s="97" t="n"/>
      <c r="E169" s="98" t="n"/>
      <c r="F169" s="99" t="n"/>
      <c r="G169" s="100" t="n"/>
      <c r="H169" s="101" t="str">
        <f>IF(A169="","",IF(AND(p_ModoCot="Automático",ISNUMBER(Z169)),Z169,IF(N(G169)&gt;0,G169,0)))</f>
        <v/>
      </c>
      <c r="I169" s="73" t="str">
        <f>IF(A169="","",IF(W169=0,"Sem câmbio",IF(AND(p_ModoCot="Automático",ISNUMBER(Z169)),"Auto",IF(N(G169)&gt;0,"Manual","Sem cotação"))))</f>
        <v/>
      </c>
      <c r="J169" s="102" t="str">
        <f>IF(A169="","",N(E169)*H169)</f>
        <v/>
      </c>
      <c r="K169" s="70" t="str">
        <f>IF(A169="","",J169*W169)</f>
        <v/>
      </c>
      <c r="L169" s="30" t="str">
        <f>IF(A169="","",IF($K$6&gt;0,K169/$K$6,0))</f>
        <v/>
      </c>
      <c r="M169" s="72" t="str">
        <f>IF(A169="","",N(F169)-L169)</f>
        <v/>
      </c>
      <c r="N169" s="30" t="str">
        <f>IF(A169="","",IF($AB$6&gt;0,AB169/$AB$6,0))</f>
        <v/>
      </c>
      <c r="O169" s="74" t="str">
        <f>IF(A169="","",IF(AB169&lt;=0,"",COUNTIF($AB$9:$AB$208,"&gt;"&amp;AB169)+COUNTIF($AB$9:AB169,AB169)))</f>
        <v/>
      </c>
      <c r="P169" s="73" t="str">
        <f>IF(A169="","",IF(Q169&gt;0,"BUY","HOLD"))</f>
        <v/>
      </c>
      <c r="Q169" s="70" t="str">
        <f>IF(A169="","",IF($W$7&lt;=0,0,IF($AC$6&gt;0,$W$7*AC169/$AC$6,IF($F$6&gt;0,$W$7*N(F169)/$F$6,0))))</f>
        <v/>
      </c>
      <c r="R169" s="103" t="str">
        <f>IF(A169="","",N(AD169)+IF(AI169=1,N(AG169),0))</f>
        <v/>
      </c>
      <c r="S169" s="103" t="str">
        <f>IF(A169="","",N(E169)+N(R169))</f>
        <v/>
      </c>
      <c r="T169" s="70" t="str">
        <f>IF(A169="","",IF(N(R169)&gt;0,R169*H169*W169*$W$6+p_CorrFixa,0))</f>
        <v/>
      </c>
      <c r="V169" s="85" t="str">
        <f>IF(A169="","",IF(D169="",$W$1,D169))</f>
        <v/>
      </c>
      <c r="W169" s="85" t="str">
        <f>IF(A169="","",IFERROR(INDEX(moeda_fx,MATCH(V169,moeda_cod,0)),0))</f>
        <v/>
      </c>
      <c r="X169" s="85" t="str">
        <f>IF(A169="","",IF($W$2="",UPPER(TRIM(A169)),IF(RIGHT(UPPER(TRIM(A169)),LEN($W$2))=$W$2,UPPER(TRIM(A169)),UPPER(TRIM(A169))&amp;$W$2)))</f>
        <v/>
      </c>
      <c r="Y169" s="85" t="str">
        <f>IF(OR(A169="",p_ModoCot&lt;&gt;"Automático"),"",IFERROR(_xlfn.WEBSERVICE("https://query1.finance.yahoo.com/v8/finance/chart/"&amp;X169&amp;"?range=1d&amp;interval=1d"),""))</f>
        <v/>
      </c>
      <c r="Z169" s="85" t="str">
        <f>IF(Y169="","",IFERROR(_xlfn.NUMBERVALUE(MID(Y169,SEARCH("""regularMarketPrice"":",Y169)+21,SEARCH(",",Y169&amp;",",SEARCH("""regularMarketPrice"":",Y169)+21)-SEARCH("""regularMarketPrice"":",Y169)-21),".",","),""))</f>
        <v/>
      </c>
      <c r="AA169" s="85" t="str">
        <f>IF(A169="","",ROUND(MAX(0,N(F169)*($K$6+$W$7)-K169),2))</f>
        <v/>
      </c>
      <c r="AB169" s="85" t="str">
        <f>IF(A169="","",IF(AND(M169&gt;0,M169&gt;=p_DifMin),AA169,0))</f>
        <v/>
      </c>
      <c r="AC169" s="85" t="str">
        <f>IF(A169="","",IF(AND(AB169&gt;0,N(O169)&lt;=p_MaxAtivos),AB169,0))</f>
        <v/>
      </c>
      <c r="AD169" s="85" t="str">
        <f>IF(A169="","",IF(OR(Q169&lt;=0,Q169&lt;p_CompraMin,N(H169)&lt;=0,N(W169)&lt;=0),0,IF($W$3="Sim",TRUNC(ROUND(MAX(0,(Q169-p_CorrFixa)/(H169*W169*$W$6)),9),$W$4),TRUNC(ROUND(MAX(0,(Q169-p_CorrFixa)/(H169*W169*$W$6)),9)/$W$5)*$W$5)))</f>
        <v/>
      </c>
      <c r="AE169" s="85" t="str">
        <f>IF(A169="","",IF(N(AD169)&gt;0,AD169*H169*W169*$W$6+p_CorrFixa,0))</f>
        <v/>
      </c>
      <c r="AF169" s="85" t="str">
        <f>IF(A169="","",IF(OR($Y$1&lt;=0,N(H169)&lt;=0,N(W169)&lt;=0,N(AB169)&lt;=0),0,IF($W$3="Sim",TRUNC(ROUND(MAX(0,($Y$1-IF(N(AD169)&gt;0,0,p_CorrFixa))/(H169*W169*$W$6)),9),$W$4),TRUNC(ROUND(MAX(0,($Y$1-IF(N(AD169)&gt;0,0,p_CorrFixa))/(H169*W169*$W$6)),9)/$W$5)*$W$5)))</f>
        <v/>
      </c>
      <c r="AG169" s="85" t="str">
        <f>IF(A169="","",IF(AND(N(AD169)=0,N(AF169)*(H169*W169*$W$6)+p_CorrFixa&lt;p_CompraMin),0,AF169))</f>
        <v/>
      </c>
      <c r="AH169" s="85" t="str">
        <f>IF(A169="","",IF(N(AG169)&gt;0,AB169,0))</f>
        <v/>
      </c>
      <c r="AI169" s="85" t="str">
        <f>IF(A169="","",IF(AND(AH169&gt;0,AH169=$AH$6,COUNTIF($AH$9:AH169,AH169)=1),1,0))</f>
        <v/>
      </c>
    </row>
    <row r="170">
      <c r="A170" s="96" t="n"/>
      <c r="B170" s="96" t="n"/>
      <c r="C170" s="96" t="n"/>
      <c r="D170" s="97" t="n"/>
      <c r="E170" s="98" t="n"/>
      <c r="F170" s="99" t="n"/>
      <c r="G170" s="100" t="n"/>
      <c r="H170" s="104" t="str">
        <f>IF(A170="","",IF(AND(p_ModoCot="Automático",ISNUMBER(Z170)),Z170,IF(N(G170)&gt;0,G170,0)))</f>
        <v/>
      </c>
      <c r="I170" s="105" t="str">
        <f>IF(A170="","",IF(W170=0,"Sem câmbio",IF(AND(p_ModoCot="Automático",ISNUMBER(Z170)),"Auto",IF(N(G170)&gt;0,"Manual","Sem cotação"))))</f>
        <v/>
      </c>
      <c r="J170" s="106" t="str">
        <f>IF(A170="","",N(E170)*H170)</f>
        <v/>
      </c>
      <c r="K170" s="107" t="str">
        <f>IF(A170="","",J170*W170)</f>
        <v/>
      </c>
      <c r="L170" s="108" t="str">
        <f>IF(A170="","",IF($K$6&gt;0,K170/$K$6,0))</f>
        <v/>
      </c>
      <c r="M170" s="109" t="str">
        <f>IF(A170="","",N(F170)-L170)</f>
        <v/>
      </c>
      <c r="N170" s="108" t="str">
        <f>IF(A170="","",IF($AB$6&gt;0,AB170/$AB$6,0))</f>
        <v/>
      </c>
      <c r="O170" s="110" t="str">
        <f>IF(A170="","",IF(AB170&lt;=0,"",COUNTIF($AB$9:$AB$208,"&gt;"&amp;AB170)+COUNTIF($AB$9:AB170,AB170)))</f>
        <v/>
      </c>
      <c r="P170" s="105" t="str">
        <f>IF(A170="","",IF(Q170&gt;0,"BUY","HOLD"))</f>
        <v/>
      </c>
      <c r="Q170" s="107" t="str">
        <f>IF(A170="","",IF($W$7&lt;=0,0,IF($AC$6&gt;0,$W$7*AC170/$AC$6,IF($F$6&gt;0,$W$7*N(F170)/$F$6,0))))</f>
        <v/>
      </c>
      <c r="R170" s="111" t="str">
        <f>IF(A170="","",N(AD170)+IF(AI170=1,N(AG170),0))</f>
        <v/>
      </c>
      <c r="S170" s="111" t="str">
        <f>IF(A170="","",N(E170)+N(R170))</f>
        <v/>
      </c>
      <c r="T170" s="107" t="str">
        <f>IF(A170="","",IF(N(R170)&gt;0,R170*H170*W170*$W$6+p_CorrFixa,0))</f>
        <v/>
      </c>
      <c r="V170" s="85" t="str">
        <f>IF(A170="","",IF(D170="",$W$1,D170))</f>
        <v/>
      </c>
      <c r="W170" s="85" t="str">
        <f>IF(A170="","",IFERROR(INDEX(moeda_fx,MATCH(V170,moeda_cod,0)),0))</f>
        <v/>
      </c>
      <c r="X170" s="85" t="str">
        <f>IF(A170="","",IF($W$2="",UPPER(TRIM(A170)),IF(RIGHT(UPPER(TRIM(A170)),LEN($W$2))=$W$2,UPPER(TRIM(A170)),UPPER(TRIM(A170))&amp;$W$2)))</f>
        <v/>
      </c>
      <c r="Y170" s="85" t="str">
        <f>IF(OR(A170="",p_ModoCot&lt;&gt;"Automático"),"",IFERROR(_xlfn.WEBSERVICE("https://query1.finance.yahoo.com/v8/finance/chart/"&amp;X170&amp;"?range=1d&amp;interval=1d"),""))</f>
        <v/>
      </c>
      <c r="Z170" s="85" t="str">
        <f>IF(Y170="","",IFERROR(_xlfn.NUMBERVALUE(MID(Y170,SEARCH("""regularMarketPrice"":",Y170)+21,SEARCH(",",Y170&amp;",",SEARCH("""regularMarketPrice"":",Y170)+21)-SEARCH("""regularMarketPrice"":",Y170)-21),".",","),""))</f>
        <v/>
      </c>
      <c r="AA170" s="85" t="str">
        <f>IF(A170="","",ROUND(MAX(0,N(F170)*($K$6+$W$7)-K170),2))</f>
        <v/>
      </c>
      <c r="AB170" s="85" t="str">
        <f>IF(A170="","",IF(AND(M170&gt;0,M170&gt;=p_DifMin),AA170,0))</f>
        <v/>
      </c>
      <c r="AC170" s="85" t="str">
        <f>IF(A170="","",IF(AND(AB170&gt;0,N(O170)&lt;=p_MaxAtivos),AB170,0))</f>
        <v/>
      </c>
      <c r="AD170" s="85" t="str">
        <f>IF(A170="","",IF(OR(Q170&lt;=0,Q170&lt;p_CompraMin,N(H170)&lt;=0,N(W170)&lt;=0),0,IF($W$3="Sim",TRUNC(ROUND(MAX(0,(Q170-p_CorrFixa)/(H170*W170*$W$6)),9),$W$4),TRUNC(ROUND(MAX(0,(Q170-p_CorrFixa)/(H170*W170*$W$6)),9)/$W$5)*$W$5)))</f>
        <v/>
      </c>
      <c r="AE170" s="85" t="str">
        <f>IF(A170="","",IF(N(AD170)&gt;0,AD170*H170*W170*$W$6+p_CorrFixa,0))</f>
        <v/>
      </c>
      <c r="AF170" s="85" t="str">
        <f>IF(A170="","",IF(OR($Y$1&lt;=0,N(H170)&lt;=0,N(W170)&lt;=0,N(AB170)&lt;=0),0,IF($W$3="Sim",TRUNC(ROUND(MAX(0,($Y$1-IF(N(AD170)&gt;0,0,p_CorrFixa))/(H170*W170*$W$6)),9),$W$4),TRUNC(ROUND(MAX(0,($Y$1-IF(N(AD170)&gt;0,0,p_CorrFixa))/(H170*W170*$W$6)),9)/$W$5)*$W$5)))</f>
        <v/>
      </c>
      <c r="AG170" s="85" t="str">
        <f>IF(A170="","",IF(AND(N(AD170)=0,N(AF170)*(H170*W170*$W$6)+p_CorrFixa&lt;p_CompraMin),0,AF170))</f>
        <v/>
      </c>
      <c r="AH170" s="85" t="str">
        <f>IF(A170="","",IF(N(AG170)&gt;0,AB170,0))</f>
        <v/>
      </c>
      <c r="AI170" s="85" t="str">
        <f>IF(A170="","",IF(AND(AH170&gt;0,AH170=$AH$6,COUNTIF($AH$9:AH170,AH170)=1),1,0))</f>
        <v/>
      </c>
    </row>
    <row r="171">
      <c r="A171" s="96" t="n"/>
      <c r="B171" s="96" t="n"/>
      <c r="C171" s="96" t="n"/>
      <c r="D171" s="97" t="n"/>
      <c r="E171" s="98" t="n"/>
      <c r="F171" s="99" t="n"/>
      <c r="G171" s="100" t="n"/>
      <c r="H171" s="101" t="str">
        <f>IF(A171="","",IF(AND(p_ModoCot="Automático",ISNUMBER(Z171)),Z171,IF(N(G171)&gt;0,G171,0)))</f>
        <v/>
      </c>
      <c r="I171" s="73" t="str">
        <f>IF(A171="","",IF(W171=0,"Sem câmbio",IF(AND(p_ModoCot="Automático",ISNUMBER(Z171)),"Auto",IF(N(G171)&gt;0,"Manual","Sem cotação"))))</f>
        <v/>
      </c>
      <c r="J171" s="102" t="str">
        <f>IF(A171="","",N(E171)*H171)</f>
        <v/>
      </c>
      <c r="K171" s="70" t="str">
        <f>IF(A171="","",J171*W171)</f>
        <v/>
      </c>
      <c r="L171" s="30" t="str">
        <f>IF(A171="","",IF($K$6&gt;0,K171/$K$6,0))</f>
        <v/>
      </c>
      <c r="M171" s="72" t="str">
        <f>IF(A171="","",N(F171)-L171)</f>
        <v/>
      </c>
      <c r="N171" s="30" t="str">
        <f>IF(A171="","",IF($AB$6&gt;0,AB171/$AB$6,0))</f>
        <v/>
      </c>
      <c r="O171" s="74" t="str">
        <f>IF(A171="","",IF(AB171&lt;=0,"",COUNTIF($AB$9:$AB$208,"&gt;"&amp;AB171)+COUNTIF($AB$9:AB171,AB171)))</f>
        <v/>
      </c>
      <c r="P171" s="73" t="str">
        <f>IF(A171="","",IF(Q171&gt;0,"BUY","HOLD"))</f>
        <v/>
      </c>
      <c r="Q171" s="70" t="str">
        <f>IF(A171="","",IF($W$7&lt;=0,0,IF($AC$6&gt;0,$W$7*AC171/$AC$6,IF($F$6&gt;0,$W$7*N(F171)/$F$6,0))))</f>
        <v/>
      </c>
      <c r="R171" s="103" t="str">
        <f>IF(A171="","",N(AD171)+IF(AI171=1,N(AG171),0))</f>
        <v/>
      </c>
      <c r="S171" s="103" t="str">
        <f>IF(A171="","",N(E171)+N(R171))</f>
        <v/>
      </c>
      <c r="T171" s="70" t="str">
        <f>IF(A171="","",IF(N(R171)&gt;0,R171*H171*W171*$W$6+p_CorrFixa,0))</f>
        <v/>
      </c>
      <c r="V171" s="85" t="str">
        <f>IF(A171="","",IF(D171="",$W$1,D171))</f>
        <v/>
      </c>
      <c r="W171" s="85" t="str">
        <f>IF(A171="","",IFERROR(INDEX(moeda_fx,MATCH(V171,moeda_cod,0)),0))</f>
        <v/>
      </c>
      <c r="X171" s="85" t="str">
        <f>IF(A171="","",IF($W$2="",UPPER(TRIM(A171)),IF(RIGHT(UPPER(TRIM(A171)),LEN($W$2))=$W$2,UPPER(TRIM(A171)),UPPER(TRIM(A171))&amp;$W$2)))</f>
        <v/>
      </c>
      <c r="Y171" s="85" t="str">
        <f>IF(OR(A171="",p_ModoCot&lt;&gt;"Automático"),"",IFERROR(_xlfn.WEBSERVICE("https://query1.finance.yahoo.com/v8/finance/chart/"&amp;X171&amp;"?range=1d&amp;interval=1d"),""))</f>
        <v/>
      </c>
      <c r="Z171" s="85" t="str">
        <f>IF(Y171="","",IFERROR(_xlfn.NUMBERVALUE(MID(Y171,SEARCH("""regularMarketPrice"":",Y171)+21,SEARCH(",",Y171&amp;",",SEARCH("""regularMarketPrice"":",Y171)+21)-SEARCH("""regularMarketPrice"":",Y171)-21),".",","),""))</f>
        <v/>
      </c>
      <c r="AA171" s="85" t="str">
        <f>IF(A171="","",ROUND(MAX(0,N(F171)*($K$6+$W$7)-K171),2))</f>
        <v/>
      </c>
      <c r="AB171" s="85" t="str">
        <f>IF(A171="","",IF(AND(M171&gt;0,M171&gt;=p_DifMin),AA171,0))</f>
        <v/>
      </c>
      <c r="AC171" s="85" t="str">
        <f>IF(A171="","",IF(AND(AB171&gt;0,N(O171)&lt;=p_MaxAtivos),AB171,0))</f>
        <v/>
      </c>
      <c r="AD171" s="85" t="str">
        <f>IF(A171="","",IF(OR(Q171&lt;=0,Q171&lt;p_CompraMin,N(H171)&lt;=0,N(W171)&lt;=0),0,IF($W$3="Sim",TRUNC(ROUND(MAX(0,(Q171-p_CorrFixa)/(H171*W171*$W$6)),9),$W$4),TRUNC(ROUND(MAX(0,(Q171-p_CorrFixa)/(H171*W171*$W$6)),9)/$W$5)*$W$5)))</f>
        <v/>
      </c>
      <c r="AE171" s="85" t="str">
        <f>IF(A171="","",IF(N(AD171)&gt;0,AD171*H171*W171*$W$6+p_CorrFixa,0))</f>
        <v/>
      </c>
      <c r="AF171" s="85" t="str">
        <f>IF(A171="","",IF(OR($Y$1&lt;=0,N(H171)&lt;=0,N(W171)&lt;=0,N(AB171)&lt;=0),0,IF($W$3="Sim",TRUNC(ROUND(MAX(0,($Y$1-IF(N(AD171)&gt;0,0,p_CorrFixa))/(H171*W171*$W$6)),9),$W$4),TRUNC(ROUND(MAX(0,($Y$1-IF(N(AD171)&gt;0,0,p_CorrFixa))/(H171*W171*$W$6)),9)/$W$5)*$W$5)))</f>
        <v/>
      </c>
      <c r="AG171" s="85" t="str">
        <f>IF(A171="","",IF(AND(N(AD171)=0,N(AF171)*(H171*W171*$W$6)+p_CorrFixa&lt;p_CompraMin),0,AF171))</f>
        <v/>
      </c>
      <c r="AH171" s="85" t="str">
        <f>IF(A171="","",IF(N(AG171)&gt;0,AB171,0))</f>
        <v/>
      </c>
      <c r="AI171" s="85" t="str">
        <f>IF(A171="","",IF(AND(AH171&gt;0,AH171=$AH$6,COUNTIF($AH$9:AH171,AH171)=1),1,0))</f>
        <v/>
      </c>
    </row>
    <row r="172">
      <c r="A172" s="96" t="n"/>
      <c r="B172" s="96" t="n"/>
      <c r="C172" s="96" t="n"/>
      <c r="D172" s="97" t="n"/>
      <c r="E172" s="98" t="n"/>
      <c r="F172" s="99" t="n"/>
      <c r="G172" s="100" t="n"/>
      <c r="H172" s="104" t="str">
        <f>IF(A172="","",IF(AND(p_ModoCot="Automático",ISNUMBER(Z172)),Z172,IF(N(G172)&gt;0,G172,0)))</f>
        <v/>
      </c>
      <c r="I172" s="105" t="str">
        <f>IF(A172="","",IF(W172=0,"Sem câmbio",IF(AND(p_ModoCot="Automático",ISNUMBER(Z172)),"Auto",IF(N(G172)&gt;0,"Manual","Sem cotação"))))</f>
        <v/>
      </c>
      <c r="J172" s="106" t="str">
        <f>IF(A172="","",N(E172)*H172)</f>
        <v/>
      </c>
      <c r="K172" s="107" t="str">
        <f>IF(A172="","",J172*W172)</f>
        <v/>
      </c>
      <c r="L172" s="108" t="str">
        <f>IF(A172="","",IF($K$6&gt;0,K172/$K$6,0))</f>
        <v/>
      </c>
      <c r="M172" s="109" t="str">
        <f>IF(A172="","",N(F172)-L172)</f>
        <v/>
      </c>
      <c r="N172" s="108" t="str">
        <f>IF(A172="","",IF($AB$6&gt;0,AB172/$AB$6,0))</f>
        <v/>
      </c>
      <c r="O172" s="110" t="str">
        <f>IF(A172="","",IF(AB172&lt;=0,"",COUNTIF($AB$9:$AB$208,"&gt;"&amp;AB172)+COUNTIF($AB$9:AB172,AB172)))</f>
        <v/>
      </c>
      <c r="P172" s="105" t="str">
        <f>IF(A172="","",IF(Q172&gt;0,"BUY","HOLD"))</f>
        <v/>
      </c>
      <c r="Q172" s="107" t="str">
        <f>IF(A172="","",IF($W$7&lt;=0,0,IF($AC$6&gt;0,$W$7*AC172/$AC$6,IF($F$6&gt;0,$W$7*N(F172)/$F$6,0))))</f>
        <v/>
      </c>
      <c r="R172" s="111" t="str">
        <f>IF(A172="","",N(AD172)+IF(AI172=1,N(AG172),0))</f>
        <v/>
      </c>
      <c r="S172" s="111" t="str">
        <f>IF(A172="","",N(E172)+N(R172))</f>
        <v/>
      </c>
      <c r="T172" s="107" t="str">
        <f>IF(A172="","",IF(N(R172)&gt;0,R172*H172*W172*$W$6+p_CorrFixa,0))</f>
        <v/>
      </c>
      <c r="V172" s="85" t="str">
        <f>IF(A172="","",IF(D172="",$W$1,D172))</f>
        <v/>
      </c>
      <c r="W172" s="85" t="str">
        <f>IF(A172="","",IFERROR(INDEX(moeda_fx,MATCH(V172,moeda_cod,0)),0))</f>
        <v/>
      </c>
      <c r="X172" s="85" t="str">
        <f>IF(A172="","",IF($W$2="",UPPER(TRIM(A172)),IF(RIGHT(UPPER(TRIM(A172)),LEN($W$2))=$W$2,UPPER(TRIM(A172)),UPPER(TRIM(A172))&amp;$W$2)))</f>
        <v/>
      </c>
      <c r="Y172" s="85" t="str">
        <f>IF(OR(A172="",p_ModoCot&lt;&gt;"Automático"),"",IFERROR(_xlfn.WEBSERVICE("https://query1.finance.yahoo.com/v8/finance/chart/"&amp;X172&amp;"?range=1d&amp;interval=1d"),""))</f>
        <v/>
      </c>
      <c r="Z172" s="85" t="str">
        <f>IF(Y172="","",IFERROR(_xlfn.NUMBERVALUE(MID(Y172,SEARCH("""regularMarketPrice"":",Y172)+21,SEARCH(",",Y172&amp;",",SEARCH("""regularMarketPrice"":",Y172)+21)-SEARCH("""regularMarketPrice"":",Y172)-21),".",","),""))</f>
        <v/>
      </c>
      <c r="AA172" s="85" t="str">
        <f>IF(A172="","",ROUND(MAX(0,N(F172)*($K$6+$W$7)-K172),2))</f>
        <v/>
      </c>
      <c r="AB172" s="85" t="str">
        <f>IF(A172="","",IF(AND(M172&gt;0,M172&gt;=p_DifMin),AA172,0))</f>
        <v/>
      </c>
      <c r="AC172" s="85" t="str">
        <f>IF(A172="","",IF(AND(AB172&gt;0,N(O172)&lt;=p_MaxAtivos),AB172,0))</f>
        <v/>
      </c>
      <c r="AD172" s="85" t="str">
        <f>IF(A172="","",IF(OR(Q172&lt;=0,Q172&lt;p_CompraMin,N(H172)&lt;=0,N(W172)&lt;=0),0,IF($W$3="Sim",TRUNC(ROUND(MAX(0,(Q172-p_CorrFixa)/(H172*W172*$W$6)),9),$W$4),TRUNC(ROUND(MAX(0,(Q172-p_CorrFixa)/(H172*W172*$W$6)),9)/$W$5)*$W$5)))</f>
        <v/>
      </c>
      <c r="AE172" s="85" t="str">
        <f>IF(A172="","",IF(N(AD172)&gt;0,AD172*H172*W172*$W$6+p_CorrFixa,0))</f>
        <v/>
      </c>
      <c r="AF172" s="85" t="str">
        <f>IF(A172="","",IF(OR($Y$1&lt;=0,N(H172)&lt;=0,N(W172)&lt;=0,N(AB172)&lt;=0),0,IF($W$3="Sim",TRUNC(ROUND(MAX(0,($Y$1-IF(N(AD172)&gt;0,0,p_CorrFixa))/(H172*W172*$W$6)),9),$W$4),TRUNC(ROUND(MAX(0,($Y$1-IF(N(AD172)&gt;0,0,p_CorrFixa))/(H172*W172*$W$6)),9)/$W$5)*$W$5)))</f>
        <v/>
      </c>
      <c r="AG172" s="85" t="str">
        <f>IF(A172="","",IF(AND(N(AD172)=0,N(AF172)*(H172*W172*$W$6)+p_CorrFixa&lt;p_CompraMin),0,AF172))</f>
        <v/>
      </c>
      <c r="AH172" s="85" t="str">
        <f>IF(A172="","",IF(N(AG172)&gt;0,AB172,0))</f>
        <v/>
      </c>
      <c r="AI172" s="85" t="str">
        <f>IF(A172="","",IF(AND(AH172&gt;0,AH172=$AH$6,COUNTIF($AH$9:AH172,AH172)=1),1,0))</f>
        <v/>
      </c>
    </row>
    <row r="173">
      <c r="A173" s="96" t="n"/>
      <c r="B173" s="96" t="n"/>
      <c r="C173" s="96" t="n"/>
      <c r="D173" s="97" t="n"/>
      <c r="E173" s="98" t="n"/>
      <c r="F173" s="99" t="n"/>
      <c r="G173" s="100" t="n"/>
      <c r="H173" s="101" t="str">
        <f>IF(A173="","",IF(AND(p_ModoCot="Automático",ISNUMBER(Z173)),Z173,IF(N(G173)&gt;0,G173,0)))</f>
        <v/>
      </c>
      <c r="I173" s="73" t="str">
        <f>IF(A173="","",IF(W173=0,"Sem câmbio",IF(AND(p_ModoCot="Automático",ISNUMBER(Z173)),"Auto",IF(N(G173)&gt;0,"Manual","Sem cotação"))))</f>
        <v/>
      </c>
      <c r="J173" s="102" t="str">
        <f>IF(A173="","",N(E173)*H173)</f>
        <v/>
      </c>
      <c r="K173" s="70" t="str">
        <f>IF(A173="","",J173*W173)</f>
        <v/>
      </c>
      <c r="L173" s="30" t="str">
        <f>IF(A173="","",IF($K$6&gt;0,K173/$K$6,0))</f>
        <v/>
      </c>
      <c r="M173" s="72" t="str">
        <f>IF(A173="","",N(F173)-L173)</f>
        <v/>
      </c>
      <c r="N173" s="30" t="str">
        <f>IF(A173="","",IF($AB$6&gt;0,AB173/$AB$6,0))</f>
        <v/>
      </c>
      <c r="O173" s="74" t="str">
        <f>IF(A173="","",IF(AB173&lt;=0,"",COUNTIF($AB$9:$AB$208,"&gt;"&amp;AB173)+COUNTIF($AB$9:AB173,AB173)))</f>
        <v/>
      </c>
      <c r="P173" s="73" t="str">
        <f>IF(A173="","",IF(Q173&gt;0,"BUY","HOLD"))</f>
        <v/>
      </c>
      <c r="Q173" s="70" t="str">
        <f>IF(A173="","",IF($W$7&lt;=0,0,IF($AC$6&gt;0,$W$7*AC173/$AC$6,IF($F$6&gt;0,$W$7*N(F173)/$F$6,0))))</f>
        <v/>
      </c>
      <c r="R173" s="103" t="str">
        <f>IF(A173="","",N(AD173)+IF(AI173=1,N(AG173),0))</f>
        <v/>
      </c>
      <c r="S173" s="103" t="str">
        <f>IF(A173="","",N(E173)+N(R173))</f>
        <v/>
      </c>
      <c r="T173" s="70" t="str">
        <f>IF(A173="","",IF(N(R173)&gt;0,R173*H173*W173*$W$6+p_CorrFixa,0))</f>
        <v/>
      </c>
      <c r="V173" s="85" t="str">
        <f>IF(A173="","",IF(D173="",$W$1,D173))</f>
        <v/>
      </c>
      <c r="W173" s="85" t="str">
        <f>IF(A173="","",IFERROR(INDEX(moeda_fx,MATCH(V173,moeda_cod,0)),0))</f>
        <v/>
      </c>
      <c r="X173" s="85" t="str">
        <f>IF(A173="","",IF($W$2="",UPPER(TRIM(A173)),IF(RIGHT(UPPER(TRIM(A173)),LEN($W$2))=$W$2,UPPER(TRIM(A173)),UPPER(TRIM(A173))&amp;$W$2)))</f>
        <v/>
      </c>
      <c r="Y173" s="85" t="str">
        <f>IF(OR(A173="",p_ModoCot&lt;&gt;"Automático"),"",IFERROR(_xlfn.WEBSERVICE("https://query1.finance.yahoo.com/v8/finance/chart/"&amp;X173&amp;"?range=1d&amp;interval=1d"),""))</f>
        <v/>
      </c>
      <c r="Z173" s="85" t="str">
        <f>IF(Y173="","",IFERROR(_xlfn.NUMBERVALUE(MID(Y173,SEARCH("""regularMarketPrice"":",Y173)+21,SEARCH(",",Y173&amp;",",SEARCH("""regularMarketPrice"":",Y173)+21)-SEARCH("""regularMarketPrice"":",Y173)-21),".",","),""))</f>
        <v/>
      </c>
      <c r="AA173" s="85" t="str">
        <f>IF(A173="","",ROUND(MAX(0,N(F173)*($K$6+$W$7)-K173),2))</f>
        <v/>
      </c>
      <c r="AB173" s="85" t="str">
        <f>IF(A173="","",IF(AND(M173&gt;0,M173&gt;=p_DifMin),AA173,0))</f>
        <v/>
      </c>
      <c r="AC173" s="85" t="str">
        <f>IF(A173="","",IF(AND(AB173&gt;0,N(O173)&lt;=p_MaxAtivos),AB173,0))</f>
        <v/>
      </c>
      <c r="AD173" s="85" t="str">
        <f>IF(A173="","",IF(OR(Q173&lt;=0,Q173&lt;p_CompraMin,N(H173)&lt;=0,N(W173)&lt;=0),0,IF($W$3="Sim",TRUNC(ROUND(MAX(0,(Q173-p_CorrFixa)/(H173*W173*$W$6)),9),$W$4),TRUNC(ROUND(MAX(0,(Q173-p_CorrFixa)/(H173*W173*$W$6)),9)/$W$5)*$W$5)))</f>
        <v/>
      </c>
      <c r="AE173" s="85" t="str">
        <f>IF(A173="","",IF(N(AD173)&gt;0,AD173*H173*W173*$W$6+p_CorrFixa,0))</f>
        <v/>
      </c>
      <c r="AF173" s="85" t="str">
        <f>IF(A173="","",IF(OR($Y$1&lt;=0,N(H173)&lt;=0,N(W173)&lt;=0,N(AB173)&lt;=0),0,IF($W$3="Sim",TRUNC(ROUND(MAX(0,($Y$1-IF(N(AD173)&gt;0,0,p_CorrFixa))/(H173*W173*$W$6)),9),$W$4),TRUNC(ROUND(MAX(0,($Y$1-IF(N(AD173)&gt;0,0,p_CorrFixa))/(H173*W173*$W$6)),9)/$W$5)*$W$5)))</f>
        <v/>
      </c>
      <c r="AG173" s="85" t="str">
        <f>IF(A173="","",IF(AND(N(AD173)=0,N(AF173)*(H173*W173*$W$6)+p_CorrFixa&lt;p_CompraMin),0,AF173))</f>
        <v/>
      </c>
      <c r="AH173" s="85" t="str">
        <f>IF(A173="","",IF(N(AG173)&gt;0,AB173,0))</f>
        <v/>
      </c>
      <c r="AI173" s="85" t="str">
        <f>IF(A173="","",IF(AND(AH173&gt;0,AH173=$AH$6,COUNTIF($AH$9:AH173,AH173)=1),1,0))</f>
        <v/>
      </c>
    </row>
    <row r="174">
      <c r="A174" s="96" t="n"/>
      <c r="B174" s="96" t="n"/>
      <c r="C174" s="96" t="n"/>
      <c r="D174" s="97" t="n"/>
      <c r="E174" s="98" t="n"/>
      <c r="F174" s="99" t="n"/>
      <c r="G174" s="100" t="n"/>
      <c r="H174" s="104" t="str">
        <f>IF(A174="","",IF(AND(p_ModoCot="Automático",ISNUMBER(Z174)),Z174,IF(N(G174)&gt;0,G174,0)))</f>
        <v/>
      </c>
      <c r="I174" s="105" t="str">
        <f>IF(A174="","",IF(W174=0,"Sem câmbio",IF(AND(p_ModoCot="Automático",ISNUMBER(Z174)),"Auto",IF(N(G174)&gt;0,"Manual","Sem cotação"))))</f>
        <v/>
      </c>
      <c r="J174" s="106" t="str">
        <f>IF(A174="","",N(E174)*H174)</f>
        <v/>
      </c>
      <c r="K174" s="107" t="str">
        <f>IF(A174="","",J174*W174)</f>
        <v/>
      </c>
      <c r="L174" s="108" t="str">
        <f>IF(A174="","",IF($K$6&gt;0,K174/$K$6,0))</f>
        <v/>
      </c>
      <c r="M174" s="109" t="str">
        <f>IF(A174="","",N(F174)-L174)</f>
        <v/>
      </c>
      <c r="N174" s="108" t="str">
        <f>IF(A174="","",IF($AB$6&gt;0,AB174/$AB$6,0))</f>
        <v/>
      </c>
      <c r="O174" s="110" t="str">
        <f>IF(A174="","",IF(AB174&lt;=0,"",COUNTIF($AB$9:$AB$208,"&gt;"&amp;AB174)+COUNTIF($AB$9:AB174,AB174)))</f>
        <v/>
      </c>
      <c r="P174" s="105" t="str">
        <f>IF(A174="","",IF(Q174&gt;0,"BUY","HOLD"))</f>
        <v/>
      </c>
      <c r="Q174" s="107" t="str">
        <f>IF(A174="","",IF($W$7&lt;=0,0,IF($AC$6&gt;0,$W$7*AC174/$AC$6,IF($F$6&gt;0,$W$7*N(F174)/$F$6,0))))</f>
        <v/>
      </c>
      <c r="R174" s="111" t="str">
        <f>IF(A174="","",N(AD174)+IF(AI174=1,N(AG174),0))</f>
        <v/>
      </c>
      <c r="S174" s="111" t="str">
        <f>IF(A174="","",N(E174)+N(R174))</f>
        <v/>
      </c>
      <c r="T174" s="107" t="str">
        <f>IF(A174="","",IF(N(R174)&gt;0,R174*H174*W174*$W$6+p_CorrFixa,0))</f>
        <v/>
      </c>
      <c r="V174" s="85" t="str">
        <f>IF(A174="","",IF(D174="",$W$1,D174))</f>
        <v/>
      </c>
      <c r="W174" s="85" t="str">
        <f>IF(A174="","",IFERROR(INDEX(moeda_fx,MATCH(V174,moeda_cod,0)),0))</f>
        <v/>
      </c>
      <c r="X174" s="85" t="str">
        <f>IF(A174="","",IF($W$2="",UPPER(TRIM(A174)),IF(RIGHT(UPPER(TRIM(A174)),LEN($W$2))=$W$2,UPPER(TRIM(A174)),UPPER(TRIM(A174))&amp;$W$2)))</f>
        <v/>
      </c>
      <c r="Y174" s="85" t="str">
        <f>IF(OR(A174="",p_ModoCot&lt;&gt;"Automático"),"",IFERROR(_xlfn.WEBSERVICE("https://query1.finance.yahoo.com/v8/finance/chart/"&amp;X174&amp;"?range=1d&amp;interval=1d"),""))</f>
        <v/>
      </c>
      <c r="Z174" s="85" t="str">
        <f>IF(Y174="","",IFERROR(_xlfn.NUMBERVALUE(MID(Y174,SEARCH("""regularMarketPrice"":",Y174)+21,SEARCH(",",Y174&amp;",",SEARCH("""regularMarketPrice"":",Y174)+21)-SEARCH("""regularMarketPrice"":",Y174)-21),".",","),""))</f>
        <v/>
      </c>
      <c r="AA174" s="85" t="str">
        <f>IF(A174="","",ROUND(MAX(0,N(F174)*($K$6+$W$7)-K174),2))</f>
        <v/>
      </c>
      <c r="AB174" s="85" t="str">
        <f>IF(A174="","",IF(AND(M174&gt;0,M174&gt;=p_DifMin),AA174,0))</f>
        <v/>
      </c>
      <c r="AC174" s="85" t="str">
        <f>IF(A174="","",IF(AND(AB174&gt;0,N(O174)&lt;=p_MaxAtivos),AB174,0))</f>
        <v/>
      </c>
      <c r="AD174" s="85" t="str">
        <f>IF(A174="","",IF(OR(Q174&lt;=0,Q174&lt;p_CompraMin,N(H174)&lt;=0,N(W174)&lt;=0),0,IF($W$3="Sim",TRUNC(ROUND(MAX(0,(Q174-p_CorrFixa)/(H174*W174*$W$6)),9),$W$4),TRUNC(ROUND(MAX(0,(Q174-p_CorrFixa)/(H174*W174*$W$6)),9)/$W$5)*$W$5)))</f>
        <v/>
      </c>
      <c r="AE174" s="85" t="str">
        <f>IF(A174="","",IF(N(AD174)&gt;0,AD174*H174*W174*$W$6+p_CorrFixa,0))</f>
        <v/>
      </c>
      <c r="AF174" s="85" t="str">
        <f>IF(A174="","",IF(OR($Y$1&lt;=0,N(H174)&lt;=0,N(W174)&lt;=0,N(AB174)&lt;=0),0,IF($W$3="Sim",TRUNC(ROUND(MAX(0,($Y$1-IF(N(AD174)&gt;0,0,p_CorrFixa))/(H174*W174*$W$6)),9),$W$4),TRUNC(ROUND(MAX(0,($Y$1-IF(N(AD174)&gt;0,0,p_CorrFixa))/(H174*W174*$W$6)),9)/$W$5)*$W$5)))</f>
        <v/>
      </c>
      <c r="AG174" s="85" t="str">
        <f>IF(A174="","",IF(AND(N(AD174)=0,N(AF174)*(H174*W174*$W$6)+p_CorrFixa&lt;p_CompraMin),0,AF174))</f>
        <v/>
      </c>
      <c r="AH174" s="85" t="str">
        <f>IF(A174="","",IF(N(AG174)&gt;0,AB174,0))</f>
        <v/>
      </c>
      <c r="AI174" s="85" t="str">
        <f>IF(A174="","",IF(AND(AH174&gt;0,AH174=$AH$6,COUNTIF($AH$9:AH174,AH174)=1),1,0))</f>
        <v/>
      </c>
    </row>
    <row r="175">
      <c r="A175" s="96" t="n"/>
      <c r="B175" s="96" t="n"/>
      <c r="C175" s="96" t="n"/>
      <c r="D175" s="97" t="n"/>
      <c r="E175" s="98" t="n"/>
      <c r="F175" s="99" t="n"/>
      <c r="G175" s="100" t="n"/>
      <c r="H175" s="101" t="str">
        <f>IF(A175="","",IF(AND(p_ModoCot="Automático",ISNUMBER(Z175)),Z175,IF(N(G175)&gt;0,G175,0)))</f>
        <v/>
      </c>
      <c r="I175" s="73" t="str">
        <f>IF(A175="","",IF(W175=0,"Sem câmbio",IF(AND(p_ModoCot="Automático",ISNUMBER(Z175)),"Auto",IF(N(G175)&gt;0,"Manual","Sem cotação"))))</f>
        <v/>
      </c>
      <c r="J175" s="102" t="str">
        <f>IF(A175="","",N(E175)*H175)</f>
        <v/>
      </c>
      <c r="K175" s="70" t="str">
        <f>IF(A175="","",J175*W175)</f>
        <v/>
      </c>
      <c r="L175" s="30" t="str">
        <f>IF(A175="","",IF($K$6&gt;0,K175/$K$6,0))</f>
        <v/>
      </c>
      <c r="M175" s="72" t="str">
        <f>IF(A175="","",N(F175)-L175)</f>
        <v/>
      </c>
      <c r="N175" s="30" t="str">
        <f>IF(A175="","",IF($AB$6&gt;0,AB175/$AB$6,0))</f>
        <v/>
      </c>
      <c r="O175" s="74" t="str">
        <f>IF(A175="","",IF(AB175&lt;=0,"",COUNTIF($AB$9:$AB$208,"&gt;"&amp;AB175)+COUNTIF($AB$9:AB175,AB175)))</f>
        <v/>
      </c>
      <c r="P175" s="73" t="str">
        <f>IF(A175="","",IF(Q175&gt;0,"BUY","HOLD"))</f>
        <v/>
      </c>
      <c r="Q175" s="70" t="str">
        <f>IF(A175="","",IF($W$7&lt;=0,0,IF($AC$6&gt;0,$W$7*AC175/$AC$6,IF($F$6&gt;0,$W$7*N(F175)/$F$6,0))))</f>
        <v/>
      </c>
      <c r="R175" s="103" t="str">
        <f>IF(A175="","",N(AD175)+IF(AI175=1,N(AG175),0))</f>
        <v/>
      </c>
      <c r="S175" s="103" t="str">
        <f>IF(A175="","",N(E175)+N(R175))</f>
        <v/>
      </c>
      <c r="T175" s="70" t="str">
        <f>IF(A175="","",IF(N(R175)&gt;0,R175*H175*W175*$W$6+p_CorrFixa,0))</f>
        <v/>
      </c>
      <c r="V175" s="85" t="str">
        <f>IF(A175="","",IF(D175="",$W$1,D175))</f>
        <v/>
      </c>
      <c r="W175" s="85" t="str">
        <f>IF(A175="","",IFERROR(INDEX(moeda_fx,MATCH(V175,moeda_cod,0)),0))</f>
        <v/>
      </c>
      <c r="X175" s="85" t="str">
        <f>IF(A175="","",IF($W$2="",UPPER(TRIM(A175)),IF(RIGHT(UPPER(TRIM(A175)),LEN($W$2))=$W$2,UPPER(TRIM(A175)),UPPER(TRIM(A175))&amp;$W$2)))</f>
        <v/>
      </c>
      <c r="Y175" s="85" t="str">
        <f>IF(OR(A175="",p_ModoCot&lt;&gt;"Automático"),"",IFERROR(_xlfn.WEBSERVICE("https://query1.finance.yahoo.com/v8/finance/chart/"&amp;X175&amp;"?range=1d&amp;interval=1d"),""))</f>
        <v/>
      </c>
      <c r="Z175" s="85" t="str">
        <f>IF(Y175="","",IFERROR(_xlfn.NUMBERVALUE(MID(Y175,SEARCH("""regularMarketPrice"":",Y175)+21,SEARCH(",",Y175&amp;",",SEARCH("""regularMarketPrice"":",Y175)+21)-SEARCH("""regularMarketPrice"":",Y175)-21),".",","),""))</f>
        <v/>
      </c>
      <c r="AA175" s="85" t="str">
        <f>IF(A175="","",ROUND(MAX(0,N(F175)*($K$6+$W$7)-K175),2))</f>
        <v/>
      </c>
      <c r="AB175" s="85" t="str">
        <f>IF(A175="","",IF(AND(M175&gt;0,M175&gt;=p_DifMin),AA175,0))</f>
        <v/>
      </c>
      <c r="AC175" s="85" t="str">
        <f>IF(A175="","",IF(AND(AB175&gt;0,N(O175)&lt;=p_MaxAtivos),AB175,0))</f>
        <v/>
      </c>
      <c r="AD175" s="85" t="str">
        <f>IF(A175="","",IF(OR(Q175&lt;=0,Q175&lt;p_CompraMin,N(H175)&lt;=0,N(W175)&lt;=0),0,IF($W$3="Sim",TRUNC(ROUND(MAX(0,(Q175-p_CorrFixa)/(H175*W175*$W$6)),9),$W$4),TRUNC(ROUND(MAX(0,(Q175-p_CorrFixa)/(H175*W175*$W$6)),9)/$W$5)*$W$5)))</f>
        <v/>
      </c>
      <c r="AE175" s="85" t="str">
        <f>IF(A175="","",IF(N(AD175)&gt;0,AD175*H175*W175*$W$6+p_CorrFixa,0))</f>
        <v/>
      </c>
      <c r="AF175" s="85" t="str">
        <f>IF(A175="","",IF(OR($Y$1&lt;=0,N(H175)&lt;=0,N(W175)&lt;=0,N(AB175)&lt;=0),0,IF($W$3="Sim",TRUNC(ROUND(MAX(0,($Y$1-IF(N(AD175)&gt;0,0,p_CorrFixa))/(H175*W175*$W$6)),9),$W$4),TRUNC(ROUND(MAX(0,($Y$1-IF(N(AD175)&gt;0,0,p_CorrFixa))/(H175*W175*$W$6)),9)/$W$5)*$W$5)))</f>
        <v/>
      </c>
      <c r="AG175" s="85" t="str">
        <f>IF(A175="","",IF(AND(N(AD175)=0,N(AF175)*(H175*W175*$W$6)+p_CorrFixa&lt;p_CompraMin),0,AF175))</f>
        <v/>
      </c>
      <c r="AH175" s="85" t="str">
        <f>IF(A175="","",IF(N(AG175)&gt;0,AB175,0))</f>
        <v/>
      </c>
      <c r="AI175" s="85" t="str">
        <f>IF(A175="","",IF(AND(AH175&gt;0,AH175=$AH$6,COUNTIF($AH$9:AH175,AH175)=1),1,0))</f>
        <v/>
      </c>
    </row>
    <row r="176">
      <c r="A176" s="96" t="n"/>
      <c r="B176" s="96" t="n"/>
      <c r="C176" s="96" t="n"/>
      <c r="D176" s="97" t="n"/>
      <c r="E176" s="98" t="n"/>
      <c r="F176" s="99" t="n"/>
      <c r="G176" s="100" t="n"/>
      <c r="H176" s="104" t="str">
        <f>IF(A176="","",IF(AND(p_ModoCot="Automático",ISNUMBER(Z176)),Z176,IF(N(G176)&gt;0,G176,0)))</f>
        <v/>
      </c>
      <c r="I176" s="105" t="str">
        <f>IF(A176="","",IF(W176=0,"Sem câmbio",IF(AND(p_ModoCot="Automático",ISNUMBER(Z176)),"Auto",IF(N(G176)&gt;0,"Manual","Sem cotação"))))</f>
        <v/>
      </c>
      <c r="J176" s="106" t="str">
        <f>IF(A176="","",N(E176)*H176)</f>
        <v/>
      </c>
      <c r="K176" s="107" t="str">
        <f>IF(A176="","",J176*W176)</f>
        <v/>
      </c>
      <c r="L176" s="108" t="str">
        <f>IF(A176="","",IF($K$6&gt;0,K176/$K$6,0))</f>
        <v/>
      </c>
      <c r="M176" s="109" t="str">
        <f>IF(A176="","",N(F176)-L176)</f>
        <v/>
      </c>
      <c r="N176" s="108" t="str">
        <f>IF(A176="","",IF($AB$6&gt;0,AB176/$AB$6,0))</f>
        <v/>
      </c>
      <c r="O176" s="110" t="str">
        <f>IF(A176="","",IF(AB176&lt;=0,"",COUNTIF($AB$9:$AB$208,"&gt;"&amp;AB176)+COUNTIF($AB$9:AB176,AB176)))</f>
        <v/>
      </c>
      <c r="P176" s="105" t="str">
        <f>IF(A176="","",IF(Q176&gt;0,"BUY","HOLD"))</f>
        <v/>
      </c>
      <c r="Q176" s="107" t="str">
        <f>IF(A176="","",IF($W$7&lt;=0,0,IF($AC$6&gt;0,$W$7*AC176/$AC$6,IF($F$6&gt;0,$W$7*N(F176)/$F$6,0))))</f>
        <v/>
      </c>
      <c r="R176" s="111" t="str">
        <f>IF(A176="","",N(AD176)+IF(AI176=1,N(AG176),0))</f>
        <v/>
      </c>
      <c r="S176" s="111" t="str">
        <f>IF(A176="","",N(E176)+N(R176))</f>
        <v/>
      </c>
      <c r="T176" s="107" t="str">
        <f>IF(A176="","",IF(N(R176)&gt;0,R176*H176*W176*$W$6+p_CorrFixa,0))</f>
        <v/>
      </c>
      <c r="V176" s="85" t="str">
        <f>IF(A176="","",IF(D176="",$W$1,D176))</f>
        <v/>
      </c>
      <c r="W176" s="85" t="str">
        <f>IF(A176="","",IFERROR(INDEX(moeda_fx,MATCH(V176,moeda_cod,0)),0))</f>
        <v/>
      </c>
      <c r="X176" s="85" t="str">
        <f>IF(A176="","",IF($W$2="",UPPER(TRIM(A176)),IF(RIGHT(UPPER(TRIM(A176)),LEN($W$2))=$W$2,UPPER(TRIM(A176)),UPPER(TRIM(A176))&amp;$W$2)))</f>
        <v/>
      </c>
      <c r="Y176" s="85" t="str">
        <f>IF(OR(A176="",p_ModoCot&lt;&gt;"Automático"),"",IFERROR(_xlfn.WEBSERVICE("https://query1.finance.yahoo.com/v8/finance/chart/"&amp;X176&amp;"?range=1d&amp;interval=1d"),""))</f>
        <v/>
      </c>
      <c r="Z176" s="85" t="str">
        <f>IF(Y176="","",IFERROR(_xlfn.NUMBERVALUE(MID(Y176,SEARCH("""regularMarketPrice"":",Y176)+21,SEARCH(",",Y176&amp;",",SEARCH("""regularMarketPrice"":",Y176)+21)-SEARCH("""regularMarketPrice"":",Y176)-21),".",","),""))</f>
        <v/>
      </c>
      <c r="AA176" s="85" t="str">
        <f>IF(A176="","",ROUND(MAX(0,N(F176)*($K$6+$W$7)-K176),2))</f>
        <v/>
      </c>
      <c r="AB176" s="85" t="str">
        <f>IF(A176="","",IF(AND(M176&gt;0,M176&gt;=p_DifMin),AA176,0))</f>
        <v/>
      </c>
      <c r="AC176" s="85" t="str">
        <f>IF(A176="","",IF(AND(AB176&gt;0,N(O176)&lt;=p_MaxAtivos),AB176,0))</f>
        <v/>
      </c>
      <c r="AD176" s="85" t="str">
        <f>IF(A176="","",IF(OR(Q176&lt;=0,Q176&lt;p_CompraMin,N(H176)&lt;=0,N(W176)&lt;=0),0,IF($W$3="Sim",TRUNC(ROUND(MAX(0,(Q176-p_CorrFixa)/(H176*W176*$W$6)),9),$W$4),TRUNC(ROUND(MAX(0,(Q176-p_CorrFixa)/(H176*W176*$W$6)),9)/$W$5)*$W$5)))</f>
        <v/>
      </c>
      <c r="AE176" s="85" t="str">
        <f>IF(A176="","",IF(N(AD176)&gt;0,AD176*H176*W176*$W$6+p_CorrFixa,0))</f>
        <v/>
      </c>
      <c r="AF176" s="85" t="str">
        <f>IF(A176="","",IF(OR($Y$1&lt;=0,N(H176)&lt;=0,N(W176)&lt;=0,N(AB176)&lt;=0),0,IF($W$3="Sim",TRUNC(ROUND(MAX(0,($Y$1-IF(N(AD176)&gt;0,0,p_CorrFixa))/(H176*W176*$W$6)),9),$W$4),TRUNC(ROUND(MAX(0,($Y$1-IF(N(AD176)&gt;0,0,p_CorrFixa))/(H176*W176*$W$6)),9)/$W$5)*$W$5)))</f>
        <v/>
      </c>
      <c r="AG176" s="85" t="str">
        <f>IF(A176="","",IF(AND(N(AD176)=0,N(AF176)*(H176*W176*$W$6)+p_CorrFixa&lt;p_CompraMin),0,AF176))</f>
        <v/>
      </c>
      <c r="AH176" s="85" t="str">
        <f>IF(A176="","",IF(N(AG176)&gt;0,AB176,0))</f>
        <v/>
      </c>
      <c r="AI176" s="85" t="str">
        <f>IF(A176="","",IF(AND(AH176&gt;0,AH176=$AH$6,COUNTIF($AH$9:AH176,AH176)=1),1,0))</f>
        <v/>
      </c>
    </row>
    <row r="177">
      <c r="A177" s="96" t="n"/>
      <c r="B177" s="96" t="n"/>
      <c r="C177" s="96" t="n"/>
      <c r="D177" s="97" t="n"/>
      <c r="E177" s="98" t="n"/>
      <c r="F177" s="99" t="n"/>
      <c r="G177" s="100" t="n"/>
      <c r="H177" s="101" t="str">
        <f>IF(A177="","",IF(AND(p_ModoCot="Automático",ISNUMBER(Z177)),Z177,IF(N(G177)&gt;0,G177,0)))</f>
        <v/>
      </c>
      <c r="I177" s="73" t="str">
        <f>IF(A177="","",IF(W177=0,"Sem câmbio",IF(AND(p_ModoCot="Automático",ISNUMBER(Z177)),"Auto",IF(N(G177)&gt;0,"Manual","Sem cotação"))))</f>
        <v/>
      </c>
      <c r="J177" s="102" t="str">
        <f>IF(A177="","",N(E177)*H177)</f>
        <v/>
      </c>
      <c r="K177" s="70" t="str">
        <f>IF(A177="","",J177*W177)</f>
        <v/>
      </c>
      <c r="L177" s="30" t="str">
        <f>IF(A177="","",IF($K$6&gt;0,K177/$K$6,0))</f>
        <v/>
      </c>
      <c r="M177" s="72" t="str">
        <f>IF(A177="","",N(F177)-L177)</f>
        <v/>
      </c>
      <c r="N177" s="30" t="str">
        <f>IF(A177="","",IF($AB$6&gt;0,AB177/$AB$6,0))</f>
        <v/>
      </c>
      <c r="O177" s="74" t="str">
        <f>IF(A177="","",IF(AB177&lt;=0,"",COUNTIF($AB$9:$AB$208,"&gt;"&amp;AB177)+COUNTIF($AB$9:AB177,AB177)))</f>
        <v/>
      </c>
      <c r="P177" s="73" t="str">
        <f>IF(A177="","",IF(Q177&gt;0,"BUY","HOLD"))</f>
        <v/>
      </c>
      <c r="Q177" s="70" t="str">
        <f>IF(A177="","",IF($W$7&lt;=0,0,IF($AC$6&gt;0,$W$7*AC177/$AC$6,IF($F$6&gt;0,$W$7*N(F177)/$F$6,0))))</f>
        <v/>
      </c>
      <c r="R177" s="103" t="str">
        <f>IF(A177="","",N(AD177)+IF(AI177=1,N(AG177),0))</f>
        <v/>
      </c>
      <c r="S177" s="103" t="str">
        <f>IF(A177="","",N(E177)+N(R177))</f>
        <v/>
      </c>
      <c r="T177" s="70" t="str">
        <f>IF(A177="","",IF(N(R177)&gt;0,R177*H177*W177*$W$6+p_CorrFixa,0))</f>
        <v/>
      </c>
      <c r="V177" s="85" t="str">
        <f>IF(A177="","",IF(D177="",$W$1,D177))</f>
        <v/>
      </c>
      <c r="W177" s="85" t="str">
        <f>IF(A177="","",IFERROR(INDEX(moeda_fx,MATCH(V177,moeda_cod,0)),0))</f>
        <v/>
      </c>
      <c r="X177" s="85" t="str">
        <f>IF(A177="","",IF($W$2="",UPPER(TRIM(A177)),IF(RIGHT(UPPER(TRIM(A177)),LEN($W$2))=$W$2,UPPER(TRIM(A177)),UPPER(TRIM(A177))&amp;$W$2)))</f>
        <v/>
      </c>
      <c r="Y177" s="85" t="str">
        <f>IF(OR(A177="",p_ModoCot&lt;&gt;"Automático"),"",IFERROR(_xlfn.WEBSERVICE("https://query1.finance.yahoo.com/v8/finance/chart/"&amp;X177&amp;"?range=1d&amp;interval=1d"),""))</f>
        <v/>
      </c>
      <c r="Z177" s="85" t="str">
        <f>IF(Y177="","",IFERROR(_xlfn.NUMBERVALUE(MID(Y177,SEARCH("""regularMarketPrice"":",Y177)+21,SEARCH(",",Y177&amp;",",SEARCH("""regularMarketPrice"":",Y177)+21)-SEARCH("""regularMarketPrice"":",Y177)-21),".",","),""))</f>
        <v/>
      </c>
      <c r="AA177" s="85" t="str">
        <f>IF(A177="","",ROUND(MAX(0,N(F177)*($K$6+$W$7)-K177),2))</f>
        <v/>
      </c>
      <c r="AB177" s="85" t="str">
        <f>IF(A177="","",IF(AND(M177&gt;0,M177&gt;=p_DifMin),AA177,0))</f>
        <v/>
      </c>
      <c r="AC177" s="85" t="str">
        <f>IF(A177="","",IF(AND(AB177&gt;0,N(O177)&lt;=p_MaxAtivos),AB177,0))</f>
        <v/>
      </c>
      <c r="AD177" s="85" t="str">
        <f>IF(A177="","",IF(OR(Q177&lt;=0,Q177&lt;p_CompraMin,N(H177)&lt;=0,N(W177)&lt;=0),0,IF($W$3="Sim",TRUNC(ROUND(MAX(0,(Q177-p_CorrFixa)/(H177*W177*$W$6)),9),$W$4),TRUNC(ROUND(MAX(0,(Q177-p_CorrFixa)/(H177*W177*$W$6)),9)/$W$5)*$W$5)))</f>
        <v/>
      </c>
      <c r="AE177" s="85" t="str">
        <f>IF(A177="","",IF(N(AD177)&gt;0,AD177*H177*W177*$W$6+p_CorrFixa,0))</f>
        <v/>
      </c>
      <c r="AF177" s="85" t="str">
        <f>IF(A177="","",IF(OR($Y$1&lt;=0,N(H177)&lt;=0,N(W177)&lt;=0,N(AB177)&lt;=0),0,IF($W$3="Sim",TRUNC(ROUND(MAX(0,($Y$1-IF(N(AD177)&gt;0,0,p_CorrFixa))/(H177*W177*$W$6)),9),$W$4),TRUNC(ROUND(MAX(0,($Y$1-IF(N(AD177)&gt;0,0,p_CorrFixa))/(H177*W177*$W$6)),9)/$W$5)*$W$5)))</f>
        <v/>
      </c>
      <c r="AG177" s="85" t="str">
        <f>IF(A177="","",IF(AND(N(AD177)=0,N(AF177)*(H177*W177*$W$6)+p_CorrFixa&lt;p_CompraMin),0,AF177))</f>
        <v/>
      </c>
      <c r="AH177" s="85" t="str">
        <f>IF(A177="","",IF(N(AG177)&gt;0,AB177,0))</f>
        <v/>
      </c>
      <c r="AI177" s="85" t="str">
        <f>IF(A177="","",IF(AND(AH177&gt;0,AH177=$AH$6,COUNTIF($AH$9:AH177,AH177)=1),1,0))</f>
        <v/>
      </c>
    </row>
    <row r="178">
      <c r="A178" s="96" t="n"/>
      <c r="B178" s="96" t="n"/>
      <c r="C178" s="96" t="n"/>
      <c r="D178" s="97" t="n"/>
      <c r="E178" s="98" t="n"/>
      <c r="F178" s="99" t="n"/>
      <c r="G178" s="100" t="n"/>
      <c r="H178" s="104" t="str">
        <f>IF(A178="","",IF(AND(p_ModoCot="Automático",ISNUMBER(Z178)),Z178,IF(N(G178)&gt;0,G178,0)))</f>
        <v/>
      </c>
      <c r="I178" s="105" t="str">
        <f>IF(A178="","",IF(W178=0,"Sem câmbio",IF(AND(p_ModoCot="Automático",ISNUMBER(Z178)),"Auto",IF(N(G178)&gt;0,"Manual","Sem cotação"))))</f>
        <v/>
      </c>
      <c r="J178" s="106" t="str">
        <f>IF(A178="","",N(E178)*H178)</f>
        <v/>
      </c>
      <c r="K178" s="107" t="str">
        <f>IF(A178="","",J178*W178)</f>
        <v/>
      </c>
      <c r="L178" s="108" t="str">
        <f>IF(A178="","",IF($K$6&gt;0,K178/$K$6,0))</f>
        <v/>
      </c>
      <c r="M178" s="109" t="str">
        <f>IF(A178="","",N(F178)-L178)</f>
        <v/>
      </c>
      <c r="N178" s="108" t="str">
        <f>IF(A178="","",IF($AB$6&gt;0,AB178/$AB$6,0))</f>
        <v/>
      </c>
      <c r="O178" s="110" t="str">
        <f>IF(A178="","",IF(AB178&lt;=0,"",COUNTIF($AB$9:$AB$208,"&gt;"&amp;AB178)+COUNTIF($AB$9:AB178,AB178)))</f>
        <v/>
      </c>
      <c r="P178" s="105" t="str">
        <f>IF(A178="","",IF(Q178&gt;0,"BUY","HOLD"))</f>
        <v/>
      </c>
      <c r="Q178" s="107" t="str">
        <f>IF(A178="","",IF($W$7&lt;=0,0,IF($AC$6&gt;0,$W$7*AC178/$AC$6,IF($F$6&gt;0,$W$7*N(F178)/$F$6,0))))</f>
        <v/>
      </c>
      <c r="R178" s="111" t="str">
        <f>IF(A178="","",N(AD178)+IF(AI178=1,N(AG178),0))</f>
        <v/>
      </c>
      <c r="S178" s="111" t="str">
        <f>IF(A178="","",N(E178)+N(R178))</f>
        <v/>
      </c>
      <c r="T178" s="107" t="str">
        <f>IF(A178="","",IF(N(R178)&gt;0,R178*H178*W178*$W$6+p_CorrFixa,0))</f>
        <v/>
      </c>
      <c r="V178" s="85" t="str">
        <f>IF(A178="","",IF(D178="",$W$1,D178))</f>
        <v/>
      </c>
      <c r="W178" s="85" t="str">
        <f>IF(A178="","",IFERROR(INDEX(moeda_fx,MATCH(V178,moeda_cod,0)),0))</f>
        <v/>
      </c>
      <c r="X178" s="85" t="str">
        <f>IF(A178="","",IF($W$2="",UPPER(TRIM(A178)),IF(RIGHT(UPPER(TRIM(A178)),LEN($W$2))=$W$2,UPPER(TRIM(A178)),UPPER(TRIM(A178))&amp;$W$2)))</f>
        <v/>
      </c>
      <c r="Y178" s="85" t="str">
        <f>IF(OR(A178="",p_ModoCot&lt;&gt;"Automático"),"",IFERROR(_xlfn.WEBSERVICE("https://query1.finance.yahoo.com/v8/finance/chart/"&amp;X178&amp;"?range=1d&amp;interval=1d"),""))</f>
        <v/>
      </c>
      <c r="Z178" s="85" t="str">
        <f>IF(Y178="","",IFERROR(_xlfn.NUMBERVALUE(MID(Y178,SEARCH("""regularMarketPrice"":",Y178)+21,SEARCH(",",Y178&amp;",",SEARCH("""regularMarketPrice"":",Y178)+21)-SEARCH("""regularMarketPrice"":",Y178)-21),".",","),""))</f>
        <v/>
      </c>
      <c r="AA178" s="85" t="str">
        <f>IF(A178="","",ROUND(MAX(0,N(F178)*($K$6+$W$7)-K178),2))</f>
        <v/>
      </c>
      <c r="AB178" s="85" t="str">
        <f>IF(A178="","",IF(AND(M178&gt;0,M178&gt;=p_DifMin),AA178,0))</f>
        <v/>
      </c>
      <c r="AC178" s="85" t="str">
        <f>IF(A178="","",IF(AND(AB178&gt;0,N(O178)&lt;=p_MaxAtivos),AB178,0))</f>
        <v/>
      </c>
      <c r="AD178" s="85" t="str">
        <f>IF(A178="","",IF(OR(Q178&lt;=0,Q178&lt;p_CompraMin,N(H178)&lt;=0,N(W178)&lt;=0),0,IF($W$3="Sim",TRUNC(ROUND(MAX(0,(Q178-p_CorrFixa)/(H178*W178*$W$6)),9),$W$4),TRUNC(ROUND(MAX(0,(Q178-p_CorrFixa)/(H178*W178*$W$6)),9)/$W$5)*$W$5)))</f>
        <v/>
      </c>
      <c r="AE178" s="85" t="str">
        <f>IF(A178="","",IF(N(AD178)&gt;0,AD178*H178*W178*$W$6+p_CorrFixa,0))</f>
        <v/>
      </c>
      <c r="AF178" s="85" t="str">
        <f>IF(A178="","",IF(OR($Y$1&lt;=0,N(H178)&lt;=0,N(W178)&lt;=0,N(AB178)&lt;=0),0,IF($W$3="Sim",TRUNC(ROUND(MAX(0,($Y$1-IF(N(AD178)&gt;0,0,p_CorrFixa))/(H178*W178*$W$6)),9),$W$4),TRUNC(ROUND(MAX(0,($Y$1-IF(N(AD178)&gt;0,0,p_CorrFixa))/(H178*W178*$W$6)),9)/$W$5)*$W$5)))</f>
        <v/>
      </c>
      <c r="AG178" s="85" t="str">
        <f>IF(A178="","",IF(AND(N(AD178)=0,N(AF178)*(H178*W178*$W$6)+p_CorrFixa&lt;p_CompraMin),0,AF178))</f>
        <v/>
      </c>
      <c r="AH178" s="85" t="str">
        <f>IF(A178="","",IF(N(AG178)&gt;0,AB178,0))</f>
        <v/>
      </c>
      <c r="AI178" s="85" t="str">
        <f>IF(A178="","",IF(AND(AH178&gt;0,AH178=$AH$6,COUNTIF($AH$9:AH178,AH178)=1),1,0))</f>
        <v/>
      </c>
    </row>
    <row r="179">
      <c r="A179" s="96" t="n"/>
      <c r="B179" s="96" t="n"/>
      <c r="C179" s="96" t="n"/>
      <c r="D179" s="97" t="n"/>
      <c r="E179" s="98" t="n"/>
      <c r="F179" s="99" t="n"/>
      <c r="G179" s="100" t="n"/>
      <c r="H179" s="101" t="str">
        <f>IF(A179="","",IF(AND(p_ModoCot="Automático",ISNUMBER(Z179)),Z179,IF(N(G179)&gt;0,G179,0)))</f>
        <v/>
      </c>
      <c r="I179" s="73" t="str">
        <f>IF(A179="","",IF(W179=0,"Sem câmbio",IF(AND(p_ModoCot="Automático",ISNUMBER(Z179)),"Auto",IF(N(G179)&gt;0,"Manual","Sem cotação"))))</f>
        <v/>
      </c>
      <c r="J179" s="102" t="str">
        <f>IF(A179="","",N(E179)*H179)</f>
        <v/>
      </c>
      <c r="K179" s="70" t="str">
        <f>IF(A179="","",J179*W179)</f>
        <v/>
      </c>
      <c r="L179" s="30" t="str">
        <f>IF(A179="","",IF($K$6&gt;0,K179/$K$6,0))</f>
        <v/>
      </c>
      <c r="M179" s="72" t="str">
        <f>IF(A179="","",N(F179)-L179)</f>
        <v/>
      </c>
      <c r="N179" s="30" t="str">
        <f>IF(A179="","",IF($AB$6&gt;0,AB179/$AB$6,0))</f>
        <v/>
      </c>
      <c r="O179" s="74" t="str">
        <f>IF(A179="","",IF(AB179&lt;=0,"",COUNTIF($AB$9:$AB$208,"&gt;"&amp;AB179)+COUNTIF($AB$9:AB179,AB179)))</f>
        <v/>
      </c>
      <c r="P179" s="73" t="str">
        <f>IF(A179="","",IF(Q179&gt;0,"BUY","HOLD"))</f>
        <v/>
      </c>
      <c r="Q179" s="70" t="str">
        <f>IF(A179="","",IF($W$7&lt;=0,0,IF($AC$6&gt;0,$W$7*AC179/$AC$6,IF($F$6&gt;0,$W$7*N(F179)/$F$6,0))))</f>
        <v/>
      </c>
      <c r="R179" s="103" t="str">
        <f>IF(A179="","",N(AD179)+IF(AI179=1,N(AG179),0))</f>
        <v/>
      </c>
      <c r="S179" s="103" t="str">
        <f>IF(A179="","",N(E179)+N(R179))</f>
        <v/>
      </c>
      <c r="T179" s="70" t="str">
        <f>IF(A179="","",IF(N(R179)&gt;0,R179*H179*W179*$W$6+p_CorrFixa,0))</f>
        <v/>
      </c>
      <c r="V179" s="85" t="str">
        <f>IF(A179="","",IF(D179="",$W$1,D179))</f>
        <v/>
      </c>
      <c r="W179" s="85" t="str">
        <f>IF(A179="","",IFERROR(INDEX(moeda_fx,MATCH(V179,moeda_cod,0)),0))</f>
        <v/>
      </c>
      <c r="X179" s="85" t="str">
        <f>IF(A179="","",IF($W$2="",UPPER(TRIM(A179)),IF(RIGHT(UPPER(TRIM(A179)),LEN($W$2))=$W$2,UPPER(TRIM(A179)),UPPER(TRIM(A179))&amp;$W$2)))</f>
        <v/>
      </c>
      <c r="Y179" s="85" t="str">
        <f>IF(OR(A179="",p_ModoCot&lt;&gt;"Automático"),"",IFERROR(_xlfn.WEBSERVICE("https://query1.finance.yahoo.com/v8/finance/chart/"&amp;X179&amp;"?range=1d&amp;interval=1d"),""))</f>
        <v/>
      </c>
      <c r="Z179" s="85" t="str">
        <f>IF(Y179="","",IFERROR(_xlfn.NUMBERVALUE(MID(Y179,SEARCH("""regularMarketPrice"":",Y179)+21,SEARCH(",",Y179&amp;",",SEARCH("""regularMarketPrice"":",Y179)+21)-SEARCH("""regularMarketPrice"":",Y179)-21),".",","),""))</f>
        <v/>
      </c>
      <c r="AA179" s="85" t="str">
        <f>IF(A179="","",ROUND(MAX(0,N(F179)*($K$6+$W$7)-K179),2))</f>
        <v/>
      </c>
      <c r="AB179" s="85" t="str">
        <f>IF(A179="","",IF(AND(M179&gt;0,M179&gt;=p_DifMin),AA179,0))</f>
        <v/>
      </c>
      <c r="AC179" s="85" t="str">
        <f>IF(A179="","",IF(AND(AB179&gt;0,N(O179)&lt;=p_MaxAtivos),AB179,0))</f>
        <v/>
      </c>
      <c r="AD179" s="85" t="str">
        <f>IF(A179="","",IF(OR(Q179&lt;=0,Q179&lt;p_CompraMin,N(H179)&lt;=0,N(W179)&lt;=0),0,IF($W$3="Sim",TRUNC(ROUND(MAX(0,(Q179-p_CorrFixa)/(H179*W179*$W$6)),9),$W$4),TRUNC(ROUND(MAX(0,(Q179-p_CorrFixa)/(H179*W179*$W$6)),9)/$W$5)*$W$5)))</f>
        <v/>
      </c>
      <c r="AE179" s="85" t="str">
        <f>IF(A179="","",IF(N(AD179)&gt;0,AD179*H179*W179*$W$6+p_CorrFixa,0))</f>
        <v/>
      </c>
      <c r="AF179" s="85" t="str">
        <f>IF(A179="","",IF(OR($Y$1&lt;=0,N(H179)&lt;=0,N(W179)&lt;=0,N(AB179)&lt;=0),0,IF($W$3="Sim",TRUNC(ROUND(MAX(0,($Y$1-IF(N(AD179)&gt;0,0,p_CorrFixa))/(H179*W179*$W$6)),9),$W$4),TRUNC(ROUND(MAX(0,($Y$1-IF(N(AD179)&gt;0,0,p_CorrFixa))/(H179*W179*$W$6)),9)/$W$5)*$W$5)))</f>
        <v/>
      </c>
      <c r="AG179" s="85" t="str">
        <f>IF(A179="","",IF(AND(N(AD179)=0,N(AF179)*(H179*W179*$W$6)+p_CorrFixa&lt;p_CompraMin),0,AF179))</f>
        <v/>
      </c>
      <c r="AH179" s="85" t="str">
        <f>IF(A179="","",IF(N(AG179)&gt;0,AB179,0))</f>
        <v/>
      </c>
      <c r="AI179" s="85" t="str">
        <f>IF(A179="","",IF(AND(AH179&gt;0,AH179=$AH$6,COUNTIF($AH$9:AH179,AH179)=1),1,0))</f>
        <v/>
      </c>
    </row>
    <row r="180">
      <c r="A180" s="96" t="n"/>
      <c r="B180" s="96" t="n"/>
      <c r="C180" s="96" t="n"/>
      <c r="D180" s="97" t="n"/>
      <c r="E180" s="98" t="n"/>
      <c r="F180" s="99" t="n"/>
      <c r="G180" s="100" t="n"/>
      <c r="H180" s="104" t="str">
        <f>IF(A180="","",IF(AND(p_ModoCot="Automático",ISNUMBER(Z180)),Z180,IF(N(G180)&gt;0,G180,0)))</f>
        <v/>
      </c>
      <c r="I180" s="105" t="str">
        <f>IF(A180="","",IF(W180=0,"Sem câmbio",IF(AND(p_ModoCot="Automático",ISNUMBER(Z180)),"Auto",IF(N(G180)&gt;0,"Manual","Sem cotação"))))</f>
        <v/>
      </c>
      <c r="J180" s="106" t="str">
        <f>IF(A180="","",N(E180)*H180)</f>
        <v/>
      </c>
      <c r="K180" s="107" t="str">
        <f>IF(A180="","",J180*W180)</f>
        <v/>
      </c>
      <c r="L180" s="108" t="str">
        <f>IF(A180="","",IF($K$6&gt;0,K180/$K$6,0))</f>
        <v/>
      </c>
      <c r="M180" s="109" t="str">
        <f>IF(A180="","",N(F180)-L180)</f>
        <v/>
      </c>
      <c r="N180" s="108" t="str">
        <f>IF(A180="","",IF($AB$6&gt;0,AB180/$AB$6,0))</f>
        <v/>
      </c>
      <c r="O180" s="110" t="str">
        <f>IF(A180="","",IF(AB180&lt;=0,"",COUNTIF($AB$9:$AB$208,"&gt;"&amp;AB180)+COUNTIF($AB$9:AB180,AB180)))</f>
        <v/>
      </c>
      <c r="P180" s="105" t="str">
        <f>IF(A180="","",IF(Q180&gt;0,"BUY","HOLD"))</f>
        <v/>
      </c>
      <c r="Q180" s="107" t="str">
        <f>IF(A180="","",IF($W$7&lt;=0,0,IF($AC$6&gt;0,$W$7*AC180/$AC$6,IF($F$6&gt;0,$W$7*N(F180)/$F$6,0))))</f>
        <v/>
      </c>
      <c r="R180" s="111" t="str">
        <f>IF(A180="","",N(AD180)+IF(AI180=1,N(AG180),0))</f>
        <v/>
      </c>
      <c r="S180" s="111" t="str">
        <f>IF(A180="","",N(E180)+N(R180))</f>
        <v/>
      </c>
      <c r="T180" s="107" t="str">
        <f>IF(A180="","",IF(N(R180)&gt;0,R180*H180*W180*$W$6+p_CorrFixa,0))</f>
        <v/>
      </c>
      <c r="V180" s="85" t="str">
        <f>IF(A180="","",IF(D180="",$W$1,D180))</f>
        <v/>
      </c>
      <c r="W180" s="85" t="str">
        <f>IF(A180="","",IFERROR(INDEX(moeda_fx,MATCH(V180,moeda_cod,0)),0))</f>
        <v/>
      </c>
      <c r="X180" s="85" t="str">
        <f>IF(A180="","",IF($W$2="",UPPER(TRIM(A180)),IF(RIGHT(UPPER(TRIM(A180)),LEN($W$2))=$W$2,UPPER(TRIM(A180)),UPPER(TRIM(A180))&amp;$W$2)))</f>
        <v/>
      </c>
      <c r="Y180" s="85" t="str">
        <f>IF(OR(A180="",p_ModoCot&lt;&gt;"Automático"),"",IFERROR(_xlfn.WEBSERVICE("https://query1.finance.yahoo.com/v8/finance/chart/"&amp;X180&amp;"?range=1d&amp;interval=1d"),""))</f>
        <v/>
      </c>
      <c r="Z180" s="85" t="str">
        <f>IF(Y180="","",IFERROR(_xlfn.NUMBERVALUE(MID(Y180,SEARCH("""regularMarketPrice"":",Y180)+21,SEARCH(",",Y180&amp;",",SEARCH("""regularMarketPrice"":",Y180)+21)-SEARCH("""regularMarketPrice"":",Y180)-21),".",","),""))</f>
        <v/>
      </c>
      <c r="AA180" s="85" t="str">
        <f>IF(A180="","",ROUND(MAX(0,N(F180)*($K$6+$W$7)-K180),2))</f>
        <v/>
      </c>
      <c r="AB180" s="85" t="str">
        <f>IF(A180="","",IF(AND(M180&gt;0,M180&gt;=p_DifMin),AA180,0))</f>
        <v/>
      </c>
      <c r="AC180" s="85" t="str">
        <f>IF(A180="","",IF(AND(AB180&gt;0,N(O180)&lt;=p_MaxAtivos),AB180,0))</f>
        <v/>
      </c>
      <c r="AD180" s="85" t="str">
        <f>IF(A180="","",IF(OR(Q180&lt;=0,Q180&lt;p_CompraMin,N(H180)&lt;=0,N(W180)&lt;=0),0,IF($W$3="Sim",TRUNC(ROUND(MAX(0,(Q180-p_CorrFixa)/(H180*W180*$W$6)),9),$W$4),TRUNC(ROUND(MAX(0,(Q180-p_CorrFixa)/(H180*W180*$W$6)),9)/$W$5)*$W$5)))</f>
        <v/>
      </c>
      <c r="AE180" s="85" t="str">
        <f>IF(A180="","",IF(N(AD180)&gt;0,AD180*H180*W180*$W$6+p_CorrFixa,0))</f>
        <v/>
      </c>
      <c r="AF180" s="85" t="str">
        <f>IF(A180="","",IF(OR($Y$1&lt;=0,N(H180)&lt;=0,N(W180)&lt;=0,N(AB180)&lt;=0),0,IF($W$3="Sim",TRUNC(ROUND(MAX(0,($Y$1-IF(N(AD180)&gt;0,0,p_CorrFixa))/(H180*W180*$W$6)),9),$W$4),TRUNC(ROUND(MAX(0,($Y$1-IF(N(AD180)&gt;0,0,p_CorrFixa))/(H180*W180*$W$6)),9)/$W$5)*$W$5)))</f>
        <v/>
      </c>
      <c r="AG180" s="85" t="str">
        <f>IF(A180="","",IF(AND(N(AD180)=0,N(AF180)*(H180*W180*$W$6)+p_CorrFixa&lt;p_CompraMin),0,AF180))</f>
        <v/>
      </c>
      <c r="AH180" s="85" t="str">
        <f>IF(A180="","",IF(N(AG180)&gt;0,AB180,0))</f>
        <v/>
      </c>
      <c r="AI180" s="85" t="str">
        <f>IF(A180="","",IF(AND(AH180&gt;0,AH180=$AH$6,COUNTIF($AH$9:AH180,AH180)=1),1,0))</f>
        <v/>
      </c>
    </row>
    <row r="181">
      <c r="A181" s="96" t="n"/>
      <c r="B181" s="96" t="n"/>
      <c r="C181" s="96" t="n"/>
      <c r="D181" s="97" t="n"/>
      <c r="E181" s="98" t="n"/>
      <c r="F181" s="99" t="n"/>
      <c r="G181" s="100" t="n"/>
      <c r="H181" s="101" t="str">
        <f>IF(A181="","",IF(AND(p_ModoCot="Automático",ISNUMBER(Z181)),Z181,IF(N(G181)&gt;0,G181,0)))</f>
        <v/>
      </c>
      <c r="I181" s="73" t="str">
        <f>IF(A181="","",IF(W181=0,"Sem câmbio",IF(AND(p_ModoCot="Automático",ISNUMBER(Z181)),"Auto",IF(N(G181)&gt;0,"Manual","Sem cotação"))))</f>
        <v/>
      </c>
      <c r="J181" s="102" t="str">
        <f>IF(A181="","",N(E181)*H181)</f>
        <v/>
      </c>
      <c r="K181" s="70" t="str">
        <f>IF(A181="","",J181*W181)</f>
        <v/>
      </c>
      <c r="L181" s="30" t="str">
        <f>IF(A181="","",IF($K$6&gt;0,K181/$K$6,0))</f>
        <v/>
      </c>
      <c r="M181" s="72" t="str">
        <f>IF(A181="","",N(F181)-L181)</f>
        <v/>
      </c>
      <c r="N181" s="30" t="str">
        <f>IF(A181="","",IF($AB$6&gt;0,AB181/$AB$6,0))</f>
        <v/>
      </c>
      <c r="O181" s="74" t="str">
        <f>IF(A181="","",IF(AB181&lt;=0,"",COUNTIF($AB$9:$AB$208,"&gt;"&amp;AB181)+COUNTIF($AB$9:AB181,AB181)))</f>
        <v/>
      </c>
      <c r="P181" s="73" t="str">
        <f>IF(A181="","",IF(Q181&gt;0,"BUY","HOLD"))</f>
        <v/>
      </c>
      <c r="Q181" s="70" t="str">
        <f>IF(A181="","",IF($W$7&lt;=0,0,IF($AC$6&gt;0,$W$7*AC181/$AC$6,IF($F$6&gt;0,$W$7*N(F181)/$F$6,0))))</f>
        <v/>
      </c>
      <c r="R181" s="103" t="str">
        <f>IF(A181="","",N(AD181)+IF(AI181=1,N(AG181),0))</f>
        <v/>
      </c>
      <c r="S181" s="103" t="str">
        <f>IF(A181="","",N(E181)+N(R181))</f>
        <v/>
      </c>
      <c r="T181" s="70" t="str">
        <f>IF(A181="","",IF(N(R181)&gt;0,R181*H181*W181*$W$6+p_CorrFixa,0))</f>
        <v/>
      </c>
      <c r="V181" s="85" t="str">
        <f>IF(A181="","",IF(D181="",$W$1,D181))</f>
        <v/>
      </c>
      <c r="W181" s="85" t="str">
        <f>IF(A181="","",IFERROR(INDEX(moeda_fx,MATCH(V181,moeda_cod,0)),0))</f>
        <v/>
      </c>
      <c r="X181" s="85" t="str">
        <f>IF(A181="","",IF($W$2="",UPPER(TRIM(A181)),IF(RIGHT(UPPER(TRIM(A181)),LEN($W$2))=$W$2,UPPER(TRIM(A181)),UPPER(TRIM(A181))&amp;$W$2)))</f>
        <v/>
      </c>
      <c r="Y181" s="85" t="str">
        <f>IF(OR(A181="",p_ModoCot&lt;&gt;"Automático"),"",IFERROR(_xlfn.WEBSERVICE("https://query1.finance.yahoo.com/v8/finance/chart/"&amp;X181&amp;"?range=1d&amp;interval=1d"),""))</f>
        <v/>
      </c>
      <c r="Z181" s="85" t="str">
        <f>IF(Y181="","",IFERROR(_xlfn.NUMBERVALUE(MID(Y181,SEARCH("""regularMarketPrice"":",Y181)+21,SEARCH(",",Y181&amp;",",SEARCH("""regularMarketPrice"":",Y181)+21)-SEARCH("""regularMarketPrice"":",Y181)-21),".",","),""))</f>
        <v/>
      </c>
      <c r="AA181" s="85" t="str">
        <f>IF(A181="","",ROUND(MAX(0,N(F181)*($K$6+$W$7)-K181),2))</f>
        <v/>
      </c>
      <c r="AB181" s="85" t="str">
        <f>IF(A181="","",IF(AND(M181&gt;0,M181&gt;=p_DifMin),AA181,0))</f>
        <v/>
      </c>
      <c r="AC181" s="85" t="str">
        <f>IF(A181="","",IF(AND(AB181&gt;0,N(O181)&lt;=p_MaxAtivos),AB181,0))</f>
        <v/>
      </c>
      <c r="AD181" s="85" t="str">
        <f>IF(A181="","",IF(OR(Q181&lt;=0,Q181&lt;p_CompraMin,N(H181)&lt;=0,N(W181)&lt;=0),0,IF($W$3="Sim",TRUNC(ROUND(MAX(0,(Q181-p_CorrFixa)/(H181*W181*$W$6)),9),$W$4),TRUNC(ROUND(MAX(0,(Q181-p_CorrFixa)/(H181*W181*$W$6)),9)/$W$5)*$W$5)))</f>
        <v/>
      </c>
      <c r="AE181" s="85" t="str">
        <f>IF(A181="","",IF(N(AD181)&gt;0,AD181*H181*W181*$W$6+p_CorrFixa,0))</f>
        <v/>
      </c>
      <c r="AF181" s="85" t="str">
        <f>IF(A181="","",IF(OR($Y$1&lt;=0,N(H181)&lt;=0,N(W181)&lt;=0,N(AB181)&lt;=0),0,IF($W$3="Sim",TRUNC(ROUND(MAX(0,($Y$1-IF(N(AD181)&gt;0,0,p_CorrFixa))/(H181*W181*$W$6)),9),$W$4),TRUNC(ROUND(MAX(0,($Y$1-IF(N(AD181)&gt;0,0,p_CorrFixa))/(H181*W181*$W$6)),9)/$W$5)*$W$5)))</f>
        <v/>
      </c>
      <c r="AG181" s="85" t="str">
        <f>IF(A181="","",IF(AND(N(AD181)=0,N(AF181)*(H181*W181*$W$6)+p_CorrFixa&lt;p_CompraMin),0,AF181))</f>
        <v/>
      </c>
      <c r="AH181" s="85" t="str">
        <f>IF(A181="","",IF(N(AG181)&gt;0,AB181,0))</f>
        <v/>
      </c>
      <c r="AI181" s="85" t="str">
        <f>IF(A181="","",IF(AND(AH181&gt;0,AH181=$AH$6,COUNTIF($AH$9:AH181,AH181)=1),1,0))</f>
        <v/>
      </c>
    </row>
    <row r="182">
      <c r="A182" s="96" t="n"/>
      <c r="B182" s="96" t="n"/>
      <c r="C182" s="96" t="n"/>
      <c r="D182" s="97" t="n"/>
      <c r="E182" s="98" t="n"/>
      <c r="F182" s="99" t="n"/>
      <c r="G182" s="100" t="n"/>
      <c r="H182" s="104" t="str">
        <f>IF(A182="","",IF(AND(p_ModoCot="Automático",ISNUMBER(Z182)),Z182,IF(N(G182)&gt;0,G182,0)))</f>
        <v/>
      </c>
      <c r="I182" s="105" t="str">
        <f>IF(A182="","",IF(W182=0,"Sem câmbio",IF(AND(p_ModoCot="Automático",ISNUMBER(Z182)),"Auto",IF(N(G182)&gt;0,"Manual","Sem cotação"))))</f>
        <v/>
      </c>
      <c r="J182" s="106" t="str">
        <f>IF(A182="","",N(E182)*H182)</f>
        <v/>
      </c>
      <c r="K182" s="107" t="str">
        <f>IF(A182="","",J182*W182)</f>
        <v/>
      </c>
      <c r="L182" s="108" t="str">
        <f>IF(A182="","",IF($K$6&gt;0,K182/$K$6,0))</f>
        <v/>
      </c>
      <c r="M182" s="109" t="str">
        <f>IF(A182="","",N(F182)-L182)</f>
        <v/>
      </c>
      <c r="N182" s="108" t="str">
        <f>IF(A182="","",IF($AB$6&gt;0,AB182/$AB$6,0))</f>
        <v/>
      </c>
      <c r="O182" s="110" t="str">
        <f>IF(A182="","",IF(AB182&lt;=0,"",COUNTIF($AB$9:$AB$208,"&gt;"&amp;AB182)+COUNTIF($AB$9:AB182,AB182)))</f>
        <v/>
      </c>
      <c r="P182" s="105" t="str">
        <f>IF(A182="","",IF(Q182&gt;0,"BUY","HOLD"))</f>
        <v/>
      </c>
      <c r="Q182" s="107" t="str">
        <f>IF(A182="","",IF($W$7&lt;=0,0,IF($AC$6&gt;0,$W$7*AC182/$AC$6,IF($F$6&gt;0,$W$7*N(F182)/$F$6,0))))</f>
        <v/>
      </c>
      <c r="R182" s="111" t="str">
        <f>IF(A182="","",N(AD182)+IF(AI182=1,N(AG182),0))</f>
        <v/>
      </c>
      <c r="S182" s="111" t="str">
        <f>IF(A182="","",N(E182)+N(R182))</f>
        <v/>
      </c>
      <c r="T182" s="107" t="str">
        <f>IF(A182="","",IF(N(R182)&gt;0,R182*H182*W182*$W$6+p_CorrFixa,0))</f>
        <v/>
      </c>
      <c r="V182" s="85" t="str">
        <f>IF(A182="","",IF(D182="",$W$1,D182))</f>
        <v/>
      </c>
      <c r="W182" s="85" t="str">
        <f>IF(A182="","",IFERROR(INDEX(moeda_fx,MATCH(V182,moeda_cod,0)),0))</f>
        <v/>
      </c>
      <c r="X182" s="85" t="str">
        <f>IF(A182="","",IF($W$2="",UPPER(TRIM(A182)),IF(RIGHT(UPPER(TRIM(A182)),LEN($W$2))=$W$2,UPPER(TRIM(A182)),UPPER(TRIM(A182))&amp;$W$2)))</f>
        <v/>
      </c>
      <c r="Y182" s="85" t="str">
        <f>IF(OR(A182="",p_ModoCot&lt;&gt;"Automático"),"",IFERROR(_xlfn.WEBSERVICE("https://query1.finance.yahoo.com/v8/finance/chart/"&amp;X182&amp;"?range=1d&amp;interval=1d"),""))</f>
        <v/>
      </c>
      <c r="Z182" s="85" t="str">
        <f>IF(Y182="","",IFERROR(_xlfn.NUMBERVALUE(MID(Y182,SEARCH("""regularMarketPrice"":",Y182)+21,SEARCH(",",Y182&amp;",",SEARCH("""regularMarketPrice"":",Y182)+21)-SEARCH("""regularMarketPrice"":",Y182)-21),".",","),""))</f>
        <v/>
      </c>
      <c r="AA182" s="85" t="str">
        <f>IF(A182="","",ROUND(MAX(0,N(F182)*($K$6+$W$7)-K182),2))</f>
        <v/>
      </c>
      <c r="AB182" s="85" t="str">
        <f>IF(A182="","",IF(AND(M182&gt;0,M182&gt;=p_DifMin),AA182,0))</f>
        <v/>
      </c>
      <c r="AC182" s="85" t="str">
        <f>IF(A182="","",IF(AND(AB182&gt;0,N(O182)&lt;=p_MaxAtivos),AB182,0))</f>
        <v/>
      </c>
      <c r="AD182" s="85" t="str">
        <f>IF(A182="","",IF(OR(Q182&lt;=0,Q182&lt;p_CompraMin,N(H182)&lt;=0,N(W182)&lt;=0),0,IF($W$3="Sim",TRUNC(ROUND(MAX(0,(Q182-p_CorrFixa)/(H182*W182*$W$6)),9),$W$4),TRUNC(ROUND(MAX(0,(Q182-p_CorrFixa)/(H182*W182*$W$6)),9)/$W$5)*$W$5)))</f>
        <v/>
      </c>
      <c r="AE182" s="85" t="str">
        <f>IF(A182="","",IF(N(AD182)&gt;0,AD182*H182*W182*$W$6+p_CorrFixa,0))</f>
        <v/>
      </c>
      <c r="AF182" s="85" t="str">
        <f>IF(A182="","",IF(OR($Y$1&lt;=0,N(H182)&lt;=0,N(W182)&lt;=0,N(AB182)&lt;=0),0,IF($W$3="Sim",TRUNC(ROUND(MAX(0,($Y$1-IF(N(AD182)&gt;0,0,p_CorrFixa))/(H182*W182*$W$6)),9),$W$4),TRUNC(ROUND(MAX(0,($Y$1-IF(N(AD182)&gt;0,0,p_CorrFixa))/(H182*W182*$W$6)),9)/$W$5)*$W$5)))</f>
        <v/>
      </c>
      <c r="AG182" s="85" t="str">
        <f>IF(A182="","",IF(AND(N(AD182)=0,N(AF182)*(H182*W182*$W$6)+p_CorrFixa&lt;p_CompraMin),0,AF182))</f>
        <v/>
      </c>
      <c r="AH182" s="85" t="str">
        <f>IF(A182="","",IF(N(AG182)&gt;0,AB182,0))</f>
        <v/>
      </c>
      <c r="AI182" s="85" t="str">
        <f>IF(A182="","",IF(AND(AH182&gt;0,AH182=$AH$6,COUNTIF($AH$9:AH182,AH182)=1),1,0))</f>
        <v/>
      </c>
    </row>
    <row r="183">
      <c r="A183" s="96" t="n"/>
      <c r="B183" s="96" t="n"/>
      <c r="C183" s="96" t="n"/>
      <c r="D183" s="97" t="n"/>
      <c r="E183" s="98" t="n"/>
      <c r="F183" s="99" t="n"/>
      <c r="G183" s="100" t="n"/>
      <c r="H183" s="101" t="str">
        <f>IF(A183="","",IF(AND(p_ModoCot="Automático",ISNUMBER(Z183)),Z183,IF(N(G183)&gt;0,G183,0)))</f>
        <v/>
      </c>
      <c r="I183" s="73" t="str">
        <f>IF(A183="","",IF(W183=0,"Sem câmbio",IF(AND(p_ModoCot="Automático",ISNUMBER(Z183)),"Auto",IF(N(G183)&gt;0,"Manual","Sem cotação"))))</f>
        <v/>
      </c>
      <c r="J183" s="102" t="str">
        <f>IF(A183="","",N(E183)*H183)</f>
        <v/>
      </c>
      <c r="K183" s="70" t="str">
        <f>IF(A183="","",J183*W183)</f>
        <v/>
      </c>
      <c r="L183" s="30" t="str">
        <f>IF(A183="","",IF($K$6&gt;0,K183/$K$6,0))</f>
        <v/>
      </c>
      <c r="M183" s="72" t="str">
        <f>IF(A183="","",N(F183)-L183)</f>
        <v/>
      </c>
      <c r="N183" s="30" t="str">
        <f>IF(A183="","",IF($AB$6&gt;0,AB183/$AB$6,0))</f>
        <v/>
      </c>
      <c r="O183" s="74" t="str">
        <f>IF(A183="","",IF(AB183&lt;=0,"",COUNTIF($AB$9:$AB$208,"&gt;"&amp;AB183)+COUNTIF($AB$9:AB183,AB183)))</f>
        <v/>
      </c>
      <c r="P183" s="73" t="str">
        <f>IF(A183="","",IF(Q183&gt;0,"BUY","HOLD"))</f>
        <v/>
      </c>
      <c r="Q183" s="70" t="str">
        <f>IF(A183="","",IF($W$7&lt;=0,0,IF($AC$6&gt;0,$W$7*AC183/$AC$6,IF($F$6&gt;0,$W$7*N(F183)/$F$6,0))))</f>
        <v/>
      </c>
      <c r="R183" s="103" t="str">
        <f>IF(A183="","",N(AD183)+IF(AI183=1,N(AG183),0))</f>
        <v/>
      </c>
      <c r="S183" s="103" t="str">
        <f>IF(A183="","",N(E183)+N(R183))</f>
        <v/>
      </c>
      <c r="T183" s="70" t="str">
        <f>IF(A183="","",IF(N(R183)&gt;0,R183*H183*W183*$W$6+p_CorrFixa,0))</f>
        <v/>
      </c>
      <c r="V183" s="85" t="str">
        <f>IF(A183="","",IF(D183="",$W$1,D183))</f>
        <v/>
      </c>
      <c r="W183" s="85" t="str">
        <f>IF(A183="","",IFERROR(INDEX(moeda_fx,MATCH(V183,moeda_cod,0)),0))</f>
        <v/>
      </c>
      <c r="X183" s="85" t="str">
        <f>IF(A183="","",IF($W$2="",UPPER(TRIM(A183)),IF(RIGHT(UPPER(TRIM(A183)),LEN($W$2))=$W$2,UPPER(TRIM(A183)),UPPER(TRIM(A183))&amp;$W$2)))</f>
        <v/>
      </c>
      <c r="Y183" s="85" t="str">
        <f>IF(OR(A183="",p_ModoCot&lt;&gt;"Automático"),"",IFERROR(_xlfn.WEBSERVICE("https://query1.finance.yahoo.com/v8/finance/chart/"&amp;X183&amp;"?range=1d&amp;interval=1d"),""))</f>
        <v/>
      </c>
      <c r="Z183" s="85" t="str">
        <f>IF(Y183="","",IFERROR(_xlfn.NUMBERVALUE(MID(Y183,SEARCH("""regularMarketPrice"":",Y183)+21,SEARCH(",",Y183&amp;",",SEARCH("""regularMarketPrice"":",Y183)+21)-SEARCH("""regularMarketPrice"":",Y183)-21),".",","),""))</f>
        <v/>
      </c>
      <c r="AA183" s="85" t="str">
        <f>IF(A183="","",ROUND(MAX(0,N(F183)*($K$6+$W$7)-K183),2))</f>
        <v/>
      </c>
      <c r="AB183" s="85" t="str">
        <f>IF(A183="","",IF(AND(M183&gt;0,M183&gt;=p_DifMin),AA183,0))</f>
        <v/>
      </c>
      <c r="AC183" s="85" t="str">
        <f>IF(A183="","",IF(AND(AB183&gt;0,N(O183)&lt;=p_MaxAtivos),AB183,0))</f>
        <v/>
      </c>
      <c r="AD183" s="85" t="str">
        <f>IF(A183="","",IF(OR(Q183&lt;=0,Q183&lt;p_CompraMin,N(H183)&lt;=0,N(W183)&lt;=0),0,IF($W$3="Sim",TRUNC(ROUND(MAX(0,(Q183-p_CorrFixa)/(H183*W183*$W$6)),9),$W$4),TRUNC(ROUND(MAX(0,(Q183-p_CorrFixa)/(H183*W183*$W$6)),9)/$W$5)*$W$5)))</f>
        <v/>
      </c>
      <c r="AE183" s="85" t="str">
        <f>IF(A183="","",IF(N(AD183)&gt;0,AD183*H183*W183*$W$6+p_CorrFixa,0))</f>
        <v/>
      </c>
      <c r="AF183" s="85" t="str">
        <f>IF(A183="","",IF(OR($Y$1&lt;=0,N(H183)&lt;=0,N(W183)&lt;=0,N(AB183)&lt;=0),0,IF($W$3="Sim",TRUNC(ROUND(MAX(0,($Y$1-IF(N(AD183)&gt;0,0,p_CorrFixa))/(H183*W183*$W$6)),9),$W$4),TRUNC(ROUND(MAX(0,($Y$1-IF(N(AD183)&gt;0,0,p_CorrFixa))/(H183*W183*$W$6)),9)/$W$5)*$W$5)))</f>
        <v/>
      </c>
      <c r="AG183" s="85" t="str">
        <f>IF(A183="","",IF(AND(N(AD183)=0,N(AF183)*(H183*W183*$W$6)+p_CorrFixa&lt;p_CompraMin),0,AF183))</f>
        <v/>
      </c>
      <c r="AH183" s="85" t="str">
        <f>IF(A183="","",IF(N(AG183)&gt;0,AB183,0))</f>
        <v/>
      </c>
      <c r="AI183" s="85" t="str">
        <f>IF(A183="","",IF(AND(AH183&gt;0,AH183=$AH$6,COUNTIF($AH$9:AH183,AH183)=1),1,0))</f>
        <v/>
      </c>
    </row>
    <row r="184">
      <c r="A184" s="96" t="n"/>
      <c r="B184" s="96" t="n"/>
      <c r="C184" s="96" t="n"/>
      <c r="D184" s="97" t="n"/>
      <c r="E184" s="98" t="n"/>
      <c r="F184" s="99" t="n"/>
      <c r="G184" s="100" t="n"/>
      <c r="H184" s="104" t="str">
        <f>IF(A184="","",IF(AND(p_ModoCot="Automático",ISNUMBER(Z184)),Z184,IF(N(G184)&gt;0,G184,0)))</f>
        <v/>
      </c>
      <c r="I184" s="105" t="str">
        <f>IF(A184="","",IF(W184=0,"Sem câmbio",IF(AND(p_ModoCot="Automático",ISNUMBER(Z184)),"Auto",IF(N(G184)&gt;0,"Manual","Sem cotação"))))</f>
        <v/>
      </c>
      <c r="J184" s="106" t="str">
        <f>IF(A184="","",N(E184)*H184)</f>
        <v/>
      </c>
      <c r="K184" s="107" t="str">
        <f>IF(A184="","",J184*W184)</f>
        <v/>
      </c>
      <c r="L184" s="108" t="str">
        <f>IF(A184="","",IF($K$6&gt;0,K184/$K$6,0))</f>
        <v/>
      </c>
      <c r="M184" s="109" t="str">
        <f>IF(A184="","",N(F184)-L184)</f>
        <v/>
      </c>
      <c r="N184" s="108" t="str">
        <f>IF(A184="","",IF($AB$6&gt;0,AB184/$AB$6,0))</f>
        <v/>
      </c>
      <c r="O184" s="110" t="str">
        <f>IF(A184="","",IF(AB184&lt;=0,"",COUNTIF($AB$9:$AB$208,"&gt;"&amp;AB184)+COUNTIF($AB$9:AB184,AB184)))</f>
        <v/>
      </c>
      <c r="P184" s="105" t="str">
        <f>IF(A184="","",IF(Q184&gt;0,"BUY","HOLD"))</f>
        <v/>
      </c>
      <c r="Q184" s="107" t="str">
        <f>IF(A184="","",IF($W$7&lt;=0,0,IF($AC$6&gt;0,$W$7*AC184/$AC$6,IF($F$6&gt;0,$W$7*N(F184)/$F$6,0))))</f>
        <v/>
      </c>
      <c r="R184" s="111" t="str">
        <f>IF(A184="","",N(AD184)+IF(AI184=1,N(AG184),0))</f>
        <v/>
      </c>
      <c r="S184" s="111" t="str">
        <f>IF(A184="","",N(E184)+N(R184))</f>
        <v/>
      </c>
      <c r="T184" s="107" t="str">
        <f>IF(A184="","",IF(N(R184)&gt;0,R184*H184*W184*$W$6+p_CorrFixa,0))</f>
        <v/>
      </c>
      <c r="V184" s="85" t="str">
        <f>IF(A184="","",IF(D184="",$W$1,D184))</f>
        <v/>
      </c>
      <c r="W184" s="85" t="str">
        <f>IF(A184="","",IFERROR(INDEX(moeda_fx,MATCH(V184,moeda_cod,0)),0))</f>
        <v/>
      </c>
      <c r="X184" s="85" t="str">
        <f>IF(A184="","",IF($W$2="",UPPER(TRIM(A184)),IF(RIGHT(UPPER(TRIM(A184)),LEN($W$2))=$W$2,UPPER(TRIM(A184)),UPPER(TRIM(A184))&amp;$W$2)))</f>
        <v/>
      </c>
      <c r="Y184" s="85" t="str">
        <f>IF(OR(A184="",p_ModoCot&lt;&gt;"Automático"),"",IFERROR(_xlfn.WEBSERVICE("https://query1.finance.yahoo.com/v8/finance/chart/"&amp;X184&amp;"?range=1d&amp;interval=1d"),""))</f>
        <v/>
      </c>
      <c r="Z184" s="85" t="str">
        <f>IF(Y184="","",IFERROR(_xlfn.NUMBERVALUE(MID(Y184,SEARCH("""regularMarketPrice"":",Y184)+21,SEARCH(",",Y184&amp;",",SEARCH("""regularMarketPrice"":",Y184)+21)-SEARCH("""regularMarketPrice"":",Y184)-21),".",","),""))</f>
        <v/>
      </c>
      <c r="AA184" s="85" t="str">
        <f>IF(A184="","",ROUND(MAX(0,N(F184)*($K$6+$W$7)-K184),2))</f>
        <v/>
      </c>
      <c r="AB184" s="85" t="str">
        <f>IF(A184="","",IF(AND(M184&gt;0,M184&gt;=p_DifMin),AA184,0))</f>
        <v/>
      </c>
      <c r="AC184" s="85" t="str">
        <f>IF(A184="","",IF(AND(AB184&gt;0,N(O184)&lt;=p_MaxAtivos),AB184,0))</f>
        <v/>
      </c>
      <c r="AD184" s="85" t="str">
        <f>IF(A184="","",IF(OR(Q184&lt;=0,Q184&lt;p_CompraMin,N(H184)&lt;=0,N(W184)&lt;=0),0,IF($W$3="Sim",TRUNC(ROUND(MAX(0,(Q184-p_CorrFixa)/(H184*W184*$W$6)),9),$W$4),TRUNC(ROUND(MAX(0,(Q184-p_CorrFixa)/(H184*W184*$W$6)),9)/$W$5)*$W$5)))</f>
        <v/>
      </c>
      <c r="AE184" s="85" t="str">
        <f>IF(A184="","",IF(N(AD184)&gt;0,AD184*H184*W184*$W$6+p_CorrFixa,0))</f>
        <v/>
      </c>
      <c r="AF184" s="85" t="str">
        <f>IF(A184="","",IF(OR($Y$1&lt;=0,N(H184)&lt;=0,N(W184)&lt;=0,N(AB184)&lt;=0),0,IF($W$3="Sim",TRUNC(ROUND(MAX(0,($Y$1-IF(N(AD184)&gt;0,0,p_CorrFixa))/(H184*W184*$W$6)),9),$W$4),TRUNC(ROUND(MAX(0,($Y$1-IF(N(AD184)&gt;0,0,p_CorrFixa))/(H184*W184*$W$6)),9)/$W$5)*$W$5)))</f>
        <v/>
      </c>
      <c r="AG184" s="85" t="str">
        <f>IF(A184="","",IF(AND(N(AD184)=0,N(AF184)*(H184*W184*$W$6)+p_CorrFixa&lt;p_CompraMin),0,AF184))</f>
        <v/>
      </c>
      <c r="AH184" s="85" t="str">
        <f>IF(A184="","",IF(N(AG184)&gt;0,AB184,0))</f>
        <v/>
      </c>
      <c r="AI184" s="85" t="str">
        <f>IF(A184="","",IF(AND(AH184&gt;0,AH184=$AH$6,COUNTIF($AH$9:AH184,AH184)=1),1,0))</f>
        <v/>
      </c>
    </row>
    <row r="185">
      <c r="A185" s="96" t="n"/>
      <c r="B185" s="96" t="n"/>
      <c r="C185" s="96" t="n"/>
      <c r="D185" s="97" t="n"/>
      <c r="E185" s="98" t="n"/>
      <c r="F185" s="99" t="n"/>
      <c r="G185" s="100" t="n"/>
      <c r="H185" s="101" t="str">
        <f>IF(A185="","",IF(AND(p_ModoCot="Automático",ISNUMBER(Z185)),Z185,IF(N(G185)&gt;0,G185,0)))</f>
        <v/>
      </c>
      <c r="I185" s="73" t="str">
        <f>IF(A185="","",IF(W185=0,"Sem câmbio",IF(AND(p_ModoCot="Automático",ISNUMBER(Z185)),"Auto",IF(N(G185)&gt;0,"Manual","Sem cotação"))))</f>
        <v/>
      </c>
      <c r="J185" s="102" t="str">
        <f>IF(A185="","",N(E185)*H185)</f>
        <v/>
      </c>
      <c r="K185" s="70" t="str">
        <f>IF(A185="","",J185*W185)</f>
        <v/>
      </c>
      <c r="L185" s="30" t="str">
        <f>IF(A185="","",IF($K$6&gt;0,K185/$K$6,0))</f>
        <v/>
      </c>
      <c r="M185" s="72" t="str">
        <f>IF(A185="","",N(F185)-L185)</f>
        <v/>
      </c>
      <c r="N185" s="30" t="str">
        <f>IF(A185="","",IF($AB$6&gt;0,AB185/$AB$6,0))</f>
        <v/>
      </c>
      <c r="O185" s="74" t="str">
        <f>IF(A185="","",IF(AB185&lt;=0,"",COUNTIF($AB$9:$AB$208,"&gt;"&amp;AB185)+COUNTIF($AB$9:AB185,AB185)))</f>
        <v/>
      </c>
      <c r="P185" s="73" t="str">
        <f>IF(A185="","",IF(Q185&gt;0,"BUY","HOLD"))</f>
        <v/>
      </c>
      <c r="Q185" s="70" t="str">
        <f>IF(A185="","",IF($W$7&lt;=0,0,IF($AC$6&gt;0,$W$7*AC185/$AC$6,IF($F$6&gt;0,$W$7*N(F185)/$F$6,0))))</f>
        <v/>
      </c>
      <c r="R185" s="103" t="str">
        <f>IF(A185="","",N(AD185)+IF(AI185=1,N(AG185),0))</f>
        <v/>
      </c>
      <c r="S185" s="103" t="str">
        <f>IF(A185="","",N(E185)+N(R185))</f>
        <v/>
      </c>
      <c r="T185" s="70" t="str">
        <f>IF(A185="","",IF(N(R185)&gt;0,R185*H185*W185*$W$6+p_CorrFixa,0))</f>
        <v/>
      </c>
      <c r="V185" s="85" t="str">
        <f>IF(A185="","",IF(D185="",$W$1,D185))</f>
        <v/>
      </c>
      <c r="W185" s="85" t="str">
        <f>IF(A185="","",IFERROR(INDEX(moeda_fx,MATCH(V185,moeda_cod,0)),0))</f>
        <v/>
      </c>
      <c r="X185" s="85" t="str">
        <f>IF(A185="","",IF($W$2="",UPPER(TRIM(A185)),IF(RIGHT(UPPER(TRIM(A185)),LEN($W$2))=$W$2,UPPER(TRIM(A185)),UPPER(TRIM(A185))&amp;$W$2)))</f>
        <v/>
      </c>
      <c r="Y185" s="85" t="str">
        <f>IF(OR(A185="",p_ModoCot&lt;&gt;"Automático"),"",IFERROR(_xlfn.WEBSERVICE("https://query1.finance.yahoo.com/v8/finance/chart/"&amp;X185&amp;"?range=1d&amp;interval=1d"),""))</f>
        <v/>
      </c>
      <c r="Z185" s="85" t="str">
        <f>IF(Y185="","",IFERROR(_xlfn.NUMBERVALUE(MID(Y185,SEARCH("""regularMarketPrice"":",Y185)+21,SEARCH(",",Y185&amp;",",SEARCH("""regularMarketPrice"":",Y185)+21)-SEARCH("""regularMarketPrice"":",Y185)-21),".",","),""))</f>
        <v/>
      </c>
      <c r="AA185" s="85" t="str">
        <f>IF(A185="","",ROUND(MAX(0,N(F185)*($K$6+$W$7)-K185),2))</f>
        <v/>
      </c>
      <c r="AB185" s="85" t="str">
        <f>IF(A185="","",IF(AND(M185&gt;0,M185&gt;=p_DifMin),AA185,0))</f>
        <v/>
      </c>
      <c r="AC185" s="85" t="str">
        <f>IF(A185="","",IF(AND(AB185&gt;0,N(O185)&lt;=p_MaxAtivos),AB185,0))</f>
        <v/>
      </c>
      <c r="AD185" s="85" t="str">
        <f>IF(A185="","",IF(OR(Q185&lt;=0,Q185&lt;p_CompraMin,N(H185)&lt;=0,N(W185)&lt;=0),0,IF($W$3="Sim",TRUNC(ROUND(MAX(0,(Q185-p_CorrFixa)/(H185*W185*$W$6)),9),$W$4),TRUNC(ROUND(MAX(0,(Q185-p_CorrFixa)/(H185*W185*$W$6)),9)/$W$5)*$W$5)))</f>
        <v/>
      </c>
      <c r="AE185" s="85" t="str">
        <f>IF(A185="","",IF(N(AD185)&gt;0,AD185*H185*W185*$W$6+p_CorrFixa,0))</f>
        <v/>
      </c>
      <c r="AF185" s="85" t="str">
        <f>IF(A185="","",IF(OR($Y$1&lt;=0,N(H185)&lt;=0,N(W185)&lt;=0,N(AB185)&lt;=0),0,IF($W$3="Sim",TRUNC(ROUND(MAX(0,($Y$1-IF(N(AD185)&gt;0,0,p_CorrFixa))/(H185*W185*$W$6)),9),$W$4),TRUNC(ROUND(MAX(0,($Y$1-IF(N(AD185)&gt;0,0,p_CorrFixa))/(H185*W185*$W$6)),9)/$W$5)*$W$5)))</f>
        <v/>
      </c>
      <c r="AG185" s="85" t="str">
        <f>IF(A185="","",IF(AND(N(AD185)=0,N(AF185)*(H185*W185*$W$6)+p_CorrFixa&lt;p_CompraMin),0,AF185))</f>
        <v/>
      </c>
      <c r="AH185" s="85" t="str">
        <f>IF(A185="","",IF(N(AG185)&gt;0,AB185,0))</f>
        <v/>
      </c>
      <c r="AI185" s="85" t="str">
        <f>IF(A185="","",IF(AND(AH185&gt;0,AH185=$AH$6,COUNTIF($AH$9:AH185,AH185)=1),1,0))</f>
        <v/>
      </c>
    </row>
    <row r="186">
      <c r="A186" s="96" t="n"/>
      <c r="B186" s="96" t="n"/>
      <c r="C186" s="96" t="n"/>
      <c r="D186" s="97" t="n"/>
      <c r="E186" s="98" t="n"/>
      <c r="F186" s="99" t="n"/>
      <c r="G186" s="100" t="n"/>
      <c r="H186" s="104" t="str">
        <f>IF(A186="","",IF(AND(p_ModoCot="Automático",ISNUMBER(Z186)),Z186,IF(N(G186)&gt;0,G186,0)))</f>
        <v/>
      </c>
      <c r="I186" s="105" t="str">
        <f>IF(A186="","",IF(W186=0,"Sem câmbio",IF(AND(p_ModoCot="Automático",ISNUMBER(Z186)),"Auto",IF(N(G186)&gt;0,"Manual","Sem cotação"))))</f>
        <v/>
      </c>
      <c r="J186" s="106" t="str">
        <f>IF(A186="","",N(E186)*H186)</f>
        <v/>
      </c>
      <c r="K186" s="107" t="str">
        <f>IF(A186="","",J186*W186)</f>
        <v/>
      </c>
      <c r="L186" s="108" t="str">
        <f>IF(A186="","",IF($K$6&gt;0,K186/$K$6,0))</f>
        <v/>
      </c>
      <c r="M186" s="109" t="str">
        <f>IF(A186="","",N(F186)-L186)</f>
        <v/>
      </c>
      <c r="N186" s="108" t="str">
        <f>IF(A186="","",IF($AB$6&gt;0,AB186/$AB$6,0))</f>
        <v/>
      </c>
      <c r="O186" s="110" t="str">
        <f>IF(A186="","",IF(AB186&lt;=0,"",COUNTIF($AB$9:$AB$208,"&gt;"&amp;AB186)+COUNTIF($AB$9:AB186,AB186)))</f>
        <v/>
      </c>
      <c r="P186" s="105" t="str">
        <f>IF(A186="","",IF(Q186&gt;0,"BUY","HOLD"))</f>
        <v/>
      </c>
      <c r="Q186" s="107" t="str">
        <f>IF(A186="","",IF($W$7&lt;=0,0,IF($AC$6&gt;0,$W$7*AC186/$AC$6,IF($F$6&gt;0,$W$7*N(F186)/$F$6,0))))</f>
        <v/>
      </c>
      <c r="R186" s="111" t="str">
        <f>IF(A186="","",N(AD186)+IF(AI186=1,N(AG186),0))</f>
        <v/>
      </c>
      <c r="S186" s="111" t="str">
        <f>IF(A186="","",N(E186)+N(R186))</f>
        <v/>
      </c>
      <c r="T186" s="107" t="str">
        <f>IF(A186="","",IF(N(R186)&gt;0,R186*H186*W186*$W$6+p_CorrFixa,0))</f>
        <v/>
      </c>
      <c r="V186" s="85" t="str">
        <f>IF(A186="","",IF(D186="",$W$1,D186))</f>
        <v/>
      </c>
      <c r="W186" s="85" t="str">
        <f>IF(A186="","",IFERROR(INDEX(moeda_fx,MATCH(V186,moeda_cod,0)),0))</f>
        <v/>
      </c>
      <c r="X186" s="85" t="str">
        <f>IF(A186="","",IF($W$2="",UPPER(TRIM(A186)),IF(RIGHT(UPPER(TRIM(A186)),LEN($W$2))=$W$2,UPPER(TRIM(A186)),UPPER(TRIM(A186))&amp;$W$2)))</f>
        <v/>
      </c>
      <c r="Y186" s="85" t="str">
        <f>IF(OR(A186="",p_ModoCot&lt;&gt;"Automático"),"",IFERROR(_xlfn.WEBSERVICE("https://query1.finance.yahoo.com/v8/finance/chart/"&amp;X186&amp;"?range=1d&amp;interval=1d"),""))</f>
        <v/>
      </c>
      <c r="Z186" s="85" t="str">
        <f>IF(Y186="","",IFERROR(_xlfn.NUMBERVALUE(MID(Y186,SEARCH("""regularMarketPrice"":",Y186)+21,SEARCH(",",Y186&amp;",",SEARCH("""regularMarketPrice"":",Y186)+21)-SEARCH("""regularMarketPrice"":",Y186)-21),".",","),""))</f>
        <v/>
      </c>
      <c r="AA186" s="85" t="str">
        <f>IF(A186="","",ROUND(MAX(0,N(F186)*($K$6+$W$7)-K186),2))</f>
        <v/>
      </c>
      <c r="AB186" s="85" t="str">
        <f>IF(A186="","",IF(AND(M186&gt;0,M186&gt;=p_DifMin),AA186,0))</f>
        <v/>
      </c>
      <c r="AC186" s="85" t="str">
        <f>IF(A186="","",IF(AND(AB186&gt;0,N(O186)&lt;=p_MaxAtivos),AB186,0))</f>
        <v/>
      </c>
      <c r="AD186" s="85" t="str">
        <f>IF(A186="","",IF(OR(Q186&lt;=0,Q186&lt;p_CompraMin,N(H186)&lt;=0,N(W186)&lt;=0),0,IF($W$3="Sim",TRUNC(ROUND(MAX(0,(Q186-p_CorrFixa)/(H186*W186*$W$6)),9),$W$4),TRUNC(ROUND(MAX(0,(Q186-p_CorrFixa)/(H186*W186*$W$6)),9)/$W$5)*$W$5)))</f>
        <v/>
      </c>
      <c r="AE186" s="85" t="str">
        <f>IF(A186="","",IF(N(AD186)&gt;0,AD186*H186*W186*$W$6+p_CorrFixa,0))</f>
        <v/>
      </c>
      <c r="AF186" s="85" t="str">
        <f>IF(A186="","",IF(OR($Y$1&lt;=0,N(H186)&lt;=0,N(W186)&lt;=0,N(AB186)&lt;=0),0,IF($W$3="Sim",TRUNC(ROUND(MAX(0,($Y$1-IF(N(AD186)&gt;0,0,p_CorrFixa))/(H186*W186*$W$6)),9),$W$4),TRUNC(ROUND(MAX(0,($Y$1-IF(N(AD186)&gt;0,0,p_CorrFixa))/(H186*W186*$W$6)),9)/$W$5)*$W$5)))</f>
        <v/>
      </c>
      <c r="AG186" s="85" t="str">
        <f>IF(A186="","",IF(AND(N(AD186)=0,N(AF186)*(H186*W186*$W$6)+p_CorrFixa&lt;p_CompraMin),0,AF186))</f>
        <v/>
      </c>
      <c r="AH186" s="85" t="str">
        <f>IF(A186="","",IF(N(AG186)&gt;0,AB186,0))</f>
        <v/>
      </c>
      <c r="AI186" s="85" t="str">
        <f>IF(A186="","",IF(AND(AH186&gt;0,AH186=$AH$6,COUNTIF($AH$9:AH186,AH186)=1),1,0))</f>
        <v/>
      </c>
    </row>
    <row r="187">
      <c r="A187" s="96" t="n"/>
      <c r="B187" s="96" t="n"/>
      <c r="C187" s="96" t="n"/>
      <c r="D187" s="97" t="n"/>
      <c r="E187" s="98" t="n"/>
      <c r="F187" s="99" t="n"/>
      <c r="G187" s="100" t="n"/>
      <c r="H187" s="101" t="str">
        <f>IF(A187="","",IF(AND(p_ModoCot="Automático",ISNUMBER(Z187)),Z187,IF(N(G187)&gt;0,G187,0)))</f>
        <v/>
      </c>
      <c r="I187" s="73" t="str">
        <f>IF(A187="","",IF(W187=0,"Sem câmbio",IF(AND(p_ModoCot="Automático",ISNUMBER(Z187)),"Auto",IF(N(G187)&gt;0,"Manual","Sem cotação"))))</f>
        <v/>
      </c>
      <c r="J187" s="102" t="str">
        <f>IF(A187="","",N(E187)*H187)</f>
        <v/>
      </c>
      <c r="K187" s="70" t="str">
        <f>IF(A187="","",J187*W187)</f>
        <v/>
      </c>
      <c r="L187" s="30" t="str">
        <f>IF(A187="","",IF($K$6&gt;0,K187/$K$6,0))</f>
        <v/>
      </c>
      <c r="M187" s="72" t="str">
        <f>IF(A187="","",N(F187)-L187)</f>
        <v/>
      </c>
      <c r="N187" s="30" t="str">
        <f>IF(A187="","",IF($AB$6&gt;0,AB187/$AB$6,0))</f>
        <v/>
      </c>
      <c r="O187" s="74" t="str">
        <f>IF(A187="","",IF(AB187&lt;=0,"",COUNTIF($AB$9:$AB$208,"&gt;"&amp;AB187)+COUNTIF($AB$9:AB187,AB187)))</f>
        <v/>
      </c>
      <c r="P187" s="73" t="str">
        <f>IF(A187="","",IF(Q187&gt;0,"BUY","HOLD"))</f>
        <v/>
      </c>
      <c r="Q187" s="70" t="str">
        <f>IF(A187="","",IF($W$7&lt;=0,0,IF($AC$6&gt;0,$W$7*AC187/$AC$6,IF($F$6&gt;0,$W$7*N(F187)/$F$6,0))))</f>
        <v/>
      </c>
      <c r="R187" s="103" t="str">
        <f>IF(A187="","",N(AD187)+IF(AI187=1,N(AG187),0))</f>
        <v/>
      </c>
      <c r="S187" s="103" t="str">
        <f>IF(A187="","",N(E187)+N(R187))</f>
        <v/>
      </c>
      <c r="T187" s="70" t="str">
        <f>IF(A187="","",IF(N(R187)&gt;0,R187*H187*W187*$W$6+p_CorrFixa,0))</f>
        <v/>
      </c>
      <c r="V187" s="85" t="str">
        <f>IF(A187="","",IF(D187="",$W$1,D187))</f>
        <v/>
      </c>
      <c r="W187" s="85" t="str">
        <f>IF(A187="","",IFERROR(INDEX(moeda_fx,MATCH(V187,moeda_cod,0)),0))</f>
        <v/>
      </c>
      <c r="X187" s="85" t="str">
        <f>IF(A187="","",IF($W$2="",UPPER(TRIM(A187)),IF(RIGHT(UPPER(TRIM(A187)),LEN($W$2))=$W$2,UPPER(TRIM(A187)),UPPER(TRIM(A187))&amp;$W$2)))</f>
        <v/>
      </c>
      <c r="Y187" s="85" t="str">
        <f>IF(OR(A187="",p_ModoCot&lt;&gt;"Automático"),"",IFERROR(_xlfn.WEBSERVICE("https://query1.finance.yahoo.com/v8/finance/chart/"&amp;X187&amp;"?range=1d&amp;interval=1d"),""))</f>
        <v/>
      </c>
      <c r="Z187" s="85" t="str">
        <f>IF(Y187="","",IFERROR(_xlfn.NUMBERVALUE(MID(Y187,SEARCH("""regularMarketPrice"":",Y187)+21,SEARCH(",",Y187&amp;",",SEARCH("""regularMarketPrice"":",Y187)+21)-SEARCH("""regularMarketPrice"":",Y187)-21),".",","),""))</f>
        <v/>
      </c>
      <c r="AA187" s="85" t="str">
        <f>IF(A187="","",ROUND(MAX(0,N(F187)*($K$6+$W$7)-K187),2))</f>
        <v/>
      </c>
      <c r="AB187" s="85" t="str">
        <f>IF(A187="","",IF(AND(M187&gt;0,M187&gt;=p_DifMin),AA187,0))</f>
        <v/>
      </c>
      <c r="AC187" s="85" t="str">
        <f>IF(A187="","",IF(AND(AB187&gt;0,N(O187)&lt;=p_MaxAtivos),AB187,0))</f>
        <v/>
      </c>
      <c r="AD187" s="85" t="str">
        <f>IF(A187="","",IF(OR(Q187&lt;=0,Q187&lt;p_CompraMin,N(H187)&lt;=0,N(W187)&lt;=0),0,IF($W$3="Sim",TRUNC(ROUND(MAX(0,(Q187-p_CorrFixa)/(H187*W187*$W$6)),9),$W$4),TRUNC(ROUND(MAX(0,(Q187-p_CorrFixa)/(H187*W187*$W$6)),9)/$W$5)*$W$5)))</f>
        <v/>
      </c>
      <c r="AE187" s="85" t="str">
        <f>IF(A187="","",IF(N(AD187)&gt;0,AD187*H187*W187*$W$6+p_CorrFixa,0))</f>
        <v/>
      </c>
      <c r="AF187" s="85" t="str">
        <f>IF(A187="","",IF(OR($Y$1&lt;=0,N(H187)&lt;=0,N(W187)&lt;=0,N(AB187)&lt;=0),0,IF($W$3="Sim",TRUNC(ROUND(MAX(0,($Y$1-IF(N(AD187)&gt;0,0,p_CorrFixa))/(H187*W187*$W$6)),9),$W$4),TRUNC(ROUND(MAX(0,($Y$1-IF(N(AD187)&gt;0,0,p_CorrFixa))/(H187*W187*$W$6)),9)/$W$5)*$W$5)))</f>
        <v/>
      </c>
      <c r="AG187" s="85" t="str">
        <f>IF(A187="","",IF(AND(N(AD187)=0,N(AF187)*(H187*W187*$W$6)+p_CorrFixa&lt;p_CompraMin),0,AF187))</f>
        <v/>
      </c>
      <c r="AH187" s="85" t="str">
        <f>IF(A187="","",IF(N(AG187)&gt;0,AB187,0))</f>
        <v/>
      </c>
      <c r="AI187" s="85" t="str">
        <f>IF(A187="","",IF(AND(AH187&gt;0,AH187=$AH$6,COUNTIF($AH$9:AH187,AH187)=1),1,0))</f>
        <v/>
      </c>
    </row>
    <row r="188">
      <c r="A188" s="96" t="n"/>
      <c r="B188" s="96" t="n"/>
      <c r="C188" s="96" t="n"/>
      <c r="D188" s="97" t="n"/>
      <c r="E188" s="98" t="n"/>
      <c r="F188" s="99" t="n"/>
      <c r="G188" s="100" t="n"/>
      <c r="H188" s="104" t="str">
        <f>IF(A188="","",IF(AND(p_ModoCot="Automático",ISNUMBER(Z188)),Z188,IF(N(G188)&gt;0,G188,0)))</f>
        <v/>
      </c>
      <c r="I188" s="105" t="str">
        <f>IF(A188="","",IF(W188=0,"Sem câmbio",IF(AND(p_ModoCot="Automático",ISNUMBER(Z188)),"Auto",IF(N(G188)&gt;0,"Manual","Sem cotação"))))</f>
        <v/>
      </c>
      <c r="J188" s="106" t="str">
        <f>IF(A188="","",N(E188)*H188)</f>
        <v/>
      </c>
      <c r="K188" s="107" t="str">
        <f>IF(A188="","",J188*W188)</f>
        <v/>
      </c>
      <c r="L188" s="108" t="str">
        <f>IF(A188="","",IF($K$6&gt;0,K188/$K$6,0))</f>
        <v/>
      </c>
      <c r="M188" s="109" t="str">
        <f>IF(A188="","",N(F188)-L188)</f>
        <v/>
      </c>
      <c r="N188" s="108" t="str">
        <f>IF(A188="","",IF($AB$6&gt;0,AB188/$AB$6,0))</f>
        <v/>
      </c>
      <c r="O188" s="110" t="str">
        <f>IF(A188="","",IF(AB188&lt;=0,"",COUNTIF($AB$9:$AB$208,"&gt;"&amp;AB188)+COUNTIF($AB$9:AB188,AB188)))</f>
        <v/>
      </c>
      <c r="P188" s="105" t="str">
        <f>IF(A188="","",IF(Q188&gt;0,"BUY","HOLD"))</f>
        <v/>
      </c>
      <c r="Q188" s="107" t="str">
        <f>IF(A188="","",IF($W$7&lt;=0,0,IF($AC$6&gt;0,$W$7*AC188/$AC$6,IF($F$6&gt;0,$W$7*N(F188)/$F$6,0))))</f>
        <v/>
      </c>
      <c r="R188" s="111" t="str">
        <f>IF(A188="","",N(AD188)+IF(AI188=1,N(AG188),0))</f>
        <v/>
      </c>
      <c r="S188" s="111" t="str">
        <f>IF(A188="","",N(E188)+N(R188))</f>
        <v/>
      </c>
      <c r="T188" s="107" t="str">
        <f>IF(A188="","",IF(N(R188)&gt;0,R188*H188*W188*$W$6+p_CorrFixa,0))</f>
        <v/>
      </c>
      <c r="V188" s="85" t="str">
        <f>IF(A188="","",IF(D188="",$W$1,D188))</f>
        <v/>
      </c>
      <c r="W188" s="85" t="str">
        <f>IF(A188="","",IFERROR(INDEX(moeda_fx,MATCH(V188,moeda_cod,0)),0))</f>
        <v/>
      </c>
      <c r="X188" s="85" t="str">
        <f>IF(A188="","",IF($W$2="",UPPER(TRIM(A188)),IF(RIGHT(UPPER(TRIM(A188)),LEN($W$2))=$W$2,UPPER(TRIM(A188)),UPPER(TRIM(A188))&amp;$W$2)))</f>
        <v/>
      </c>
      <c r="Y188" s="85" t="str">
        <f>IF(OR(A188="",p_ModoCot&lt;&gt;"Automático"),"",IFERROR(_xlfn.WEBSERVICE("https://query1.finance.yahoo.com/v8/finance/chart/"&amp;X188&amp;"?range=1d&amp;interval=1d"),""))</f>
        <v/>
      </c>
      <c r="Z188" s="85" t="str">
        <f>IF(Y188="","",IFERROR(_xlfn.NUMBERVALUE(MID(Y188,SEARCH("""regularMarketPrice"":",Y188)+21,SEARCH(",",Y188&amp;",",SEARCH("""regularMarketPrice"":",Y188)+21)-SEARCH("""regularMarketPrice"":",Y188)-21),".",","),""))</f>
        <v/>
      </c>
      <c r="AA188" s="85" t="str">
        <f>IF(A188="","",ROUND(MAX(0,N(F188)*($K$6+$W$7)-K188),2))</f>
        <v/>
      </c>
      <c r="AB188" s="85" t="str">
        <f>IF(A188="","",IF(AND(M188&gt;0,M188&gt;=p_DifMin),AA188,0))</f>
        <v/>
      </c>
      <c r="AC188" s="85" t="str">
        <f>IF(A188="","",IF(AND(AB188&gt;0,N(O188)&lt;=p_MaxAtivos),AB188,0))</f>
        <v/>
      </c>
      <c r="AD188" s="85" t="str">
        <f>IF(A188="","",IF(OR(Q188&lt;=0,Q188&lt;p_CompraMin,N(H188)&lt;=0,N(W188)&lt;=0),0,IF($W$3="Sim",TRUNC(ROUND(MAX(0,(Q188-p_CorrFixa)/(H188*W188*$W$6)),9),$W$4),TRUNC(ROUND(MAX(0,(Q188-p_CorrFixa)/(H188*W188*$W$6)),9)/$W$5)*$W$5)))</f>
        <v/>
      </c>
      <c r="AE188" s="85" t="str">
        <f>IF(A188="","",IF(N(AD188)&gt;0,AD188*H188*W188*$W$6+p_CorrFixa,0))</f>
        <v/>
      </c>
      <c r="AF188" s="85" t="str">
        <f>IF(A188="","",IF(OR($Y$1&lt;=0,N(H188)&lt;=0,N(W188)&lt;=0,N(AB188)&lt;=0),0,IF($W$3="Sim",TRUNC(ROUND(MAX(0,($Y$1-IF(N(AD188)&gt;0,0,p_CorrFixa))/(H188*W188*$W$6)),9),$W$4),TRUNC(ROUND(MAX(0,($Y$1-IF(N(AD188)&gt;0,0,p_CorrFixa))/(H188*W188*$W$6)),9)/$W$5)*$W$5)))</f>
        <v/>
      </c>
      <c r="AG188" s="85" t="str">
        <f>IF(A188="","",IF(AND(N(AD188)=0,N(AF188)*(H188*W188*$W$6)+p_CorrFixa&lt;p_CompraMin),0,AF188))</f>
        <v/>
      </c>
      <c r="AH188" s="85" t="str">
        <f>IF(A188="","",IF(N(AG188)&gt;0,AB188,0))</f>
        <v/>
      </c>
      <c r="AI188" s="85" t="str">
        <f>IF(A188="","",IF(AND(AH188&gt;0,AH188=$AH$6,COUNTIF($AH$9:AH188,AH188)=1),1,0))</f>
        <v/>
      </c>
    </row>
    <row r="189">
      <c r="A189" s="96" t="n"/>
      <c r="B189" s="96" t="n"/>
      <c r="C189" s="96" t="n"/>
      <c r="D189" s="97" t="n"/>
      <c r="E189" s="98" t="n"/>
      <c r="F189" s="99" t="n"/>
      <c r="G189" s="100" t="n"/>
      <c r="H189" s="101" t="str">
        <f>IF(A189="","",IF(AND(p_ModoCot="Automático",ISNUMBER(Z189)),Z189,IF(N(G189)&gt;0,G189,0)))</f>
        <v/>
      </c>
      <c r="I189" s="73" t="str">
        <f>IF(A189="","",IF(W189=0,"Sem câmbio",IF(AND(p_ModoCot="Automático",ISNUMBER(Z189)),"Auto",IF(N(G189)&gt;0,"Manual","Sem cotação"))))</f>
        <v/>
      </c>
      <c r="J189" s="102" t="str">
        <f>IF(A189="","",N(E189)*H189)</f>
        <v/>
      </c>
      <c r="K189" s="70" t="str">
        <f>IF(A189="","",J189*W189)</f>
        <v/>
      </c>
      <c r="L189" s="30" t="str">
        <f>IF(A189="","",IF($K$6&gt;0,K189/$K$6,0))</f>
        <v/>
      </c>
      <c r="M189" s="72" t="str">
        <f>IF(A189="","",N(F189)-L189)</f>
        <v/>
      </c>
      <c r="N189" s="30" t="str">
        <f>IF(A189="","",IF($AB$6&gt;0,AB189/$AB$6,0))</f>
        <v/>
      </c>
      <c r="O189" s="74" t="str">
        <f>IF(A189="","",IF(AB189&lt;=0,"",COUNTIF($AB$9:$AB$208,"&gt;"&amp;AB189)+COUNTIF($AB$9:AB189,AB189)))</f>
        <v/>
      </c>
      <c r="P189" s="73" t="str">
        <f>IF(A189="","",IF(Q189&gt;0,"BUY","HOLD"))</f>
        <v/>
      </c>
      <c r="Q189" s="70" t="str">
        <f>IF(A189="","",IF($W$7&lt;=0,0,IF($AC$6&gt;0,$W$7*AC189/$AC$6,IF($F$6&gt;0,$W$7*N(F189)/$F$6,0))))</f>
        <v/>
      </c>
      <c r="R189" s="103" t="str">
        <f>IF(A189="","",N(AD189)+IF(AI189=1,N(AG189),0))</f>
        <v/>
      </c>
      <c r="S189" s="103" t="str">
        <f>IF(A189="","",N(E189)+N(R189))</f>
        <v/>
      </c>
      <c r="T189" s="70" t="str">
        <f>IF(A189="","",IF(N(R189)&gt;0,R189*H189*W189*$W$6+p_CorrFixa,0))</f>
        <v/>
      </c>
      <c r="V189" s="85" t="str">
        <f>IF(A189="","",IF(D189="",$W$1,D189))</f>
        <v/>
      </c>
      <c r="W189" s="85" t="str">
        <f>IF(A189="","",IFERROR(INDEX(moeda_fx,MATCH(V189,moeda_cod,0)),0))</f>
        <v/>
      </c>
      <c r="X189" s="85" t="str">
        <f>IF(A189="","",IF($W$2="",UPPER(TRIM(A189)),IF(RIGHT(UPPER(TRIM(A189)),LEN($W$2))=$W$2,UPPER(TRIM(A189)),UPPER(TRIM(A189))&amp;$W$2)))</f>
        <v/>
      </c>
      <c r="Y189" s="85" t="str">
        <f>IF(OR(A189="",p_ModoCot&lt;&gt;"Automático"),"",IFERROR(_xlfn.WEBSERVICE("https://query1.finance.yahoo.com/v8/finance/chart/"&amp;X189&amp;"?range=1d&amp;interval=1d"),""))</f>
        <v/>
      </c>
      <c r="Z189" s="85" t="str">
        <f>IF(Y189="","",IFERROR(_xlfn.NUMBERVALUE(MID(Y189,SEARCH("""regularMarketPrice"":",Y189)+21,SEARCH(",",Y189&amp;",",SEARCH("""regularMarketPrice"":",Y189)+21)-SEARCH("""regularMarketPrice"":",Y189)-21),".",","),""))</f>
        <v/>
      </c>
      <c r="AA189" s="85" t="str">
        <f>IF(A189="","",ROUND(MAX(0,N(F189)*($K$6+$W$7)-K189),2))</f>
        <v/>
      </c>
      <c r="AB189" s="85" t="str">
        <f>IF(A189="","",IF(AND(M189&gt;0,M189&gt;=p_DifMin),AA189,0))</f>
        <v/>
      </c>
      <c r="AC189" s="85" t="str">
        <f>IF(A189="","",IF(AND(AB189&gt;0,N(O189)&lt;=p_MaxAtivos),AB189,0))</f>
        <v/>
      </c>
      <c r="AD189" s="85" t="str">
        <f>IF(A189="","",IF(OR(Q189&lt;=0,Q189&lt;p_CompraMin,N(H189)&lt;=0,N(W189)&lt;=0),0,IF($W$3="Sim",TRUNC(ROUND(MAX(0,(Q189-p_CorrFixa)/(H189*W189*$W$6)),9),$W$4),TRUNC(ROUND(MAX(0,(Q189-p_CorrFixa)/(H189*W189*$W$6)),9)/$W$5)*$W$5)))</f>
        <v/>
      </c>
      <c r="AE189" s="85" t="str">
        <f>IF(A189="","",IF(N(AD189)&gt;0,AD189*H189*W189*$W$6+p_CorrFixa,0))</f>
        <v/>
      </c>
      <c r="AF189" s="85" t="str">
        <f>IF(A189="","",IF(OR($Y$1&lt;=0,N(H189)&lt;=0,N(W189)&lt;=0,N(AB189)&lt;=0),0,IF($W$3="Sim",TRUNC(ROUND(MAX(0,($Y$1-IF(N(AD189)&gt;0,0,p_CorrFixa))/(H189*W189*$W$6)),9),$W$4),TRUNC(ROUND(MAX(0,($Y$1-IF(N(AD189)&gt;0,0,p_CorrFixa))/(H189*W189*$W$6)),9)/$W$5)*$W$5)))</f>
        <v/>
      </c>
      <c r="AG189" s="85" t="str">
        <f>IF(A189="","",IF(AND(N(AD189)=0,N(AF189)*(H189*W189*$W$6)+p_CorrFixa&lt;p_CompraMin),0,AF189))</f>
        <v/>
      </c>
      <c r="AH189" s="85" t="str">
        <f>IF(A189="","",IF(N(AG189)&gt;0,AB189,0))</f>
        <v/>
      </c>
      <c r="AI189" s="85" t="str">
        <f>IF(A189="","",IF(AND(AH189&gt;0,AH189=$AH$6,COUNTIF($AH$9:AH189,AH189)=1),1,0))</f>
        <v/>
      </c>
    </row>
    <row r="190">
      <c r="A190" s="96" t="n"/>
      <c r="B190" s="96" t="n"/>
      <c r="C190" s="96" t="n"/>
      <c r="D190" s="97" t="n"/>
      <c r="E190" s="98" t="n"/>
      <c r="F190" s="99" t="n"/>
      <c r="G190" s="100" t="n"/>
      <c r="H190" s="104" t="str">
        <f>IF(A190="","",IF(AND(p_ModoCot="Automático",ISNUMBER(Z190)),Z190,IF(N(G190)&gt;0,G190,0)))</f>
        <v/>
      </c>
      <c r="I190" s="105" t="str">
        <f>IF(A190="","",IF(W190=0,"Sem câmbio",IF(AND(p_ModoCot="Automático",ISNUMBER(Z190)),"Auto",IF(N(G190)&gt;0,"Manual","Sem cotação"))))</f>
        <v/>
      </c>
      <c r="J190" s="106" t="str">
        <f>IF(A190="","",N(E190)*H190)</f>
        <v/>
      </c>
      <c r="K190" s="107" t="str">
        <f>IF(A190="","",J190*W190)</f>
        <v/>
      </c>
      <c r="L190" s="108" t="str">
        <f>IF(A190="","",IF($K$6&gt;0,K190/$K$6,0))</f>
        <v/>
      </c>
      <c r="M190" s="109" t="str">
        <f>IF(A190="","",N(F190)-L190)</f>
        <v/>
      </c>
      <c r="N190" s="108" t="str">
        <f>IF(A190="","",IF($AB$6&gt;0,AB190/$AB$6,0))</f>
        <v/>
      </c>
      <c r="O190" s="110" t="str">
        <f>IF(A190="","",IF(AB190&lt;=0,"",COUNTIF($AB$9:$AB$208,"&gt;"&amp;AB190)+COUNTIF($AB$9:AB190,AB190)))</f>
        <v/>
      </c>
      <c r="P190" s="105" t="str">
        <f>IF(A190="","",IF(Q190&gt;0,"BUY","HOLD"))</f>
        <v/>
      </c>
      <c r="Q190" s="107" t="str">
        <f>IF(A190="","",IF($W$7&lt;=0,0,IF($AC$6&gt;0,$W$7*AC190/$AC$6,IF($F$6&gt;0,$W$7*N(F190)/$F$6,0))))</f>
        <v/>
      </c>
      <c r="R190" s="111" t="str">
        <f>IF(A190="","",N(AD190)+IF(AI190=1,N(AG190),0))</f>
        <v/>
      </c>
      <c r="S190" s="111" t="str">
        <f>IF(A190="","",N(E190)+N(R190))</f>
        <v/>
      </c>
      <c r="T190" s="107" t="str">
        <f>IF(A190="","",IF(N(R190)&gt;0,R190*H190*W190*$W$6+p_CorrFixa,0))</f>
        <v/>
      </c>
      <c r="V190" s="85" t="str">
        <f>IF(A190="","",IF(D190="",$W$1,D190))</f>
        <v/>
      </c>
      <c r="W190" s="85" t="str">
        <f>IF(A190="","",IFERROR(INDEX(moeda_fx,MATCH(V190,moeda_cod,0)),0))</f>
        <v/>
      </c>
      <c r="X190" s="85" t="str">
        <f>IF(A190="","",IF($W$2="",UPPER(TRIM(A190)),IF(RIGHT(UPPER(TRIM(A190)),LEN($W$2))=$W$2,UPPER(TRIM(A190)),UPPER(TRIM(A190))&amp;$W$2)))</f>
        <v/>
      </c>
      <c r="Y190" s="85" t="str">
        <f>IF(OR(A190="",p_ModoCot&lt;&gt;"Automático"),"",IFERROR(_xlfn.WEBSERVICE("https://query1.finance.yahoo.com/v8/finance/chart/"&amp;X190&amp;"?range=1d&amp;interval=1d"),""))</f>
        <v/>
      </c>
      <c r="Z190" s="85" t="str">
        <f>IF(Y190="","",IFERROR(_xlfn.NUMBERVALUE(MID(Y190,SEARCH("""regularMarketPrice"":",Y190)+21,SEARCH(",",Y190&amp;",",SEARCH("""regularMarketPrice"":",Y190)+21)-SEARCH("""regularMarketPrice"":",Y190)-21),".",","),""))</f>
        <v/>
      </c>
      <c r="AA190" s="85" t="str">
        <f>IF(A190="","",ROUND(MAX(0,N(F190)*($K$6+$W$7)-K190),2))</f>
        <v/>
      </c>
      <c r="AB190" s="85" t="str">
        <f>IF(A190="","",IF(AND(M190&gt;0,M190&gt;=p_DifMin),AA190,0))</f>
        <v/>
      </c>
      <c r="AC190" s="85" t="str">
        <f>IF(A190="","",IF(AND(AB190&gt;0,N(O190)&lt;=p_MaxAtivos),AB190,0))</f>
        <v/>
      </c>
      <c r="AD190" s="85" t="str">
        <f>IF(A190="","",IF(OR(Q190&lt;=0,Q190&lt;p_CompraMin,N(H190)&lt;=0,N(W190)&lt;=0),0,IF($W$3="Sim",TRUNC(ROUND(MAX(0,(Q190-p_CorrFixa)/(H190*W190*$W$6)),9),$W$4),TRUNC(ROUND(MAX(0,(Q190-p_CorrFixa)/(H190*W190*$W$6)),9)/$W$5)*$W$5)))</f>
        <v/>
      </c>
      <c r="AE190" s="85" t="str">
        <f>IF(A190="","",IF(N(AD190)&gt;0,AD190*H190*W190*$W$6+p_CorrFixa,0))</f>
        <v/>
      </c>
      <c r="AF190" s="85" t="str">
        <f>IF(A190="","",IF(OR($Y$1&lt;=0,N(H190)&lt;=0,N(W190)&lt;=0,N(AB190)&lt;=0),0,IF($W$3="Sim",TRUNC(ROUND(MAX(0,($Y$1-IF(N(AD190)&gt;0,0,p_CorrFixa))/(H190*W190*$W$6)),9),$W$4),TRUNC(ROUND(MAX(0,($Y$1-IF(N(AD190)&gt;0,0,p_CorrFixa))/(H190*W190*$W$6)),9)/$W$5)*$W$5)))</f>
        <v/>
      </c>
      <c r="AG190" s="85" t="str">
        <f>IF(A190="","",IF(AND(N(AD190)=0,N(AF190)*(H190*W190*$W$6)+p_CorrFixa&lt;p_CompraMin),0,AF190))</f>
        <v/>
      </c>
      <c r="AH190" s="85" t="str">
        <f>IF(A190="","",IF(N(AG190)&gt;0,AB190,0))</f>
        <v/>
      </c>
      <c r="AI190" s="85" t="str">
        <f>IF(A190="","",IF(AND(AH190&gt;0,AH190=$AH$6,COUNTIF($AH$9:AH190,AH190)=1),1,0))</f>
        <v/>
      </c>
    </row>
    <row r="191">
      <c r="A191" s="96" t="n"/>
      <c r="B191" s="96" t="n"/>
      <c r="C191" s="96" t="n"/>
      <c r="D191" s="97" t="n"/>
      <c r="E191" s="98" t="n"/>
      <c r="F191" s="99" t="n"/>
      <c r="G191" s="100" t="n"/>
      <c r="H191" s="101" t="str">
        <f>IF(A191="","",IF(AND(p_ModoCot="Automático",ISNUMBER(Z191)),Z191,IF(N(G191)&gt;0,G191,0)))</f>
        <v/>
      </c>
      <c r="I191" s="73" t="str">
        <f>IF(A191="","",IF(W191=0,"Sem câmbio",IF(AND(p_ModoCot="Automático",ISNUMBER(Z191)),"Auto",IF(N(G191)&gt;0,"Manual","Sem cotação"))))</f>
        <v/>
      </c>
      <c r="J191" s="102" t="str">
        <f>IF(A191="","",N(E191)*H191)</f>
        <v/>
      </c>
      <c r="K191" s="70" t="str">
        <f>IF(A191="","",J191*W191)</f>
        <v/>
      </c>
      <c r="L191" s="30" t="str">
        <f>IF(A191="","",IF($K$6&gt;0,K191/$K$6,0))</f>
        <v/>
      </c>
      <c r="M191" s="72" t="str">
        <f>IF(A191="","",N(F191)-L191)</f>
        <v/>
      </c>
      <c r="N191" s="30" t="str">
        <f>IF(A191="","",IF($AB$6&gt;0,AB191/$AB$6,0))</f>
        <v/>
      </c>
      <c r="O191" s="74" t="str">
        <f>IF(A191="","",IF(AB191&lt;=0,"",COUNTIF($AB$9:$AB$208,"&gt;"&amp;AB191)+COUNTIF($AB$9:AB191,AB191)))</f>
        <v/>
      </c>
      <c r="P191" s="73" t="str">
        <f>IF(A191="","",IF(Q191&gt;0,"BUY","HOLD"))</f>
        <v/>
      </c>
      <c r="Q191" s="70" t="str">
        <f>IF(A191="","",IF($W$7&lt;=0,0,IF($AC$6&gt;0,$W$7*AC191/$AC$6,IF($F$6&gt;0,$W$7*N(F191)/$F$6,0))))</f>
        <v/>
      </c>
      <c r="R191" s="103" t="str">
        <f>IF(A191="","",N(AD191)+IF(AI191=1,N(AG191),0))</f>
        <v/>
      </c>
      <c r="S191" s="103" t="str">
        <f>IF(A191="","",N(E191)+N(R191))</f>
        <v/>
      </c>
      <c r="T191" s="70" t="str">
        <f>IF(A191="","",IF(N(R191)&gt;0,R191*H191*W191*$W$6+p_CorrFixa,0))</f>
        <v/>
      </c>
      <c r="V191" s="85" t="str">
        <f>IF(A191="","",IF(D191="",$W$1,D191))</f>
        <v/>
      </c>
      <c r="W191" s="85" t="str">
        <f>IF(A191="","",IFERROR(INDEX(moeda_fx,MATCH(V191,moeda_cod,0)),0))</f>
        <v/>
      </c>
      <c r="X191" s="85" t="str">
        <f>IF(A191="","",IF($W$2="",UPPER(TRIM(A191)),IF(RIGHT(UPPER(TRIM(A191)),LEN($W$2))=$W$2,UPPER(TRIM(A191)),UPPER(TRIM(A191))&amp;$W$2)))</f>
        <v/>
      </c>
      <c r="Y191" s="85" t="str">
        <f>IF(OR(A191="",p_ModoCot&lt;&gt;"Automático"),"",IFERROR(_xlfn.WEBSERVICE("https://query1.finance.yahoo.com/v8/finance/chart/"&amp;X191&amp;"?range=1d&amp;interval=1d"),""))</f>
        <v/>
      </c>
      <c r="Z191" s="85" t="str">
        <f>IF(Y191="","",IFERROR(_xlfn.NUMBERVALUE(MID(Y191,SEARCH("""regularMarketPrice"":",Y191)+21,SEARCH(",",Y191&amp;",",SEARCH("""regularMarketPrice"":",Y191)+21)-SEARCH("""regularMarketPrice"":",Y191)-21),".",","),""))</f>
        <v/>
      </c>
      <c r="AA191" s="85" t="str">
        <f>IF(A191="","",ROUND(MAX(0,N(F191)*($K$6+$W$7)-K191),2))</f>
        <v/>
      </c>
      <c r="AB191" s="85" t="str">
        <f>IF(A191="","",IF(AND(M191&gt;0,M191&gt;=p_DifMin),AA191,0))</f>
        <v/>
      </c>
      <c r="AC191" s="85" t="str">
        <f>IF(A191="","",IF(AND(AB191&gt;0,N(O191)&lt;=p_MaxAtivos),AB191,0))</f>
        <v/>
      </c>
      <c r="AD191" s="85" t="str">
        <f>IF(A191="","",IF(OR(Q191&lt;=0,Q191&lt;p_CompraMin,N(H191)&lt;=0,N(W191)&lt;=0),0,IF($W$3="Sim",TRUNC(ROUND(MAX(0,(Q191-p_CorrFixa)/(H191*W191*$W$6)),9),$W$4),TRUNC(ROUND(MAX(0,(Q191-p_CorrFixa)/(H191*W191*$W$6)),9)/$W$5)*$W$5)))</f>
        <v/>
      </c>
      <c r="AE191" s="85" t="str">
        <f>IF(A191="","",IF(N(AD191)&gt;0,AD191*H191*W191*$W$6+p_CorrFixa,0))</f>
        <v/>
      </c>
      <c r="AF191" s="85" t="str">
        <f>IF(A191="","",IF(OR($Y$1&lt;=0,N(H191)&lt;=0,N(W191)&lt;=0,N(AB191)&lt;=0),0,IF($W$3="Sim",TRUNC(ROUND(MAX(0,($Y$1-IF(N(AD191)&gt;0,0,p_CorrFixa))/(H191*W191*$W$6)),9),$W$4),TRUNC(ROUND(MAX(0,($Y$1-IF(N(AD191)&gt;0,0,p_CorrFixa))/(H191*W191*$W$6)),9)/$W$5)*$W$5)))</f>
        <v/>
      </c>
      <c r="AG191" s="85" t="str">
        <f>IF(A191="","",IF(AND(N(AD191)=0,N(AF191)*(H191*W191*$W$6)+p_CorrFixa&lt;p_CompraMin),0,AF191))</f>
        <v/>
      </c>
      <c r="AH191" s="85" t="str">
        <f>IF(A191="","",IF(N(AG191)&gt;0,AB191,0))</f>
        <v/>
      </c>
      <c r="AI191" s="85" t="str">
        <f>IF(A191="","",IF(AND(AH191&gt;0,AH191=$AH$6,COUNTIF($AH$9:AH191,AH191)=1),1,0))</f>
        <v/>
      </c>
    </row>
    <row r="192">
      <c r="A192" s="96" t="n"/>
      <c r="B192" s="96" t="n"/>
      <c r="C192" s="96" t="n"/>
      <c r="D192" s="97" t="n"/>
      <c r="E192" s="98" t="n"/>
      <c r="F192" s="99" t="n"/>
      <c r="G192" s="100" t="n"/>
      <c r="H192" s="104" t="str">
        <f>IF(A192="","",IF(AND(p_ModoCot="Automático",ISNUMBER(Z192)),Z192,IF(N(G192)&gt;0,G192,0)))</f>
        <v/>
      </c>
      <c r="I192" s="105" t="str">
        <f>IF(A192="","",IF(W192=0,"Sem câmbio",IF(AND(p_ModoCot="Automático",ISNUMBER(Z192)),"Auto",IF(N(G192)&gt;0,"Manual","Sem cotação"))))</f>
        <v/>
      </c>
      <c r="J192" s="106" t="str">
        <f>IF(A192="","",N(E192)*H192)</f>
        <v/>
      </c>
      <c r="K192" s="107" t="str">
        <f>IF(A192="","",J192*W192)</f>
        <v/>
      </c>
      <c r="L192" s="108" t="str">
        <f>IF(A192="","",IF($K$6&gt;0,K192/$K$6,0))</f>
        <v/>
      </c>
      <c r="M192" s="109" t="str">
        <f>IF(A192="","",N(F192)-L192)</f>
        <v/>
      </c>
      <c r="N192" s="108" t="str">
        <f>IF(A192="","",IF($AB$6&gt;0,AB192/$AB$6,0))</f>
        <v/>
      </c>
      <c r="O192" s="110" t="str">
        <f>IF(A192="","",IF(AB192&lt;=0,"",COUNTIF($AB$9:$AB$208,"&gt;"&amp;AB192)+COUNTIF($AB$9:AB192,AB192)))</f>
        <v/>
      </c>
      <c r="P192" s="105" t="str">
        <f>IF(A192="","",IF(Q192&gt;0,"BUY","HOLD"))</f>
        <v/>
      </c>
      <c r="Q192" s="107" t="str">
        <f>IF(A192="","",IF($W$7&lt;=0,0,IF($AC$6&gt;0,$W$7*AC192/$AC$6,IF($F$6&gt;0,$W$7*N(F192)/$F$6,0))))</f>
        <v/>
      </c>
      <c r="R192" s="111" t="str">
        <f>IF(A192="","",N(AD192)+IF(AI192=1,N(AG192),0))</f>
        <v/>
      </c>
      <c r="S192" s="111" t="str">
        <f>IF(A192="","",N(E192)+N(R192))</f>
        <v/>
      </c>
      <c r="T192" s="107" t="str">
        <f>IF(A192="","",IF(N(R192)&gt;0,R192*H192*W192*$W$6+p_CorrFixa,0))</f>
        <v/>
      </c>
      <c r="V192" s="85" t="str">
        <f>IF(A192="","",IF(D192="",$W$1,D192))</f>
        <v/>
      </c>
      <c r="W192" s="85" t="str">
        <f>IF(A192="","",IFERROR(INDEX(moeda_fx,MATCH(V192,moeda_cod,0)),0))</f>
        <v/>
      </c>
      <c r="X192" s="85" t="str">
        <f>IF(A192="","",IF($W$2="",UPPER(TRIM(A192)),IF(RIGHT(UPPER(TRIM(A192)),LEN($W$2))=$W$2,UPPER(TRIM(A192)),UPPER(TRIM(A192))&amp;$W$2)))</f>
        <v/>
      </c>
      <c r="Y192" s="85" t="str">
        <f>IF(OR(A192="",p_ModoCot&lt;&gt;"Automático"),"",IFERROR(_xlfn.WEBSERVICE("https://query1.finance.yahoo.com/v8/finance/chart/"&amp;X192&amp;"?range=1d&amp;interval=1d"),""))</f>
        <v/>
      </c>
      <c r="Z192" s="85" t="str">
        <f>IF(Y192="","",IFERROR(_xlfn.NUMBERVALUE(MID(Y192,SEARCH("""regularMarketPrice"":",Y192)+21,SEARCH(",",Y192&amp;",",SEARCH("""regularMarketPrice"":",Y192)+21)-SEARCH("""regularMarketPrice"":",Y192)-21),".",","),""))</f>
        <v/>
      </c>
      <c r="AA192" s="85" t="str">
        <f>IF(A192="","",ROUND(MAX(0,N(F192)*($K$6+$W$7)-K192),2))</f>
        <v/>
      </c>
      <c r="AB192" s="85" t="str">
        <f>IF(A192="","",IF(AND(M192&gt;0,M192&gt;=p_DifMin),AA192,0))</f>
        <v/>
      </c>
      <c r="AC192" s="85" t="str">
        <f>IF(A192="","",IF(AND(AB192&gt;0,N(O192)&lt;=p_MaxAtivos),AB192,0))</f>
        <v/>
      </c>
      <c r="AD192" s="85" t="str">
        <f>IF(A192="","",IF(OR(Q192&lt;=0,Q192&lt;p_CompraMin,N(H192)&lt;=0,N(W192)&lt;=0),0,IF($W$3="Sim",TRUNC(ROUND(MAX(0,(Q192-p_CorrFixa)/(H192*W192*$W$6)),9),$W$4),TRUNC(ROUND(MAX(0,(Q192-p_CorrFixa)/(H192*W192*$W$6)),9)/$W$5)*$W$5)))</f>
        <v/>
      </c>
      <c r="AE192" s="85" t="str">
        <f>IF(A192="","",IF(N(AD192)&gt;0,AD192*H192*W192*$W$6+p_CorrFixa,0))</f>
        <v/>
      </c>
      <c r="AF192" s="85" t="str">
        <f>IF(A192="","",IF(OR($Y$1&lt;=0,N(H192)&lt;=0,N(W192)&lt;=0,N(AB192)&lt;=0),0,IF($W$3="Sim",TRUNC(ROUND(MAX(0,($Y$1-IF(N(AD192)&gt;0,0,p_CorrFixa))/(H192*W192*$W$6)),9),$W$4),TRUNC(ROUND(MAX(0,($Y$1-IF(N(AD192)&gt;0,0,p_CorrFixa))/(H192*W192*$W$6)),9)/$W$5)*$W$5)))</f>
        <v/>
      </c>
      <c r="AG192" s="85" t="str">
        <f>IF(A192="","",IF(AND(N(AD192)=0,N(AF192)*(H192*W192*$W$6)+p_CorrFixa&lt;p_CompraMin),0,AF192))</f>
        <v/>
      </c>
      <c r="AH192" s="85" t="str">
        <f>IF(A192="","",IF(N(AG192)&gt;0,AB192,0))</f>
        <v/>
      </c>
      <c r="AI192" s="85" t="str">
        <f>IF(A192="","",IF(AND(AH192&gt;0,AH192=$AH$6,COUNTIF($AH$9:AH192,AH192)=1),1,0))</f>
        <v/>
      </c>
    </row>
    <row r="193">
      <c r="A193" s="96" t="n"/>
      <c r="B193" s="96" t="n"/>
      <c r="C193" s="96" t="n"/>
      <c r="D193" s="97" t="n"/>
      <c r="E193" s="98" t="n"/>
      <c r="F193" s="99" t="n"/>
      <c r="G193" s="100" t="n"/>
      <c r="H193" s="101" t="str">
        <f>IF(A193="","",IF(AND(p_ModoCot="Automático",ISNUMBER(Z193)),Z193,IF(N(G193)&gt;0,G193,0)))</f>
        <v/>
      </c>
      <c r="I193" s="73" t="str">
        <f>IF(A193="","",IF(W193=0,"Sem câmbio",IF(AND(p_ModoCot="Automático",ISNUMBER(Z193)),"Auto",IF(N(G193)&gt;0,"Manual","Sem cotação"))))</f>
        <v/>
      </c>
      <c r="J193" s="102" t="str">
        <f>IF(A193="","",N(E193)*H193)</f>
        <v/>
      </c>
      <c r="K193" s="70" t="str">
        <f>IF(A193="","",J193*W193)</f>
        <v/>
      </c>
      <c r="L193" s="30" t="str">
        <f>IF(A193="","",IF($K$6&gt;0,K193/$K$6,0))</f>
        <v/>
      </c>
      <c r="M193" s="72" t="str">
        <f>IF(A193="","",N(F193)-L193)</f>
        <v/>
      </c>
      <c r="N193" s="30" t="str">
        <f>IF(A193="","",IF($AB$6&gt;0,AB193/$AB$6,0))</f>
        <v/>
      </c>
      <c r="O193" s="74" t="str">
        <f>IF(A193="","",IF(AB193&lt;=0,"",COUNTIF($AB$9:$AB$208,"&gt;"&amp;AB193)+COUNTIF($AB$9:AB193,AB193)))</f>
        <v/>
      </c>
      <c r="P193" s="73" t="str">
        <f>IF(A193="","",IF(Q193&gt;0,"BUY","HOLD"))</f>
        <v/>
      </c>
      <c r="Q193" s="70" t="str">
        <f>IF(A193="","",IF($W$7&lt;=0,0,IF($AC$6&gt;0,$W$7*AC193/$AC$6,IF($F$6&gt;0,$W$7*N(F193)/$F$6,0))))</f>
        <v/>
      </c>
      <c r="R193" s="103" t="str">
        <f>IF(A193="","",N(AD193)+IF(AI193=1,N(AG193),0))</f>
        <v/>
      </c>
      <c r="S193" s="103" t="str">
        <f>IF(A193="","",N(E193)+N(R193))</f>
        <v/>
      </c>
      <c r="T193" s="70" t="str">
        <f>IF(A193="","",IF(N(R193)&gt;0,R193*H193*W193*$W$6+p_CorrFixa,0))</f>
        <v/>
      </c>
      <c r="V193" s="85" t="str">
        <f>IF(A193="","",IF(D193="",$W$1,D193))</f>
        <v/>
      </c>
      <c r="W193" s="85" t="str">
        <f>IF(A193="","",IFERROR(INDEX(moeda_fx,MATCH(V193,moeda_cod,0)),0))</f>
        <v/>
      </c>
      <c r="X193" s="85" t="str">
        <f>IF(A193="","",IF($W$2="",UPPER(TRIM(A193)),IF(RIGHT(UPPER(TRIM(A193)),LEN($W$2))=$W$2,UPPER(TRIM(A193)),UPPER(TRIM(A193))&amp;$W$2)))</f>
        <v/>
      </c>
      <c r="Y193" s="85" t="str">
        <f>IF(OR(A193="",p_ModoCot&lt;&gt;"Automático"),"",IFERROR(_xlfn.WEBSERVICE("https://query1.finance.yahoo.com/v8/finance/chart/"&amp;X193&amp;"?range=1d&amp;interval=1d"),""))</f>
        <v/>
      </c>
      <c r="Z193" s="85" t="str">
        <f>IF(Y193="","",IFERROR(_xlfn.NUMBERVALUE(MID(Y193,SEARCH("""regularMarketPrice"":",Y193)+21,SEARCH(",",Y193&amp;",",SEARCH("""regularMarketPrice"":",Y193)+21)-SEARCH("""regularMarketPrice"":",Y193)-21),".",","),""))</f>
        <v/>
      </c>
      <c r="AA193" s="85" t="str">
        <f>IF(A193="","",ROUND(MAX(0,N(F193)*($K$6+$W$7)-K193),2))</f>
        <v/>
      </c>
      <c r="AB193" s="85" t="str">
        <f>IF(A193="","",IF(AND(M193&gt;0,M193&gt;=p_DifMin),AA193,0))</f>
        <v/>
      </c>
      <c r="AC193" s="85" t="str">
        <f>IF(A193="","",IF(AND(AB193&gt;0,N(O193)&lt;=p_MaxAtivos),AB193,0))</f>
        <v/>
      </c>
      <c r="AD193" s="85" t="str">
        <f>IF(A193="","",IF(OR(Q193&lt;=0,Q193&lt;p_CompraMin,N(H193)&lt;=0,N(W193)&lt;=0),0,IF($W$3="Sim",TRUNC(ROUND(MAX(0,(Q193-p_CorrFixa)/(H193*W193*$W$6)),9),$W$4),TRUNC(ROUND(MAX(0,(Q193-p_CorrFixa)/(H193*W193*$W$6)),9)/$W$5)*$W$5)))</f>
        <v/>
      </c>
      <c r="AE193" s="85" t="str">
        <f>IF(A193="","",IF(N(AD193)&gt;0,AD193*H193*W193*$W$6+p_CorrFixa,0))</f>
        <v/>
      </c>
      <c r="AF193" s="85" t="str">
        <f>IF(A193="","",IF(OR($Y$1&lt;=0,N(H193)&lt;=0,N(W193)&lt;=0,N(AB193)&lt;=0),0,IF($W$3="Sim",TRUNC(ROUND(MAX(0,($Y$1-IF(N(AD193)&gt;0,0,p_CorrFixa))/(H193*W193*$W$6)),9),$W$4),TRUNC(ROUND(MAX(0,($Y$1-IF(N(AD193)&gt;0,0,p_CorrFixa))/(H193*W193*$W$6)),9)/$W$5)*$W$5)))</f>
        <v/>
      </c>
      <c r="AG193" s="85" t="str">
        <f>IF(A193="","",IF(AND(N(AD193)=0,N(AF193)*(H193*W193*$W$6)+p_CorrFixa&lt;p_CompraMin),0,AF193))</f>
        <v/>
      </c>
      <c r="AH193" s="85" t="str">
        <f>IF(A193="","",IF(N(AG193)&gt;0,AB193,0))</f>
        <v/>
      </c>
      <c r="AI193" s="85" t="str">
        <f>IF(A193="","",IF(AND(AH193&gt;0,AH193=$AH$6,COUNTIF($AH$9:AH193,AH193)=1),1,0))</f>
        <v/>
      </c>
    </row>
    <row r="194">
      <c r="A194" s="96" t="n"/>
      <c r="B194" s="96" t="n"/>
      <c r="C194" s="96" t="n"/>
      <c r="D194" s="97" t="n"/>
      <c r="E194" s="98" t="n"/>
      <c r="F194" s="99" t="n"/>
      <c r="G194" s="100" t="n"/>
      <c r="H194" s="104" t="str">
        <f>IF(A194="","",IF(AND(p_ModoCot="Automático",ISNUMBER(Z194)),Z194,IF(N(G194)&gt;0,G194,0)))</f>
        <v/>
      </c>
      <c r="I194" s="105" t="str">
        <f>IF(A194="","",IF(W194=0,"Sem câmbio",IF(AND(p_ModoCot="Automático",ISNUMBER(Z194)),"Auto",IF(N(G194)&gt;0,"Manual","Sem cotação"))))</f>
        <v/>
      </c>
      <c r="J194" s="106" t="str">
        <f>IF(A194="","",N(E194)*H194)</f>
        <v/>
      </c>
      <c r="K194" s="107" t="str">
        <f>IF(A194="","",J194*W194)</f>
        <v/>
      </c>
      <c r="L194" s="108" t="str">
        <f>IF(A194="","",IF($K$6&gt;0,K194/$K$6,0))</f>
        <v/>
      </c>
      <c r="M194" s="109" t="str">
        <f>IF(A194="","",N(F194)-L194)</f>
        <v/>
      </c>
      <c r="N194" s="108" t="str">
        <f>IF(A194="","",IF($AB$6&gt;0,AB194/$AB$6,0))</f>
        <v/>
      </c>
      <c r="O194" s="110" t="str">
        <f>IF(A194="","",IF(AB194&lt;=0,"",COUNTIF($AB$9:$AB$208,"&gt;"&amp;AB194)+COUNTIF($AB$9:AB194,AB194)))</f>
        <v/>
      </c>
      <c r="P194" s="105" t="str">
        <f>IF(A194="","",IF(Q194&gt;0,"BUY","HOLD"))</f>
        <v/>
      </c>
      <c r="Q194" s="107" t="str">
        <f>IF(A194="","",IF($W$7&lt;=0,0,IF($AC$6&gt;0,$W$7*AC194/$AC$6,IF($F$6&gt;0,$W$7*N(F194)/$F$6,0))))</f>
        <v/>
      </c>
      <c r="R194" s="111" t="str">
        <f>IF(A194="","",N(AD194)+IF(AI194=1,N(AG194),0))</f>
        <v/>
      </c>
      <c r="S194" s="111" t="str">
        <f>IF(A194="","",N(E194)+N(R194))</f>
        <v/>
      </c>
      <c r="T194" s="107" t="str">
        <f>IF(A194="","",IF(N(R194)&gt;0,R194*H194*W194*$W$6+p_CorrFixa,0))</f>
        <v/>
      </c>
      <c r="V194" s="85" t="str">
        <f>IF(A194="","",IF(D194="",$W$1,D194))</f>
        <v/>
      </c>
      <c r="W194" s="85" t="str">
        <f>IF(A194="","",IFERROR(INDEX(moeda_fx,MATCH(V194,moeda_cod,0)),0))</f>
        <v/>
      </c>
      <c r="X194" s="85" t="str">
        <f>IF(A194="","",IF($W$2="",UPPER(TRIM(A194)),IF(RIGHT(UPPER(TRIM(A194)),LEN($W$2))=$W$2,UPPER(TRIM(A194)),UPPER(TRIM(A194))&amp;$W$2)))</f>
        <v/>
      </c>
      <c r="Y194" s="85" t="str">
        <f>IF(OR(A194="",p_ModoCot&lt;&gt;"Automático"),"",IFERROR(_xlfn.WEBSERVICE("https://query1.finance.yahoo.com/v8/finance/chart/"&amp;X194&amp;"?range=1d&amp;interval=1d"),""))</f>
        <v/>
      </c>
      <c r="Z194" s="85" t="str">
        <f>IF(Y194="","",IFERROR(_xlfn.NUMBERVALUE(MID(Y194,SEARCH("""regularMarketPrice"":",Y194)+21,SEARCH(",",Y194&amp;",",SEARCH("""regularMarketPrice"":",Y194)+21)-SEARCH("""regularMarketPrice"":",Y194)-21),".",","),""))</f>
        <v/>
      </c>
      <c r="AA194" s="85" t="str">
        <f>IF(A194="","",ROUND(MAX(0,N(F194)*($K$6+$W$7)-K194),2))</f>
        <v/>
      </c>
      <c r="AB194" s="85" t="str">
        <f>IF(A194="","",IF(AND(M194&gt;0,M194&gt;=p_DifMin),AA194,0))</f>
        <v/>
      </c>
      <c r="AC194" s="85" t="str">
        <f>IF(A194="","",IF(AND(AB194&gt;0,N(O194)&lt;=p_MaxAtivos),AB194,0))</f>
        <v/>
      </c>
      <c r="AD194" s="85" t="str">
        <f>IF(A194="","",IF(OR(Q194&lt;=0,Q194&lt;p_CompraMin,N(H194)&lt;=0,N(W194)&lt;=0),0,IF($W$3="Sim",TRUNC(ROUND(MAX(0,(Q194-p_CorrFixa)/(H194*W194*$W$6)),9),$W$4),TRUNC(ROUND(MAX(0,(Q194-p_CorrFixa)/(H194*W194*$W$6)),9)/$W$5)*$W$5)))</f>
        <v/>
      </c>
      <c r="AE194" s="85" t="str">
        <f>IF(A194="","",IF(N(AD194)&gt;0,AD194*H194*W194*$W$6+p_CorrFixa,0))</f>
        <v/>
      </c>
      <c r="AF194" s="85" t="str">
        <f>IF(A194="","",IF(OR($Y$1&lt;=0,N(H194)&lt;=0,N(W194)&lt;=0,N(AB194)&lt;=0),0,IF($W$3="Sim",TRUNC(ROUND(MAX(0,($Y$1-IF(N(AD194)&gt;0,0,p_CorrFixa))/(H194*W194*$W$6)),9),$W$4),TRUNC(ROUND(MAX(0,($Y$1-IF(N(AD194)&gt;0,0,p_CorrFixa))/(H194*W194*$W$6)),9)/$W$5)*$W$5)))</f>
        <v/>
      </c>
      <c r="AG194" s="85" t="str">
        <f>IF(A194="","",IF(AND(N(AD194)=0,N(AF194)*(H194*W194*$W$6)+p_CorrFixa&lt;p_CompraMin),0,AF194))</f>
        <v/>
      </c>
      <c r="AH194" s="85" t="str">
        <f>IF(A194="","",IF(N(AG194)&gt;0,AB194,0))</f>
        <v/>
      </c>
      <c r="AI194" s="85" t="str">
        <f>IF(A194="","",IF(AND(AH194&gt;0,AH194=$AH$6,COUNTIF($AH$9:AH194,AH194)=1),1,0))</f>
        <v/>
      </c>
    </row>
    <row r="195">
      <c r="A195" s="96" t="n"/>
      <c r="B195" s="96" t="n"/>
      <c r="C195" s="96" t="n"/>
      <c r="D195" s="97" t="n"/>
      <c r="E195" s="98" t="n"/>
      <c r="F195" s="99" t="n"/>
      <c r="G195" s="100" t="n"/>
      <c r="H195" s="101" t="str">
        <f>IF(A195="","",IF(AND(p_ModoCot="Automático",ISNUMBER(Z195)),Z195,IF(N(G195)&gt;0,G195,0)))</f>
        <v/>
      </c>
      <c r="I195" s="73" t="str">
        <f>IF(A195="","",IF(W195=0,"Sem câmbio",IF(AND(p_ModoCot="Automático",ISNUMBER(Z195)),"Auto",IF(N(G195)&gt;0,"Manual","Sem cotação"))))</f>
        <v/>
      </c>
      <c r="J195" s="102" t="str">
        <f>IF(A195="","",N(E195)*H195)</f>
        <v/>
      </c>
      <c r="K195" s="70" t="str">
        <f>IF(A195="","",J195*W195)</f>
        <v/>
      </c>
      <c r="L195" s="30" t="str">
        <f>IF(A195="","",IF($K$6&gt;0,K195/$K$6,0))</f>
        <v/>
      </c>
      <c r="M195" s="72" t="str">
        <f>IF(A195="","",N(F195)-L195)</f>
        <v/>
      </c>
      <c r="N195" s="30" t="str">
        <f>IF(A195="","",IF($AB$6&gt;0,AB195/$AB$6,0))</f>
        <v/>
      </c>
      <c r="O195" s="74" t="str">
        <f>IF(A195="","",IF(AB195&lt;=0,"",COUNTIF($AB$9:$AB$208,"&gt;"&amp;AB195)+COUNTIF($AB$9:AB195,AB195)))</f>
        <v/>
      </c>
      <c r="P195" s="73" t="str">
        <f>IF(A195="","",IF(Q195&gt;0,"BUY","HOLD"))</f>
        <v/>
      </c>
      <c r="Q195" s="70" t="str">
        <f>IF(A195="","",IF($W$7&lt;=0,0,IF($AC$6&gt;0,$W$7*AC195/$AC$6,IF($F$6&gt;0,$W$7*N(F195)/$F$6,0))))</f>
        <v/>
      </c>
      <c r="R195" s="103" t="str">
        <f>IF(A195="","",N(AD195)+IF(AI195=1,N(AG195),0))</f>
        <v/>
      </c>
      <c r="S195" s="103" t="str">
        <f>IF(A195="","",N(E195)+N(R195))</f>
        <v/>
      </c>
      <c r="T195" s="70" t="str">
        <f>IF(A195="","",IF(N(R195)&gt;0,R195*H195*W195*$W$6+p_CorrFixa,0))</f>
        <v/>
      </c>
      <c r="V195" s="85" t="str">
        <f>IF(A195="","",IF(D195="",$W$1,D195))</f>
        <v/>
      </c>
      <c r="W195" s="85" t="str">
        <f>IF(A195="","",IFERROR(INDEX(moeda_fx,MATCH(V195,moeda_cod,0)),0))</f>
        <v/>
      </c>
      <c r="X195" s="85" t="str">
        <f>IF(A195="","",IF($W$2="",UPPER(TRIM(A195)),IF(RIGHT(UPPER(TRIM(A195)),LEN($W$2))=$W$2,UPPER(TRIM(A195)),UPPER(TRIM(A195))&amp;$W$2)))</f>
        <v/>
      </c>
      <c r="Y195" s="85" t="str">
        <f>IF(OR(A195="",p_ModoCot&lt;&gt;"Automático"),"",IFERROR(_xlfn.WEBSERVICE("https://query1.finance.yahoo.com/v8/finance/chart/"&amp;X195&amp;"?range=1d&amp;interval=1d"),""))</f>
        <v/>
      </c>
      <c r="Z195" s="85" t="str">
        <f>IF(Y195="","",IFERROR(_xlfn.NUMBERVALUE(MID(Y195,SEARCH("""regularMarketPrice"":",Y195)+21,SEARCH(",",Y195&amp;",",SEARCH("""regularMarketPrice"":",Y195)+21)-SEARCH("""regularMarketPrice"":",Y195)-21),".",","),""))</f>
        <v/>
      </c>
      <c r="AA195" s="85" t="str">
        <f>IF(A195="","",ROUND(MAX(0,N(F195)*($K$6+$W$7)-K195),2))</f>
        <v/>
      </c>
      <c r="AB195" s="85" t="str">
        <f>IF(A195="","",IF(AND(M195&gt;0,M195&gt;=p_DifMin),AA195,0))</f>
        <v/>
      </c>
      <c r="AC195" s="85" t="str">
        <f>IF(A195="","",IF(AND(AB195&gt;0,N(O195)&lt;=p_MaxAtivos),AB195,0))</f>
        <v/>
      </c>
      <c r="AD195" s="85" t="str">
        <f>IF(A195="","",IF(OR(Q195&lt;=0,Q195&lt;p_CompraMin,N(H195)&lt;=0,N(W195)&lt;=0),0,IF($W$3="Sim",TRUNC(ROUND(MAX(0,(Q195-p_CorrFixa)/(H195*W195*$W$6)),9),$W$4),TRUNC(ROUND(MAX(0,(Q195-p_CorrFixa)/(H195*W195*$W$6)),9)/$W$5)*$W$5)))</f>
        <v/>
      </c>
      <c r="AE195" s="85" t="str">
        <f>IF(A195="","",IF(N(AD195)&gt;0,AD195*H195*W195*$W$6+p_CorrFixa,0))</f>
        <v/>
      </c>
      <c r="AF195" s="85" t="str">
        <f>IF(A195="","",IF(OR($Y$1&lt;=0,N(H195)&lt;=0,N(W195)&lt;=0,N(AB195)&lt;=0),0,IF($W$3="Sim",TRUNC(ROUND(MAX(0,($Y$1-IF(N(AD195)&gt;0,0,p_CorrFixa))/(H195*W195*$W$6)),9),$W$4),TRUNC(ROUND(MAX(0,($Y$1-IF(N(AD195)&gt;0,0,p_CorrFixa))/(H195*W195*$W$6)),9)/$W$5)*$W$5)))</f>
        <v/>
      </c>
      <c r="AG195" s="85" t="str">
        <f>IF(A195="","",IF(AND(N(AD195)=0,N(AF195)*(H195*W195*$W$6)+p_CorrFixa&lt;p_CompraMin),0,AF195))</f>
        <v/>
      </c>
      <c r="AH195" s="85" t="str">
        <f>IF(A195="","",IF(N(AG195)&gt;0,AB195,0))</f>
        <v/>
      </c>
      <c r="AI195" s="85" t="str">
        <f>IF(A195="","",IF(AND(AH195&gt;0,AH195=$AH$6,COUNTIF($AH$9:AH195,AH195)=1),1,0))</f>
        <v/>
      </c>
    </row>
    <row r="196">
      <c r="A196" s="96" t="n"/>
      <c r="B196" s="96" t="n"/>
      <c r="C196" s="96" t="n"/>
      <c r="D196" s="97" t="n"/>
      <c r="E196" s="98" t="n"/>
      <c r="F196" s="99" t="n"/>
      <c r="G196" s="100" t="n"/>
      <c r="H196" s="104" t="str">
        <f>IF(A196="","",IF(AND(p_ModoCot="Automático",ISNUMBER(Z196)),Z196,IF(N(G196)&gt;0,G196,0)))</f>
        <v/>
      </c>
      <c r="I196" s="105" t="str">
        <f>IF(A196="","",IF(W196=0,"Sem câmbio",IF(AND(p_ModoCot="Automático",ISNUMBER(Z196)),"Auto",IF(N(G196)&gt;0,"Manual","Sem cotação"))))</f>
        <v/>
      </c>
      <c r="J196" s="106" t="str">
        <f>IF(A196="","",N(E196)*H196)</f>
        <v/>
      </c>
      <c r="K196" s="107" t="str">
        <f>IF(A196="","",J196*W196)</f>
        <v/>
      </c>
      <c r="L196" s="108" t="str">
        <f>IF(A196="","",IF($K$6&gt;0,K196/$K$6,0))</f>
        <v/>
      </c>
      <c r="M196" s="109" t="str">
        <f>IF(A196="","",N(F196)-L196)</f>
        <v/>
      </c>
      <c r="N196" s="108" t="str">
        <f>IF(A196="","",IF($AB$6&gt;0,AB196/$AB$6,0))</f>
        <v/>
      </c>
      <c r="O196" s="110" t="str">
        <f>IF(A196="","",IF(AB196&lt;=0,"",COUNTIF($AB$9:$AB$208,"&gt;"&amp;AB196)+COUNTIF($AB$9:AB196,AB196)))</f>
        <v/>
      </c>
      <c r="P196" s="105" t="str">
        <f>IF(A196="","",IF(Q196&gt;0,"BUY","HOLD"))</f>
        <v/>
      </c>
      <c r="Q196" s="107" t="str">
        <f>IF(A196="","",IF($W$7&lt;=0,0,IF($AC$6&gt;0,$W$7*AC196/$AC$6,IF($F$6&gt;0,$W$7*N(F196)/$F$6,0))))</f>
        <v/>
      </c>
      <c r="R196" s="111" t="str">
        <f>IF(A196="","",N(AD196)+IF(AI196=1,N(AG196),0))</f>
        <v/>
      </c>
      <c r="S196" s="111" t="str">
        <f>IF(A196="","",N(E196)+N(R196))</f>
        <v/>
      </c>
      <c r="T196" s="107" t="str">
        <f>IF(A196="","",IF(N(R196)&gt;0,R196*H196*W196*$W$6+p_CorrFixa,0))</f>
        <v/>
      </c>
      <c r="V196" s="85" t="str">
        <f>IF(A196="","",IF(D196="",$W$1,D196))</f>
        <v/>
      </c>
      <c r="W196" s="85" t="str">
        <f>IF(A196="","",IFERROR(INDEX(moeda_fx,MATCH(V196,moeda_cod,0)),0))</f>
        <v/>
      </c>
      <c r="X196" s="85" t="str">
        <f>IF(A196="","",IF($W$2="",UPPER(TRIM(A196)),IF(RIGHT(UPPER(TRIM(A196)),LEN($W$2))=$W$2,UPPER(TRIM(A196)),UPPER(TRIM(A196))&amp;$W$2)))</f>
        <v/>
      </c>
      <c r="Y196" s="85" t="str">
        <f>IF(OR(A196="",p_ModoCot&lt;&gt;"Automático"),"",IFERROR(_xlfn.WEBSERVICE("https://query1.finance.yahoo.com/v8/finance/chart/"&amp;X196&amp;"?range=1d&amp;interval=1d"),""))</f>
        <v/>
      </c>
      <c r="Z196" s="85" t="str">
        <f>IF(Y196="","",IFERROR(_xlfn.NUMBERVALUE(MID(Y196,SEARCH("""regularMarketPrice"":",Y196)+21,SEARCH(",",Y196&amp;",",SEARCH("""regularMarketPrice"":",Y196)+21)-SEARCH("""regularMarketPrice"":",Y196)-21),".",","),""))</f>
        <v/>
      </c>
      <c r="AA196" s="85" t="str">
        <f>IF(A196="","",ROUND(MAX(0,N(F196)*($K$6+$W$7)-K196),2))</f>
        <v/>
      </c>
      <c r="AB196" s="85" t="str">
        <f>IF(A196="","",IF(AND(M196&gt;0,M196&gt;=p_DifMin),AA196,0))</f>
        <v/>
      </c>
      <c r="AC196" s="85" t="str">
        <f>IF(A196="","",IF(AND(AB196&gt;0,N(O196)&lt;=p_MaxAtivos),AB196,0))</f>
        <v/>
      </c>
      <c r="AD196" s="85" t="str">
        <f>IF(A196="","",IF(OR(Q196&lt;=0,Q196&lt;p_CompraMin,N(H196)&lt;=0,N(W196)&lt;=0),0,IF($W$3="Sim",TRUNC(ROUND(MAX(0,(Q196-p_CorrFixa)/(H196*W196*$W$6)),9),$W$4),TRUNC(ROUND(MAX(0,(Q196-p_CorrFixa)/(H196*W196*$W$6)),9)/$W$5)*$W$5)))</f>
        <v/>
      </c>
      <c r="AE196" s="85" t="str">
        <f>IF(A196="","",IF(N(AD196)&gt;0,AD196*H196*W196*$W$6+p_CorrFixa,0))</f>
        <v/>
      </c>
      <c r="AF196" s="85" t="str">
        <f>IF(A196="","",IF(OR($Y$1&lt;=0,N(H196)&lt;=0,N(W196)&lt;=0,N(AB196)&lt;=0),0,IF($W$3="Sim",TRUNC(ROUND(MAX(0,($Y$1-IF(N(AD196)&gt;0,0,p_CorrFixa))/(H196*W196*$W$6)),9),$W$4),TRUNC(ROUND(MAX(0,($Y$1-IF(N(AD196)&gt;0,0,p_CorrFixa))/(H196*W196*$W$6)),9)/$W$5)*$W$5)))</f>
        <v/>
      </c>
      <c r="AG196" s="85" t="str">
        <f>IF(A196="","",IF(AND(N(AD196)=0,N(AF196)*(H196*W196*$W$6)+p_CorrFixa&lt;p_CompraMin),0,AF196))</f>
        <v/>
      </c>
      <c r="AH196" s="85" t="str">
        <f>IF(A196="","",IF(N(AG196)&gt;0,AB196,0))</f>
        <v/>
      </c>
      <c r="AI196" s="85" t="str">
        <f>IF(A196="","",IF(AND(AH196&gt;0,AH196=$AH$6,COUNTIF($AH$9:AH196,AH196)=1),1,0))</f>
        <v/>
      </c>
    </row>
    <row r="197">
      <c r="A197" s="96" t="n"/>
      <c r="B197" s="96" t="n"/>
      <c r="C197" s="96" t="n"/>
      <c r="D197" s="97" t="n"/>
      <c r="E197" s="98" t="n"/>
      <c r="F197" s="99" t="n"/>
      <c r="G197" s="100" t="n"/>
      <c r="H197" s="101" t="str">
        <f>IF(A197="","",IF(AND(p_ModoCot="Automático",ISNUMBER(Z197)),Z197,IF(N(G197)&gt;0,G197,0)))</f>
        <v/>
      </c>
      <c r="I197" s="73" t="str">
        <f>IF(A197="","",IF(W197=0,"Sem câmbio",IF(AND(p_ModoCot="Automático",ISNUMBER(Z197)),"Auto",IF(N(G197)&gt;0,"Manual","Sem cotação"))))</f>
        <v/>
      </c>
      <c r="J197" s="102" t="str">
        <f>IF(A197="","",N(E197)*H197)</f>
        <v/>
      </c>
      <c r="K197" s="70" t="str">
        <f>IF(A197="","",J197*W197)</f>
        <v/>
      </c>
      <c r="L197" s="30" t="str">
        <f>IF(A197="","",IF($K$6&gt;0,K197/$K$6,0))</f>
        <v/>
      </c>
      <c r="M197" s="72" t="str">
        <f>IF(A197="","",N(F197)-L197)</f>
        <v/>
      </c>
      <c r="N197" s="30" t="str">
        <f>IF(A197="","",IF($AB$6&gt;0,AB197/$AB$6,0))</f>
        <v/>
      </c>
      <c r="O197" s="74" t="str">
        <f>IF(A197="","",IF(AB197&lt;=0,"",COUNTIF($AB$9:$AB$208,"&gt;"&amp;AB197)+COUNTIF($AB$9:AB197,AB197)))</f>
        <v/>
      </c>
      <c r="P197" s="73" t="str">
        <f>IF(A197="","",IF(Q197&gt;0,"BUY","HOLD"))</f>
        <v/>
      </c>
      <c r="Q197" s="70" t="str">
        <f>IF(A197="","",IF($W$7&lt;=0,0,IF($AC$6&gt;0,$W$7*AC197/$AC$6,IF($F$6&gt;0,$W$7*N(F197)/$F$6,0))))</f>
        <v/>
      </c>
      <c r="R197" s="103" t="str">
        <f>IF(A197="","",N(AD197)+IF(AI197=1,N(AG197),0))</f>
        <v/>
      </c>
      <c r="S197" s="103" t="str">
        <f>IF(A197="","",N(E197)+N(R197))</f>
        <v/>
      </c>
      <c r="T197" s="70" t="str">
        <f>IF(A197="","",IF(N(R197)&gt;0,R197*H197*W197*$W$6+p_CorrFixa,0))</f>
        <v/>
      </c>
      <c r="V197" s="85" t="str">
        <f>IF(A197="","",IF(D197="",$W$1,D197))</f>
        <v/>
      </c>
      <c r="W197" s="85" t="str">
        <f>IF(A197="","",IFERROR(INDEX(moeda_fx,MATCH(V197,moeda_cod,0)),0))</f>
        <v/>
      </c>
      <c r="X197" s="85" t="str">
        <f>IF(A197="","",IF($W$2="",UPPER(TRIM(A197)),IF(RIGHT(UPPER(TRIM(A197)),LEN($W$2))=$W$2,UPPER(TRIM(A197)),UPPER(TRIM(A197))&amp;$W$2)))</f>
        <v/>
      </c>
      <c r="Y197" s="85" t="str">
        <f>IF(OR(A197="",p_ModoCot&lt;&gt;"Automático"),"",IFERROR(_xlfn.WEBSERVICE("https://query1.finance.yahoo.com/v8/finance/chart/"&amp;X197&amp;"?range=1d&amp;interval=1d"),""))</f>
        <v/>
      </c>
      <c r="Z197" s="85" t="str">
        <f>IF(Y197="","",IFERROR(_xlfn.NUMBERVALUE(MID(Y197,SEARCH("""regularMarketPrice"":",Y197)+21,SEARCH(",",Y197&amp;",",SEARCH("""regularMarketPrice"":",Y197)+21)-SEARCH("""regularMarketPrice"":",Y197)-21),".",","),""))</f>
        <v/>
      </c>
      <c r="AA197" s="85" t="str">
        <f>IF(A197="","",ROUND(MAX(0,N(F197)*($K$6+$W$7)-K197),2))</f>
        <v/>
      </c>
      <c r="AB197" s="85" t="str">
        <f>IF(A197="","",IF(AND(M197&gt;0,M197&gt;=p_DifMin),AA197,0))</f>
        <v/>
      </c>
      <c r="AC197" s="85" t="str">
        <f>IF(A197="","",IF(AND(AB197&gt;0,N(O197)&lt;=p_MaxAtivos),AB197,0))</f>
        <v/>
      </c>
      <c r="AD197" s="85" t="str">
        <f>IF(A197="","",IF(OR(Q197&lt;=0,Q197&lt;p_CompraMin,N(H197)&lt;=0,N(W197)&lt;=0),0,IF($W$3="Sim",TRUNC(ROUND(MAX(0,(Q197-p_CorrFixa)/(H197*W197*$W$6)),9),$W$4),TRUNC(ROUND(MAX(0,(Q197-p_CorrFixa)/(H197*W197*$W$6)),9)/$W$5)*$W$5)))</f>
        <v/>
      </c>
      <c r="AE197" s="85" t="str">
        <f>IF(A197="","",IF(N(AD197)&gt;0,AD197*H197*W197*$W$6+p_CorrFixa,0))</f>
        <v/>
      </c>
      <c r="AF197" s="85" t="str">
        <f>IF(A197="","",IF(OR($Y$1&lt;=0,N(H197)&lt;=0,N(W197)&lt;=0,N(AB197)&lt;=0),0,IF($W$3="Sim",TRUNC(ROUND(MAX(0,($Y$1-IF(N(AD197)&gt;0,0,p_CorrFixa))/(H197*W197*$W$6)),9),$W$4),TRUNC(ROUND(MAX(0,($Y$1-IF(N(AD197)&gt;0,0,p_CorrFixa))/(H197*W197*$W$6)),9)/$W$5)*$W$5)))</f>
        <v/>
      </c>
      <c r="AG197" s="85" t="str">
        <f>IF(A197="","",IF(AND(N(AD197)=0,N(AF197)*(H197*W197*$W$6)+p_CorrFixa&lt;p_CompraMin),0,AF197))</f>
        <v/>
      </c>
      <c r="AH197" s="85" t="str">
        <f>IF(A197="","",IF(N(AG197)&gt;0,AB197,0))</f>
        <v/>
      </c>
      <c r="AI197" s="85" t="str">
        <f>IF(A197="","",IF(AND(AH197&gt;0,AH197=$AH$6,COUNTIF($AH$9:AH197,AH197)=1),1,0))</f>
        <v/>
      </c>
    </row>
    <row r="198">
      <c r="A198" s="96" t="n"/>
      <c r="B198" s="96" t="n"/>
      <c r="C198" s="96" t="n"/>
      <c r="D198" s="97" t="n"/>
      <c r="E198" s="98" t="n"/>
      <c r="F198" s="99" t="n"/>
      <c r="G198" s="100" t="n"/>
      <c r="H198" s="104" t="str">
        <f>IF(A198="","",IF(AND(p_ModoCot="Automático",ISNUMBER(Z198)),Z198,IF(N(G198)&gt;0,G198,0)))</f>
        <v/>
      </c>
      <c r="I198" s="105" t="str">
        <f>IF(A198="","",IF(W198=0,"Sem câmbio",IF(AND(p_ModoCot="Automático",ISNUMBER(Z198)),"Auto",IF(N(G198)&gt;0,"Manual","Sem cotação"))))</f>
        <v/>
      </c>
      <c r="J198" s="106" t="str">
        <f>IF(A198="","",N(E198)*H198)</f>
        <v/>
      </c>
      <c r="K198" s="107" t="str">
        <f>IF(A198="","",J198*W198)</f>
        <v/>
      </c>
      <c r="L198" s="108" t="str">
        <f>IF(A198="","",IF($K$6&gt;0,K198/$K$6,0))</f>
        <v/>
      </c>
      <c r="M198" s="109" t="str">
        <f>IF(A198="","",N(F198)-L198)</f>
        <v/>
      </c>
      <c r="N198" s="108" t="str">
        <f>IF(A198="","",IF($AB$6&gt;0,AB198/$AB$6,0))</f>
        <v/>
      </c>
      <c r="O198" s="110" t="str">
        <f>IF(A198="","",IF(AB198&lt;=0,"",COUNTIF($AB$9:$AB$208,"&gt;"&amp;AB198)+COUNTIF($AB$9:AB198,AB198)))</f>
        <v/>
      </c>
      <c r="P198" s="105" t="str">
        <f>IF(A198="","",IF(Q198&gt;0,"BUY","HOLD"))</f>
        <v/>
      </c>
      <c r="Q198" s="107" t="str">
        <f>IF(A198="","",IF($W$7&lt;=0,0,IF($AC$6&gt;0,$W$7*AC198/$AC$6,IF($F$6&gt;0,$W$7*N(F198)/$F$6,0))))</f>
        <v/>
      </c>
      <c r="R198" s="111" t="str">
        <f>IF(A198="","",N(AD198)+IF(AI198=1,N(AG198),0))</f>
        <v/>
      </c>
      <c r="S198" s="111" t="str">
        <f>IF(A198="","",N(E198)+N(R198))</f>
        <v/>
      </c>
      <c r="T198" s="107" t="str">
        <f>IF(A198="","",IF(N(R198)&gt;0,R198*H198*W198*$W$6+p_CorrFixa,0))</f>
        <v/>
      </c>
      <c r="V198" s="85" t="str">
        <f>IF(A198="","",IF(D198="",$W$1,D198))</f>
        <v/>
      </c>
      <c r="W198" s="85" t="str">
        <f>IF(A198="","",IFERROR(INDEX(moeda_fx,MATCH(V198,moeda_cod,0)),0))</f>
        <v/>
      </c>
      <c r="X198" s="85" t="str">
        <f>IF(A198="","",IF($W$2="",UPPER(TRIM(A198)),IF(RIGHT(UPPER(TRIM(A198)),LEN($W$2))=$W$2,UPPER(TRIM(A198)),UPPER(TRIM(A198))&amp;$W$2)))</f>
        <v/>
      </c>
      <c r="Y198" s="85" t="str">
        <f>IF(OR(A198="",p_ModoCot&lt;&gt;"Automático"),"",IFERROR(_xlfn.WEBSERVICE("https://query1.finance.yahoo.com/v8/finance/chart/"&amp;X198&amp;"?range=1d&amp;interval=1d"),""))</f>
        <v/>
      </c>
      <c r="Z198" s="85" t="str">
        <f>IF(Y198="","",IFERROR(_xlfn.NUMBERVALUE(MID(Y198,SEARCH("""regularMarketPrice"":",Y198)+21,SEARCH(",",Y198&amp;",",SEARCH("""regularMarketPrice"":",Y198)+21)-SEARCH("""regularMarketPrice"":",Y198)-21),".",","),""))</f>
        <v/>
      </c>
      <c r="AA198" s="85" t="str">
        <f>IF(A198="","",ROUND(MAX(0,N(F198)*($K$6+$W$7)-K198),2))</f>
        <v/>
      </c>
      <c r="AB198" s="85" t="str">
        <f>IF(A198="","",IF(AND(M198&gt;0,M198&gt;=p_DifMin),AA198,0))</f>
        <v/>
      </c>
      <c r="AC198" s="85" t="str">
        <f>IF(A198="","",IF(AND(AB198&gt;0,N(O198)&lt;=p_MaxAtivos),AB198,0))</f>
        <v/>
      </c>
      <c r="AD198" s="85" t="str">
        <f>IF(A198="","",IF(OR(Q198&lt;=0,Q198&lt;p_CompraMin,N(H198)&lt;=0,N(W198)&lt;=0),0,IF($W$3="Sim",TRUNC(ROUND(MAX(0,(Q198-p_CorrFixa)/(H198*W198*$W$6)),9),$W$4),TRUNC(ROUND(MAX(0,(Q198-p_CorrFixa)/(H198*W198*$W$6)),9)/$W$5)*$W$5)))</f>
        <v/>
      </c>
      <c r="AE198" s="85" t="str">
        <f>IF(A198="","",IF(N(AD198)&gt;0,AD198*H198*W198*$W$6+p_CorrFixa,0))</f>
        <v/>
      </c>
      <c r="AF198" s="85" t="str">
        <f>IF(A198="","",IF(OR($Y$1&lt;=0,N(H198)&lt;=0,N(W198)&lt;=0,N(AB198)&lt;=0),0,IF($W$3="Sim",TRUNC(ROUND(MAX(0,($Y$1-IF(N(AD198)&gt;0,0,p_CorrFixa))/(H198*W198*$W$6)),9),$W$4),TRUNC(ROUND(MAX(0,($Y$1-IF(N(AD198)&gt;0,0,p_CorrFixa))/(H198*W198*$W$6)),9)/$W$5)*$W$5)))</f>
        <v/>
      </c>
      <c r="AG198" s="85" t="str">
        <f>IF(A198="","",IF(AND(N(AD198)=0,N(AF198)*(H198*W198*$W$6)+p_CorrFixa&lt;p_CompraMin),0,AF198))</f>
        <v/>
      </c>
      <c r="AH198" s="85" t="str">
        <f>IF(A198="","",IF(N(AG198)&gt;0,AB198,0))</f>
        <v/>
      </c>
      <c r="AI198" s="85" t="str">
        <f>IF(A198="","",IF(AND(AH198&gt;0,AH198=$AH$6,COUNTIF($AH$9:AH198,AH198)=1),1,0))</f>
        <v/>
      </c>
    </row>
    <row r="199">
      <c r="A199" s="96" t="n"/>
      <c r="B199" s="96" t="n"/>
      <c r="C199" s="96" t="n"/>
      <c r="D199" s="97" t="n"/>
      <c r="E199" s="98" t="n"/>
      <c r="F199" s="99" t="n"/>
      <c r="G199" s="100" t="n"/>
      <c r="H199" s="101" t="str">
        <f>IF(A199="","",IF(AND(p_ModoCot="Automático",ISNUMBER(Z199)),Z199,IF(N(G199)&gt;0,G199,0)))</f>
        <v/>
      </c>
      <c r="I199" s="73" t="str">
        <f>IF(A199="","",IF(W199=0,"Sem câmbio",IF(AND(p_ModoCot="Automático",ISNUMBER(Z199)),"Auto",IF(N(G199)&gt;0,"Manual","Sem cotação"))))</f>
        <v/>
      </c>
      <c r="J199" s="102" t="str">
        <f>IF(A199="","",N(E199)*H199)</f>
        <v/>
      </c>
      <c r="K199" s="70" t="str">
        <f>IF(A199="","",J199*W199)</f>
        <v/>
      </c>
      <c r="L199" s="30" t="str">
        <f>IF(A199="","",IF($K$6&gt;0,K199/$K$6,0))</f>
        <v/>
      </c>
      <c r="M199" s="72" t="str">
        <f>IF(A199="","",N(F199)-L199)</f>
        <v/>
      </c>
      <c r="N199" s="30" t="str">
        <f>IF(A199="","",IF($AB$6&gt;0,AB199/$AB$6,0))</f>
        <v/>
      </c>
      <c r="O199" s="74" t="str">
        <f>IF(A199="","",IF(AB199&lt;=0,"",COUNTIF($AB$9:$AB$208,"&gt;"&amp;AB199)+COUNTIF($AB$9:AB199,AB199)))</f>
        <v/>
      </c>
      <c r="P199" s="73" t="str">
        <f>IF(A199="","",IF(Q199&gt;0,"BUY","HOLD"))</f>
        <v/>
      </c>
      <c r="Q199" s="70" t="str">
        <f>IF(A199="","",IF($W$7&lt;=0,0,IF($AC$6&gt;0,$W$7*AC199/$AC$6,IF($F$6&gt;0,$W$7*N(F199)/$F$6,0))))</f>
        <v/>
      </c>
      <c r="R199" s="103" t="str">
        <f>IF(A199="","",N(AD199)+IF(AI199=1,N(AG199),0))</f>
        <v/>
      </c>
      <c r="S199" s="103" t="str">
        <f>IF(A199="","",N(E199)+N(R199))</f>
        <v/>
      </c>
      <c r="T199" s="70" t="str">
        <f>IF(A199="","",IF(N(R199)&gt;0,R199*H199*W199*$W$6+p_CorrFixa,0))</f>
        <v/>
      </c>
      <c r="V199" s="85" t="str">
        <f>IF(A199="","",IF(D199="",$W$1,D199))</f>
        <v/>
      </c>
      <c r="W199" s="85" t="str">
        <f>IF(A199="","",IFERROR(INDEX(moeda_fx,MATCH(V199,moeda_cod,0)),0))</f>
        <v/>
      </c>
      <c r="X199" s="85" t="str">
        <f>IF(A199="","",IF($W$2="",UPPER(TRIM(A199)),IF(RIGHT(UPPER(TRIM(A199)),LEN($W$2))=$W$2,UPPER(TRIM(A199)),UPPER(TRIM(A199))&amp;$W$2)))</f>
        <v/>
      </c>
      <c r="Y199" s="85" t="str">
        <f>IF(OR(A199="",p_ModoCot&lt;&gt;"Automático"),"",IFERROR(_xlfn.WEBSERVICE("https://query1.finance.yahoo.com/v8/finance/chart/"&amp;X199&amp;"?range=1d&amp;interval=1d"),""))</f>
        <v/>
      </c>
      <c r="Z199" s="85" t="str">
        <f>IF(Y199="","",IFERROR(_xlfn.NUMBERVALUE(MID(Y199,SEARCH("""regularMarketPrice"":",Y199)+21,SEARCH(",",Y199&amp;",",SEARCH("""regularMarketPrice"":",Y199)+21)-SEARCH("""regularMarketPrice"":",Y199)-21),".",","),""))</f>
        <v/>
      </c>
      <c r="AA199" s="85" t="str">
        <f>IF(A199="","",ROUND(MAX(0,N(F199)*($K$6+$W$7)-K199),2))</f>
        <v/>
      </c>
      <c r="AB199" s="85" t="str">
        <f>IF(A199="","",IF(AND(M199&gt;0,M199&gt;=p_DifMin),AA199,0))</f>
        <v/>
      </c>
      <c r="AC199" s="85" t="str">
        <f>IF(A199="","",IF(AND(AB199&gt;0,N(O199)&lt;=p_MaxAtivos),AB199,0))</f>
        <v/>
      </c>
      <c r="AD199" s="85" t="str">
        <f>IF(A199="","",IF(OR(Q199&lt;=0,Q199&lt;p_CompraMin,N(H199)&lt;=0,N(W199)&lt;=0),0,IF($W$3="Sim",TRUNC(ROUND(MAX(0,(Q199-p_CorrFixa)/(H199*W199*$W$6)),9),$W$4),TRUNC(ROUND(MAX(0,(Q199-p_CorrFixa)/(H199*W199*$W$6)),9)/$W$5)*$W$5)))</f>
        <v/>
      </c>
      <c r="AE199" s="85" t="str">
        <f>IF(A199="","",IF(N(AD199)&gt;0,AD199*H199*W199*$W$6+p_CorrFixa,0))</f>
        <v/>
      </c>
      <c r="AF199" s="85" t="str">
        <f>IF(A199="","",IF(OR($Y$1&lt;=0,N(H199)&lt;=0,N(W199)&lt;=0,N(AB199)&lt;=0),0,IF($W$3="Sim",TRUNC(ROUND(MAX(0,($Y$1-IF(N(AD199)&gt;0,0,p_CorrFixa))/(H199*W199*$W$6)),9),$W$4),TRUNC(ROUND(MAX(0,($Y$1-IF(N(AD199)&gt;0,0,p_CorrFixa))/(H199*W199*$W$6)),9)/$W$5)*$W$5)))</f>
        <v/>
      </c>
      <c r="AG199" s="85" t="str">
        <f>IF(A199="","",IF(AND(N(AD199)=0,N(AF199)*(H199*W199*$W$6)+p_CorrFixa&lt;p_CompraMin),0,AF199))</f>
        <v/>
      </c>
      <c r="AH199" s="85" t="str">
        <f>IF(A199="","",IF(N(AG199)&gt;0,AB199,0))</f>
        <v/>
      </c>
      <c r="AI199" s="85" t="str">
        <f>IF(A199="","",IF(AND(AH199&gt;0,AH199=$AH$6,COUNTIF($AH$9:AH199,AH199)=1),1,0))</f>
        <v/>
      </c>
    </row>
    <row r="200">
      <c r="A200" s="96" t="n"/>
      <c r="B200" s="96" t="n"/>
      <c r="C200" s="96" t="n"/>
      <c r="D200" s="97" t="n"/>
      <c r="E200" s="98" t="n"/>
      <c r="F200" s="99" t="n"/>
      <c r="G200" s="100" t="n"/>
      <c r="H200" s="104" t="str">
        <f>IF(A200="","",IF(AND(p_ModoCot="Automático",ISNUMBER(Z200)),Z200,IF(N(G200)&gt;0,G200,0)))</f>
        <v/>
      </c>
      <c r="I200" s="105" t="str">
        <f>IF(A200="","",IF(W200=0,"Sem câmbio",IF(AND(p_ModoCot="Automático",ISNUMBER(Z200)),"Auto",IF(N(G200)&gt;0,"Manual","Sem cotação"))))</f>
        <v/>
      </c>
      <c r="J200" s="106" t="str">
        <f>IF(A200="","",N(E200)*H200)</f>
        <v/>
      </c>
      <c r="K200" s="107" t="str">
        <f>IF(A200="","",J200*W200)</f>
        <v/>
      </c>
      <c r="L200" s="108" t="str">
        <f>IF(A200="","",IF($K$6&gt;0,K200/$K$6,0))</f>
        <v/>
      </c>
      <c r="M200" s="109" t="str">
        <f>IF(A200="","",N(F200)-L200)</f>
        <v/>
      </c>
      <c r="N200" s="108" t="str">
        <f>IF(A200="","",IF($AB$6&gt;0,AB200/$AB$6,0))</f>
        <v/>
      </c>
      <c r="O200" s="110" t="str">
        <f>IF(A200="","",IF(AB200&lt;=0,"",COUNTIF($AB$9:$AB$208,"&gt;"&amp;AB200)+COUNTIF($AB$9:AB200,AB200)))</f>
        <v/>
      </c>
      <c r="P200" s="105" t="str">
        <f>IF(A200="","",IF(Q200&gt;0,"BUY","HOLD"))</f>
        <v/>
      </c>
      <c r="Q200" s="107" t="str">
        <f>IF(A200="","",IF($W$7&lt;=0,0,IF($AC$6&gt;0,$W$7*AC200/$AC$6,IF($F$6&gt;0,$W$7*N(F200)/$F$6,0))))</f>
        <v/>
      </c>
      <c r="R200" s="111" t="str">
        <f>IF(A200="","",N(AD200)+IF(AI200=1,N(AG200),0))</f>
        <v/>
      </c>
      <c r="S200" s="111" t="str">
        <f>IF(A200="","",N(E200)+N(R200))</f>
        <v/>
      </c>
      <c r="T200" s="107" t="str">
        <f>IF(A200="","",IF(N(R200)&gt;0,R200*H200*W200*$W$6+p_CorrFixa,0))</f>
        <v/>
      </c>
      <c r="V200" s="85" t="str">
        <f>IF(A200="","",IF(D200="",$W$1,D200))</f>
        <v/>
      </c>
      <c r="W200" s="85" t="str">
        <f>IF(A200="","",IFERROR(INDEX(moeda_fx,MATCH(V200,moeda_cod,0)),0))</f>
        <v/>
      </c>
      <c r="X200" s="85" t="str">
        <f>IF(A200="","",IF($W$2="",UPPER(TRIM(A200)),IF(RIGHT(UPPER(TRIM(A200)),LEN($W$2))=$W$2,UPPER(TRIM(A200)),UPPER(TRIM(A200))&amp;$W$2)))</f>
        <v/>
      </c>
      <c r="Y200" s="85" t="str">
        <f>IF(OR(A200="",p_ModoCot&lt;&gt;"Automático"),"",IFERROR(_xlfn.WEBSERVICE("https://query1.finance.yahoo.com/v8/finance/chart/"&amp;X200&amp;"?range=1d&amp;interval=1d"),""))</f>
        <v/>
      </c>
      <c r="Z200" s="85" t="str">
        <f>IF(Y200="","",IFERROR(_xlfn.NUMBERVALUE(MID(Y200,SEARCH("""regularMarketPrice"":",Y200)+21,SEARCH(",",Y200&amp;",",SEARCH("""regularMarketPrice"":",Y200)+21)-SEARCH("""regularMarketPrice"":",Y200)-21),".",","),""))</f>
        <v/>
      </c>
      <c r="AA200" s="85" t="str">
        <f>IF(A200="","",ROUND(MAX(0,N(F200)*($K$6+$W$7)-K200),2))</f>
        <v/>
      </c>
      <c r="AB200" s="85" t="str">
        <f>IF(A200="","",IF(AND(M200&gt;0,M200&gt;=p_DifMin),AA200,0))</f>
        <v/>
      </c>
      <c r="AC200" s="85" t="str">
        <f>IF(A200="","",IF(AND(AB200&gt;0,N(O200)&lt;=p_MaxAtivos),AB200,0))</f>
        <v/>
      </c>
      <c r="AD200" s="85" t="str">
        <f>IF(A200="","",IF(OR(Q200&lt;=0,Q200&lt;p_CompraMin,N(H200)&lt;=0,N(W200)&lt;=0),0,IF($W$3="Sim",TRUNC(ROUND(MAX(0,(Q200-p_CorrFixa)/(H200*W200*$W$6)),9),$W$4),TRUNC(ROUND(MAX(0,(Q200-p_CorrFixa)/(H200*W200*$W$6)),9)/$W$5)*$W$5)))</f>
        <v/>
      </c>
      <c r="AE200" s="85" t="str">
        <f>IF(A200="","",IF(N(AD200)&gt;0,AD200*H200*W200*$W$6+p_CorrFixa,0))</f>
        <v/>
      </c>
      <c r="AF200" s="85" t="str">
        <f>IF(A200="","",IF(OR($Y$1&lt;=0,N(H200)&lt;=0,N(W200)&lt;=0,N(AB200)&lt;=0),0,IF($W$3="Sim",TRUNC(ROUND(MAX(0,($Y$1-IF(N(AD200)&gt;0,0,p_CorrFixa))/(H200*W200*$W$6)),9),$W$4),TRUNC(ROUND(MAX(0,($Y$1-IF(N(AD200)&gt;0,0,p_CorrFixa))/(H200*W200*$W$6)),9)/$W$5)*$W$5)))</f>
        <v/>
      </c>
      <c r="AG200" s="85" t="str">
        <f>IF(A200="","",IF(AND(N(AD200)=0,N(AF200)*(H200*W200*$W$6)+p_CorrFixa&lt;p_CompraMin),0,AF200))</f>
        <v/>
      </c>
      <c r="AH200" s="85" t="str">
        <f>IF(A200="","",IF(N(AG200)&gt;0,AB200,0))</f>
        <v/>
      </c>
      <c r="AI200" s="85" t="str">
        <f>IF(A200="","",IF(AND(AH200&gt;0,AH200=$AH$6,COUNTIF($AH$9:AH200,AH200)=1),1,0))</f>
        <v/>
      </c>
    </row>
    <row r="201">
      <c r="A201" s="96" t="n"/>
      <c r="B201" s="96" t="n"/>
      <c r="C201" s="96" t="n"/>
      <c r="D201" s="97" t="n"/>
      <c r="E201" s="98" t="n"/>
      <c r="F201" s="99" t="n"/>
      <c r="G201" s="100" t="n"/>
      <c r="H201" s="101" t="str">
        <f>IF(A201="","",IF(AND(p_ModoCot="Automático",ISNUMBER(Z201)),Z201,IF(N(G201)&gt;0,G201,0)))</f>
        <v/>
      </c>
      <c r="I201" s="73" t="str">
        <f>IF(A201="","",IF(W201=0,"Sem câmbio",IF(AND(p_ModoCot="Automático",ISNUMBER(Z201)),"Auto",IF(N(G201)&gt;0,"Manual","Sem cotação"))))</f>
        <v/>
      </c>
      <c r="J201" s="102" t="str">
        <f>IF(A201="","",N(E201)*H201)</f>
        <v/>
      </c>
      <c r="K201" s="70" t="str">
        <f>IF(A201="","",J201*W201)</f>
        <v/>
      </c>
      <c r="L201" s="30" t="str">
        <f>IF(A201="","",IF($K$6&gt;0,K201/$K$6,0))</f>
        <v/>
      </c>
      <c r="M201" s="72" t="str">
        <f>IF(A201="","",N(F201)-L201)</f>
        <v/>
      </c>
      <c r="N201" s="30" t="str">
        <f>IF(A201="","",IF($AB$6&gt;0,AB201/$AB$6,0))</f>
        <v/>
      </c>
      <c r="O201" s="74" t="str">
        <f>IF(A201="","",IF(AB201&lt;=0,"",COUNTIF($AB$9:$AB$208,"&gt;"&amp;AB201)+COUNTIF($AB$9:AB201,AB201)))</f>
        <v/>
      </c>
      <c r="P201" s="73" t="str">
        <f>IF(A201="","",IF(Q201&gt;0,"BUY","HOLD"))</f>
        <v/>
      </c>
      <c r="Q201" s="70" t="str">
        <f>IF(A201="","",IF($W$7&lt;=0,0,IF($AC$6&gt;0,$W$7*AC201/$AC$6,IF($F$6&gt;0,$W$7*N(F201)/$F$6,0))))</f>
        <v/>
      </c>
      <c r="R201" s="103" t="str">
        <f>IF(A201="","",N(AD201)+IF(AI201=1,N(AG201),0))</f>
        <v/>
      </c>
      <c r="S201" s="103" t="str">
        <f>IF(A201="","",N(E201)+N(R201))</f>
        <v/>
      </c>
      <c r="T201" s="70" t="str">
        <f>IF(A201="","",IF(N(R201)&gt;0,R201*H201*W201*$W$6+p_CorrFixa,0))</f>
        <v/>
      </c>
      <c r="V201" s="85" t="str">
        <f>IF(A201="","",IF(D201="",$W$1,D201))</f>
        <v/>
      </c>
      <c r="W201" s="85" t="str">
        <f>IF(A201="","",IFERROR(INDEX(moeda_fx,MATCH(V201,moeda_cod,0)),0))</f>
        <v/>
      </c>
      <c r="X201" s="85" t="str">
        <f>IF(A201="","",IF($W$2="",UPPER(TRIM(A201)),IF(RIGHT(UPPER(TRIM(A201)),LEN($W$2))=$W$2,UPPER(TRIM(A201)),UPPER(TRIM(A201))&amp;$W$2)))</f>
        <v/>
      </c>
      <c r="Y201" s="85" t="str">
        <f>IF(OR(A201="",p_ModoCot&lt;&gt;"Automático"),"",IFERROR(_xlfn.WEBSERVICE("https://query1.finance.yahoo.com/v8/finance/chart/"&amp;X201&amp;"?range=1d&amp;interval=1d"),""))</f>
        <v/>
      </c>
      <c r="Z201" s="85" t="str">
        <f>IF(Y201="","",IFERROR(_xlfn.NUMBERVALUE(MID(Y201,SEARCH("""regularMarketPrice"":",Y201)+21,SEARCH(",",Y201&amp;",",SEARCH("""regularMarketPrice"":",Y201)+21)-SEARCH("""regularMarketPrice"":",Y201)-21),".",","),""))</f>
        <v/>
      </c>
      <c r="AA201" s="85" t="str">
        <f>IF(A201="","",ROUND(MAX(0,N(F201)*($K$6+$W$7)-K201),2))</f>
        <v/>
      </c>
      <c r="AB201" s="85" t="str">
        <f>IF(A201="","",IF(AND(M201&gt;0,M201&gt;=p_DifMin),AA201,0))</f>
        <v/>
      </c>
      <c r="AC201" s="85" t="str">
        <f>IF(A201="","",IF(AND(AB201&gt;0,N(O201)&lt;=p_MaxAtivos),AB201,0))</f>
        <v/>
      </c>
      <c r="AD201" s="85" t="str">
        <f>IF(A201="","",IF(OR(Q201&lt;=0,Q201&lt;p_CompraMin,N(H201)&lt;=0,N(W201)&lt;=0),0,IF($W$3="Sim",TRUNC(ROUND(MAX(0,(Q201-p_CorrFixa)/(H201*W201*$W$6)),9),$W$4),TRUNC(ROUND(MAX(0,(Q201-p_CorrFixa)/(H201*W201*$W$6)),9)/$W$5)*$W$5)))</f>
        <v/>
      </c>
      <c r="AE201" s="85" t="str">
        <f>IF(A201="","",IF(N(AD201)&gt;0,AD201*H201*W201*$W$6+p_CorrFixa,0))</f>
        <v/>
      </c>
      <c r="AF201" s="85" t="str">
        <f>IF(A201="","",IF(OR($Y$1&lt;=0,N(H201)&lt;=0,N(W201)&lt;=0,N(AB201)&lt;=0),0,IF($W$3="Sim",TRUNC(ROUND(MAX(0,($Y$1-IF(N(AD201)&gt;0,0,p_CorrFixa))/(H201*W201*$W$6)),9),$W$4),TRUNC(ROUND(MAX(0,($Y$1-IF(N(AD201)&gt;0,0,p_CorrFixa))/(H201*W201*$W$6)),9)/$W$5)*$W$5)))</f>
        <v/>
      </c>
      <c r="AG201" s="85" t="str">
        <f>IF(A201="","",IF(AND(N(AD201)=0,N(AF201)*(H201*W201*$W$6)+p_CorrFixa&lt;p_CompraMin),0,AF201))</f>
        <v/>
      </c>
      <c r="AH201" s="85" t="str">
        <f>IF(A201="","",IF(N(AG201)&gt;0,AB201,0))</f>
        <v/>
      </c>
      <c r="AI201" s="85" t="str">
        <f>IF(A201="","",IF(AND(AH201&gt;0,AH201=$AH$6,COUNTIF($AH$9:AH201,AH201)=1),1,0))</f>
        <v/>
      </c>
    </row>
    <row r="202">
      <c r="A202" s="96" t="n"/>
      <c r="B202" s="96" t="n"/>
      <c r="C202" s="96" t="n"/>
      <c r="D202" s="97" t="n"/>
      <c r="E202" s="98" t="n"/>
      <c r="F202" s="99" t="n"/>
      <c r="G202" s="100" t="n"/>
      <c r="H202" s="104" t="str">
        <f>IF(A202="","",IF(AND(p_ModoCot="Automático",ISNUMBER(Z202)),Z202,IF(N(G202)&gt;0,G202,0)))</f>
        <v/>
      </c>
      <c r="I202" s="105" t="str">
        <f>IF(A202="","",IF(W202=0,"Sem câmbio",IF(AND(p_ModoCot="Automático",ISNUMBER(Z202)),"Auto",IF(N(G202)&gt;0,"Manual","Sem cotação"))))</f>
        <v/>
      </c>
      <c r="J202" s="106" t="str">
        <f>IF(A202="","",N(E202)*H202)</f>
        <v/>
      </c>
      <c r="K202" s="107" t="str">
        <f>IF(A202="","",J202*W202)</f>
        <v/>
      </c>
      <c r="L202" s="108" t="str">
        <f>IF(A202="","",IF($K$6&gt;0,K202/$K$6,0))</f>
        <v/>
      </c>
      <c r="M202" s="109" t="str">
        <f>IF(A202="","",N(F202)-L202)</f>
        <v/>
      </c>
      <c r="N202" s="108" t="str">
        <f>IF(A202="","",IF($AB$6&gt;0,AB202/$AB$6,0))</f>
        <v/>
      </c>
      <c r="O202" s="110" t="str">
        <f>IF(A202="","",IF(AB202&lt;=0,"",COUNTIF($AB$9:$AB$208,"&gt;"&amp;AB202)+COUNTIF($AB$9:AB202,AB202)))</f>
        <v/>
      </c>
      <c r="P202" s="105" t="str">
        <f>IF(A202="","",IF(Q202&gt;0,"BUY","HOLD"))</f>
        <v/>
      </c>
      <c r="Q202" s="107" t="str">
        <f>IF(A202="","",IF($W$7&lt;=0,0,IF($AC$6&gt;0,$W$7*AC202/$AC$6,IF($F$6&gt;0,$W$7*N(F202)/$F$6,0))))</f>
        <v/>
      </c>
      <c r="R202" s="111" t="str">
        <f>IF(A202="","",N(AD202)+IF(AI202=1,N(AG202),0))</f>
        <v/>
      </c>
      <c r="S202" s="111" t="str">
        <f>IF(A202="","",N(E202)+N(R202))</f>
        <v/>
      </c>
      <c r="T202" s="107" t="str">
        <f>IF(A202="","",IF(N(R202)&gt;0,R202*H202*W202*$W$6+p_CorrFixa,0))</f>
        <v/>
      </c>
      <c r="V202" s="85" t="str">
        <f>IF(A202="","",IF(D202="",$W$1,D202))</f>
        <v/>
      </c>
      <c r="W202" s="85" t="str">
        <f>IF(A202="","",IFERROR(INDEX(moeda_fx,MATCH(V202,moeda_cod,0)),0))</f>
        <v/>
      </c>
      <c r="X202" s="85" t="str">
        <f>IF(A202="","",IF($W$2="",UPPER(TRIM(A202)),IF(RIGHT(UPPER(TRIM(A202)),LEN($W$2))=$W$2,UPPER(TRIM(A202)),UPPER(TRIM(A202))&amp;$W$2)))</f>
        <v/>
      </c>
      <c r="Y202" s="85" t="str">
        <f>IF(OR(A202="",p_ModoCot&lt;&gt;"Automático"),"",IFERROR(_xlfn.WEBSERVICE("https://query1.finance.yahoo.com/v8/finance/chart/"&amp;X202&amp;"?range=1d&amp;interval=1d"),""))</f>
        <v/>
      </c>
      <c r="Z202" s="85" t="str">
        <f>IF(Y202="","",IFERROR(_xlfn.NUMBERVALUE(MID(Y202,SEARCH("""regularMarketPrice"":",Y202)+21,SEARCH(",",Y202&amp;",",SEARCH("""regularMarketPrice"":",Y202)+21)-SEARCH("""regularMarketPrice"":",Y202)-21),".",","),""))</f>
        <v/>
      </c>
      <c r="AA202" s="85" t="str">
        <f>IF(A202="","",ROUND(MAX(0,N(F202)*($K$6+$W$7)-K202),2))</f>
        <v/>
      </c>
      <c r="AB202" s="85" t="str">
        <f>IF(A202="","",IF(AND(M202&gt;0,M202&gt;=p_DifMin),AA202,0))</f>
        <v/>
      </c>
      <c r="AC202" s="85" t="str">
        <f>IF(A202="","",IF(AND(AB202&gt;0,N(O202)&lt;=p_MaxAtivos),AB202,0))</f>
        <v/>
      </c>
      <c r="AD202" s="85" t="str">
        <f>IF(A202="","",IF(OR(Q202&lt;=0,Q202&lt;p_CompraMin,N(H202)&lt;=0,N(W202)&lt;=0),0,IF($W$3="Sim",TRUNC(ROUND(MAX(0,(Q202-p_CorrFixa)/(H202*W202*$W$6)),9),$W$4),TRUNC(ROUND(MAX(0,(Q202-p_CorrFixa)/(H202*W202*$W$6)),9)/$W$5)*$W$5)))</f>
        <v/>
      </c>
      <c r="AE202" s="85" t="str">
        <f>IF(A202="","",IF(N(AD202)&gt;0,AD202*H202*W202*$W$6+p_CorrFixa,0))</f>
        <v/>
      </c>
      <c r="AF202" s="85" t="str">
        <f>IF(A202="","",IF(OR($Y$1&lt;=0,N(H202)&lt;=0,N(W202)&lt;=0,N(AB202)&lt;=0),0,IF($W$3="Sim",TRUNC(ROUND(MAX(0,($Y$1-IF(N(AD202)&gt;0,0,p_CorrFixa))/(H202*W202*$W$6)),9),$W$4),TRUNC(ROUND(MAX(0,($Y$1-IF(N(AD202)&gt;0,0,p_CorrFixa))/(H202*W202*$W$6)),9)/$W$5)*$W$5)))</f>
        <v/>
      </c>
      <c r="AG202" s="85" t="str">
        <f>IF(A202="","",IF(AND(N(AD202)=0,N(AF202)*(H202*W202*$W$6)+p_CorrFixa&lt;p_CompraMin),0,AF202))</f>
        <v/>
      </c>
      <c r="AH202" s="85" t="str">
        <f>IF(A202="","",IF(N(AG202)&gt;0,AB202,0))</f>
        <v/>
      </c>
      <c r="AI202" s="85" t="str">
        <f>IF(A202="","",IF(AND(AH202&gt;0,AH202=$AH$6,COUNTIF($AH$9:AH202,AH202)=1),1,0))</f>
        <v/>
      </c>
    </row>
    <row r="203">
      <c r="A203" s="96" t="n"/>
      <c r="B203" s="96" t="n"/>
      <c r="C203" s="96" t="n"/>
      <c r="D203" s="97" t="n"/>
      <c r="E203" s="98" t="n"/>
      <c r="F203" s="99" t="n"/>
      <c r="G203" s="100" t="n"/>
      <c r="H203" s="101" t="str">
        <f>IF(A203="","",IF(AND(p_ModoCot="Automático",ISNUMBER(Z203)),Z203,IF(N(G203)&gt;0,G203,0)))</f>
        <v/>
      </c>
      <c r="I203" s="73" t="str">
        <f>IF(A203="","",IF(W203=0,"Sem câmbio",IF(AND(p_ModoCot="Automático",ISNUMBER(Z203)),"Auto",IF(N(G203)&gt;0,"Manual","Sem cotação"))))</f>
        <v/>
      </c>
      <c r="J203" s="102" t="str">
        <f>IF(A203="","",N(E203)*H203)</f>
        <v/>
      </c>
      <c r="K203" s="70" t="str">
        <f>IF(A203="","",J203*W203)</f>
        <v/>
      </c>
      <c r="L203" s="30" t="str">
        <f>IF(A203="","",IF($K$6&gt;0,K203/$K$6,0))</f>
        <v/>
      </c>
      <c r="M203" s="72" t="str">
        <f>IF(A203="","",N(F203)-L203)</f>
        <v/>
      </c>
      <c r="N203" s="30" t="str">
        <f>IF(A203="","",IF($AB$6&gt;0,AB203/$AB$6,0))</f>
        <v/>
      </c>
      <c r="O203" s="74" t="str">
        <f>IF(A203="","",IF(AB203&lt;=0,"",COUNTIF($AB$9:$AB$208,"&gt;"&amp;AB203)+COUNTIF($AB$9:AB203,AB203)))</f>
        <v/>
      </c>
      <c r="P203" s="73" t="str">
        <f>IF(A203="","",IF(Q203&gt;0,"BUY","HOLD"))</f>
        <v/>
      </c>
      <c r="Q203" s="70" t="str">
        <f>IF(A203="","",IF($W$7&lt;=0,0,IF($AC$6&gt;0,$W$7*AC203/$AC$6,IF($F$6&gt;0,$W$7*N(F203)/$F$6,0))))</f>
        <v/>
      </c>
      <c r="R203" s="103" t="str">
        <f>IF(A203="","",N(AD203)+IF(AI203=1,N(AG203),0))</f>
        <v/>
      </c>
      <c r="S203" s="103" t="str">
        <f>IF(A203="","",N(E203)+N(R203))</f>
        <v/>
      </c>
      <c r="T203" s="70" t="str">
        <f>IF(A203="","",IF(N(R203)&gt;0,R203*H203*W203*$W$6+p_CorrFixa,0))</f>
        <v/>
      </c>
      <c r="V203" s="85" t="str">
        <f>IF(A203="","",IF(D203="",$W$1,D203))</f>
        <v/>
      </c>
      <c r="W203" s="85" t="str">
        <f>IF(A203="","",IFERROR(INDEX(moeda_fx,MATCH(V203,moeda_cod,0)),0))</f>
        <v/>
      </c>
      <c r="X203" s="85" t="str">
        <f>IF(A203="","",IF($W$2="",UPPER(TRIM(A203)),IF(RIGHT(UPPER(TRIM(A203)),LEN($W$2))=$W$2,UPPER(TRIM(A203)),UPPER(TRIM(A203))&amp;$W$2)))</f>
        <v/>
      </c>
      <c r="Y203" s="85" t="str">
        <f>IF(OR(A203="",p_ModoCot&lt;&gt;"Automático"),"",IFERROR(_xlfn.WEBSERVICE("https://query1.finance.yahoo.com/v8/finance/chart/"&amp;X203&amp;"?range=1d&amp;interval=1d"),""))</f>
        <v/>
      </c>
      <c r="Z203" s="85" t="str">
        <f>IF(Y203="","",IFERROR(_xlfn.NUMBERVALUE(MID(Y203,SEARCH("""regularMarketPrice"":",Y203)+21,SEARCH(",",Y203&amp;",",SEARCH("""regularMarketPrice"":",Y203)+21)-SEARCH("""regularMarketPrice"":",Y203)-21),".",","),""))</f>
        <v/>
      </c>
      <c r="AA203" s="85" t="str">
        <f>IF(A203="","",ROUND(MAX(0,N(F203)*($K$6+$W$7)-K203),2))</f>
        <v/>
      </c>
      <c r="AB203" s="85" t="str">
        <f>IF(A203="","",IF(AND(M203&gt;0,M203&gt;=p_DifMin),AA203,0))</f>
        <v/>
      </c>
      <c r="AC203" s="85" t="str">
        <f>IF(A203="","",IF(AND(AB203&gt;0,N(O203)&lt;=p_MaxAtivos),AB203,0))</f>
        <v/>
      </c>
      <c r="AD203" s="85" t="str">
        <f>IF(A203="","",IF(OR(Q203&lt;=0,Q203&lt;p_CompraMin,N(H203)&lt;=0,N(W203)&lt;=0),0,IF($W$3="Sim",TRUNC(ROUND(MAX(0,(Q203-p_CorrFixa)/(H203*W203*$W$6)),9),$W$4),TRUNC(ROUND(MAX(0,(Q203-p_CorrFixa)/(H203*W203*$W$6)),9)/$W$5)*$W$5)))</f>
        <v/>
      </c>
      <c r="AE203" s="85" t="str">
        <f>IF(A203="","",IF(N(AD203)&gt;0,AD203*H203*W203*$W$6+p_CorrFixa,0))</f>
        <v/>
      </c>
      <c r="AF203" s="85" t="str">
        <f>IF(A203="","",IF(OR($Y$1&lt;=0,N(H203)&lt;=0,N(W203)&lt;=0,N(AB203)&lt;=0),0,IF($W$3="Sim",TRUNC(ROUND(MAX(0,($Y$1-IF(N(AD203)&gt;0,0,p_CorrFixa))/(H203*W203*$W$6)),9),$W$4),TRUNC(ROUND(MAX(0,($Y$1-IF(N(AD203)&gt;0,0,p_CorrFixa))/(H203*W203*$W$6)),9)/$W$5)*$W$5)))</f>
        <v/>
      </c>
      <c r="AG203" s="85" t="str">
        <f>IF(A203="","",IF(AND(N(AD203)=0,N(AF203)*(H203*W203*$W$6)+p_CorrFixa&lt;p_CompraMin),0,AF203))</f>
        <v/>
      </c>
      <c r="AH203" s="85" t="str">
        <f>IF(A203="","",IF(N(AG203)&gt;0,AB203,0))</f>
        <v/>
      </c>
      <c r="AI203" s="85" t="str">
        <f>IF(A203="","",IF(AND(AH203&gt;0,AH203=$AH$6,COUNTIF($AH$9:AH203,AH203)=1),1,0))</f>
        <v/>
      </c>
    </row>
    <row r="204">
      <c r="A204" s="96" t="n"/>
      <c r="B204" s="96" t="n"/>
      <c r="C204" s="96" t="n"/>
      <c r="D204" s="97" t="n"/>
      <c r="E204" s="98" t="n"/>
      <c r="F204" s="99" t="n"/>
      <c r="G204" s="100" t="n"/>
      <c r="H204" s="104" t="str">
        <f>IF(A204="","",IF(AND(p_ModoCot="Automático",ISNUMBER(Z204)),Z204,IF(N(G204)&gt;0,G204,0)))</f>
        <v/>
      </c>
      <c r="I204" s="105" t="str">
        <f>IF(A204="","",IF(W204=0,"Sem câmbio",IF(AND(p_ModoCot="Automático",ISNUMBER(Z204)),"Auto",IF(N(G204)&gt;0,"Manual","Sem cotação"))))</f>
        <v/>
      </c>
      <c r="J204" s="106" t="str">
        <f>IF(A204="","",N(E204)*H204)</f>
        <v/>
      </c>
      <c r="K204" s="107" t="str">
        <f>IF(A204="","",J204*W204)</f>
        <v/>
      </c>
      <c r="L204" s="108" t="str">
        <f>IF(A204="","",IF($K$6&gt;0,K204/$K$6,0))</f>
        <v/>
      </c>
      <c r="M204" s="109" t="str">
        <f>IF(A204="","",N(F204)-L204)</f>
        <v/>
      </c>
      <c r="N204" s="108" t="str">
        <f>IF(A204="","",IF($AB$6&gt;0,AB204/$AB$6,0))</f>
        <v/>
      </c>
      <c r="O204" s="110" t="str">
        <f>IF(A204="","",IF(AB204&lt;=0,"",COUNTIF($AB$9:$AB$208,"&gt;"&amp;AB204)+COUNTIF($AB$9:AB204,AB204)))</f>
        <v/>
      </c>
      <c r="P204" s="105" t="str">
        <f>IF(A204="","",IF(Q204&gt;0,"BUY","HOLD"))</f>
        <v/>
      </c>
      <c r="Q204" s="107" t="str">
        <f>IF(A204="","",IF($W$7&lt;=0,0,IF($AC$6&gt;0,$W$7*AC204/$AC$6,IF($F$6&gt;0,$W$7*N(F204)/$F$6,0))))</f>
        <v/>
      </c>
      <c r="R204" s="111" t="str">
        <f>IF(A204="","",N(AD204)+IF(AI204=1,N(AG204),0))</f>
        <v/>
      </c>
      <c r="S204" s="111" t="str">
        <f>IF(A204="","",N(E204)+N(R204))</f>
        <v/>
      </c>
      <c r="T204" s="107" t="str">
        <f>IF(A204="","",IF(N(R204)&gt;0,R204*H204*W204*$W$6+p_CorrFixa,0))</f>
        <v/>
      </c>
      <c r="V204" s="85" t="str">
        <f>IF(A204="","",IF(D204="",$W$1,D204))</f>
        <v/>
      </c>
      <c r="W204" s="85" t="str">
        <f>IF(A204="","",IFERROR(INDEX(moeda_fx,MATCH(V204,moeda_cod,0)),0))</f>
        <v/>
      </c>
      <c r="X204" s="85" t="str">
        <f>IF(A204="","",IF($W$2="",UPPER(TRIM(A204)),IF(RIGHT(UPPER(TRIM(A204)),LEN($W$2))=$W$2,UPPER(TRIM(A204)),UPPER(TRIM(A204))&amp;$W$2)))</f>
        <v/>
      </c>
      <c r="Y204" s="85" t="str">
        <f>IF(OR(A204="",p_ModoCot&lt;&gt;"Automático"),"",IFERROR(_xlfn.WEBSERVICE("https://query1.finance.yahoo.com/v8/finance/chart/"&amp;X204&amp;"?range=1d&amp;interval=1d"),""))</f>
        <v/>
      </c>
      <c r="Z204" s="85" t="str">
        <f>IF(Y204="","",IFERROR(_xlfn.NUMBERVALUE(MID(Y204,SEARCH("""regularMarketPrice"":",Y204)+21,SEARCH(",",Y204&amp;",",SEARCH("""regularMarketPrice"":",Y204)+21)-SEARCH("""regularMarketPrice"":",Y204)-21),".",","),""))</f>
        <v/>
      </c>
      <c r="AA204" s="85" t="str">
        <f>IF(A204="","",ROUND(MAX(0,N(F204)*($K$6+$W$7)-K204),2))</f>
        <v/>
      </c>
      <c r="AB204" s="85" t="str">
        <f>IF(A204="","",IF(AND(M204&gt;0,M204&gt;=p_DifMin),AA204,0))</f>
        <v/>
      </c>
      <c r="AC204" s="85" t="str">
        <f>IF(A204="","",IF(AND(AB204&gt;0,N(O204)&lt;=p_MaxAtivos),AB204,0))</f>
        <v/>
      </c>
      <c r="AD204" s="85" t="str">
        <f>IF(A204="","",IF(OR(Q204&lt;=0,Q204&lt;p_CompraMin,N(H204)&lt;=0,N(W204)&lt;=0),0,IF($W$3="Sim",TRUNC(ROUND(MAX(0,(Q204-p_CorrFixa)/(H204*W204*$W$6)),9),$W$4),TRUNC(ROUND(MAX(0,(Q204-p_CorrFixa)/(H204*W204*$W$6)),9)/$W$5)*$W$5)))</f>
        <v/>
      </c>
      <c r="AE204" s="85" t="str">
        <f>IF(A204="","",IF(N(AD204)&gt;0,AD204*H204*W204*$W$6+p_CorrFixa,0))</f>
        <v/>
      </c>
      <c r="AF204" s="85" t="str">
        <f>IF(A204="","",IF(OR($Y$1&lt;=0,N(H204)&lt;=0,N(W204)&lt;=0,N(AB204)&lt;=0),0,IF($W$3="Sim",TRUNC(ROUND(MAX(0,($Y$1-IF(N(AD204)&gt;0,0,p_CorrFixa))/(H204*W204*$W$6)),9),$W$4),TRUNC(ROUND(MAX(0,($Y$1-IF(N(AD204)&gt;0,0,p_CorrFixa))/(H204*W204*$W$6)),9)/$W$5)*$W$5)))</f>
        <v/>
      </c>
      <c r="AG204" s="85" t="str">
        <f>IF(A204="","",IF(AND(N(AD204)=0,N(AF204)*(H204*W204*$W$6)+p_CorrFixa&lt;p_CompraMin),0,AF204))</f>
        <v/>
      </c>
      <c r="AH204" s="85" t="str">
        <f>IF(A204="","",IF(N(AG204)&gt;0,AB204,0))</f>
        <v/>
      </c>
      <c r="AI204" s="85" t="str">
        <f>IF(A204="","",IF(AND(AH204&gt;0,AH204=$AH$6,COUNTIF($AH$9:AH204,AH204)=1),1,0))</f>
        <v/>
      </c>
    </row>
    <row r="205">
      <c r="A205" s="96" t="n"/>
      <c r="B205" s="96" t="n"/>
      <c r="C205" s="96" t="n"/>
      <c r="D205" s="97" t="n"/>
      <c r="E205" s="98" t="n"/>
      <c r="F205" s="99" t="n"/>
      <c r="G205" s="100" t="n"/>
      <c r="H205" s="101" t="str">
        <f>IF(A205="","",IF(AND(p_ModoCot="Automático",ISNUMBER(Z205)),Z205,IF(N(G205)&gt;0,G205,0)))</f>
        <v/>
      </c>
      <c r="I205" s="73" t="str">
        <f>IF(A205="","",IF(W205=0,"Sem câmbio",IF(AND(p_ModoCot="Automático",ISNUMBER(Z205)),"Auto",IF(N(G205)&gt;0,"Manual","Sem cotação"))))</f>
        <v/>
      </c>
      <c r="J205" s="102" t="str">
        <f>IF(A205="","",N(E205)*H205)</f>
        <v/>
      </c>
      <c r="K205" s="70" t="str">
        <f>IF(A205="","",J205*W205)</f>
        <v/>
      </c>
      <c r="L205" s="30" t="str">
        <f>IF(A205="","",IF($K$6&gt;0,K205/$K$6,0))</f>
        <v/>
      </c>
      <c r="M205" s="72" t="str">
        <f>IF(A205="","",N(F205)-L205)</f>
        <v/>
      </c>
      <c r="N205" s="30" t="str">
        <f>IF(A205="","",IF($AB$6&gt;0,AB205/$AB$6,0))</f>
        <v/>
      </c>
      <c r="O205" s="74" t="str">
        <f>IF(A205="","",IF(AB205&lt;=0,"",COUNTIF($AB$9:$AB$208,"&gt;"&amp;AB205)+COUNTIF($AB$9:AB205,AB205)))</f>
        <v/>
      </c>
      <c r="P205" s="73" t="str">
        <f>IF(A205="","",IF(Q205&gt;0,"BUY","HOLD"))</f>
        <v/>
      </c>
      <c r="Q205" s="70" t="str">
        <f>IF(A205="","",IF($W$7&lt;=0,0,IF($AC$6&gt;0,$W$7*AC205/$AC$6,IF($F$6&gt;0,$W$7*N(F205)/$F$6,0))))</f>
        <v/>
      </c>
      <c r="R205" s="103" t="str">
        <f>IF(A205="","",N(AD205)+IF(AI205=1,N(AG205),0))</f>
        <v/>
      </c>
      <c r="S205" s="103" t="str">
        <f>IF(A205="","",N(E205)+N(R205))</f>
        <v/>
      </c>
      <c r="T205" s="70" t="str">
        <f>IF(A205="","",IF(N(R205)&gt;0,R205*H205*W205*$W$6+p_CorrFixa,0))</f>
        <v/>
      </c>
      <c r="V205" s="85" t="str">
        <f>IF(A205="","",IF(D205="",$W$1,D205))</f>
        <v/>
      </c>
      <c r="W205" s="85" t="str">
        <f>IF(A205="","",IFERROR(INDEX(moeda_fx,MATCH(V205,moeda_cod,0)),0))</f>
        <v/>
      </c>
      <c r="X205" s="85" t="str">
        <f>IF(A205="","",IF($W$2="",UPPER(TRIM(A205)),IF(RIGHT(UPPER(TRIM(A205)),LEN($W$2))=$W$2,UPPER(TRIM(A205)),UPPER(TRIM(A205))&amp;$W$2)))</f>
        <v/>
      </c>
      <c r="Y205" s="85" t="str">
        <f>IF(OR(A205="",p_ModoCot&lt;&gt;"Automático"),"",IFERROR(_xlfn.WEBSERVICE("https://query1.finance.yahoo.com/v8/finance/chart/"&amp;X205&amp;"?range=1d&amp;interval=1d"),""))</f>
        <v/>
      </c>
      <c r="Z205" s="85" t="str">
        <f>IF(Y205="","",IFERROR(_xlfn.NUMBERVALUE(MID(Y205,SEARCH("""regularMarketPrice"":",Y205)+21,SEARCH(",",Y205&amp;",",SEARCH("""regularMarketPrice"":",Y205)+21)-SEARCH("""regularMarketPrice"":",Y205)-21),".",","),""))</f>
        <v/>
      </c>
      <c r="AA205" s="85" t="str">
        <f>IF(A205="","",ROUND(MAX(0,N(F205)*($K$6+$W$7)-K205),2))</f>
        <v/>
      </c>
      <c r="AB205" s="85" t="str">
        <f>IF(A205="","",IF(AND(M205&gt;0,M205&gt;=p_DifMin),AA205,0))</f>
        <v/>
      </c>
      <c r="AC205" s="85" t="str">
        <f>IF(A205="","",IF(AND(AB205&gt;0,N(O205)&lt;=p_MaxAtivos),AB205,0))</f>
        <v/>
      </c>
      <c r="AD205" s="85" t="str">
        <f>IF(A205="","",IF(OR(Q205&lt;=0,Q205&lt;p_CompraMin,N(H205)&lt;=0,N(W205)&lt;=0),0,IF($W$3="Sim",TRUNC(ROUND(MAX(0,(Q205-p_CorrFixa)/(H205*W205*$W$6)),9),$W$4),TRUNC(ROUND(MAX(0,(Q205-p_CorrFixa)/(H205*W205*$W$6)),9)/$W$5)*$W$5)))</f>
        <v/>
      </c>
      <c r="AE205" s="85" t="str">
        <f>IF(A205="","",IF(N(AD205)&gt;0,AD205*H205*W205*$W$6+p_CorrFixa,0))</f>
        <v/>
      </c>
      <c r="AF205" s="85" t="str">
        <f>IF(A205="","",IF(OR($Y$1&lt;=0,N(H205)&lt;=0,N(W205)&lt;=0,N(AB205)&lt;=0),0,IF($W$3="Sim",TRUNC(ROUND(MAX(0,($Y$1-IF(N(AD205)&gt;0,0,p_CorrFixa))/(H205*W205*$W$6)),9),$W$4),TRUNC(ROUND(MAX(0,($Y$1-IF(N(AD205)&gt;0,0,p_CorrFixa))/(H205*W205*$W$6)),9)/$W$5)*$W$5)))</f>
        <v/>
      </c>
      <c r="AG205" s="85" t="str">
        <f>IF(A205="","",IF(AND(N(AD205)=0,N(AF205)*(H205*W205*$W$6)+p_CorrFixa&lt;p_CompraMin),0,AF205))</f>
        <v/>
      </c>
      <c r="AH205" s="85" t="str">
        <f>IF(A205="","",IF(N(AG205)&gt;0,AB205,0))</f>
        <v/>
      </c>
      <c r="AI205" s="85" t="str">
        <f>IF(A205="","",IF(AND(AH205&gt;0,AH205=$AH$6,COUNTIF($AH$9:AH205,AH205)=1),1,0))</f>
        <v/>
      </c>
    </row>
    <row r="206">
      <c r="A206" s="96" t="n"/>
      <c r="B206" s="96" t="n"/>
      <c r="C206" s="96" t="n"/>
      <c r="D206" s="97" t="n"/>
      <c r="E206" s="98" t="n"/>
      <c r="F206" s="99" t="n"/>
      <c r="G206" s="100" t="n"/>
      <c r="H206" s="104" t="str">
        <f>IF(A206="","",IF(AND(p_ModoCot="Automático",ISNUMBER(Z206)),Z206,IF(N(G206)&gt;0,G206,0)))</f>
        <v/>
      </c>
      <c r="I206" s="105" t="str">
        <f>IF(A206="","",IF(W206=0,"Sem câmbio",IF(AND(p_ModoCot="Automático",ISNUMBER(Z206)),"Auto",IF(N(G206)&gt;0,"Manual","Sem cotação"))))</f>
        <v/>
      </c>
      <c r="J206" s="106" t="str">
        <f>IF(A206="","",N(E206)*H206)</f>
        <v/>
      </c>
      <c r="K206" s="107" t="str">
        <f>IF(A206="","",J206*W206)</f>
        <v/>
      </c>
      <c r="L206" s="108" t="str">
        <f>IF(A206="","",IF($K$6&gt;0,K206/$K$6,0))</f>
        <v/>
      </c>
      <c r="M206" s="109" t="str">
        <f>IF(A206="","",N(F206)-L206)</f>
        <v/>
      </c>
      <c r="N206" s="108" t="str">
        <f>IF(A206="","",IF($AB$6&gt;0,AB206/$AB$6,0))</f>
        <v/>
      </c>
      <c r="O206" s="110" t="str">
        <f>IF(A206="","",IF(AB206&lt;=0,"",COUNTIF($AB$9:$AB$208,"&gt;"&amp;AB206)+COUNTIF($AB$9:AB206,AB206)))</f>
        <v/>
      </c>
      <c r="P206" s="105" t="str">
        <f>IF(A206="","",IF(Q206&gt;0,"BUY","HOLD"))</f>
        <v/>
      </c>
      <c r="Q206" s="107" t="str">
        <f>IF(A206="","",IF($W$7&lt;=0,0,IF($AC$6&gt;0,$W$7*AC206/$AC$6,IF($F$6&gt;0,$W$7*N(F206)/$F$6,0))))</f>
        <v/>
      </c>
      <c r="R206" s="111" t="str">
        <f>IF(A206="","",N(AD206)+IF(AI206=1,N(AG206),0))</f>
        <v/>
      </c>
      <c r="S206" s="111" t="str">
        <f>IF(A206="","",N(E206)+N(R206))</f>
        <v/>
      </c>
      <c r="T206" s="107" t="str">
        <f>IF(A206="","",IF(N(R206)&gt;0,R206*H206*W206*$W$6+p_CorrFixa,0))</f>
        <v/>
      </c>
      <c r="V206" s="85" t="str">
        <f>IF(A206="","",IF(D206="",$W$1,D206))</f>
        <v/>
      </c>
      <c r="W206" s="85" t="str">
        <f>IF(A206="","",IFERROR(INDEX(moeda_fx,MATCH(V206,moeda_cod,0)),0))</f>
        <v/>
      </c>
      <c r="X206" s="85" t="str">
        <f>IF(A206="","",IF($W$2="",UPPER(TRIM(A206)),IF(RIGHT(UPPER(TRIM(A206)),LEN($W$2))=$W$2,UPPER(TRIM(A206)),UPPER(TRIM(A206))&amp;$W$2)))</f>
        <v/>
      </c>
      <c r="Y206" s="85" t="str">
        <f>IF(OR(A206="",p_ModoCot&lt;&gt;"Automático"),"",IFERROR(_xlfn.WEBSERVICE("https://query1.finance.yahoo.com/v8/finance/chart/"&amp;X206&amp;"?range=1d&amp;interval=1d"),""))</f>
        <v/>
      </c>
      <c r="Z206" s="85" t="str">
        <f>IF(Y206="","",IFERROR(_xlfn.NUMBERVALUE(MID(Y206,SEARCH("""regularMarketPrice"":",Y206)+21,SEARCH(",",Y206&amp;",",SEARCH("""regularMarketPrice"":",Y206)+21)-SEARCH("""regularMarketPrice"":",Y206)-21),".",","),""))</f>
        <v/>
      </c>
      <c r="AA206" s="85" t="str">
        <f>IF(A206="","",ROUND(MAX(0,N(F206)*($K$6+$W$7)-K206),2))</f>
        <v/>
      </c>
      <c r="AB206" s="85" t="str">
        <f>IF(A206="","",IF(AND(M206&gt;0,M206&gt;=p_DifMin),AA206,0))</f>
        <v/>
      </c>
      <c r="AC206" s="85" t="str">
        <f>IF(A206="","",IF(AND(AB206&gt;0,N(O206)&lt;=p_MaxAtivos),AB206,0))</f>
        <v/>
      </c>
      <c r="AD206" s="85" t="str">
        <f>IF(A206="","",IF(OR(Q206&lt;=0,Q206&lt;p_CompraMin,N(H206)&lt;=0,N(W206)&lt;=0),0,IF($W$3="Sim",TRUNC(ROUND(MAX(0,(Q206-p_CorrFixa)/(H206*W206*$W$6)),9),$W$4),TRUNC(ROUND(MAX(0,(Q206-p_CorrFixa)/(H206*W206*$W$6)),9)/$W$5)*$W$5)))</f>
        <v/>
      </c>
      <c r="AE206" s="85" t="str">
        <f>IF(A206="","",IF(N(AD206)&gt;0,AD206*H206*W206*$W$6+p_CorrFixa,0))</f>
        <v/>
      </c>
      <c r="AF206" s="85" t="str">
        <f>IF(A206="","",IF(OR($Y$1&lt;=0,N(H206)&lt;=0,N(W206)&lt;=0,N(AB206)&lt;=0),0,IF($W$3="Sim",TRUNC(ROUND(MAX(0,($Y$1-IF(N(AD206)&gt;0,0,p_CorrFixa))/(H206*W206*$W$6)),9),$W$4),TRUNC(ROUND(MAX(0,($Y$1-IF(N(AD206)&gt;0,0,p_CorrFixa))/(H206*W206*$W$6)),9)/$W$5)*$W$5)))</f>
        <v/>
      </c>
      <c r="AG206" s="85" t="str">
        <f>IF(A206="","",IF(AND(N(AD206)=0,N(AF206)*(H206*W206*$W$6)+p_CorrFixa&lt;p_CompraMin),0,AF206))</f>
        <v/>
      </c>
      <c r="AH206" s="85" t="str">
        <f>IF(A206="","",IF(N(AG206)&gt;0,AB206,0))</f>
        <v/>
      </c>
      <c r="AI206" s="85" t="str">
        <f>IF(A206="","",IF(AND(AH206&gt;0,AH206=$AH$6,COUNTIF($AH$9:AH206,AH206)=1),1,0))</f>
        <v/>
      </c>
    </row>
    <row r="207">
      <c r="A207" s="96" t="n"/>
      <c r="B207" s="96" t="n"/>
      <c r="C207" s="96" t="n"/>
      <c r="D207" s="97" t="n"/>
      <c r="E207" s="98" t="n"/>
      <c r="F207" s="99" t="n"/>
      <c r="G207" s="100" t="n"/>
      <c r="H207" s="101" t="str">
        <f>IF(A207="","",IF(AND(p_ModoCot="Automático",ISNUMBER(Z207)),Z207,IF(N(G207)&gt;0,G207,0)))</f>
        <v/>
      </c>
      <c r="I207" s="73" t="str">
        <f>IF(A207="","",IF(W207=0,"Sem câmbio",IF(AND(p_ModoCot="Automático",ISNUMBER(Z207)),"Auto",IF(N(G207)&gt;0,"Manual","Sem cotação"))))</f>
        <v/>
      </c>
      <c r="J207" s="102" t="str">
        <f>IF(A207="","",N(E207)*H207)</f>
        <v/>
      </c>
      <c r="K207" s="70" t="str">
        <f>IF(A207="","",J207*W207)</f>
        <v/>
      </c>
      <c r="L207" s="30" t="str">
        <f>IF(A207="","",IF($K$6&gt;0,K207/$K$6,0))</f>
        <v/>
      </c>
      <c r="M207" s="72" t="str">
        <f>IF(A207="","",N(F207)-L207)</f>
        <v/>
      </c>
      <c r="N207" s="30" t="str">
        <f>IF(A207="","",IF($AB$6&gt;0,AB207/$AB$6,0))</f>
        <v/>
      </c>
      <c r="O207" s="74" t="str">
        <f>IF(A207="","",IF(AB207&lt;=0,"",COUNTIF($AB$9:$AB$208,"&gt;"&amp;AB207)+COUNTIF($AB$9:AB207,AB207)))</f>
        <v/>
      </c>
      <c r="P207" s="73" t="str">
        <f>IF(A207="","",IF(Q207&gt;0,"BUY","HOLD"))</f>
        <v/>
      </c>
      <c r="Q207" s="70" t="str">
        <f>IF(A207="","",IF($W$7&lt;=0,0,IF($AC$6&gt;0,$W$7*AC207/$AC$6,IF($F$6&gt;0,$W$7*N(F207)/$F$6,0))))</f>
        <v/>
      </c>
      <c r="R207" s="103" t="str">
        <f>IF(A207="","",N(AD207)+IF(AI207=1,N(AG207),0))</f>
        <v/>
      </c>
      <c r="S207" s="103" t="str">
        <f>IF(A207="","",N(E207)+N(R207))</f>
        <v/>
      </c>
      <c r="T207" s="70" t="str">
        <f>IF(A207="","",IF(N(R207)&gt;0,R207*H207*W207*$W$6+p_CorrFixa,0))</f>
        <v/>
      </c>
      <c r="V207" s="85" t="str">
        <f>IF(A207="","",IF(D207="",$W$1,D207))</f>
        <v/>
      </c>
      <c r="W207" s="85" t="str">
        <f>IF(A207="","",IFERROR(INDEX(moeda_fx,MATCH(V207,moeda_cod,0)),0))</f>
        <v/>
      </c>
      <c r="X207" s="85" t="str">
        <f>IF(A207="","",IF($W$2="",UPPER(TRIM(A207)),IF(RIGHT(UPPER(TRIM(A207)),LEN($W$2))=$W$2,UPPER(TRIM(A207)),UPPER(TRIM(A207))&amp;$W$2)))</f>
        <v/>
      </c>
      <c r="Y207" s="85" t="str">
        <f>IF(OR(A207="",p_ModoCot&lt;&gt;"Automático"),"",IFERROR(_xlfn.WEBSERVICE("https://query1.finance.yahoo.com/v8/finance/chart/"&amp;X207&amp;"?range=1d&amp;interval=1d"),""))</f>
        <v/>
      </c>
      <c r="Z207" s="85" t="str">
        <f>IF(Y207="","",IFERROR(_xlfn.NUMBERVALUE(MID(Y207,SEARCH("""regularMarketPrice"":",Y207)+21,SEARCH(",",Y207&amp;",",SEARCH("""regularMarketPrice"":",Y207)+21)-SEARCH("""regularMarketPrice"":",Y207)-21),".",","),""))</f>
        <v/>
      </c>
      <c r="AA207" s="85" t="str">
        <f>IF(A207="","",ROUND(MAX(0,N(F207)*($K$6+$W$7)-K207),2))</f>
        <v/>
      </c>
      <c r="AB207" s="85" t="str">
        <f>IF(A207="","",IF(AND(M207&gt;0,M207&gt;=p_DifMin),AA207,0))</f>
        <v/>
      </c>
      <c r="AC207" s="85" t="str">
        <f>IF(A207="","",IF(AND(AB207&gt;0,N(O207)&lt;=p_MaxAtivos),AB207,0))</f>
        <v/>
      </c>
      <c r="AD207" s="85" t="str">
        <f>IF(A207="","",IF(OR(Q207&lt;=0,Q207&lt;p_CompraMin,N(H207)&lt;=0,N(W207)&lt;=0),0,IF($W$3="Sim",TRUNC(ROUND(MAX(0,(Q207-p_CorrFixa)/(H207*W207*$W$6)),9),$W$4),TRUNC(ROUND(MAX(0,(Q207-p_CorrFixa)/(H207*W207*$W$6)),9)/$W$5)*$W$5)))</f>
        <v/>
      </c>
      <c r="AE207" s="85" t="str">
        <f>IF(A207="","",IF(N(AD207)&gt;0,AD207*H207*W207*$W$6+p_CorrFixa,0))</f>
        <v/>
      </c>
      <c r="AF207" s="85" t="str">
        <f>IF(A207="","",IF(OR($Y$1&lt;=0,N(H207)&lt;=0,N(W207)&lt;=0,N(AB207)&lt;=0),0,IF($W$3="Sim",TRUNC(ROUND(MAX(0,($Y$1-IF(N(AD207)&gt;0,0,p_CorrFixa))/(H207*W207*$W$6)),9),$W$4),TRUNC(ROUND(MAX(0,($Y$1-IF(N(AD207)&gt;0,0,p_CorrFixa))/(H207*W207*$W$6)),9)/$W$5)*$W$5)))</f>
        <v/>
      </c>
      <c r="AG207" s="85" t="str">
        <f>IF(A207="","",IF(AND(N(AD207)=0,N(AF207)*(H207*W207*$W$6)+p_CorrFixa&lt;p_CompraMin),0,AF207))</f>
        <v/>
      </c>
      <c r="AH207" s="85" t="str">
        <f>IF(A207="","",IF(N(AG207)&gt;0,AB207,0))</f>
        <v/>
      </c>
      <c r="AI207" s="85" t="str">
        <f>IF(A207="","",IF(AND(AH207&gt;0,AH207=$AH$6,COUNTIF($AH$9:AH207,AH207)=1),1,0))</f>
        <v/>
      </c>
    </row>
    <row r="208">
      <c r="A208" s="96" t="n"/>
      <c r="B208" s="96" t="n"/>
      <c r="C208" s="96" t="n"/>
      <c r="D208" s="97" t="n"/>
      <c r="E208" s="98" t="n"/>
      <c r="F208" s="99" t="n"/>
      <c r="G208" s="100" t="n"/>
      <c r="H208" s="104" t="str">
        <f>IF(A208="","",IF(AND(p_ModoCot="Automático",ISNUMBER(Z208)),Z208,IF(N(G208)&gt;0,G208,0)))</f>
        <v/>
      </c>
      <c r="I208" s="105" t="str">
        <f>IF(A208="","",IF(W208=0,"Sem câmbio",IF(AND(p_ModoCot="Automático",ISNUMBER(Z208)),"Auto",IF(N(G208)&gt;0,"Manual","Sem cotação"))))</f>
        <v/>
      </c>
      <c r="J208" s="106" t="str">
        <f>IF(A208="","",N(E208)*H208)</f>
        <v/>
      </c>
      <c r="K208" s="107" t="str">
        <f>IF(A208="","",J208*W208)</f>
        <v/>
      </c>
      <c r="L208" s="108" t="str">
        <f>IF(A208="","",IF($K$6&gt;0,K208/$K$6,0))</f>
        <v/>
      </c>
      <c r="M208" s="109" t="str">
        <f>IF(A208="","",N(F208)-L208)</f>
        <v/>
      </c>
      <c r="N208" s="108" t="str">
        <f>IF(A208="","",IF($AB$6&gt;0,AB208/$AB$6,0))</f>
        <v/>
      </c>
      <c r="O208" s="110" t="str">
        <f>IF(A208="","",IF(AB208&lt;=0,"",COUNTIF($AB$9:$AB$208,"&gt;"&amp;AB208)+COUNTIF($AB$9:AB208,AB208)))</f>
        <v/>
      </c>
      <c r="P208" s="105" t="str">
        <f>IF(A208="","",IF(Q208&gt;0,"BUY","HOLD"))</f>
        <v/>
      </c>
      <c r="Q208" s="107" t="str">
        <f>IF(A208="","",IF($W$7&lt;=0,0,IF($AC$6&gt;0,$W$7*AC208/$AC$6,IF($F$6&gt;0,$W$7*N(F208)/$F$6,0))))</f>
        <v/>
      </c>
      <c r="R208" s="111" t="str">
        <f>IF(A208="","",N(AD208)+IF(AI208=1,N(AG208),0))</f>
        <v/>
      </c>
      <c r="S208" s="111" t="str">
        <f>IF(A208="","",N(E208)+N(R208))</f>
        <v/>
      </c>
      <c r="T208" s="107" t="str">
        <f>IF(A208="","",IF(N(R208)&gt;0,R208*H208*W208*$W$6+p_CorrFixa,0))</f>
        <v/>
      </c>
      <c r="V208" s="85" t="str">
        <f>IF(A208="","",IF(D208="",$W$1,D208))</f>
        <v/>
      </c>
      <c r="W208" s="85" t="str">
        <f>IF(A208="","",IFERROR(INDEX(moeda_fx,MATCH(V208,moeda_cod,0)),0))</f>
        <v/>
      </c>
      <c r="X208" s="85" t="str">
        <f>IF(A208="","",IF($W$2="",UPPER(TRIM(A208)),IF(RIGHT(UPPER(TRIM(A208)),LEN($W$2))=$W$2,UPPER(TRIM(A208)),UPPER(TRIM(A208))&amp;$W$2)))</f>
        <v/>
      </c>
      <c r="Y208" s="85" t="str">
        <f>IF(OR(A208="",p_ModoCot&lt;&gt;"Automático"),"",IFERROR(_xlfn.WEBSERVICE("https://query1.finance.yahoo.com/v8/finance/chart/"&amp;X208&amp;"?range=1d&amp;interval=1d"),""))</f>
        <v/>
      </c>
      <c r="Z208" s="85" t="str">
        <f>IF(Y208="","",IFERROR(_xlfn.NUMBERVALUE(MID(Y208,SEARCH("""regularMarketPrice"":",Y208)+21,SEARCH(",",Y208&amp;",",SEARCH("""regularMarketPrice"":",Y208)+21)-SEARCH("""regularMarketPrice"":",Y208)-21),".",","),""))</f>
        <v/>
      </c>
      <c r="AA208" s="85" t="str">
        <f>IF(A208="","",ROUND(MAX(0,N(F208)*($K$6+$W$7)-K208),2))</f>
        <v/>
      </c>
      <c r="AB208" s="85" t="str">
        <f>IF(A208="","",IF(AND(M208&gt;0,M208&gt;=p_DifMin),AA208,0))</f>
        <v/>
      </c>
      <c r="AC208" s="85" t="str">
        <f>IF(A208="","",IF(AND(AB208&gt;0,N(O208)&lt;=p_MaxAtivos),AB208,0))</f>
        <v/>
      </c>
      <c r="AD208" s="85" t="str">
        <f>IF(A208="","",IF(OR(Q208&lt;=0,Q208&lt;p_CompraMin,N(H208)&lt;=0,N(W208)&lt;=0),0,IF($W$3="Sim",TRUNC(ROUND(MAX(0,(Q208-p_CorrFixa)/(H208*W208*$W$6)),9),$W$4),TRUNC(ROUND(MAX(0,(Q208-p_CorrFixa)/(H208*W208*$W$6)),9)/$W$5)*$W$5)))</f>
        <v/>
      </c>
      <c r="AE208" s="85" t="str">
        <f>IF(A208="","",IF(N(AD208)&gt;0,AD208*H208*W208*$W$6+p_CorrFixa,0))</f>
        <v/>
      </c>
      <c r="AF208" s="85" t="str">
        <f>IF(A208="","",IF(OR($Y$1&lt;=0,N(H208)&lt;=0,N(W208)&lt;=0,N(AB208)&lt;=0),0,IF($W$3="Sim",TRUNC(ROUND(MAX(0,($Y$1-IF(N(AD208)&gt;0,0,p_CorrFixa))/(H208*W208*$W$6)),9),$W$4),TRUNC(ROUND(MAX(0,($Y$1-IF(N(AD208)&gt;0,0,p_CorrFixa))/(H208*W208*$W$6)),9)/$W$5)*$W$5)))</f>
        <v/>
      </c>
      <c r="AG208" s="85" t="str">
        <f>IF(A208="","",IF(AND(N(AD208)=0,N(AF208)*(H208*W208*$W$6)+p_CorrFixa&lt;p_CompraMin),0,AF208))</f>
        <v/>
      </c>
      <c r="AH208" s="85" t="str">
        <f>IF(A208="","",IF(N(AG208)&gt;0,AB208,0))</f>
        <v/>
      </c>
      <c r="AI208" s="85" t="str">
        <f>IF(A208="","",IF(AND(AH208&gt;0,AH208=$AH$6,COUNTIF($AH$9:AH208,AH208)=1),1,0))</f>
        <v/>
      </c>
    </row>
  </sheetData>
  <mergeCells count="10">
    <mergeCell ref="A4:B4"/>
    <mergeCell ref="K4:N4"/>
    <mergeCell ref="C3:F3"/>
    <mergeCell ref="G3:J3"/>
    <mergeCell ref="O3:S3"/>
    <mergeCell ref="K3:N3"/>
    <mergeCell ref="C4:F4"/>
    <mergeCell ref="G4:J4"/>
    <mergeCell ref="A3:B3"/>
    <mergeCell ref="O4:S4"/>
  </mergeCells>
  <conditionalFormatting sqref="T4">
    <cfRule type="expression" priority="1" dxfId="5">
      <formula>ABS(T4-1)&gt;0.0001</formula>
    </cfRule>
    <cfRule type="expression" priority="2" dxfId="6">
      <formula>ABS(T4-1)&lt;=0.0001</formula>
    </cfRule>
  </conditionalFormatting>
  <conditionalFormatting sqref="P9:P208">
    <cfRule type="cellIs" priority="3" operator="equal" dxfId="1">
      <formula>"BUY"</formula>
    </cfRule>
    <cfRule type="cellIs" priority="4" operator="equal" dxfId="2">
      <formula>"HOLD"</formula>
    </cfRule>
  </conditionalFormatting>
  <conditionalFormatting sqref="M9:M208">
    <cfRule type="expression" priority="5" dxfId="8">
      <formula>AND(ISNUMBER(M9),M9&lt;0)</formula>
    </cfRule>
    <cfRule type="expression" priority="6" dxfId="9">
      <formula>AND(ISNUMBER(M9),M9&gt;0)</formula>
    </cfRule>
  </conditionalFormatting>
  <conditionalFormatting sqref="I9:I208">
    <cfRule type="expression" priority="7" dxfId="3">
      <formula>OR(I9="Sem cotação",I9="Sem câmbio")</formula>
    </cfRule>
    <cfRule type="expression" priority="8" dxfId="9">
      <formula>I9="Auto"</formula>
    </cfRule>
  </conditionalFormatting>
  <conditionalFormatting sqref="R9:R208">
    <cfRule type="expression" priority="9" dxfId="4">
      <formula>AND(ISNUMBER(R9),R9&gt;0)</formula>
    </cfRule>
  </conditionalFormatting>
  <dataValidations count="5">
    <dataValidation sqref="D9:D208" showDropDown="0" showInputMessage="0" showErrorMessage="0" allowBlank="1" errorTitle="Moeda inválida" error="Moeda não cadastrada em Configurações &gt; Câmbio e Moedas." type="list">
      <formula1>='10 Configurações'!$B$21:$B$30</formula1>
    </dataValidation>
    <dataValidation sqref="C9:C208" showDropDown="0" showInputMessage="0" showErrorMessage="0" allowBlank="1" errorTitle="Valor fora da lista" error="Esse valor não está na lista da aba Auxiliar. Deseja manter?" type="list" errorStyle="warning">
      <formula1>='11 Auxiliar'!$I$5:$I$44</formula1>
    </dataValidation>
    <dataValidation sqref="F9:F20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E9:E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G9:G20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T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2C55E"/>
    <outlinePr summaryBelow="1" summaryRight="1"/>
    <pageSetUpPr fitToPage="1"/>
  </sheetPr>
  <dimension ref="A1:AI108"/>
  <sheetViews>
    <sheetView showGridLines="0" tabSelected="0" zoomScale="9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2" customWidth="1" style="1" min="1" max="1"/>
    <col width="28" customWidth="1" style="1" min="2" max="2"/>
    <col width="20" customWidth="1" style="1" min="3" max="3"/>
    <col width="8" customWidth="1" style="1" min="4" max="4"/>
    <col width="13" customWidth="1" style="1" min="5" max="5"/>
    <col width="12" customWidth="1" style="1" min="6" max="6"/>
    <col width="13" customWidth="1" style="1" min="7" max="7"/>
    <col width="12" customWidth="1" style="1" min="8" max="8"/>
    <col width="12" customWidth="1" style="1" min="9" max="9"/>
    <col width="14" customWidth="1" style="1" min="10" max="10"/>
    <col width="15" customWidth="1" style="1" min="11" max="11"/>
    <col width="10" customWidth="1" style="1" min="12" max="12"/>
    <col width="10" customWidth="1" style="1" min="13" max="13"/>
    <col width="11" customWidth="1" style="1" min="14" max="14"/>
    <col width="7" customWidth="1" style="1" min="15" max="15"/>
    <col width="9" customWidth="1" style="1" min="16" max="16"/>
    <col width="14" customWidth="1" style="1" min="17" max="17"/>
    <col width="12" customWidth="1" style="1" min="18" max="18"/>
    <col width="12" customWidth="1" style="1" min="19" max="19"/>
    <col width="14" customWidth="1" style="1" min="20" max="20"/>
    <col width="3" customWidth="1" style="1" min="21" max="21"/>
    <col hidden="1" outlineLevel="1" width="16" customWidth="1" style="1" min="22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REITS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62" t="inlineStr">
        <is>
          <t>◄ Dashboard</t>
        </is>
      </c>
      <c r="V1" s="85" t="inlineStr">
        <is>
          <t>Moeda padrão da classe</t>
        </is>
      </c>
      <c r="W1" s="86" t="str">
        <f>INDEX('10 Configurações'!$D$35:$D$41,MATCH("REITs",'10 Configurações'!$B$35:$B$41,0))&amp;""</f>
        <v>USD</v>
      </c>
      <c r="X1" s="85" t="inlineStr">
        <is>
          <t>Sobra da 1ª passada (R$)</t>
        </is>
      </c>
      <c r="Y1" s="86">
        <f>MAX(0,$W$7-SUM($AE$9:$AE$108))</f>
        <v>50</v>
      </c>
    </row>
    <row r="2" ht="18" customHeight="1">
      <c r="A2" s="63" t="str">
        <f>"Moeda padrão: "&amp;$W$1&amp;"   ·   Fração: "&amp;$W$3&amp;" ("&amp;$W$4&amp;" casas)   ·   Lote: "&amp;$W$5&amp;"   ·   Custo efetivo de compra: "&amp;ROUND(($W$6-1)*100,2)&amp;"%   ·   Cotações: "&amp;p_ModoCot</f>
        <v>Moeda padrão: USD   ·   Fração: Sim (4 casas)   ·   Lote: 1   ·   Custo efetivo de compra: 1.88%   ·   Cotações: Automático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V2" s="85" t="inlineStr">
        <is>
          <t>Sufixo Yahoo</t>
        </is>
      </c>
      <c r="W2" s="86" t="str">
        <f>INDEX('10 Configurações'!$E$35:$E$41,MATCH("REITs",'10 Configurações'!$B$35:$B$41,0))&amp;""</f>
        <v/>
      </c>
    </row>
    <row r="3" ht="16" customHeight="1">
      <c r="A3" s="11" t="inlineStr">
        <is>
          <t>VALOR DA CLASSE (R$)</t>
        </is>
      </c>
      <c r="B3" s="12" t="n"/>
      <c r="C3" s="11" t="inlineStr">
        <is>
          <t>Nº DE ATIVOS</t>
        </is>
      </c>
      <c r="D3" s="12" t="n"/>
      <c r="E3" s="12" t="n"/>
      <c r="F3" s="12" t="n"/>
      <c r="G3" s="13" t="inlineStr">
        <is>
          <t>APORTE DESTINADO (R$)</t>
        </is>
      </c>
      <c r="H3" s="14" t="n"/>
      <c r="I3" s="14" t="n"/>
      <c r="J3" s="14" t="n"/>
      <c r="K3" s="13" t="inlineStr">
        <is>
          <t>COMPRA EFETIVA (R$)</t>
        </is>
      </c>
      <c r="L3" s="14" t="n"/>
      <c r="M3" s="14" t="n"/>
      <c r="N3" s="14" t="n"/>
      <c r="O3" s="15" t="inlineStr">
        <is>
          <t>SOBRA DA CLASSE (R$)</t>
        </is>
      </c>
      <c r="P3" s="16" t="n"/>
      <c r="Q3" s="16" t="n"/>
      <c r="R3" s="16" t="n"/>
      <c r="S3" s="16" t="n"/>
      <c r="T3" s="15" t="inlineStr">
        <is>
          <t>SOMA DOS OBJETIVOS</t>
        </is>
      </c>
      <c r="V3" s="85" t="inlineStr">
        <is>
          <t>Permite fração?</t>
        </is>
      </c>
      <c r="W3" s="86" t="str">
        <f>INDEX('10 Configurações'!$G$35:$G$41,MATCH("REITs",'10 Configurações'!$B$35:$B$41,0))&amp;""</f>
        <v>Sim</v>
      </c>
    </row>
    <row r="4" ht="26" customHeight="1">
      <c r="A4" s="64">
        <f>$K$6</f>
        <v>0</v>
      </c>
      <c r="B4" s="1" t="n"/>
      <c r="C4" s="65">
        <f>SUMPRODUCT(--($A$9:$A$108&lt;&gt;""))</f>
        <v>0</v>
      </c>
      <c r="D4" s="1" t="n"/>
      <c r="E4" s="1" t="n"/>
      <c r="F4" s="1" t="n"/>
      <c r="G4" s="64">
        <f>$W$7</f>
        <v>50</v>
      </c>
      <c r="H4" s="1" t="n"/>
      <c r="I4" s="1" t="n"/>
      <c r="J4" s="1" t="n"/>
      <c r="K4" s="64">
        <f>$T$6</f>
        <v>0</v>
      </c>
      <c r="L4" s="1" t="n"/>
      <c r="M4" s="1" t="n"/>
      <c r="N4" s="1" t="n"/>
      <c r="O4" s="64">
        <f>$W$7-$T$6</f>
        <v>50</v>
      </c>
      <c r="P4" s="1" t="n"/>
      <c r="Q4" s="1" t="n"/>
      <c r="R4" s="1" t="n"/>
      <c r="S4" s="1" t="n"/>
      <c r="T4" s="66">
        <f>$F$6</f>
        <v>0</v>
      </c>
      <c r="V4" s="85" t="inlineStr">
        <is>
          <t>Casas decimais</t>
        </is>
      </c>
      <c r="W4" s="86">
        <f>N(INDEX('10 Configurações'!$H$35:$H$41,MATCH("REITs",'10 Configurações'!$B$35:$B$41,0)))</f>
        <v>4</v>
      </c>
    </row>
    <row r="5" ht="14" customHeight="1">
      <c r="A5" s="87" t="inlineStr">
        <is>
          <t>■ Azul = entrada de dados (você só altera Quantidade, Objetivo e, se quiser, Cotação Manual)     ■ Demais células = fórmulas     ■ Depois de comprar: copie 'Qtd. Após Compra' e cole como valores em 'Quantidade'</t>
        </is>
      </c>
      <c r="V5" s="85" t="inlineStr">
        <is>
          <t>Lote efetivo</t>
        </is>
      </c>
      <c r="W5" s="86">
        <f>IF(INDEX('10 Configurações'!$I$35:$I$41,MATCH("REITs",'10 Configurações'!$B$35:$B$41,0))="Sim",MAX(1,N(INDEX('10 Configurações'!$J$35:$J$41,MATCH("REITs",'10 Configurações'!$B$35:$B$41,0)))),1)</f>
        <v>1</v>
      </c>
    </row>
    <row r="6" ht="24" customHeight="1">
      <c r="A6" s="88" t="inlineStr">
        <is>
          <t>TOTAL</t>
        </is>
      </c>
      <c r="B6" s="31" t="n"/>
      <c r="C6" s="31" t="n"/>
      <c r="D6" s="31" t="n"/>
      <c r="E6" s="31" t="n"/>
      <c r="F6" s="55">
        <f>SUM($F$9:$F$108)</f>
        <v>0</v>
      </c>
      <c r="G6" s="31" t="n"/>
      <c r="H6" s="31" t="n"/>
      <c r="I6" s="31" t="n"/>
      <c r="J6" s="31" t="n"/>
      <c r="K6" s="75">
        <f>SUM($K$9:$K$108)</f>
        <v>0</v>
      </c>
      <c r="L6" s="55">
        <f>SUM($L$9:$L$108)</f>
        <v>0</v>
      </c>
      <c r="M6" s="31" t="n"/>
      <c r="N6" s="55">
        <f>SUM($N$9:$N$108)</f>
        <v>0</v>
      </c>
      <c r="O6" s="31" t="n"/>
      <c r="P6" s="31" t="n"/>
      <c r="Q6" s="75">
        <f>SUM($Q$9:$Q$108)</f>
        <v>0</v>
      </c>
      <c r="R6" s="31" t="n"/>
      <c r="S6" s="31" t="n"/>
      <c r="T6" s="75">
        <f>SUM($T$9:$T$108)</f>
        <v>0</v>
      </c>
      <c r="V6" s="85" t="inlineStr">
        <is>
          <t>Fator de custo (1 + custos)</t>
        </is>
      </c>
      <c r="W6" s="86">
        <f>1+N(INDEX('10 Configurações'!$K$35:$K$41,MATCH("REITs",'10 Configurações'!$B$35:$B$41,0)))</f>
        <v>1.0188</v>
      </c>
      <c r="AB6" s="89">
        <f>SUM($AB$9:$AB$108)</f>
        <v>0</v>
      </c>
      <c r="AC6" s="89">
        <f>SUM($AC$9:$AC$108)</f>
        <v>0</v>
      </c>
      <c r="AH6" s="89">
        <f>MAX($AH$9:$AH$108)</f>
        <v>0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1" t="inlineStr">
        <is>
          <t>POSIÇÃO E OBJETIVO</t>
        </is>
      </c>
      <c r="F7" s="91" t="n"/>
      <c r="G7" s="92" t="inlineStr">
        <is>
          <t>COTAÇÃO</t>
        </is>
      </c>
      <c r="H7" s="92" t="n"/>
      <c r="I7" s="92" t="n"/>
      <c r="J7" s="93" t="inlineStr">
        <is>
          <t>VALOR</t>
        </is>
      </c>
      <c r="K7" s="93" t="n"/>
      <c r="L7" s="93" t="n"/>
      <c r="M7" s="94" t="inlineStr">
        <is>
          <t>REBALANCEAMENTO</t>
        </is>
      </c>
      <c r="N7" s="94" t="n"/>
      <c r="O7" s="94" t="n"/>
      <c r="P7" s="94" t="n"/>
      <c r="Q7" s="94" t="n"/>
      <c r="R7" s="94" t="n"/>
      <c r="S7" s="94" t="n"/>
      <c r="T7" s="94" t="n"/>
      <c r="V7" s="85" t="inlineStr">
        <is>
          <t>Aporte destinado à classe (R$)</t>
        </is>
      </c>
      <c r="W7" s="86">
        <f>'02 Macro Alocação'!$M$13</f>
        <v>50</v>
      </c>
    </row>
    <row r="8" ht="34" customHeight="1">
      <c r="A8" s="68" t="inlineStr">
        <is>
          <t>Ticker</t>
        </is>
      </c>
      <c r="B8" s="68" t="inlineStr">
        <is>
          <t>Nome / Descrição</t>
        </is>
      </c>
      <c r="C8" s="68" t="inlineStr">
        <is>
          <t>Setor / Segmento</t>
        </is>
      </c>
      <c r="D8" s="68" t="inlineStr">
        <is>
          <t>Moeda</t>
        </is>
      </c>
      <c r="E8" s="68" t="inlineStr">
        <is>
          <t>Quantidade</t>
        </is>
      </c>
      <c r="F8" s="68" t="inlineStr">
        <is>
          <t>Objetivo (% da classe)</t>
        </is>
      </c>
      <c r="G8" s="68" t="inlineStr">
        <is>
          <t>Cotação Manual (opcional)</t>
        </is>
      </c>
      <c r="H8" s="67" t="inlineStr">
        <is>
          <t>Cotação</t>
        </is>
      </c>
      <c r="I8" s="67" t="inlineStr">
        <is>
          <t>Fonte</t>
        </is>
      </c>
      <c r="J8" s="67" t="inlineStr">
        <is>
          <t>Valor Atual (Moeda)</t>
        </is>
      </c>
      <c r="K8" s="67" t="inlineStr">
        <is>
          <t>Valor Atual (R$)</t>
        </is>
      </c>
      <c r="L8" s="67" t="inlineStr">
        <is>
          <t>Part. na Classe</t>
        </is>
      </c>
      <c r="M8" s="67" t="inlineStr">
        <is>
          <t>Diferença</t>
        </is>
      </c>
      <c r="N8" s="67" t="inlineStr">
        <is>
          <t>Rebalance Score</t>
        </is>
      </c>
      <c r="O8" s="67" t="inlineStr">
        <is>
          <t>Prior.</t>
        </is>
      </c>
      <c r="P8" s="67" t="inlineStr">
        <is>
          <t>Ação</t>
        </is>
      </c>
      <c r="Q8" s="67" t="inlineStr">
        <is>
          <t>Valor Sugerido (R$)</t>
        </is>
      </c>
      <c r="R8" s="67" t="inlineStr">
        <is>
          <t>Qtd. Sugerida</t>
        </is>
      </c>
      <c r="S8" s="67" t="inlineStr">
        <is>
          <t>Qtd. Após Compra</t>
        </is>
      </c>
      <c r="T8" s="67" t="inlineStr">
        <is>
          <t>Valor Efetivo (R$)</t>
        </is>
      </c>
      <c r="V8" s="95" t="inlineStr">
        <is>
          <t>Moeda efetiva</t>
        </is>
      </c>
      <c r="W8" s="95" t="inlineStr">
        <is>
          <t>Câmbio (R$)</t>
        </is>
      </c>
      <c r="X8" s="95" t="inlineStr">
        <is>
          <t>Ticker Yahoo</t>
        </is>
      </c>
      <c r="Y8" s="95" t="inlineStr">
        <is>
          <t>Resposta da API</t>
        </is>
      </c>
      <c r="Z8" s="95" t="inlineStr">
        <is>
          <t>Cotação auto</t>
        </is>
      </c>
      <c r="AA8" s="95" t="inlineStr">
        <is>
          <t>Déficit (R$)</t>
        </is>
      </c>
      <c r="AB8" s="95" t="inlineStr">
        <is>
          <t>Déficit elegível</t>
        </is>
      </c>
      <c r="AC8" s="95" t="inlineStr">
        <is>
          <t>Déficit final</t>
        </is>
      </c>
      <c r="AD8" s="95" t="inlineStr">
        <is>
          <t>Qtd 1ª passada</t>
        </is>
      </c>
      <c r="AE8" s="95" t="inlineStr">
        <is>
          <t>Valor 1ª passada (R$)</t>
        </is>
      </c>
      <c r="AF8" s="95" t="inlineStr">
        <is>
          <t>Qtd extra (bruta)</t>
        </is>
      </c>
      <c r="AG8" s="95" t="inlineStr">
        <is>
          <t>Qtd extra</t>
        </is>
      </c>
      <c r="AH8" s="95" t="inlineStr">
        <is>
          <t>Prioridade extra</t>
        </is>
      </c>
      <c r="AI8" s="95" t="inlineStr">
        <is>
          <t>Recebe a sobra</t>
        </is>
      </c>
    </row>
    <row r="9">
      <c r="A9" s="96" t="n"/>
      <c r="B9" s="96" t="n"/>
      <c r="C9" s="96" t="n"/>
      <c r="D9" s="97" t="n"/>
      <c r="E9" s="98" t="n"/>
      <c r="F9" s="99" t="n"/>
      <c r="G9" s="100" t="n"/>
      <c r="H9" s="101" t="str">
        <f>IF(A9="","",IF(AND(p_ModoCot="Automático",ISNUMBER(Z9)),Z9,IF(N(G9)&gt;0,G9,0)))</f>
        <v/>
      </c>
      <c r="I9" s="73" t="str">
        <f>IF(A9="","",IF(W9=0,"Sem câmbio",IF(AND(p_ModoCot="Automático",ISNUMBER(Z9)),"Auto",IF(N(G9)&gt;0,"Manual","Sem cotação"))))</f>
        <v/>
      </c>
      <c r="J9" s="102" t="str">
        <f>IF(A9="","",N(E9)*H9)</f>
        <v/>
      </c>
      <c r="K9" s="70" t="str">
        <f>IF(A9="","",J9*W9)</f>
        <v/>
      </c>
      <c r="L9" s="30" t="str">
        <f>IF(A9="","",IF($K$6&gt;0,K9/$K$6,0))</f>
        <v/>
      </c>
      <c r="M9" s="72" t="str">
        <f>IF(A9="","",N(F9)-L9)</f>
        <v/>
      </c>
      <c r="N9" s="30" t="str">
        <f>IF(A9="","",IF($AB$6&gt;0,AB9/$AB$6,0))</f>
        <v/>
      </c>
      <c r="O9" s="74" t="str">
        <f>IF(A9="","",IF(AB9&lt;=0,"",COUNTIF($AB$9:$AB$108,"&gt;"&amp;AB9)+COUNTIF($AB$9:AB9,AB9)))</f>
        <v/>
      </c>
      <c r="P9" s="73" t="str">
        <f>IF(A9="","",IF(Q9&gt;0,"BUY","HOLD"))</f>
        <v/>
      </c>
      <c r="Q9" s="70" t="str">
        <f>IF(A9="","",IF($W$7&lt;=0,0,IF($AC$6&gt;0,$W$7*AC9/$AC$6,IF($F$6&gt;0,$W$7*N(F9)/$F$6,0))))</f>
        <v/>
      </c>
      <c r="R9" s="103" t="str">
        <f>IF(A9="","",N(AD9)+IF(AI9=1,N(AG9),0))</f>
        <v/>
      </c>
      <c r="S9" s="103" t="str">
        <f>IF(A9="","",N(E9)+N(R9))</f>
        <v/>
      </c>
      <c r="T9" s="70" t="str">
        <f>IF(A9="","",IF(N(R9)&gt;0,R9*H9*W9*$W$6+p_CorrFixa,0))</f>
        <v/>
      </c>
      <c r="V9" s="85" t="str">
        <f>IF(A9="","",IF(D9="",$W$1,D9))</f>
        <v/>
      </c>
      <c r="W9" s="85" t="str">
        <f>IF(A9="","",IFERROR(INDEX(moeda_fx,MATCH(V9,moeda_cod,0)),0))</f>
        <v/>
      </c>
      <c r="X9" s="85" t="str">
        <f>IF(A9="","",IF($W$2="",UPPER(TRIM(A9)),IF(RIGHT(UPPER(TRIM(A9)),LEN($W$2))=$W$2,UPPER(TRIM(A9)),UPPER(TRIM(A9))&amp;$W$2)))</f>
        <v/>
      </c>
      <c r="Y9" s="85" t="str">
        <f>IF(OR(A9="",p_ModoCot&lt;&gt;"Automático"),"",IFERROR(_xlfn.WEBSERVICE("https://query1.finance.yahoo.com/v8/finance/chart/"&amp;X9&amp;"?range=1d&amp;interval=1d"),""))</f>
        <v/>
      </c>
      <c r="Z9" s="85" t="str">
        <f>IF(Y9="","",IFERROR(_xlfn.NUMBERVALUE(MID(Y9,SEARCH("""regularMarketPrice"":",Y9)+21,SEARCH(",",Y9&amp;",",SEARCH("""regularMarketPrice"":",Y9)+21)-SEARCH("""regularMarketPrice"":",Y9)-21),".",","),""))</f>
        <v/>
      </c>
      <c r="AA9" s="85" t="str">
        <f>IF(A9="","",ROUND(MAX(0,N(F9)*($K$6+$W$7)-K9),2))</f>
        <v/>
      </c>
      <c r="AB9" s="85" t="str">
        <f>IF(A9="","",IF(AND(M9&gt;0,M9&gt;=p_DifMin),AA9,0))</f>
        <v/>
      </c>
      <c r="AC9" s="85" t="str">
        <f>IF(A9="","",IF(AND(AB9&gt;0,N(O9)&lt;=p_MaxAtivos),AB9,0))</f>
        <v/>
      </c>
      <c r="AD9" s="85" t="str">
        <f>IF(A9="","",IF(OR(Q9&lt;=0,Q9&lt;p_CompraMin,N(H9)&lt;=0,N(W9)&lt;=0),0,IF($W$3="Sim",TRUNC(ROUND(MAX(0,(Q9-p_CorrFixa)/(H9*W9*$W$6)),9),$W$4),TRUNC(ROUND(MAX(0,(Q9-p_CorrFixa)/(H9*W9*$W$6)),9)/$W$5)*$W$5)))</f>
        <v/>
      </c>
      <c r="AE9" s="85" t="str">
        <f>IF(A9="","",IF(N(AD9)&gt;0,AD9*H9*W9*$W$6+p_CorrFixa,0))</f>
        <v/>
      </c>
      <c r="AF9" s="85" t="str">
        <f>IF(A9="","",IF(OR($Y$1&lt;=0,N(H9)&lt;=0,N(W9)&lt;=0,N(AB9)&lt;=0),0,IF($W$3="Sim",TRUNC(ROUND(MAX(0,($Y$1-IF(N(AD9)&gt;0,0,p_CorrFixa))/(H9*W9*$W$6)),9),$W$4),TRUNC(ROUND(MAX(0,($Y$1-IF(N(AD9)&gt;0,0,p_CorrFixa))/(H9*W9*$W$6)),9)/$W$5)*$W$5)))</f>
        <v/>
      </c>
      <c r="AG9" s="85" t="str">
        <f>IF(A9="","",IF(AND(N(AD9)=0,N(AF9)*(H9*W9*$W$6)+p_CorrFixa&lt;p_CompraMin),0,AF9))</f>
        <v/>
      </c>
      <c r="AH9" s="85" t="str">
        <f>IF(A9="","",IF(N(AG9)&gt;0,AB9,0))</f>
        <v/>
      </c>
      <c r="AI9" s="85" t="str">
        <f>IF(A9="","",IF(AND(AH9&gt;0,AH9=$AH$6,COUNTIF($AH$9:AH9,AH9)=1),1,0))</f>
        <v/>
      </c>
    </row>
    <row r="10">
      <c r="A10" s="96" t="n"/>
      <c r="B10" s="96" t="n"/>
      <c r="C10" s="96" t="n"/>
      <c r="D10" s="97" t="n"/>
      <c r="E10" s="98" t="n"/>
      <c r="F10" s="99" t="n"/>
      <c r="G10" s="100" t="n"/>
      <c r="H10" s="104" t="str">
        <f>IF(A10="","",IF(AND(p_ModoCot="Automático",ISNUMBER(Z10)),Z10,IF(N(G10)&gt;0,G10,0)))</f>
        <v/>
      </c>
      <c r="I10" s="105" t="str">
        <f>IF(A10="","",IF(W10=0,"Sem câmbio",IF(AND(p_ModoCot="Automático",ISNUMBER(Z10)),"Auto",IF(N(G10)&gt;0,"Manual","Sem cotação"))))</f>
        <v/>
      </c>
      <c r="J10" s="106" t="str">
        <f>IF(A10="","",N(E10)*H10)</f>
        <v/>
      </c>
      <c r="K10" s="107" t="str">
        <f>IF(A10="","",J10*W10)</f>
        <v/>
      </c>
      <c r="L10" s="108" t="str">
        <f>IF(A10="","",IF($K$6&gt;0,K10/$K$6,0))</f>
        <v/>
      </c>
      <c r="M10" s="109" t="str">
        <f>IF(A10="","",N(F10)-L10)</f>
        <v/>
      </c>
      <c r="N10" s="108" t="str">
        <f>IF(A10="","",IF($AB$6&gt;0,AB10/$AB$6,0))</f>
        <v/>
      </c>
      <c r="O10" s="110" t="str">
        <f>IF(A10="","",IF(AB10&lt;=0,"",COUNTIF($AB$9:$AB$108,"&gt;"&amp;AB10)+COUNTIF($AB$9:AB10,AB10)))</f>
        <v/>
      </c>
      <c r="P10" s="105" t="str">
        <f>IF(A10="","",IF(Q10&gt;0,"BUY","HOLD"))</f>
        <v/>
      </c>
      <c r="Q10" s="107" t="str">
        <f>IF(A10="","",IF($W$7&lt;=0,0,IF($AC$6&gt;0,$W$7*AC10/$AC$6,IF($F$6&gt;0,$W$7*N(F10)/$F$6,0))))</f>
        <v/>
      </c>
      <c r="R10" s="111" t="str">
        <f>IF(A10="","",N(AD10)+IF(AI10=1,N(AG10),0))</f>
        <v/>
      </c>
      <c r="S10" s="111" t="str">
        <f>IF(A10="","",N(E10)+N(R10))</f>
        <v/>
      </c>
      <c r="T10" s="107" t="str">
        <f>IF(A10="","",IF(N(R10)&gt;0,R10*H10*W10*$W$6+p_CorrFixa,0))</f>
        <v/>
      </c>
      <c r="V10" s="85" t="str">
        <f>IF(A10="","",IF(D10="",$W$1,D10))</f>
        <v/>
      </c>
      <c r="W10" s="85" t="str">
        <f>IF(A10="","",IFERROR(INDEX(moeda_fx,MATCH(V10,moeda_cod,0)),0))</f>
        <v/>
      </c>
      <c r="X10" s="85" t="str">
        <f>IF(A10="","",IF($W$2="",UPPER(TRIM(A10)),IF(RIGHT(UPPER(TRIM(A10)),LEN($W$2))=$W$2,UPPER(TRIM(A10)),UPPER(TRIM(A10))&amp;$W$2)))</f>
        <v/>
      </c>
      <c r="Y10" s="85" t="str">
        <f>IF(OR(A10="",p_ModoCot&lt;&gt;"Automático"),"",IFERROR(_xlfn.WEBSERVICE("https://query1.finance.yahoo.com/v8/finance/chart/"&amp;X10&amp;"?range=1d&amp;interval=1d"),""))</f>
        <v/>
      </c>
      <c r="Z10" s="85" t="str">
        <f>IF(Y10="","",IFERROR(_xlfn.NUMBERVALUE(MID(Y10,SEARCH("""regularMarketPrice"":",Y10)+21,SEARCH(",",Y10&amp;",",SEARCH("""regularMarketPrice"":",Y10)+21)-SEARCH("""regularMarketPrice"":",Y10)-21),".",","),""))</f>
        <v/>
      </c>
      <c r="AA10" s="85" t="str">
        <f>IF(A10="","",ROUND(MAX(0,N(F10)*($K$6+$W$7)-K10),2))</f>
        <v/>
      </c>
      <c r="AB10" s="85" t="str">
        <f>IF(A10="","",IF(AND(M10&gt;0,M10&gt;=p_DifMin),AA10,0))</f>
        <v/>
      </c>
      <c r="AC10" s="85" t="str">
        <f>IF(A10="","",IF(AND(AB10&gt;0,N(O10)&lt;=p_MaxAtivos),AB10,0))</f>
        <v/>
      </c>
      <c r="AD10" s="85" t="str">
        <f>IF(A10="","",IF(OR(Q10&lt;=0,Q10&lt;p_CompraMin,N(H10)&lt;=0,N(W10)&lt;=0),0,IF($W$3="Sim",TRUNC(ROUND(MAX(0,(Q10-p_CorrFixa)/(H10*W10*$W$6)),9),$W$4),TRUNC(ROUND(MAX(0,(Q10-p_CorrFixa)/(H10*W10*$W$6)),9)/$W$5)*$W$5)))</f>
        <v/>
      </c>
      <c r="AE10" s="85" t="str">
        <f>IF(A10="","",IF(N(AD10)&gt;0,AD10*H10*W10*$W$6+p_CorrFixa,0))</f>
        <v/>
      </c>
      <c r="AF10" s="85" t="str">
        <f>IF(A10="","",IF(OR($Y$1&lt;=0,N(H10)&lt;=0,N(W10)&lt;=0,N(AB10)&lt;=0),0,IF($W$3="Sim",TRUNC(ROUND(MAX(0,($Y$1-IF(N(AD10)&gt;0,0,p_CorrFixa))/(H10*W10*$W$6)),9),$W$4),TRUNC(ROUND(MAX(0,($Y$1-IF(N(AD10)&gt;0,0,p_CorrFixa))/(H10*W10*$W$6)),9)/$W$5)*$W$5)))</f>
        <v/>
      </c>
      <c r="AG10" s="85" t="str">
        <f>IF(A10="","",IF(AND(N(AD10)=0,N(AF10)*(H10*W10*$W$6)+p_CorrFixa&lt;p_CompraMin),0,AF10))</f>
        <v/>
      </c>
      <c r="AH10" s="85" t="str">
        <f>IF(A10="","",IF(N(AG10)&gt;0,AB10,0))</f>
        <v/>
      </c>
      <c r="AI10" s="85" t="str">
        <f>IF(A10="","",IF(AND(AH10&gt;0,AH10=$AH$6,COUNTIF($AH$9:AH10,AH10)=1),1,0))</f>
        <v/>
      </c>
    </row>
    <row r="11">
      <c r="A11" s="96" t="n"/>
      <c r="B11" s="96" t="n"/>
      <c r="C11" s="96" t="n"/>
      <c r="D11" s="97" t="n"/>
      <c r="E11" s="98" t="n"/>
      <c r="F11" s="99" t="n"/>
      <c r="G11" s="100" t="n"/>
      <c r="H11" s="101" t="str">
        <f>IF(A11="","",IF(AND(p_ModoCot="Automático",ISNUMBER(Z11)),Z11,IF(N(G11)&gt;0,G11,0)))</f>
        <v/>
      </c>
      <c r="I11" s="73" t="str">
        <f>IF(A11="","",IF(W11=0,"Sem câmbio",IF(AND(p_ModoCot="Automático",ISNUMBER(Z11)),"Auto",IF(N(G11)&gt;0,"Manual","Sem cotação"))))</f>
        <v/>
      </c>
      <c r="J11" s="102" t="str">
        <f>IF(A11="","",N(E11)*H11)</f>
        <v/>
      </c>
      <c r="K11" s="70" t="str">
        <f>IF(A11="","",J11*W11)</f>
        <v/>
      </c>
      <c r="L11" s="30" t="str">
        <f>IF(A11="","",IF($K$6&gt;0,K11/$K$6,0))</f>
        <v/>
      </c>
      <c r="M11" s="72" t="str">
        <f>IF(A11="","",N(F11)-L11)</f>
        <v/>
      </c>
      <c r="N11" s="30" t="str">
        <f>IF(A11="","",IF($AB$6&gt;0,AB11/$AB$6,0))</f>
        <v/>
      </c>
      <c r="O11" s="74" t="str">
        <f>IF(A11="","",IF(AB11&lt;=0,"",COUNTIF($AB$9:$AB$108,"&gt;"&amp;AB11)+COUNTIF($AB$9:AB11,AB11)))</f>
        <v/>
      </c>
      <c r="P11" s="73" t="str">
        <f>IF(A11="","",IF(Q11&gt;0,"BUY","HOLD"))</f>
        <v/>
      </c>
      <c r="Q11" s="70" t="str">
        <f>IF(A11="","",IF($W$7&lt;=0,0,IF($AC$6&gt;0,$W$7*AC11/$AC$6,IF($F$6&gt;0,$W$7*N(F11)/$F$6,0))))</f>
        <v/>
      </c>
      <c r="R11" s="103" t="str">
        <f>IF(A11="","",N(AD11)+IF(AI11=1,N(AG11),0))</f>
        <v/>
      </c>
      <c r="S11" s="103" t="str">
        <f>IF(A11="","",N(E11)+N(R11))</f>
        <v/>
      </c>
      <c r="T11" s="70" t="str">
        <f>IF(A11="","",IF(N(R11)&gt;0,R11*H11*W11*$W$6+p_CorrFixa,0))</f>
        <v/>
      </c>
      <c r="V11" s="85" t="str">
        <f>IF(A11="","",IF(D11="",$W$1,D11))</f>
        <v/>
      </c>
      <c r="W11" s="85" t="str">
        <f>IF(A11="","",IFERROR(INDEX(moeda_fx,MATCH(V11,moeda_cod,0)),0))</f>
        <v/>
      </c>
      <c r="X11" s="85" t="str">
        <f>IF(A11="","",IF($W$2="",UPPER(TRIM(A11)),IF(RIGHT(UPPER(TRIM(A11)),LEN($W$2))=$W$2,UPPER(TRIM(A11)),UPPER(TRIM(A11))&amp;$W$2)))</f>
        <v/>
      </c>
      <c r="Y11" s="85" t="str">
        <f>IF(OR(A11="",p_ModoCot&lt;&gt;"Automático"),"",IFERROR(_xlfn.WEBSERVICE("https://query1.finance.yahoo.com/v8/finance/chart/"&amp;X11&amp;"?range=1d&amp;interval=1d"),""))</f>
        <v/>
      </c>
      <c r="Z11" s="85" t="str">
        <f>IF(Y11="","",IFERROR(_xlfn.NUMBERVALUE(MID(Y11,SEARCH("""regularMarketPrice"":",Y11)+21,SEARCH(",",Y11&amp;",",SEARCH("""regularMarketPrice"":",Y11)+21)-SEARCH("""regularMarketPrice"":",Y11)-21),".",","),""))</f>
        <v/>
      </c>
      <c r="AA11" s="85" t="str">
        <f>IF(A11="","",ROUND(MAX(0,N(F11)*($K$6+$W$7)-K11),2))</f>
        <v/>
      </c>
      <c r="AB11" s="85" t="str">
        <f>IF(A11="","",IF(AND(M11&gt;0,M11&gt;=p_DifMin),AA11,0))</f>
        <v/>
      </c>
      <c r="AC11" s="85" t="str">
        <f>IF(A11="","",IF(AND(AB11&gt;0,N(O11)&lt;=p_MaxAtivos),AB11,0))</f>
        <v/>
      </c>
      <c r="AD11" s="85" t="str">
        <f>IF(A11="","",IF(OR(Q11&lt;=0,Q11&lt;p_CompraMin,N(H11)&lt;=0,N(W11)&lt;=0),0,IF($W$3="Sim",TRUNC(ROUND(MAX(0,(Q11-p_CorrFixa)/(H11*W11*$W$6)),9),$W$4),TRUNC(ROUND(MAX(0,(Q11-p_CorrFixa)/(H11*W11*$W$6)),9)/$W$5)*$W$5)))</f>
        <v/>
      </c>
      <c r="AE11" s="85" t="str">
        <f>IF(A11="","",IF(N(AD11)&gt;0,AD11*H11*W11*$W$6+p_CorrFixa,0))</f>
        <v/>
      </c>
      <c r="AF11" s="85" t="str">
        <f>IF(A11="","",IF(OR($Y$1&lt;=0,N(H11)&lt;=0,N(W11)&lt;=0,N(AB11)&lt;=0),0,IF($W$3="Sim",TRUNC(ROUND(MAX(0,($Y$1-IF(N(AD11)&gt;0,0,p_CorrFixa))/(H11*W11*$W$6)),9),$W$4),TRUNC(ROUND(MAX(0,($Y$1-IF(N(AD11)&gt;0,0,p_CorrFixa))/(H11*W11*$W$6)),9)/$W$5)*$W$5)))</f>
        <v/>
      </c>
      <c r="AG11" s="85" t="str">
        <f>IF(A11="","",IF(AND(N(AD11)=0,N(AF11)*(H11*W11*$W$6)+p_CorrFixa&lt;p_CompraMin),0,AF11))</f>
        <v/>
      </c>
      <c r="AH11" s="85" t="str">
        <f>IF(A11="","",IF(N(AG11)&gt;0,AB11,0))</f>
        <v/>
      </c>
      <c r="AI11" s="85" t="str">
        <f>IF(A11="","",IF(AND(AH11&gt;0,AH11=$AH$6,COUNTIF($AH$9:AH11,AH11)=1),1,0))</f>
        <v/>
      </c>
    </row>
    <row r="12">
      <c r="A12" s="96" t="n"/>
      <c r="B12" s="96" t="n"/>
      <c r="C12" s="96" t="n"/>
      <c r="D12" s="97" t="n"/>
      <c r="E12" s="98" t="n"/>
      <c r="F12" s="99" t="n"/>
      <c r="G12" s="100" t="n"/>
      <c r="H12" s="104" t="str">
        <f>IF(A12="","",IF(AND(p_ModoCot="Automático",ISNUMBER(Z12)),Z12,IF(N(G12)&gt;0,G12,0)))</f>
        <v/>
      </c>
      <c r="I12" s="105" t="str">
        <f>IF(A12="","",IF(W12=0,"Sem câmbio",IF(AND(p_ModoCot="Automático",ISNUMBER(Z12)),"Auto",IF(N(G12)&gt;0,"Manual","Sem cotação"))))</f>
        <v/>
      </c>
      <c r="J12" s="106" t="str">
        <f>IF(A12="","",N(E12)*H12)</f>
        <v/>
      </c>
      <c r="K12" s="107" t="str">
        <f>IF(A12="","",J12*W12)</f>
        <v/>
      </c>
      <c r="L12" s="108" t="str">
        <f>IF(A12="","",IF($K$6&gt;0,K12/$K$6,0))</f>
        <v/>
      </c>
      <c r="M12" s="109" t="str">
        <f>IF(A12="","",N(F12)-L12)</f>
        <v/>
      </c>
      <c r="N12" s="108" t="str">
        <f>IF(A12="","",IF($AB$6&gt;0,AB12/$AB$6,0))</f>
        <v/>
      </c>
      <c r="O12" s="110" t="str">
        <f>IF(A12="","",IF(AB12&lt;=0,"",COUNTIF($AB$9:$AB$108,"&gt;"&amp;AB12)+COUNTIF($AB$9:AB12,AB12)))</f>
        <v/>
      </c>
      <c r="P12" s="105" t="str">
        <f>IF(A12="","",IF(Q12&gt;0,"BUY","HOLD"))</f>
        <v/>
      </c>
      <c r="Q12" s="107" t="str">
        <f>IF(A12="","",IF($W$7&lt;=0,0,IF($AC$6&gt;0,$W$7*AC12/$AC$6,IF($F$6&gt;0,$W$7*N(F12)/$F$6,0))))</f>
        <v/>
      </c>
      <c r="R12" s="111" t="str">
        <f>IF(A12="","",N(AD12)+IF(AI12=1,N(AG12),0))</f>
        <v/>
      </c>
      <c r="S12" s="111" t="str">
        <f>IF(A12="","",N(E12)+N(R12))</f>
        <v/>
      </c>
      <c r="T12" s="107" t="str">
        <f>IF(A12="","",IF(N(R12)&gt;0,R12*H12*W12*$W$6+p_CorrFixa,0))</f>
        <v/>
      </c>
      <c r="V12" s="85" t="str">
        <f>IF(A12="","",IF(D12="",$W$1,D12))</f>
        <v/>
      </c>
      <c r="W12" s="85" t="str">
        <f>IF(A12="","",IFERROR(INDEX(moeda_fx,MATCH(V12,moeda_cod,0)),0))</f>
        <v/>
      </c>
      <c r="X12" s="85" t="str">
        <f>IF(A12="","",IF($W$2="",UPPER(TRIM(A12)),IF(RIGHT(UPPER(TRIM(A12)),LEN($W$2))=$W$2,UPPER(TRIM(A12)),UPPER(TRIM(A12))&amp;$W$2)))</f>
        <v/>
      </c>
      <c r="Y12" s="85" t="str">
        <f>IF(OR(A12="",p_ModoCot&lt;&gt;"Automático"),"",IFERROR(_xlfn.WEBSERVICE("https://query1.finance.yahoo.com/v8/finance/chart/"&amp;X12&amp;"?range=1d&amp;interval=1d"),""))</f>
        <v/>
      </c>
      <c r="Z12" s="85" t="str">
        <f>IF(Y12="","",IFERROR(_xlfn.NUMBERVALUE(MID(Y12,SEARCH("""regularMarketPrice"":",Y12)+21,SEARCH(",",Y12&amp;",",SEARCH("""regularMarketPrice"":",Y12)+21)-SEARCH("""regularMarketPrice"":",Y12)-21),".",","),""))</f>
        <v/>
      </c>
      <c r="AA12" s="85" t="str">
        <f>IF(A12="","",ROUND(MAX(0,N(F12)*($K$6+$W$7)-K12),2))</f>
        <v/>
      </c>
      <c r="AB12" s="85" t="str">
        <f>IF(A12="","",IF(AND(M12&gt;0,M12&gt;=p_DifMin),AA12,0))</f>
        <v/>
      </c>
      <c r="AC12" s="85" t="str">
        <f>IF(A12="","",IF(AND(AB12&gt;0,N(O12)&lt;=p_MaxAtivos),AB12,0))</f>
        <v/>
      </c>
      <c r="AD12" s="85" t="str">
        <f>IF(A12="","",IF(OR(Q12&lt;=0,Q12&lt;p_CompraMin,N(H12)&lt;=0,N(W12)&lt;=0),0,IF($W$3="Sim",TRUNC(ROUND(MAX(0,(Q12-p_CorrFixa)/(H12*W12*$W$6)),9),$W$4),TRUNC(ROUND(MAX(0,(Q12-p_CorrFixa)/(H12*W12*$W$6)),9)/$W$5)*$W$5)))</f>
        <v/>
      </c>
      <c r="AE12" s="85" t="str">
        <f>IF(A12="","",IF(N(AD12)&gt;0,AD12*H12*W12*$W$6+p_CorrFixa,0))</f>
        <v/>
      </c>
      <c r="AF12" s="85" t="str">
        <f>IF(A12="","",IF(OR($Y$1&lt;=0,N(H12)&lt;=0,N(W12)&lt;=0,N(AB12)&lt;=0),0,IF($W$3="Sim",TRUNC(ROUND(MAX(0,($Y$1-IF(N(AD12)&gt;0,0,p_CorrFixa))/(H12*W12*$W$6)),9),$W$4),TRUNC(ROUND(MAX(0,($Y$1-IF(N(AD12)&gt;0,0,p_CorrFixa))/(H12*W12*$W$6)),9)/$W$5)*$W$5)))</f>
        <v/>
      </c>
      <c r="AG12" s="85" t="str">
        <f>IF(A12="","",IF(AND(N(AD12)=0,N(AF12)*(H12*W12*$W$6)+p_CorrFixa&lt;p_CompraMin),0,AF12))</f>
        <v/>
      </c>
      <c r="AH12" s="85" t="str">
        <f>IF(A12="","",IF(N(AG12)&gt;0,AB12,0))</f>
        <v/>
      </c>
      <c r="AI12" s="85" t="str">
        <f>IF(A12="","",IF(AND(AH12&gt;0,AH12=$AH$6,COUNTIF($AH$9:AH12,AH12)=1),1,0))</f>
        <v/>
      </c>
    </row>
    <row r="13">
      <c r="A13" s="96" t="n"/>
      <c r="B13" s="96" t="n"/>
      <c r="C13" s="96" t="n"/>
      <c r="D13" s="97" t="n"/>
      <c r="E13" s="98" t="n"/>
      <c r="F13" s="99" t="n"/>
      <c r="G13" s="100" t="n"/>
      <c r="H13" s="101" t="str">
        <f>IF(A13="","",IF(AND(p_ModoCot="Automático",ISNUMBER(Z13)),Z13,IF(N(G13)&gt;0,G13,0)))</f>
        <v/>
      </c>
      <c r="I13" s="73" t="str">
        <f>IF(A13="","",IF(W13=0,"Sem câmbio",IF(AND(p_ModoCot="Automático",ISNUMBER(Z13)),"Auto",IF(N(G13)&gt;0,"Manual","Sem cotação"))))</f>
        <v/>
      </c>
      <c r="J13" s="102" t="str">
        <f>IF(A13="","",N(E13)*H13)</f>
        <v/>
      </c>
      <c r="K13" s="70" t="str">
        <f>IF(A13="","",J13*W13)</f>
        <v/>
      </c>
      <c r="L13" s="30" t="str">
        <f>IF(A13="","",IF($K$6&gt;0,K13/$K$6,0))</f>
        <v/>
      </c>
      <c r="M13" s="72" t="str">
        <f>IF(A13="","",N(F13)-L13)</f>
        <v/>
      </c>
      <c r="N13" s="30" t="str">
        <f>IF(A13="","",IF($AB$6&gt;0,AB13/$AB$6,0))</f>
        <v/>
      </c>
      <c r="O13" s="74" t="str">
        <f>IF(A13="","",IF(AB13&lt;=0,"",COUNTIF($AB$9:$AB$108,"&gt;"&amp;AB13)+COUNTIF($AB$9:AB13,AB13)))</f>
        <v/>
      </c>
      <c r="P13" s="73" t="str">
        <f>IF(A13="","",IF(Q13&gt;0,"BUY","HOLD"))</f>
        <v/>
      </c>
      <c r="Q13" s="70" t="str">
        <f>IF(A13="","",IF($W$7&lt;=0,0,IF($AC$6&gt;0,$W$7*AC13/$AC$6,IF($F$6&gt;0,$W$7*N(F13)/$F$6,0))))</f>
        <v/>
      </c>
      <c r="R13" s="103" t="str">
        <f>IF(A13="","",N(AD13)+IF(AI13=1,N(AG13),0))</f>
        <v/>
      </c>
      <c r="S13" s="103" t="str">
        <f>IF(A13="","",N(E13)+N(R13))</f>
        <v/>
      </c>
      <c r="T13" s="70" t="str">
        <f>IF(A13="","",IF(N(R13)&gt;0,R13*H13*W13*$W$6+p_CorrFixa,0))</f>
        <v/>
      </c>
      <c r="V13" s="85" t="str">
        <f>IF(A13="","",IF(D13="",$W$1,D13))</f>
        <v/>
      </c>
      <c r="W13" s="85" t="str">
        <f>IF(A13="","",IFERROR(INDEX(moeda_fx,MATCH(V13,moeda_cod,0)),0))</f>
        <v/>
      </c>
      <c r="X13" s="85" t="str">
        <f>IF(A13="","",IF($W$2="",UPPER(TRIM(A13)),IF(RIGHT(UPPER(TRIM(A13)),LEN($W$2))=$W$2,UPPER(TRIM(A13)),UPPER(TRIM(A13))&amp;$W$2)))</f>
        <v/>
      </c>
      <c r="Y13" s="85" t="str">
        <f>IF(OR(A13="",p_ModoCot&lt;&gt;"Automático"),"",IFERROR(_xlfn.WEBSERVICE("https://query1.finance.yahoo.com/v8/finance/chart/"&amp;X13&amp;"?range=1d&amp;interval=1d"),""))</f>
        <v/>
      </c>
      <c r="Z13" s="85" t="str">
        <f>IF(Y13="","",IFERROR(_xlfn.NUMBERVALUE(MID(Y13,SEARCH("""regularMarketPrice"":",Y13)+21,SEARCH(",",Y13&amp;",",SEARCH("""regularMarketPrice"":",Y13)+21)-SEARCH("""regularMarketPrice"":",Y13)-21),".",","),""))</f>
        <v/>
      </c>
      <c r="AA13" s="85" t="str">
        <f>IF(A13="","",ROUND(MAX(0,N(F13)*($K$6+$W$7)-K13),2))</f>
        <v/>
      </c>
      <c r="AB13" s="85" t="str">
        <f>IF(A13="","",IF(AND(M13&gt;0,M13&gt;=p_DifMin),AA13,0))</f>
        <v/>
      </c>
      <c r="AC13" s="85" t="str">
        <f>IF(A13="","",IF(AND(AB13&gt;0,N(O13)&lt;=p_MaxAtivos),AB13,0))</f>
        <v/>
      </c>
      <c r="AD13" s="85" t="str">
        <f>IF(A13="","",IF(OR(Q13&lt;=0,Q13&lt;p_CompraMin,N(H13)&lt;=0,N(W13)&lt;=0),0,IF($W$3="Sim",TRUNC(ROUND(MAX(0,(Q13-p_CorrFixa)/(H13*W13*$W$6)),9),$W$4),TRUNC(ROUND(MAX(0,(Q13-p_CorrFixa)/(H13*W13*$W$6)),9)/$W$5)*$W$5)))</f>
        <v/>
      </c>
      <c r="AE13" s="85" t="str">
        <f>IF(A13="","",IF(N(AD13)&gt;0,AD13*H13*W13*$W$6+p_CorrFixa,0))</f>
        <v/>
      </c>
      <c r="AF13" s="85" t="str">
        <f>IF(A13="","",IF(OR($Y$1&lt;=0,N(H13)&lt;=0,N(W13)&lt;=0,N(AB13)&lt;=0),0,IF($W$3="Sim",TRUNC(ROUND(MAX(0,($Y$1-IF(N(AD13)&gt;0,0,p_CorrFixa))/(H13*W13*$W$6)),9),$W$4),TRUNC(ROUND(MAX(0,($Y$1-IF(N(AD13)&gt;0,0,p_CorrFixa))/(H13*W13*$W$6)),9)/$W$5)*$W$5)))</f>
        <v/>
      </c>
      <c r="AG13" s="85" t="str">
        <f>IF(A13="","",IF(AND(N(AD13)=0,N(AF13)*(H13*W13*$W$6)+p_CorrFixa&lt;p_CompraMin),0,AF13))</f>
        <v/>
      </c>
      <c r="AH13" s="85" t="str">
        <f>IF(A13="","",IF(N(AG13)&gt;0,AB13,0))</f>
        <v/>
      </c>
      <c r="AI13" s="85" t="str">
        <f>IF(A13="","",IF(AND(AH13&gt;0,AH13=$AH$6,COUNTIF($AH$9:AH13,AH13)=1),1,0))</f>
        <v/>
      </c>
    </row>
    <row r="14">
      <c r="A14" s="96" t="n"/>
      <c r="B14" s="96" t="n"/>
      <c r="C14" s="96" t="n"/>
      <c r="D14" s="97" t="n"/>
      <c r="E14" s="98" t="n"/>
      <c r="F14" s="99" t="n"/>
      <c r="G14" s="100" t="n"/>
      <c r="H14" s="104" t="str">
        <f>IF(A14="","",IF(AND(p_ModoCot="Automático",ISNUMBER(Z14)),Z14,IF(N(G14)&gt;0,G14,0)))</f>
        <v/>
      </c>
      <c r="I14" s="105" t="str">
        <f>IF(A14="","",IF(W14=0,"Sem câmbio",IF(AND(p_ModoCot="Automático",ISNUMBER(Z14)),"Auto",IF(N(G14)&gt;0,"Manual","Sem cotação"))))</f>
        <v/>
      </c>
      <c r="J14" s="106" t="str">
        <f>IF(A14="","",N(E14)*H14)</f>
        <v/>
      </c>
      <c r="K14" s="107" t="str">
        <f>IF(A14="","",J14*W14)</f>
        <v/>
      </c>
      <c r="L14" s="108" t="str">
        <f>IF(A14="","",IF($K$6&gt;0,K14/$K$6,0))</f>
        <v/>
      </c>
      <c r="M14" s="109" t="str">
        <f>IF(A14="","",N(F14)-L14)</f>
        <v/>
      </c>
      <c r="N14" s="108" t="str">
        <f>IF(A14="","",IF($AB$6&gt;0,AB14/$AB$6,0))</f>
        <v/>
      </c>
      <c r="O14" s="110" t="str">
        <f>IF(A14="","",IF(AB14&lt;=0,"",COUNTIF($AB$9:$AB$108,"&gt;"&amp;AB14)+COUNTIF($AB$9:AB14,AB14)))</f>
        <v/>
      </c>
      <c r="P14" s="105" t="str">
        <f>IF(A14="","",IF(Q14&gt;0,"BUY","HOLD"))</f>
        <v/>
      </c>
      <c r="Q14" s="107" t="str">
        <f>IF(A14="","",IF($W$7&lt;=0,0,IF($AC$6&gt;0,$W$7*AC14/$AC$6,IF($F$6&gt;0,$W$7*N(F14)/$F$6,0))))</f>
        <v/>
      </c>
      <c r="R14" s="111" t="str">
        <f>IF(A14="","",N(AD14)+IF(AI14=1,N(AG14),0))</f>
        <v/>
      </c>
      <c r="S14" s="111" t="str">
        <f>IF(A14="","",N(E14)+N(R14))</f>
        <v/>
      </c>
      <c r="T14" s="107" t="str">
        <f>IF(A14="","",IF(N(R14)&gt;0,R14*H14*W14*$W$6+p_CorrFixa,0))</f>
        <v/>
      </c>
      <c r="V14" s="85" t="str">
        <f>IF(A14="","",IF(D14="",$W$1,D14))</f>
        <v/>
      </c>
      <c r="W14" s="85" t="str">
        <f>IF(A14="","",IFERROR(INDEX(moeda_fx,MATCH(V14,moeda_cod,0)),0))</f>
        <v/>
      </c>
      <c r="X14" s="85" t="str">
        <f>IF(A14="","",IF($W$2="",UPPER(TRIM(A14)),IF(RIGHT(UPPER(TRIM(A14)),LEN($W$2))=$W$2,UPPER(TRIM(A14)),UPPER(TRIM(A14))&amp;$W$2)))</f>
        <v/>
      </c>
      <c r="Y14" s="85" t="str">
        <f>IF(OR(A14="",p_ModoCot&lt;&gt;"Automático"),"",IFERROR(_xlfn.WEBSERVICE("https://query1.finance.yahoo.com/v8/finance/chart/"&amp;X14&amp;"?range=1d&amp;interval=1d"),""))</f>
        <v/>
      </c>
      <c r="Z14" s="85" t="str">
        <f>IF(Y14="","",IFERROR(_xlfn.NUMBERVALUE(MID(Y14,SEARCH("""regularMarketPrice"":",Y14)+21,SEARCH(",",Y14&amp;",",SEARCH("""regularMarketPrice"":",Y14)+21)-SEARCH("""regularMarketPrice"":",Y14)-21),".",","),""))</f>
        <v/>
      </c>
      <c r="AA14" s="85" t="str">
        <f>IF(A14="","",ROUND(MAX(0,N(F14)*($K$6+$W$7)-K14),2))</f>
        <v/>
      </c>
      <c r="AB14" s="85" t="str">
        <f>IF(A14="","",IF(AND(M14&gt;0,M14&gt;=p_DifMin),AA14,0))</f>
        <v/>
      </c>
      <c r="AC14" s="85" t="str">
        <f>IF(A14="","",IF(AND(AB14&gt;0,N(O14)&lt;=p_MaxAtivos),AB14,0))</f>
        <v/>
      </c>
      <c r="AD14" s="85" t="str">
        <f>IF(A14="","",IF(OR(Q14&lt;=0,Q14&lt;p_CompraMin,N(H14)&lt;=0,N(W14)&lt;=0),0,IF($W$3="Sim",TRUNC(ROUND(MAX(0,(Q14-p_CorrFixa)/(H14*W14*$W$6)),9),$W$4),TRUNC(ROUND(MAX(0,(Q14-p_CorrFixa)/(H14*W14*$W$6)),9)/$W$5)*$W$5)))</f>
        <v/>
      </c>
      <c r="AE14" s="85" t="str">
        <f>IF(A14="","",IF(N(AD14)&gt;0,AD14*H14*W14*$W$6+p_CorrFixa,0))</f>
        <v/>
      </c>
      <c r="AF14" s="85" t="str">
        <f>IF(A14="","",IF(OR($Y$1&lt;=0,N(H14)&lt;=0,N(W14)&lt;=0,N(AB14)&lt;=0),0,IF($W$3="Sim",TRUNC(ROUND(MAX(0,($Y$1-IF(N(AD14)&gt;0,0,p_CorrFixa))/(H14*W14*$W$6)),9),$W$4),TRUNC(ROUND(MAX(0,($Y$1-IF(N(AD14)&gt;0,0,p_CorrFixa))/(H14*W14*$W$6)),9)/$W$5)*$W$5)))</f>
        <v/>
      </c>
      <c r="AG14" s="85" t="str">
        <f>IF(A14="","",IF(AND(N(AD14)=0,N(AF14)*(H14*W14*$W$6)+p_CorrFixa&lt;p_CompraMin),0,AF14))</f>
        <v/>
      </c>
      <c r="AH14" s="85" t="str">
        <f>IF(A14="","",IF(N(AG14)&gt;0,AB14,0))</f>
        <v/>
      </c>
      <c r="AI14" s="85" t="str">
        <f>IF(A14="","",IF(AND(AH14&gt;0,AH14=$AH$6,COUNTIF($AH$9:AH14,AH14)=1),1,0))</f>
        <v/>
      </c>
    </row>
    <row r="15">
      <c r="A15" s="96" t="n"/>
      <c r="B15" s="96" t="n"/>
      <c r="C15" s="96" t="n"/>
      <c r="D15" s="97" t="n"/>
      <c r="E15" s="98" t="n"/>
      <c r="F15" s="99" t="n"/>
      <c r="G15" s="100" t="n"/>
      <c r="H15" s="101" t="str">
        <f>IF(A15="","",IF(AND(p_ModoCot="Automático",ISNUMBER(Z15)),Z15,IF(N(G15)&gt;0,G15,0)))</f>
        <v/>
      </c>
      <c r="I15" s="73" t="str">
        <f>IF(A15="","",IF(W15=0,"Sem câmbio",IF(AND(p_ModoCot="Automático",ISNUMBER(Z15)),"Auto",IF(N(G15)&gt;0,"Manual","Sem cotação"))))</f>
        <v/>
      </c>
      <c r="J15" s="102" t="str">
        <f>IF(A15="","",N(E15)*H15)</f>
        <v/>
      </c>
      <c r="K15" s="70" t="str">
        <f>IF(A15="","",J15*W15)</f>
        <v/>
      </c>
      <c r="L15" s="30" t="str">
        <f>IF(A15="","",IF($K$6&gt;0,K15/$K$6,0))</f>
        <v/>
      </c>
      <c r="M15" s="72" t="str">
        <f>IF(A15="","",N(F15)-L15)</f>
        <v/>
      </c>
      <c r="N15" s="30" t="str">
        <f>IF(A15="","",IF($AB$6&gt;0,AB15/$AB$6,0))</f>
        <v/>
      </c>
      <c r="O15" s="74" t="str">
        <f>IF(A15="","",IF(AB15&lt;=0,"",COUNTIF($AB$9:$AB$108,"&gt;"&amp;AB15)+COUNTIF($AB$9:AB15,AB15)))</f>
        <v/>
      </c>
      <c r="P15" s="73" t="str">
        <f>IF(A15="","",IF(Q15&gt;0,"BUY","HOLD"))</f>
        <v/>
      </c>
      <c r="Q15" s="70" t="str">
        <f>IF(A15="","",IF($W$7&lt;=0,0,IF($AC$6&gt;0,$W$7*AC15/$AC$6,IF($F$6&gt;0,$W$7*N(F15)/$F$6,0))))</f>
        <v/>
      </c>
      <c r="R15" s="103" t="str">
        <f>IF(A15="","",N(AD15)+IF(AI15=1,N(AG15),0))</f>
        <v/>
      </c>
      <c r="S15" s="103" t="str">
        <f>IF(A15="","",N(E15)+N(R15))</f>
        <v/>
      </c>
      <c r="T15" s="70" t="str">
        <f>IF(A15="","",IF(N(R15)&gt;0,R15*H15*W15*$W$6+p_CorrFixa,0))</f>
        <v/>
      </c>
      <c r="V15" s="85" t="str">
        <f>IF(A15="","",IF(D15="",$W$1,D15))</f>
        <v/>
      </c>
      <c r="W15" s="85" t="str">
        <f>IF(A15="","",IFERROR(INDEX(moeda_fx,MATCH(V15,moeda_cod,0)),0))</f>
        <v/>
      </c>
      <c r="X15" s="85" t="str">
        <f>IF(A15="","",IF($W$2="",UPPER(TRIM(A15)),IF(RIGHT(UPPER(TRIM(A15)),LEN($W$2))=$W$2,UPPER(TRIM(A15)),UPPER(TRIM(A15))&amp;$W$2)))</f>
        <v/>
      </c>
      <c r="Y15" s="85" t="str">
        <f>IF(OR(A15="",p_ModoCot&lt;&gt;"Automático"),"",IFERROR(_xlfn.WEBSERVICE("https://query1.finance.yahoo.com/v8/finance/chart/"&amp;X15&amp;"?range=1d&amp;interval=1d"),""))</f>
        <v/>
      </c>
      <c r="Z15" s="85" t="str">
        <f>IF(Y15="","",IFERROR(_xlfn.NUMBERVALUE(MID(Y15,SEARCH("""regularMarketPrice"":",Y15)+21,SEARCH(",",Y15&amp;",",SEARCH("""regularMarketPrice"":",Y15)+21)-SEARCH("""regularMarketPrice"":",Y15)-21),".",","),""))</f>
        <v/>
      </c>
      <c r="AA15" s="85" t="str">
        <f>IF(A15="","",ROUND(MAX(0,N(F15)*($K$6+$W$7)-K15),2))</f>
        <v/>
      </c>
      <c r="AB15" s="85" t="str">
        <f>IF(A15="","",IF(AND(M15&gt;0,M15&gt;=p_DifMin),AA15,0))</f>
        <v/>
      </c>
      <c r="AC15" s="85" t="str">
        <f>IF(A15="","",IF(AND(AB15&gt;0,N(O15)&lt;=p_MaxAtivos),AB15,0))</f>
        <v/>
      </c>
      <c r="AD15" s="85" t="str">
        <f>IF(A15="","",IF(OR(Q15&lt;=0,Q15&lt;p_CompraMin,N(H15)&lt;=0,N(W15)&lt;=0),0,IF($W$3="Sim",TRUNC(ROUND(MAX(0,(Q15-p_CorrFixa)/(H15*W15*$W$6)),9),$W$4),TRUNC(ROUND(MAX(0,(Q15-p_CorrFixa)/(H15*W15*$W$6)),9)/$W$5)*$W$5)))</f>
        <v/>
      </c>
      <c r="AE15" s="85" t="str">
        <f>IF(A15="","",IF(N(AD15)&gt;0,AD15*H15*W15*$W$6+p_CorrFixa,0))</f>
        <v/>
      </c>
      <c r="AF15" s="85" t="str">
        <f>IF(A15="","",IF(OR($Y$1&lt;=0,N(H15)&lt;=0,N(W15)&lt;=0,N(AB15)&lt;=0),0,IF($W$3="Sim",TRUNC(ROUND(MAX(0,($Y$1-IF(N(AD15)&gt;0,0,p_CorrFixa))/(H15*W15*$W$6)),9),$W$4),TRUNC(ROUND(MAX(0,($Y$1-IF(N(AD15)&gt;0,0,p_CorrFixa))/(H15*W15*$W$6)),9)/$W$5)*$W$5)))</f>
        <v/>
      </c>
      <c r="AG15" s="85" t="str">
        <f>IF(A15="","",IF(AND(N(AD15)=0,N(AF15)*(H15*W15*$W$6)+p_CorrFixa&lt;p_CompraMin),0,AF15))</f>
        <v/>
      </c>
      <c r="AH15" s="85" t="str">
        <f>IF(A15="","",IF(N(AG15)&gt;0,AB15,0))</f>
        <v/>
      </c>
      <c r="AI15" s="85" t="str">
        <f>IF(A15="","",IF(AND(AH15&gt;0,AH15=$AH$6,COUNTIF($AH$9:AH15,AH15)=1),1,0))</f>
        <v/>
      </c>
    </row>
    <row r="16">
      <c r="A16" s="96" t="n"/>
      <c r="B16" s="96" t="n"/>
      <c r="C16" s="96" t="n"/>
      <c r="D16" s="97" t="n"/>
      <c r="E16" s="98" t="n"/>
      <c r="F16" s="99" t="n"/>
      <c r="G16" s="100" t="n"/>
      <c r="H16" s="104" t="str">
        <f>IF(A16="","",IF(AND(p_ModoCot="Automático",ISNUMBER(Z16)),Z16,IF(N(G16)&gt;0,G16,0)))</f>
        <v/>
      </c>
      <c r="I16" s="105" t="str">
        <f>IF(A16="","",IF(W16=0,"Sem câmbio",IF(AND(p_ModoCot="Automático",ISNUMBER(Z16)),"Auto",IF(N(G16)&gt;0,"Manual","Sem cotação"))))</f>
        <v/>
      </c>
      <c r="J16" s="106" t="str">
        <f>IF(A16="","",N(E16)*H16)</f>
        <v/>
      </c>
      <c r="K16" s="107" t="str">
        <f>IF(A16="","",J16*W16)</f>
        <v/>
      </c>
      <c r="L16" s="108" t="str">
        <f>IF(A16="","",IF($K$6&gt;0,K16/$K$6,0))</f>
        <v/>
      </c>
      <c r="M16" s="109" t="str">
        <f>IF(A16="","",N(F16)-L16)</f>
        <v/>
      </c>
      <c r="N16" s="108" t="str">
        <f>IF(A16="","",IF($AB$6&gt;0,AB16/$AB$6,0))</f>
        <v/>
      </c>
      <c r="O16" s="110" t="str">
        <f>IF(A16="","",IF(AB16&lt;=0,"",COUNTIF($AB$9:$AB$108,"&gt;"&amp;AB16)+COUNTIF($AB$9:AB16,AB16)))</f>
        <v/>
      </c>
      <c r="P16" s="105" t="str">
        <f>IF(A16="","",IF(Q16&gt;0,"BUY","HOLD"))</f>
        <v/>
      </c>
      <c r="Q16" s="107" t="str">
        <f>IF(A16="","",IF($W$7&lt;=0,0,IF($AC$6&gt;0,$W$7*AC16/$AC$6,IF($F$6&gt;0,$W$7*N(F16)/$F$6,0))))</f>
        <v/>
      </c>
      <c r="R16" s="111" t="str">
        <f>IF(A16="","",N(AD16)+IF(AI16=1,N(AG16),0))</f>
        <v/>
      </c>
      <c r="S16" s="111" t="str">
        <f>IF(A16="","",N(E16)+N(R16))</f>
        <v/>
      </c>
      <c r="T16" s="107" t="str">
        <f>IF(A16="","",IF(N(R16)&gt;0,R16*H16*W16*$W$6+p_CorrFixa,0))</f>
        <v/>
      </c>
      <c r="V16" s="85" t="str">
        <f>IF(A16="","",IF(D16="",$W$1,D16))</f>
        <v/>
      </c>
      <c r="W16" s="85" t="str">
        <f>IF(A16="","",IFERROR(INDEX(moeda_fx,MATCH(V16,moeda_cod,0)),0))</f>
        <v/>
      </c>
      <c r="X16" s="85" t="str">
        <f>IF(A16="","",IF($W$2="",UPPER(TRIM(A16)),IF(RIGHT(UPPER(TRIM(A16)),LEN($W$2))=$W$2,UPPER(TRIM(A16)),UPPER(TRIM(A16))&amp;$W$2)))</f>
        <v/>
      </c>
      <c r="Y16" s="85" t="str">
        <f>IF(OR(A16="",p_ModoCot&lt;&gt;"Automático"),"",IFERROR(_xlfn.WEBSERVICE("https://query1.finance.yahoo.com/v8/finance/chart/"&amp;X16&amp;"?range=1d&amp;interval=1d"),""))</f>
        <v/>
      </c>
      <c r="Z16" s="85" t="str">
        <f>IF(Y16="","",IFERROR(_xlfn.NUMBERVALUE(MID(Y16,SEARCH("""regularMarketPrice"":",Y16)+21,SEARCH(",",Y16&amp;",",SEARCH("""regularMarketPrice"":",Y16)+21)-SEARCH("""regularMarketPrice"":",Y16)-21),".",","),""))</f>
        <v/>
      </c>
      <c r="AA16" s="85" t="str">
        <f>IF(A16="","",ROUND(MAX(0,N(F16)*($K$6+$W$7)-K16),2))</f>
        <v/>
      </c>
      <c r="AB16" s="85" t="str">
        <f>IF(A16="","",IF(AND(M16&gt;0,M16&gt;=p_DifMin),AA16,0))</f>
        <v/>
      </c>
      <c r="AC16" s="85" t="str">
        <f>IF(A16="","",IF(AND(AB16&gt;0,N(O16)&lt;=p_MaxAtivos),AB16,0))</f>
        <v/>
      </c>
      <c r="AD16" s="85" t="str">
        <f>IF(A16="","",IF(OR(Q16&lt;=0,Q16&lt;p_CompraMin,N(H16)&lt;=0,N(W16)&lt;=0),0,IF($W$3="Sim",TRUNC(ROUND(MAX(0,(Q16-p_CorrFixa)/(H16*W16*$W$6)),9),$W$4),TRUNC(ROUND(MAX(0,(Q16-p_CorrFixa)/(H16*W16*$W$6)),9)/$W$5)*$W$5)))</f>
        <v/>
      </c>
      <c r="AE16" s="85" t="str">
        <f>IF(A16="","",IF(N(AD16)&gt;0,AD16*H16*W16*$W$6+p_CorrFixa,0))</f>
        <v/>
      </c>
      <c r="AF16" s="85" t="str">
        <f>IF(A16="","",IF(OR($Y$1&lt;=0,N(H16)&lt;=0,N(W16)&lt;=0,N(AB16)&lt;=0),0,IF($W$3="Sim",TRUNC(ROUND(MAX(0,($Y$1-IF(N(AD16)&gt;0,0,p_CorrFixa))/(H16*W16*$W$6)),9),$W$4),TRUNC(ROUND(MAX(0,($Y$1-IF(N(AD16)&gt;0,0,p_CorrFixa))/(H16*W16*$W$6)),9)/$W$5)*$W$5)))</f>
        <v/>
      </c>
      <c r="AG16" s="85" t="str">
        <f>IF(A16="","",IF(AND(N(AD16)=0,N(AF16)*(H16*W16*$W$6)+p_CorrFixa&lt;p_CompraMin),0,AF16))</f>
        <v/>
      </c>
      <c r="AH16" s="85" t="str">
        <f>IF(A16="","",IF(N(AG16)&gt;0,AB16,0))</f>
        <v/>
      </c>
      <c r="AI16" s="85" t="str">
        <f>IF(A16="","",IF(AND(AH16&gt;0,AH16=$AH$6,COUNTIF($AH$9:AH16,AH16)=1),1,0))</f>
        <v/>
      </c>
    </row>
    <row r="17">
      <c r="A17" s="96" t="n"/>
      <c r="B17" s="96" t="n"/>
      <c r="C17" s="96" t="n"/>
      <c r="D17" s="97" t="n"/>
      <c r="E17" s="98" t="n"/>
      <c r="F17" s="99" t="n"/>
      <c r="G17" s="100" t="n"/>
      <c r="H17" s="101" t="str">
        <f>IF(A17="","",IF(AND(p_ModoCot="Automático",ISNUMBER(Z17)),Z17,IF(N(G17)&gt;0,G17,0)))</f>
        <v/>
      </c>
      <c r="I17" s="73" t="str">
        <f>IF(A17="","",IF(W17=0,"Sem câmbio",IF(AND(p_ModoCot="Automático",ISNUMBER(Z17)),"Auto",IF(N(G17)&gt;0,"Manual","Sem cotação"))))</f>
        <v/>
      </c>
      <c r="J17" s="102" t="str">
        <f>IF(A17="","",N(E17)*H17)</f>
        <v/>
      </c>
      <c r="K17" s="70" t="str">
        <f>IF(A17="","",J17*W17)</f>
        <v/>
      </c>
      <c r="L17" s="30" t="str">
        <f>IF(A17="","",IF($K$6&gt;0,K17/$K$6,0))</f>
        <v/>
      </c>
      <c r="M17" s="72" t="str">
        <f>IF(A17="","",N(F17)-L17)</f>
        <v/>
      </c>
      <c r="N17" s="30" t="str">
        <f>IF(A17="","",IF($AB$6&gt;0,AB17/$AB$6,0))</f>
        <v/>
      </c>
      <c r="O17" s="74" t="str">
        <f>IF(A17="","",IF(AB17&lt;=0,"",COUNTIF($AB$9:$AB$108,"&gt;"&amp;AB17)+COUNTIF($AB$9:AB17,AB17)))</f>
        <v/>
      </c>
      <c r="P17" s="73" t="str">
        <f>IF(A17="","",IF(Q17&gt;0,"BUY","HOLD"))</f>
        <v/>
      </c>
      <c r="Q17" s="70" t="str">
        <f>IF(A17="","",IF($W$7&lt;=0,0,IF($AC$6&gt;0,$W$7*AC17/$AC$6,IF($F$6&gt;0,$W$7*N(F17)/$F$6,0))))</f>
        <v/>
      </c>
      <c r="R17" s="103" t="str">
        <f>IF(A17="","",N(AD17)+IF(AI17=1,N(AG17),0))</f>
        <v/>
      </c>
      <c r="S17" s="103" t="str">
        <f>IF(A17="","",N(E17)+N(R17))</f>
        <v/>
      </c>
      <c r="T17" s="70" t="str">
        <f>IF(A17="","",IF(N(R17)&gt;0,R17*H17*W17*$W$6+p_CorrFixa,0))</f>
        <v/>
      </c>
      <c r="V17" s="85" t="str">
        <f>IF(A17="","",IF(D17="",$W$1,D17))</f>
        <v/>
      </c>
      <c r="W17" s="85" t="str">
        <f>IF(A17="","",IFERROR(INDEX(moeda_fx,MATCH(V17,moeda_cod,0)),0))</f>
        <v/>
      </c>
      <c r="X17" s="85" t="str">
        <f>IF(A17="","",IF($W$2="",UPPER(TRIM(A17)),IF(RIGHT(UPPER(TRIM(A17)),LEN($W$2))=$W$2,UPPER(TRIM(A17)),UPPER(TRIM(A17))&amp;$W$2)))</f>
        <v/>
      </c>
      <c r="Y17" s="85" t="str">
        <f>IF(OR(A17="",p_ModoCot&lt;&gt;"Automático"),"",IFERROR(_xlfn.WEBSERVICE("https://query1.finance.yahoo.com/v8/finance/chart/"&amp;X17&amp;"?range=1d&amp;interval=1d"),""))</f>
        <v/>
      </c>
      <c r="Z17" s="85" t="str">
        <f>IF(Y17="","",IFERROR(_xlfn.NUMBERVALUE(MID(Y17,SEARCH("""regularMarketPrice"":",Y17)+21,SEARCH(",",Y17&amp;",",SEARCH("""regularMarketPrice"":",Y17)+21)-SEARCH("""regularMarketPrice"":",Y17)-21),".",","),""))</f>
        <v/>
      </c>
      <c r="AA17" s="85" t="str">
        <f>IF(A17="","",ROUND(MAX(0,N(F17)*($K$6+$W$7)-K17),2))</f>
        <v/>
      </c>
      <c r="AB17" s="85" t="str">
        <f>IF(A17="","",IF(AND(M17&gt;0,M17&gt;=p_DifMin),AA17,0))</f>
        <v/>
      </c>
      <c r="AC17" s="85" t="str">
        <f>IF(A17="","",IF(AND(AB17&gt;0,N(O17)&lt;=p_MaxAtivos),AB17,0))</f>
        <v/>
      </c>
      <c r="AD17" s="85" t="str">
        <f>IF(A17="","",IF(OR(Q17&lt;=0,Q17&lt;p_CompraMin,N(H17)&lt;=0,N(W17)&lt;=0),0,IF($W$3="Sim",TRUNC(ROUND(MAX(0,(Q17-p_CorrFixa)/(H17*W17*$W$6)),9),$W$4),TRUNC(ROUND(MAX(0,(Q17-p_CorrFixa)/(H17*W17*$W$6)),9)/$W$5)*$W$5)))</f>
        <v/>
      </c>
      <c r="AE17" s="85" t="str">
        <f>IF(A17="","",IF(N(AD17)&gt;0,AD17*H17*W17*$W$6+p_CorrFixa,0))</f>
        <v/>
      </c>
      <c r="AF17" s="85" t="str">
        <f>IF(A17="","",IF(OR($Y$1&lt;=0,N(H17)&lt;=0,N(W17)&lt;=0,N(AB17)&lt;=0),0,IF($W$3="Sim",TRUNC(ROUND(MAX(0,($Y$1-IF(N(AD17)&gt;0,0,p_CorrFixa))/(H17*W17*$W$6)),9),$W$4),TRUNC(ROUND(MAX(0,($Y$1-IF(N(AD17)&gt;0,0,p_CorrFixa))/(H17*W17*$W$6)),9)/$W$5)*$W$5)))</f>
        <v/>
      </c>
      <c r="AG17" s="85" t="str">
        <f>IF(A17="","",IF(AND(N(AD17)=0,N(AF17)*(H17*W17*$W$6)+p_CorrFixa&lt;p_CompraMin),0,AF17))</f>
        <v/>
      </c>
      <c r="AH17" s="85" t="str">
        <f>IF(A17="","",IF(N(AG17)&gt;0,AB17,0))</f>
        <v/>
      </c>
      <c r="AI17" s="85" t="str">
        <f>IF(A17="","",IF(AND(AH17&gt;0,AH17=$AH$6,COUNTIF($AH$9:AH17,AH17)=1),1,0))</f>
        <v/>
      </c>
    </row>
    <row r="18">
      <c r="A18" s="96" t="n"/>
      <c r="B18" s="96" t="n"/>
      <c r="C18" s="96" t="n"/>
      <c r="D18" s="97" t="n"/>
      <c r="E18" s="98" t="n"/>
      <c r="F18" s="99" t="n"/>
      <c r="G18" s="100" t="n"/>
      <c r="H18" s="104" t="str">
        <f>IF(A18="","",IF(AND(p_ModoCot="Automático",ISNUMBER(Z18)),Z18,IF(N(G18)&gt;0,G18,0)))</f>
        <v/>
      </c>
      <c r="I18" s="105" t="str">
        <f>IF(A18="","",IF(W18=0,"Sem câmbio",IF(AND(p_ModoCot="Automático",ISNUMBER(Z18)),"Auto",IF(N(G18)&gt;0,"Manual","Sem cotação"))))</f>
        <v/>
      </c>
      <c r="J18" s="106" t="str">
        <f>IF(A18="","",N(E18)*H18)</f>
        <v/>
      </c>
      <c r="K18" s="107" t="str">
        <f>IF(A18="","",J18*W18)</f>
        <v/>
      </c>
      <c r="L18" s="108" t="str">
        <f>IF(A18="","",IF($K$6&gt;0,K18/$K$6,0))</f>
        <v/>
      </c>
      <c r="M18" s="109" t="str">
        <f>IF(A18="","",N(F18)-L18)</f>
        <v/>
      </c>
      <c r="N18" s="108" t="str">
        <f>IF(A18="","",IF($AB$6&gt;0,AB18/$AB$6,0))</f>
        <v/>
      </c>
      <c r="O18" s="110" t="str">
        <f>IF(A18="","",IF(AB18&lt;=0,"",COUNTIF($AB$9:$AB$108,"&gt;"&amp;AB18)+COUNTIF($AB$9:AB18,AB18)))</f>
        <v/>
      </c>
      <c r="P18" s="105" t="str">
        <f>IF(A18="","",IF(Q18&gt;0,"BUY","HOLD"))</f>
        <v/>
      </c>
      <c r="Q18" s="107" t="str">
        <f>IF(A18="","",IF($W$7&lt;=0,0,IF($AC$6&gt;0,$W$7*AC18/$AC$6,IF($F$6&gt;0,$W$7*N(F18)/$F$6,0))))</f>
        <v/>
      </c>
      <c r="R18" s="111" t="str">
        <f>IF(A18="","",N(AD18)+IF(AI18=1,N(AG18),0))</f>
        <v/>
      </c>
      <c r="S18" s="111" t="str">
        <f>IF(A18="","",N(E18)+N(R18))</f>
        <v/>
      </c>
      <c r="T18" s="107" t="str">
        <f>IF(A18="","",IF(N(R18)&gt;0,R18*H18*W18*$W$6+p_CorrFixa,0))</f>
        <v/>
      </c>
      <c r="V18" s="85" t="str">
        <f>IF(A18="","",IF(D18="",$W$1,D18))</f>
        <v/>
      </c>
      <c r="W18" s="85" t="str">
        <f>IF(A18="","",IFERROR(INDEX(moeda_fx,MATCH(V18,moeda_cod,0)),0))</f>
        <v/>
      </c>
      <c r="X18" s="85" t="str">
        <f>IF(A18="","",IF($W$2="",UPPER(TRIM(A18)),IF(RIGHT(UPPER(TRIM(A18)),LEN($W$2))=$W$2,UPPER(TRIM(A18)),UPPER(TRIM(A18))&amp;$W$2)))</f>
        <v/>
      </c>
      <c r="Y18" s="85" t="str">
        <f>IF(OR(A18="",p_ModoCot&lt;&gt;"Automático"),"",IFERROR(_xlfn.WEBSERVICE("https://query1.finance.yahoo.com/v8/finance/chart/"&amp;X18&amp;"?range=1d&amp;interval=1d"),""))</f>
        <v/>
      </c>
      <c r="Z18" s="85" t="str">
        <f>IF(Y18="","",IFERROR(_xlfn.NUMBERVALUE(MID(Y18,SEARCH("""regularMarketPrice"":",Y18)+21,SEARCH(",",Y18&amp;",",SEARCH("""regularMarketPrice"":",Y18)+21)-SEARCH("""regularMarketPrice"":",Y18)-21),".",","),""))</f>
        <v/>
      </c>
      <c r="AA18" s="85" t="str">
        <f>IF(A18="","",ROUND(MAX(0,N(F18)*($K$6+$W$7)-K18),2))</f>
        <v/>
      </c>
      <c r="AB18" s="85" t="str">
        <f>IF(A18="","",IF(AND(M18&gt;0,M18&gt;=p_DifMin),AA18,0))</f>
        <v/>
      </c>
      <c r="AC18" s="85" t="str">
        <f>IF(A18="","",IF(AND(AB18&gt;0,N(O18)&lt;=p_MaxAtivos),AB18,0))</f>
        <v/>
      </c>
      <c r="AD18" s="85" t="str">
        <f>IF(A18="","",IF(OR(Q18&lt;=0,Q18&lt;p_CompraMin,N(H18)&lt;=0,N(W18)&lt;=0),0,IF($W$3="Sim",TRUNC(ROUND(MAX(0,(Q18-p_CorrFixa)/(H18*W18*$W$6)),9),$W$4),TRUNC(ROUND(MAX(0,(Q18-p_CorrFixa)/(H18*W18*$W$6)),9)/$W$5)*$W$5)))</f>
        <v/>
      </c>
      <c r="AE18" s="85" t="str">
        <f>IF(A18="","",IF(N(AD18)&gt;0,AD18*H18*W18*$W$6+p_CorrFixa,0))</f>
        <v/>
      </c>
      <c r="AF18" s="85" t="str">
        <f>IF(A18="","",IF(OR($Y$1&lt;=0,N(H18)&lt;=0,N(W18)&lt;=0,N(AB18)&lt;=0),0,IF($W$3="Sim",TRUNC(ROUND(MAX(0,($Y$1-IF(N(AD18)&gt;0,0,p_CorrFixa))/(H18*W18*$W$6)),9),$W$4),TRUNC(ROUND(MAX(0,($Y$1-IF(N(AD18)&gt;0,0,p_CorrFixa))/(H18*W18*$W$6)),9)/$W$5)*$W$5)))</f>
        <v/>
      </c>
      <c r="AG18" s="85" t="str">
        <f>IF(A18="","",IF(AND(N(AD18)=0,N(AF18)*(H18*W18*$W$6)+p_CorrFixa&lt;p_CompraMin),0,AF18))</f>
        <v/>
      </c>
      <c r="AH18" s="85" t="str">
        <f>IF(A18="","",IF(N(AG18)&gt;0,AB18,0))</f>
        <v/>
      </c>
      <c r="AI18" s="85" t="str">
        <f>IF(A18="","",IF(AND(AH18&gt;0,AH18=$AH$6,COUNTIF($AH$9:AH18,AH18)=1),1,0))</f>
        <v/>
      </c>
    </row>
    <row r="19">
      <c r="A19" s="96" t="n"/>
      <c r="B19" s="96" t="n"/>
      <c r="C19" s="96" t="n"/>
      <c r="D19" s="97" t="n"/>
      <c r="E19" s="98" t="n"/>
      <c r="F19" s="99" t="n"/>
      <c r="G19" s="100" t="n"/>
      <c r="H19" s="101" t="str">
        <f>IF(A19="","",IF(AND(p_ModoCot="Automático",ISNUMBER(Z19)),Z19,IF(N(G19)&gt;0,G19,0)))</f>
        <v/>
      </c>
      <c r="I19" s="73" t="str">
        <f>IF(A19="","",IF(W19=0,"Sem câmbio",IF(AND(p_ModoCot="Automático",ISNUMBER(Z19)),"Auto",IF(N(G19)&gt;0,"Manual","Sem cotação"))))</f>
        <v/>
      </c>
      <c r="J19" s="102" t="str">
        <f>IF(A19="","",N(E19)*H19)</f>
        <v/>
      </c>
      <c r="K19" s="70" t="str">
        <f>IF(A19="","",J19*W19)</f>
        <v/>
      </c>
      <c r="L19" s="30" t="str">
        <f>IF(A19="","",IF($K$6&gt;0,K19/$K$6,0))</f>
        <v/>
      </c>
      <c r="M19" s="72" t="str">
        <f>IF(A19="","",N(F19)-L19)</f>
        <v/>
      </c>
      <c r="N19" s="30" t="str">
        <f>IF(A19="","",IF($AB$6&gt;0,AB19/$AB$6,0))</f>
        <v/>
      </c>
      <c r="O19" s="74" t="str">
        <f>IF(A19="","",IF(AB19&lt;=0,"",COUNTIF($AB$9:$AB$108,"&gt;"&amp;AB19)+COUNTIF($AB$9:AB19,AB19)))</f>
        <v/>
      </c>
      <c r="P19" s="73" t="str">
        <f>IF(A19="","",IF(Q19&gt;0,"BUY","HOLD"))</f>
        <v/>
      </c>
      <c r="Q19" s="70" t="str">
        <f>IF(A19="","",IF($W$7&lt;=0,0,IF($AC$6&gt;0,$W$7*AC19/$AC$6,IF($F$6&gt;0,$W$7*N(F19)/$F$6,0))))</f>
        <v/>
      </c>
      <c r="R19" s="103" t="str">
        <f>IF(A19="","",N(AD19)+IF(AI19=1,N(AG19),0))</f>
        <v/>
      </c>
      <c r="S19" s="103" t="str">
        <f>IF(A19="","",N(E19)+N(R19))</f>
        <v/>
      </c>
      <c r="T19" s="70" t="str">
        <f>IF(A19="","",IF(N(R19)&gt;0,R19*H19*W19*$W$6+p_CorrFixa,0))</f>
        <v/>
      </c>
      <c r="V19" s="85" t="str">
        <f>IF(A19="","",IF(D19="",$W$1,D19))</f>
        <v/>
      </c>
      <c r="W19" s="85" t="str">
        <f>IF(A19="","",IFERROR(INDEX(moeda_fx,MATCH(V19,moeda_cod,0)),0))</f>
        <v/>
      </c>
      <c r="X19" s="85" t="str">
        <f>IF(A19="","",IF($W$2="",UPPER(TRIM(A19)),IF(RIGHT(UPPER(TRIM(A19)),LEN($W$2))=$W$2,UPPER(TRIM(A19)),UPPER(TRIM(A19))&amp;$W$2)))</f>
        <v/>
      </c>
      <c r="Y19" s="85" t="str">
        <f>IF(OR(A19="",p_ModoCot&lt;&gt;"Automático"),"",IFERROR(_xlfn.WEBSERVICE("https://query1.finance.yahoo.com/v8/finance/chart/"&amp;X19&amp;"?range=1d&amp;interval=1d"),""))</f>
        <v/>
      </c>
      <c r="Z19" s="85" t="str">
        <f>IF(Y19="","",IFERROR(_xlfn.NUMBERVALUE(MID(Y19,SEARCH("""regularMarketPrice"":",Y19)+21,SEARCH(",",Y19&amp;",",SEARCH("""regularMarketPrice"":",Y19)+21)-SEARCH("""regularMarketPrice"":",Y19)-21),".",","),""))</f>
        <v/>
      </c>
      <c r="AA19" s="85" t="str">
        <f>IF(A19="","",ROUND(MAX(0,N(F19)*($K$6+$W$7)-K19),2))</f>
        <v/>
      </c>
      <c r="AB19" s="85" t="str">
        <f>IF(A19="","",IF(AND(M19&gt;0,M19&gt;=p_DifMin),AA19,0))</f>
        <v/>
      </c>
      <c r="AC19" s="85" t="str">
        <f>IF(A19="","",IF(AND(AB19&gt;0,N(O19)&lt;=p_MaxAtivos),AB19,0))</f>
        <v/>
      </c>
      <c r="AD19" s="85" t="str">
        <f>IF(A19="","",IF(OR(Q19&lt;=0,Q19&lt;p_CompraMin,N(H19)&lt;=0,N(W19)&lt;=0),0,IF($W$3="Sim",TRUNC(ROUND(MAX(0,(Q19-p_CorrFixa)/(H19*W19*$W$6)),9),$W$4),TRUNC(ROUND(MAX(0,(Q19-p_CorrFixa)/(H19*W19*$W$6)),9)/$W$5)*$W$5)))</f>
        <v/>
      </c>
      <c r="AE19" s="85" t="str">
        <f>IF(A19="","",IF(N(AD19)&gt;0,AD19*H19*W19*$W$6+p_CorrFixa,0))</f>
        <v/>
      </c>
      <c r="AF19" s="85" t="str">
        <f>IF(A19="","",IF(OR($Y$1&lt;=0,N(H19)&lt;=0,N(W19)&lt;=0,N(AB19)&lt;=0),0,IF($W$3="Sim",TRUNC(ROUND(MAX(0,($Y$1-IF(N(AD19)&gt;0,0,p_CorrFixa))/(H19*W19*$W$6)),9),$W$4),TRUNC(ROUND(MAX(0,($Y$1-IF(N(AD19)&gt;0,0,p_CorrFixa))/(H19*W19*$W$6)),9)/$W$5)*$W$5)))</f>
        <v/>
      </c>
      <c r="AG19" s="85" t="str">
        <f>IF(A19="","",IF(AND(N(AD19)=0,N(AF19)*(H19*W19*$W$6)+p_CorrFixa&lt;p_CompraMin),0,AF19))</f>
        <v/>
      </c>
      <c r="AH19" s="85" t="str">
        <f>IF(A19="","",IF(N(AG19)&gt;0,AB19,0))</f>
        <v/>
      </c>
      <c r="AI19" s="85" t="str">
        <f>IF(A19="","",IF(AND(AH19&gt;0,AH19=$AH$6,COUNTIF($AH$9:AH19,AH19)=1),1,0))</f>
        <v/>
      </c>
    </row>
    <row r="20">
      <c r="A20" s="96" t="n"/>
      <c r="B20" s="96" t="n"/>
      <c r="C20" s="96" t="n"/>
      <c r="D20" s="97" t="n"/>
      <c r="E20" s="98" t="n"/>
      <c r="F20" s="99" t="n"/>
      <c r="G20" s="100" t="n"/>
      <c r="H20" s="104" t="str">
        <f>IF(A20="","",IF(AND(p_ModoCot="Automático",ISNUMBER(Z20)),Z20,IF(N(G20)&gt;0,G20,0)))</f>
        <v/>
      </c>
      <c r="I20" s="105" t="str">
        <f>IF(A20="","",IF(W20=0,"Sem câmbio",IF(AND(p_ModoCot="Automático",ISNUMBER(Z20)),"Auto",IF(N(G20)&gt;0,"Manual","Sem cotação"))))</f>
        <v/>
      </c>
      <c r="J20" s="106" t="str">
        <f>IF(A20="","",N(E20)*H20)</f>
        <v/>
      </c>
      <c r="K20" s="107" t="str">
        <f>IF(A20="","",J20*W20)</f>
        <v/>
      </c>
      <c r="L20" s="108" t="str">
        <f>IF(A20="","",IF($K$6&gt;0,K20/$K$6,0))</f>
        <v/>
      </c>
      <c r="M20" s="109" t="str">
        <f>IF(A20="","",N(F20)-L20)</f>
        <v/>
      </c>
      <c r="N20" s="108" t="str">
        <f>IF(A20="","",IF($AB$6&gt;0,AB20/$AB$6,0))</f>
        <v/>
      </c>
      <c r="O20" s="110" t="str">
        <f>IF(A20="","",IF(AB20&lt;=0,"",COUNTIF($AB$9:$AB$108,"&gt;"&amp;AB20)+COUNTIF($AB$9:AB20,AB20)))</f>
        <v/>
      </c>
      <c r="P20" s="105" t="str">
        <f>IF(A20="","",IF(Q20&gt;0,"BUY","HOLD"))</f>
        <v/>
      </c>
      <c r="Q20" s="107" t="str">
        <f>IF(A20="","",IF($W$7&lt;=0,0,IF($AC$6&gt;0,$W$7*AC20/$AC$6,IF($F$6&gt;0,$W$7*N(F20)/$F$6,0))))</f>
        <v/>
      </c>
      <c r="R20" s="111" t="str">
        <f>IF(A20="","",N(AD20)+IF(AI20=1,N(AG20),0))</f>
        <v/>
      </c>
      <c r="S20" s="111" t="str">
        <f>IF(A20="","",N(E20)+N(R20))</f>
        <v/>
      </c>
      <c r="T20" s="107" t="str">
        <f>IF(A20="","",IF(N(R20)&gt;0,R20*H20*W20*$W$6+p_CorrFixa,0))</f>
        <v/>
      </c>
      <c r="V20" s="85" t="str">
        <f>IF(A20="","",IF(D20="",$W$1,D20))</f>
        <v/>
      </c>
      <c r="W20" s="85" t="str">
        <f>IF(A20="","",IFERROR(INDEX(moeda_fx,MATCH(V20,moeda_cod,0)),0))</f>
        <v/>
      </c>
      <c r="X20" s="85" t="str">
        <f>IF(A20="","",IF($W$2="",UPPER(TRIM(A20)),IF(RIGHT(UPPER(TRIM(A20)),LEN($W$2))=$W$2,UPPER(TRIM(A20)),UPPER(TRIM(A20))&amp;$W$2)))</f>
        <v/>
      </c>
      <c r="Y20" s="85" t="str">
        <f>IF(OR(A20="",p_ModoCot&lt;&gt;"Automático"),"",IFERROR(_xlfn.WEBSERVICE("https://query1.finance.yahoo.com/v8/finance/chart/"&amp;X20&amp;"?range=1d&amp;interval=1d"),""))</f>
        <v/>
      </c>
      <c r="Z20" s="85" t="str">
        <f>IF(Y20="","",IFERROR(_xlfn.NUMBERVALUE(MID(Y20,SEARCH("""regularMarketPrice"":",Y20)+21,SEARCH(",",Y20&amp;",",SEARCH("""regularMarketPrice"":",Y20)+21)-SEARCH("""regularMarketPrice"":",Y20)-21),".",","),""))</f>
        <v/>
      </c>
      <c r="AA20" s="85" t="str">
        <f>IF(A20="","",ROUND(MAX(0,N(F20)*($K$6+$W$7)-K20),2))</f>
        <v/>
      </c>
      <c r="AB20" s="85" t="str">
        <f>IF(A20="","",IF(AND(M20&gt;0,M20&gt;=p_DifMin),AA20,0))</f>
        <v/>
      </c>
      <c r="AC20" s="85" t="str">
        <f>IF(A20="","",IF(AND(AB20&gt;0,N(O20)&lt;=p_MaxAtivos),AB20,0))</f>
        <v/>
      </c>
      <c r="AD20" s="85" t="str">
        <f>IF(A20="","",IF(OR(Q20&lt;=0,Q20&lt;p_CompraMin,N(H20)&lt;=0,N(W20)&lt;=0),0,IF($W$3="Sim",TRUNC(ROUND(MAX(0,(Q20-p_CorrFixa)/(H20*W20*$W$6)),9),$W$4),TRUNC(ROUND(MAX(0,(Q20-p_CorrFixa)/(H20*W20*$W$6)),9)/$W$5)*$W$5)))</f>
        <v/>
      </c>
      <c r="AE20" s="85" t="str">
        <f>IF(A20="","",IF(N(AD20)&gt;0,AD20*H20*W20*$W$6+p_CorrFixa,0))</f>
        <v/>
      </c>
      <c r="AF20" s="85" t="str">
        <f>IF(A20="","",IF(OR($Y$1&lt;=0,N(H20)&lt;=0,N(W20)&lt;=0,N(AB20)&lt;=0),0,IF($W$3="Sim",TRUNC(ROUND(MAX(0,($Y$1-IF(N(AD20)&gt;0,0,p_CorrFixa))/(H20*W20*$W$6)),9),$W$4),TRUNC(ROUND(MAX(0,($Y$1-IF(N(AD20)&gt;0,0,p_CorrFixa))/(H20*W20*$W$6)),9)/$W$5)*$W$5)))</f>
        <v/>
      </c>
      <c r="AG20" s="85" t="str">
        <f>IF(A20="","",IF(AND(N(AD20)=0,N(AF20)*(H20*W20*$W$6)+p_CorrFixa&lt;p_CompraMin),0,AF20))</f>
        <v/>
      </c>
      <c r="AH20" s="85" t="str">
        <f>IF(A20="","",IF(N(AG20)&gt;0,AB20,0))</f>
        <v/>
      </c>
      <c r="AI20" s="85" t="str">
        <f>IF(A20="","",IF(AND(AH20&gt;0,AH20=$AH$6,COUNTIF($AH$9:AH20,AH20)=1),1,0))</f>
        <v/>
      </c>
    </row>
    <row r="21">
      <c r="A21" s="96" t="n"/>
      <c r="B21" s="96" t="n"/>
      <c r="C21" s="96" t="n"/>
      <c r="D21" s="97" t="n"/>
      <c r="E21" s="98" t="n"/>
      <c r="F21" s="99" t="n"/>
      <c r="G21" s="100" t="n"/>
      <c r="H21" s="101" t="str">
        <f>IF(A21="","",IF(AND(p_ModoCot="Automático",ISNUMBER(Z21)),Z21,IF(N(G21)&gt;0,G21,0)))</f>
        <v/>
      </c>
      <c r="I21" s="73" t="str">
        <f>IF(A21="","",IF(W21=0,"Sem câmbio",IF(AND(p_ModoCot="Automático",ISNUMBER(Z21)),"Auto",IF(N(G21)&gt;0,"Manual","Sem cotação"))))</f>
        <v/>
      </c>
      <c r="J21" s="102" t="str">
        <f>IF(A21="","",N(E21)*H21)</f>
        <v/>
      </c>
      <c r="K21" s="70" t="str">
        <f>IF(A21="","",J21*W21)</f>
        <v/>
      </c>
      <c r="L21" s="30" t="str">
        <f>IF(A21="","",IF($K$6&gt;0,K21/$K$6,0))</f>
        <v/>
      </c>
      <c r="M21" s="72" t="str">
        <f>IF(A21="","",N(F21)-L21)</f>
        <v/>
      </c>
      <c r="N21" s="30" t="str">
        <f>IF(A21="","",IF($AB$6&gt;0,AB21/$AB$6,0))</f>
        <v/>
      </c>
      <c r="O21" s="74" t="str">
        <f>IF(A21="","",IF(AB21&lt;=0,"",COUNTIF($AB$9:$AB$108,"&gt;"&amp;AB21)+COUNTIF($AB$9:AB21,AB21)))</f>
        <v/>
      </c>
      <c r="P21" s="73" t="str">
        <f>IF(A21="","",IF(Q21&gt;0,"BUY","HOLD"))</f>
        <v/>
      </c>
      <c r="Q21" s="70" t="str">
        <f>IF(A21="","",IF($W$7&lt;=0,0,IF($AC$6&gt;0,$W$7*AC21/$AC$6,IF($F$6&gt;0,$W$7*N(F21)/$F$6,0))))</f>
        <v/>
      </c>
      <c r="R21" s="103" t="str">
        <f>IF(A21="","",N(AD21)+IF(AI21=1,N(AG21),0))</f>
        <v/>
      </c>
      <c r="S21" s="103" t="str">
        <f>IF(A21="","",N(E21)+N(R21))</f>
        <v/>
      </c>
      <c r="T21" s="70" t="str">
        <f>IF(A21="","",IF(N(R21)&gt;0,R21*H21*W21*$W$6+p_CorrFixa,0))</f>
        <v/>
      </c>
      <c r="V21" s="85" t="str">
        <f>IF(A21="","",IF(D21="",$W$1,D21))</f>
        <v/>
      </c>
      <c r="W21" s="85" t="str">
        <f>IF(A21="","",IFERROR(INDEX(moeda_fx,MATCH(V21,moeda_cod,0)),0))</f>
        <v/>
      </c>
      <c r="X21" s="85" t="str">
        <f>IF(A21="","",IF($W$2="",UPPER(TRIM(A21)),IF(RIGHT(UPPER(TRIM(A21)),LEN($W$2))=$W$2,UPPER(TRIM(A21)),UPPER(TRIM(A21))&amp;$W$2)))</f>
        <v/>
      </c>
      <c r="Y21" s="85" t="str">
        <f>IF(OR(A21="",p_ModoCot&lt;&gt;"Automático"),"",IFERROR(_xlfn.WEBSERVICE("https://query1.finance.yahoo.com/v8/finance/chart/"&amp;X21&amp;"?range=1d&amp;interval=1d"),""))</f>
        <v/>
      </c>
      <c r="Z21" s="85" t="str">
        <f>IF(Y21="","",IFERROR(_xlfn.NUMBERVALUE(MID(Y21,SEARCH("""regularMarketPrice"":",Y21)+21,SEARCH(",",Y21&amp;",",SEARCH("""regularMarketPrice"":",Y21)+21)-SEARCH("""regularMarketPrice"":",Y21)-21),".",","),""))</f>
        <v/>
      </c>
      <c r="AA21" s="85" t="str">
        <f>IF(A21="","",ROUND(MAX(0,N(F21)*($K$6+$W$7)-K21),2))</f>
        <v/>
      </c>
      <c r="AB21" s="85" t="str">
        <f>IF(A21="","",IF(AND(M21&gt;0,M21&gt;=p_DifMin),AA21,0))</f>
        <v/>
      </c>
      <c r="AC21" s="85" t="str">
        <f>IF(A21="","",IF(AND(AB21&gt;0,N(O21)&lt;=p_MaxAtivos),AB21,0))</f>
        <v/>
      </c>
      <c r="AD21" s="85" t="str">
        <f>IF(A21="","",IF(OR(Q21&lt;=0,Q21&lt;p_CompraMin,N(H21)&lt;=0,N(W21)&lt;=0),0,IF($W$3="Sim",TRUNC(ROUND(MAX(0,(Q21-p_CorrFixa)/(H21*W21*$W$6)),9),$W$4),TRUNC(ROUND(MAX(0,(Q21-p_CorrFixa)/(H21*W21*$W$6)),9)/$W$5)*$W$5)))</f>
        <v/>
      </c>
      <c r="AE21" s="85" t="str">
        <f>IF(A21="","",IF(N(AD21)&gt;0,AD21*H21*W21*$W$6+p_CorrFixa,0))</f>
        <v/>
      </c>
      <c r="AF21" s="85" t="str">
        <f>IF(A21="","",IF(OR($Y$1&lt;=0,N(H21)&lt;=0,N(W21)&lt;=0,N(AB21)&lt;=0),0,IF($W$3="Sim",TRUNC(ROUND(MAX(0,($Y$1-IF(N(AD21)&gt;0,0,p_CorrFixa))/(H21*W21*$W$6)),9),$W$4),TRUNC(ROUND(MAX(0,($Y$1-IF(N(AD21)&gt;0,0,p_CorrFixa))/(H21*W21*$W$6)),9)/$W$5)*$W$5)))</f>
        <v/>
      </c>
      <c r="AG21" s="85" t="str">
        <f>IF(A21="","",IF(AND(N(AD21)=0,N(AF21)*(H21*W21*$W$6)+p_CorrFixa&lt;p_CompraMin),0,AF21))</f>
        <v/>
      </c>
      <c r="AH21" s="85" t="str">
        <f>IF(A21="","",IF(N(AG21)&gt;0,AB21,0))</f>
        <v/>
      </c>
      <c r="AI21" s="85" t="str">
        <f>IF(A21="","",IF(AND(AH21&gt;0,AH21=$AH$6,COUNTIF($AH$9:AH21,AH21)=1),1,0))</f>
        <v/>
      </c>
    </row>
    <row r="22">
      <c r="A22" s="96" t="n"/>
      <c r="B22" s="96" t="n"/>
      <c r="C22" s="96" t="n"/>
      <c r="D22" s="97" t="n"/>
      <c r="E22" s="98" t="n"/>
      <c r="F22" s="99" t="n"/>
      <c r="G22" s="100" t="n"/>
      <c r="H22" s="104" t="str">
        <f>IF(A22="","",IF(AND(p_ModoCot="Automático",ISNUMBER(Z22)),Z22,IF(N(G22)&gt;0,G22,0)))</f>
        <v/>
      </c>
      <c r="I22" s="105" t="str">
        <f>IF(A22="","",IF(W22=0,"Sem câmbio",IF(AND(p_ModoCot="Automático",ISNUMBER(Z22)),"Auto",IF(N(G22)&gt;0,"Manual","Sem cotação"))))</f>
        <v/>
      </c>
      <c r="J22" s="106" t="str">
        <f>IF(A22="","",N(E22)*H22)</f>
        <v/>
      </c>
      <c r="K22" s="107" t="str">
        <f>IF(A22="","",J22*W22)</f>
        <v/>
      </c>
      <c r="L22" s="108" t="str">
        <f>IF(A22="","",IF($K$6&gt;0,K22/$K$6,0))</f>
        <v/>
      </c>
      <c r="M22" s="109" t="str">
        <f>IF(A22="","",N(F22)-L22)</f>
        <v/>
      </c>
      <c r="N22" s="108" t="str">
        <f>IF(A22="","",IF($AB$6&gt;0,AB22/$AB$6,0))</f>
        <v/>
      </c>
      <c r="O22" s="110" t="str">
        <f>IF(A22="","",IF(AB22&lt;=0,"",COUNTIF($AB$9:$AB$108,"&gt;"&amp;AB22)+COUNTIF($AB$9:AB22,AB22)))</f>
        <v/>
      </c>
      <c r="P22" s="105" t="str">
        <f>IF(A22="","",IF(Q22&gt;0,"BUY","HOLD"))</f>
        <v/>
      </c>
      <c r="Q22" s="107" t="str">
        <f>IF(A22="","",IF($W$7&lt;=0,0,IF($AC$6&gt;0,$W$7*AC22/$AC$6,IF($F$6&gt;0,$W$7*N(F22)/$F$6,0))))</f>
        <v/>
      </c>
      <c r="R22" s="111" t="str">
        <f>IF(A22="","",N(AD22)+IF(AI22=1,N(AG22),0))</f>
        <v/>
      </c>
      <c r="S22" s="111" t="str">
        <f>IF(A22="","",N(E22)+N(R22))</f>
        <v/>
      </c>
      <c r="T22" s="107" t="str">
        <f>IF(A22="","",IF(N(R22)&gt;0,R22*H22*W22*$W$6+p_CorrFixa,0))</f>
        <v/>
      </c>
      <c r="V22" s="85" t="str">
        <f>IF(A22="","",IF(D22="",$W$1,D22))</f>
        <v/>
      </c>
      <c r="W22" s="85" t="str">
        <f>IF(A22="","",IFERROR(INDEX(moeda_fx,MATCH(V22,moeda_cod,0)),0))</f>
        <v/>
      </c>
      <c r="X22" s="85" t="str">
        <f>IF(A22="","",IF($W$2="",UPPER(TRIM(A22)),IF(RIGHT(UPPER(TRIM(A22)),LEN($W$2))=$W$2,UPPER(TRIM(A22)),UPPER(TRIM(A22))&amp;$W$2)))</f>
        <v/>
      </c>
      <c r="Y22" s="85" t="str">
        <f>IF(OR(A22="",p_ModoCot&lt;&gt;"Automático"),"",IFERROR(_xlfn.WEBSERVICE("https://query1.finance.yahoo.com/v8/finance/chart/"&amp;X22&amp;"?range=1d&amp;interval=1d"),""))</f>
        <v/>
      </c>
      <c r="Z22" s="85" t="str">
        <f>IF(Y22="","",IFERROR(_xlfn.NUMBERVALUE(MID(Y22,SEARCH("""regularMarketPrice"":",Y22)+21,SEARCH(",",Y22&amp;",",SEARCH("""regularMarketPrice"":",Y22)+21)-SEARCH("""regularMarketPrice"":",Y22)-21),".",","),""))</f>
        <v/>
      </c>
      <c r="AA22" s="85" t="str">
        <f>IF(A22="","",ROUND(MAX(0,N(F22)*($K$6+$W$7)-K22),2))</f>
        <v/>
      </c>
      <c r="AB22" s="85" t="str">
        <f>IF(A22="","",IF(AND(M22&gt;0,M22&gt;=p_DifMin),AA22,0))</f>
        <v/>
      </c>
      <c r="AC22" s="85" t="str">
        <f>IF(A22="","",IF(AND(AB22&gt;0,N(O22)&lt;=p_MaxAtivos),AB22,0))</f>
        <v/>
      </c>
      <c r="AD22" s="85" t="str">
        <f>IF(A22="","",IF(OR(Q22&lt;=0,Q22&lt;p_CompraMin,N(H22)&lt;=0,N(W22)&lt;=0),0,IF($W$3="Sim",TRUNC(ROUND(MAX(0,(Q22-p_CorrFixa)/(H22*W22*$W$6)),9),$W$4),TRUNC(ROUND(MAX(0,(Q22-p_CorrFixa)/(H22*W22*$W$6)),9)/$W$5)*$W$5)))</f>
        <v/>
      </c>
      <c r="AE22" s="85" t="str">
        <f>IF(A22="","",IF(N(AD22)&gt;0,AD22*H22*W22*$W$6+p_CorrFixa,0))</f>
        <v/>
      </c>
      <c r="AF22" s="85" t="str">
        <f>IF(A22="","",IF(OR($Y$1&lt;=0,N(H22)&lt;=0,N(W22)&lt;=0,N(AB22)&lt;=0),0,IF($W$3="Sim",TRUNC(ROUND(MAX(0,($Y$1-IF(N(AD22)&gt;0,0,p_CorrFixa))/(H22*W22*$W$6)),9),$W$4),TRUNC(ROUND(MAX(0,($Y$1-IF(N(AD22)&gt;0,0,p_CorrFixa))/(H22*W22*$W$6)),9)/$W$5)*$W$5)))</f>
        <v/>
      </c>
      <c r="AG22" s="85" t="str">
        <f>IF(A22="","",IF(AND(N(AD22)=0,N(AF22)*(H22*W22*$W$6)+p_CorrFixa&lt;p_CompraMin),0,AF22))</f>
        <v/>
      </c>
      <c r="AH22" s="85" t="str">
        <f>IF(A22="","",IF(N(AG22)&gt;0,AB22,0))</f>
        <v/>
      </c>
      <c r="AI22" s="85" t="str">
        <f>IF(A22="","",IF(AND(AH22&gt;0,AH22=$AH$6,COUNTIF($AH$9:AH22,AH22)=1),1,0))</f>
        <v/>
      </c>
    </row>
    <row r="23">
      <c r="A23" s="96" t="n"/>
      <c r="B23" s="96" t="n"/>
      <c r="C23" s="96" t="n"/>
      <c r="D23" s="97" t="n"/>
      <c r="E23" s="98" t="n"/>
      <c r="F23" s="99" t="n"/>
      <c r="G23" s="100" t="n"/>
      <c r="H23" s="101" t="str">
        <f>IF(A23="","",IF(AND(p_ModoCot="Automático",ISNUMBER(Z23)),Z23,IF(N(G23)&gt;0,G23,0)))</f>
        <v/>
      </c>
      <c r="I23" s="73" t="str">
        <f>IF(A23="","",IF(W23=0,"Sem câmbio",IF(AND(p_ModoCot="Automático",ISNUMBER(Z23)),"Auto",IF(N(G23)&gt;0,"Manual","Sem cotação"))))</f>
        <v/>
      </c>
      <c r="J23" s="102" t="str">
        <f>IF(A23="","",N(E23)*H23)</f>
        <v/>
      </c>
      <c r="K23" s="70" t="str">
        <f>IF(A23="","",J23*W23)</f>
        <v/>
      </c>
      <c r="L23" s="30" t="str">
        <f>IF(A23="","",IF($K$6&gt;0,K23/$K$6,0))</f>
        <v/>
      </c>
      <c r="M23" s="72" t="str">
        <f>IF(A23="","",N(F23)-L23)</f>
        <v/>
      </c>
      <c r="N23" s="30" t="str">
        <f>IF(A23="","",IF($AB$6&gt;0,AB23/$AB$6,0))</f>
        <v/>
      </c>
      <c r="O23" s="74" t="str">
        <f>IF(A23="","",IF(AB23&lt;=0,"",COUNTIF($AB$9:$AB$108,"&gt;"&amp;AB23)+COUNTIF($AB$9:AB23,AB23)))</f>
        <v/>
      </c>
      <c r="P23" s="73" t="str">
        <f>IF(A23="","",IF(Q23&gt;0,"BUY","HOLD"))</f>
        <v/>
      </c>
      <c r="Q23" s="70" t="str">
        <f>IF(A23="","",IF($W$7&lt;=0,0,IF($AC$6&gt;0,$W$7*AC23/$AC$6,IF($F$6&gt;0,$W$7*N(F23)/$F$6,0))))</f>
        <v/>
      </c>
      <c r="R23" s="103" t="str">
        <f>IF(A23="","",N(AD23)+IF(AI23=1,N(AG23),0))</f>
        <v/>
      </c>
      <c r="S23" s="103" t="str">
        <f>IF(A23="","",N(E23)+N(R23))</f>
        <v/>
      </c>
      <c r="T23" s="70" t="str">
        <f>IF(A23="","",IF(N(R23)&gt;0,R23*H23*W23*$W$6+p_CorrFixa,0))</f>
        <v/>
      </c>
      <c r="V23" s="85" t="str">
        <f>IF(A23="","",IF(D23="",$W$1,D23))</f>
        <v/>
      </c>
      <c r="W23" s="85" t="str">
        <f>IF(A23="","",IFERROR(INDEX(moeda_fx,MATCH(V23,moeda_cod,0)),0))</f>
        <v/>
      </c>
      <c r="X23" s="85" t="str">
        <f>IF(A23="","",IF($W$2="",UPPER(TRIM(A23)),IF(RIGHT(UPPER(TRIM(A23)),LEN($W$2))=$W$2,UPPER(TRIM(A23)),UPPER(TRIM(A23))&amp;$W$2)))</f>
        <v/>
      </c>
      <c r="Y23" s="85" t="str">
        <f>IF(OR(A23="",p_ModoCot&lt;&gt;"Automático"),"",IFERROR(_xlfn.WEBSERVICE("https://query1.finance.yahoo.com/v8/finance/chart/"&amp;X23&amp;"?range=1d&amp;interval=1d"),""))</f>
        <v/>
      </c>
      <c r="Z23" s="85" t="str">
        <f>IF(Y23="","",IFERROR(_xlfn.NUMBERVALUE(MID(Y23,SEARCH("""regularMarketPrice"":",Y23)+21,SEARCH(",",Y23&amp;",",SEARCH("""regularMarketPrice"":",Y23)+21)-SEARCH("""regularMarketPrice"":",Y23)-21),".",","),""))</f>
        <v/>
      </c>
      <c r="AA23" s="85" t="str">
        <f>IF(A23="","",ROUND(MAX(0,N(F23)*($K$6+$W$7)-K23),2))</f>
        <v/>
      </c>
      <c r="AB23" s="85" t="str">
        <f>IF(A23="","",IF(AND(M23&gt;0,M23&gt;=p_DifMin),AA23,0))</f>
        <v/>
      </c>
      <c r="AC23" s="85" t="str">
        <f>IF(A23="","",IF(AND(AB23&gt;0,N(O23)&lt;=p_MaxAtivos),AB23,0))</f>
        <v/>
      </c>
      <c r="AD23" s="85" t="str">
        <f>IF(A23="","",IF(OR(Q23&lt;=0,Q23&lt;p_CompraMin,N(H23)&lt;=0,N(W23)&lt;=0),0,IF($W$3="Sim",TRUNC(ROUND(MAX(0,(Q23-p_CorrFixa)/(H23*W23*$W$6)),9),$W$4),TRUNC(ROUND(MAX(0,(Q23-p_CorrFixa)/(H23*W23*$W$6)),9)/$W$5)*$W$5)))</f>
        <v/>
      </c>
      <c r="AE23" s="85" t="str">
        <f>IF(A23="","",IF(N(AD23)&gt;0,AD23*H23*W23*$W$6+p_CorrFixa,0))</f>
        <v/>
      </c>
      <c r="AF23" s="85" t="str">
        <f>IF(A23="","",IF(OR($Y$1&lt;=0,N(H23)&lt;=0,N(W23)&lt;=0,N(AB23)&lt;=0),0,IF($W$3="Sim",TRUNC(ROUND(MAX(0,($Y$1-IF(N(AD23)&gt;0,0,p_CorrFixa))/(H23*W23*$W$6)),9),$W$4),TRUNC(ROUND(MAX(0,($Y$1-IF(N(AD23)&gt;0,0,p_CorrFixa))/(H23*W23*$W$6)),9)/$W$5)*$W$5)))</f>
        <v/>
      </c>
      <c r="AG23" s="85" t="str">
        <f>IF(A23="","",IF(AND(N(AD23)=0,N(AF23)*(H23*W23*$W$6)+p_CorrFixa&lt;p_CompraMin),0,AF23))</f>
        <v/>
      </c>
      <c r="AH23" s="85" t="str">
        <f>IF(A23="","",IF(N(AG23)&gt;0,AB23,0))</f>
        <v/>
      </c>
      <c r="AI23" s="85" t="str">
        <f>IF(A23="","",IF(AND(AH23&gt;0,AH23=$AH$6,COUNTIF($AH$9:AH23,AH23)=1),1,0))</f>
        <v/>
      </c>
    </row>
    <row r="24">
      <c r="A24" s="96" t="n"/>
      <c r="B24" s="96" t="n"/>
      <c r="C24" s="96" t="n"/>
      <c r="D24" s="97" t="n"/>
      <c r="E24" s="98" t="n"/>
      <c r="F24" s="99" t="n"/>
      <c r="G24" s="100" t="n"/>
      <c r="H24" s="104" t="str">
        <f>IF(A24="","",IF(AND(p_ModoCot="Automático",ISNUMBER(Z24)),Z24,IF(N(G24)&gt;0,G24,0)))</f>
        <v/>
      </c>
      <c r="I24" s="105" t="str">
        <f>IF(A24="","",IF(W24=0,"Sem câmbio",IF(AND(p_ModoCot="Automático",ISNUMBER(Z24)),"Auto",IF(N(G24)&gt;0,"Manual","Sem cotação"))))</f>
        <v/>
      </c>
      <c r="J24" s="106" t="str">
        <f>IF(A24="","",N(E24)*H24)</f>
        <v/>
      </c>
      <c r="K24" s="107" t="str">
        <f>IF(A24="","",J24*W24)</f>
        <v/>
      </c>
      <c r="L24" s="108" t="str">
        <f>IF(A24="","",IF($K$6&gt;0,K24/$K$6,0))</f>
        <v/>
      </c>
      <c r="M24" s="109" t="str">
        <f>IF(A24="","",N(F24)-L24)</f>
        <v/>
      </c>
      <c r="N24" s="108" t="str">
        <f>IF(A24="","",IF($AB$6&gt;0,AB24/$AB$6,0))</f>
        <v/>
      </c>
      <c r="O24" s="110" t="str">
        <f>IF(A24="","",IF(AB24&lt;=0,"",COUNTIF($AB$9:$AB$108,"&gt;"&amp;AB24)+COUNTIF($AB$9:AB24,AB24)))</f>
        <v/>
      </c>
      <c r="P24" s="105" t="str">
        <f>IF(A24="","",IF(Q24&gt;0,"BUY","HOLD"))</f>
        <v/>
      </c>
      <c r="Q24" s="107" t="str">
        <f>IF(A24="","",IF($W$7&lt;=0,0,IF($AC$6&gt;0,$W$7*AC24/$AC$6,IF($F$6&gt;0,$W$7*N(F24)/$F$6,0))))</f>
        <v/>
      </c>
      <c r="R24" s="111" t="str">
        <f>IF(A24="","",N(AD24)+IF(AI24=1,N(AG24),0))</f>
        <v/>
      </c>
      <c r="S24" s="111" t="str">
        <f>IF(A24="","",N(E24)+N(R24))</f>
        <v/>
      </c>
      <c r="T24" s="107" t="str">
        <f>IF(A24="","",IF(N(R24)&gt;0,R24*H24*W24*$W$6+p_CorrFixa,0))</f>
        <v/>
      </c>
      <c r="V24" s="85" t="str">
        <f>IF(A24="","",IF(D24="",$W$1,D24))</f>
        <v/>
      </c>
      <c r="W24" s="85" t="str">
        <f>IF(A24="","",IFERROR(INDEX(moeda_fx,MATCH(V24,moeda_cod,0)),0))</f>
        <v/>
      </c>
      <c r="X24" s="85" t="str">
        <f>IF(A24="","",IF($W$2="",UPPER(TRIM(A24)),IF(RIGHT(UPPER(TRIM(A24)),LEN($W$2))=$W$2,UPPER(TRIM(A24)),UPPER(TRIM(A24))&amp;$W$2)))</f>
        <v/>
      </c>
      <c r="Y24" s="85" t="str">
        <f>IF(OR(A24="",p_ModoCot&lt;&gt;"Automático"),"",IFERROR(_xlfn.WEBSERVICE("https://query1.finance.yahoo.com/v8/finance/chart/"&amp;X24&amp;"?range=1d&amp;interval=1d"),""))</f>
        <v/>
      </c>
      <c r="Z24" s="85" t="str">
        <f>IF(Y24="","",IFERROR(_xlfn.NUMBERVALUE(MID(Y24,SEARCH("""regularMarketPrice"":",Y24)+21,SEARCH(",",Y24&amp;",",SEARCH("""regularMarketPrice"":",Y24)+21)-SEARCH("""regularMarketPrice"":",Y24)-21),".",","),""))</f>
        <v/>
      </c>
      <c r="AA24" s="85" t="str">
        <f>IF(A24="","",ROUND(MAX(0,N(F24)*($K$6+$W$7)-K24),2))</f>
        <v/>
      </c>
      <c r="AB24" s="85" t="str">
        <f>IF(A24="","",IF(AND(M24&gt;0,M24&gt;=p_DifMin),AA24,0))</f>
        <v/>
      </c>
      <c r="AC24" s="85" t="str">
        <f>IF(A24="","",IF(AND(AB24&gt;0,N(O24)&lt;=p_MaxAtivos),AB24,0))</f>
        <v/>
      </c>
      <c r="AD24" s="85" t="str">
        <f>IF(A24="","",IF(OR(Q24&lt;=0,Q24&lt;p_CompraMin,N(H24)&lt;=0,N(W24)&lt;=0),0,IF($W$3="Sim",TRUNC(ROUND(MAX(0,(Q24-p_CorrFixa)/(H24*W24*$W$6)),9),$W$4),TRUNC(ROUND(MAX(0,(Q24-p_CorrFixa)/(H24*W24*$W$6)),9)/$W$5)*$W$5)))</f>
        <v/>
      </c>
      <c r="AE24" s="85" t="str">
        <f>IF(A24="","",IF(N(AD24)&gt;0,AD24*H24*W24*$W$6+p_CorrFixa,0))</f>
        <v/>
      </c>
      <c r="AF24" s="85" t="str">
        <f>IF(A24="","",IF(OR($Y$1&lt;=0,N(H24)&lt;=0,N(W24)&lt;=0,N(AB24)&lt;=0),0,IF($W$3="Sim",TRUNC(ROUND(MAX(0,($Y$1-IF(N(AD24)&gt;0,0,p_CorrFixa))/(H24*W24*$W$6)),9),$W$4),TRUNC(ROUND(MAX(0,($Y$1-IF(N(AD24)&gt;0,0,p_CorrFixa))/(H24*W24*$W$6)),9)/$W$5)*$W$5)))</f>
        <v/>
      </c>
      <c r="AG24" s="85" t="str">
        <f>IF(A24="","",IF(AND(N(AD24)=0,N(AF24)*(H24*W24*$W$6)+p_CorrFixa&lt;p_CompraMin),0,AF24))</f>
        <v/>
      </c>
      <c r="AH24" s="85" t="str">
        <f>IF(A24="","",IF(N(AG24)&gt;0,AB24,0))</f>
        <v/>
      </c>
      <c r="AI24" s="85" t="str">
        <f>IF(A24="","",IF(AND(AH24&gt;0,AH24=$AH$6,COUNTIF($AH$9:AH24,AH24)=1),1,0))</f>
        <v/>
      </c>
    </row>
    <row r="25">
      <c r="A25" s="96" t="n"/>
      <c r="B25" s="96" t="n"/>
      <c r="C25" s="96" t="n"/>
      <c r="D25" s="97" t="n"/>
      <c r="E25" s="98" t="n"/>
      <c r="F25" s="99" t="n"/>
      <c r="G25" s="100" t="n"/>
      <c r="H25" s="101" t="str">
        <f>IF(A25="","",IF(AND(p_ModoCot="Automático",ISNUMBER(Z25)),Z25,IF(N(G25)&gt;0,G25,0)))</f>
        <v/>
      </c>
      <c r="I25" s="73" t="str">
        <f>IF(A25="","",IF(W25=0,"Sem câmbio",IF(AND(p_ModoCot="Automático",ISNUMBER(Z25)),"Auto",IF(N(G25)&gt;0,"Manual","Sem cotação"))))</f>
        <v/>
      </c>
      <c r="J25" s="102" t="str">
        <f>IF(A25="","",N(E25)*H25)</f>
        <v/>
      </c>
      <c r="K25" s="70" t="str">
        <f>IF(A25="","",J25*W25)</f>
        <v/>
      </c>
      <c r="L25" s="30" t="str">
        <f>IF(A25="","",IF($K$6&gt;0,K25/$K$6,0))</f>
        <v/>
      </c>
      <c r="M25" s="72" t="str">
        <f>IF(A25="","",N(F25)-L25)</f>
        <v/>
      </c>
      <c r="N25" s="30" t="str">
        <f>IF(A25="","",IF($AB$6&gt;0,AB25/$AB$6,0))</f>
        <v/>
      </c>
      <c r="O25" s="74" t="str">
        <f>IF(A25="","",IF(AB25&lt;=0,"",COUNTIF($AB$9:$AB$108,"&gt;"&amp;AB25)+COUNTIF($AB$9:AB25,AB25)))</f>
        <v/>
      </c>
      <c r="P25" s="73" t="str">
        <f>IF(A25="","",IF(Q25&gt;0,"BUY","HOLD"))</f>
        <v/>
      </c>
      <c r="Q25" s="70" t="str">
        <f>IF(A25="","",IF($W$7&lt;=0,0,IF($AC$6&gt;0,$W$7*AC25/$AC$6,IF($F$6&gt;0,$W$7*N(F25)/$F$6,0))))</f>
        <v/>
      </c>
      <c r="R25" s="103" t="str">
        <f>IF(A25="","",N(AD25)+IF(AI25=1,N(AG25),0))</f>
        <v/>
      </c>
      <c r="S25" s="103" t="str">
        <f>IF(A25="","",N(E25)+N(R25))</f>
        <v/>
      </c>
      <c r="T25" s="70" t="str">
        <f>IF(A25="","",IF(N(R25)&gt;0,R25*H25*W25*$W$6+p_CorrFixa,0))</f>
        <v/>
      </c>
      <c r="V25" s="85" t="str">
        <f>IF(A25="","",IF(D25="",$W$1,D25))</f>
        <v/>
      </c>
      <c r="W25" s="85" t="str">
        <f>IF(A25="","",IFERROR(INDEX(moeda_fx,MATCH(V25,moeda_cod,0)),0))</f>
        <v/>
      </c>
      <c r="X25" s="85" t="str">
        <f>IF(A25="","",IF($W$2="",UPPER(TRIM(A25)),IF(RIGHT(UPPER(TRIM(A25)),LEN($W$2))=$W$2,UPPER(TRIM(A25)),UPPER(TRIM(A25))&amp;$W$2)))</f>
        <v/>
      </c>
      <c r="Y25" s="85" t="str">
        <f>IF(OR(A25="",p_ModoCot&lt;&gt;"Automático"),"",IFERROR(_xlfn.WEBSERVICE("https://query1.finance.yahoo.com/v8/finance/chart/"&amp;X25&amp;"?range=1d&amp;interval=1d"),""))</f>
        <v/>
      </c>
      <c r="Z25" s="85" t="str">
        <f>IF(Y25="","",IFERROR(_xlfn.NUMBERVALUE(MID(Y25,SEARCH("""regularMarketPrice"":",Y25)+21,SEARCH(",",Y25&amp;",",SEARCH("""regularMarketPrice"":",Y25)+21)-SEARCH("""regularMarketPrice"":",Y25)-21),".",","),""))</f>
        <v/>
      </c>
      <c r="AA25" s="85" t="str">
        <f>IF(A25="","",ROUND(MAX(0,N(F25)*($K$6+$W$7)-K25),2))</f>
        <v/>
      </c>
      <c r="AB25" s="85" t="str">
        <f>IF(A25="","",IF(AND(M25&gt;0,M25&gt;=p_DifMin),AA25,0))</f>
        <v/>
      </c>
      <c r="AC25" s="85" t="str">
        <f>IF(A25="","",IF(AND(AB25&gt;0,N(O25)&lt;=p_MaxAtivos),AB25,0))</f>
        <v/>
      </c>
      <c r="AD25" s="85" t="str">
        <f>IF(A25="","",IF(OR(Q25&lt;=0,Q25&lt;p_CompraMin,N(H25)&lt;=0,N(W25)&lt;=0),0,IF($W$3="Sim",TRUNC(ROUND(MAX(0,(Q25-p_CorrFixa)/(H25*W25*$W$6)),9),$W$4),TRUNC(ROUND(MAX(0,(Q25-p_CorrFixa)/(H25*W25*$W$6)),9)/$W$5)*$W$5)))</f>
        <v/>
      </c>
      <c r="AE25" s="85" t="str">
        <f>IF(A25="","",IF(N(AD25)&gt;0,AD25*H25*W25*$W$6+p_CorrFixa,0))</f>
        <v/>
      </c>
      <c r="AF25" s="85" t="str">
        <f>IF(A25="","",IF(OR($Y$1&lt;=0,N(H25)&lt;=0,N(W25)&lt;=0,N(AB25)&lt;=0),0,IF($W$3="Sim",TRUNC(ROUND(MAX(0,($Y$1-IF(N(AD25)&gt;0,0,p_CorrFixa))/(H25*W25*$W$6)),9),$W$4),TRUNC(ROUND(MAX(0,($Y$1-IF(N(AD25)&gt;0,0,p_CorrFixa))/(H25*W25*$W$6)),9)/$W$5)*$W$5)))</f>
        <v/>
      </c>
      <c r="AG25" s="85" t="str">
        <f>IF(A25="","",IF(AND(N(AD25)=0,N(AF25)*(H25*W25*$W$6)+p_CorrFixa&lt;p_CompraMin),0,AF25))</f>
        <v/>
      </c>
      <c r="AH25" s="85" t="str">
        <f>IF(A25="","",IF(N(AG25)&gt;0,AB25,0))</f>
        <v/>
      </c>
      <c r="AI25" s="85" t="str">
        <f>IF(A25="","",IF(AND(AH25&gt;0,AH25=$AH$6,COUNTIF($AH$9:AH25,AH25)=1),1,0))</f>
        <v/>
      </c>
    </row>
    <row r="26">
      <c r="A26" s="96" t="n"/>
      <c r="B26" s="96" t="n"/>
      <c r="C26" s="96" t="n"/>
      <c r="D26" s="97" t="n"/>
      <c r="E26" s="98" t="n"/>
      <c r="F26" s="99" t="n"/>
      <c r="G26" s="100" t="n"/>
      <c r="H26" s="104" t="str">
        <f>IF(A26="","",IF(AND(p_ModoCot="Automático",ISNUMBER(Z26)),Z26,IF(N(G26)&gt;0,G26,0)))</f>
        <v/>
      </c>
      <c r="I26" s="105" t="str">
        <f>IF(A26="","",IF(W26=0,"Sem câmbio",IF(AND(p_ModoCot="Automático",ISNUMBER(Z26)),"Auto",IF(N(G26)&gt;0,"Manual","Sem cotação"))))</f>
        <v/>
      </c>
      <c r="J26" s="106" t="str">
        <f>IF(A26="","",N(E26)*H26)</f>
        <v/>
      </c>
      <c r="K26" s="107" t="str">
        <f>IF(A26="","",J26*W26)</f>
        <v/>
      </c>
      <c r="L26" s="108" t="str">
        <f>IF(A26="","",IF($K$6&gt;0,K26/$K$6,0))</f>
        <v/>
      </c>
      <c r="M26" s="109" t="str">
        <f>IF(A26="","",N(F26)-L26)</f>
        <v/>
      </c>
      <c r="N26" s="108" t="str">
        <f>IF(A26="","",IF($AB$6&gt;0,AB26/$AB$6,0))</f>
        <v/>
      </c>
      <c r="O26" s="110" t="str">
        <f>IF(A26="","",IF(AB26&lt;=0,"",COUNTIF($AB$9:$AB$108,"&gt;"&amp;AB26)+COUNTIF($AB$9:AB26,AB26)))</f>
        <v/>
      </c>
      <c r="P26" s="105" t="str">
        <f>IF(A26="","",IF(Q26&gt;0,"BUY","HOLD"))</f>
        <v/>
      </c>
      <c r="Q26" s="107" t="str">
        <f>IF(A26="","",IF($W$7&lt;=0,0,IF($AC$6&gt;0,$W$7*AC26/$AC$6,IF($F$6&gt;0,$W$7*N(F26)/$F$6,0))))</f>
        <v/>
      </c>
      <c r="R26" s="111" t="str">
        <f>IF(A26="","",N(AD26)+IF(AI26=1,N(AG26),0))</f>
        <v/>
      </c>
      <c r="S26" s="111" t="str">
        <f>IF(A26="","",N(E26)+N(R26))</f>
        <v/>
      </c>
      <c r="T26" s="107" t="str">
        <f>IF(A26="","",IF(N(R26)&gt;0,R26*H26*W26*$W$6+p_CorrFixa,0))</f>
        <v/>
      </c>
      <c r="V26" s="85" t="str">
        <f>IF(A26="","",IF(D26="",$W$1,D26))</f>
        <v/>
      </c>
      <c r="W26" s="85" t="str">
        <f>IF(A26="","",IFERROR(INDEX(moeda_fx,MATCH(V26,moeda_cod,0)),0))</f>
        <v/>
      </c>
      <c r="X26" s="85" t="str">
        <f>IF(A26="","",IF($W$2="",UPPER(TRIM(A26)),IF(RIGHT(UPPER(TRIM(A26)),LEN($W$2))=$W$2,UPPER(TRIM(A26)),UPPER(TRIM(A26))&amp;$W$2)))</f>
        <v/>
      </c>
      <c r="Y26" s="85" t="str">
        <f>IF(OR(A26="",p_ModoCot&lt;&gt;"Automático"),"",IFERROR(_xlfn.WEBSERVICE("https://query1.finance.yahoo.com/v8/finance/chart/"&amp;X26&amp;"?range=1d&amp;interval=1d"),""))</f>
        <v/>
      </c>
      <c r="Z26" s="85" t="str">
        <f>IF(Y26="","",IFERROR(_xlfn.NUMBERVALUE(MID(Y26,SEARCH("""regularMarketPrice"":",Y26)+21,SEARCH(",",Y26&amp;",",SEARCH("""regularMarketPrice"":",Y26)+21)-SEARCH("""regularMarketPrice"":",Y26)-21),".",","),""))</f>
        <v/>
      </c>
      <c r="AA26" s="85" t="str">
        <f>IF(A26="","",ROUND(MAX(0,N(F26)*($K$6+$W$7)-K26),2))</f>
        <v/>
      </c>
      <c r="AB26" s="85" t="str">
        <f>IF(A26="","",IF(AND(M26&gt;0,M26&gt;=p_DifMin),AA26,0))</f>
        <v/>
      </c>
      <c r="AC26" s="85" t="str">
        <f>IF(A26="","",IF(AND(AB26&gt;0,N(O26)&lt;=p_MaxAtivos),AB26,0))</f>
        <v/>
      </c>
      <c r="AD26" s="85" t="str">
        <f>IF(A26="","",IF(OR(Q26&lt;=0,Q26&lt;p_CompraMin,N(H26)&lt;=0,N(W26)&lt;=0),0,IF($W$3="Sim",TRUNC(ROUND(MAX(0,(Q26-p_CorrFixa)/(H26*W26*$W$6)),9),$W$4),TRUNC(ROUND(MAX(0,(Q26-p_CorrFixa)/(H26*W26*$W$6)),9)/$W$5)*$W$5)))</f>
        <v/>
      </c>
      <c r="AE26" s="85" t="str">
        <f>IF(A26="","",IF(N(AD26)&gt;0,AD26*H26*W26*$W$6+p_CorrFixa,0))</f>
        <v/>
      </c>
      <c r="AF26" s="85" t="str">
        <f>IF(A26="","",IF(OR($Y$1&lt;=0,N(H26)&lt;=0,N(W26)&lt;=0,N(AB26)&lt;=0),0,IF($W$3="Sim",TRUNC(ROUND(MAX(0,($Y$1-IF(N(AD26)&gt;0,0,p_CorrFixa))/(H26*W26*$W$6)),9),$W$4),TRUNC(ROUND(MAX(0,($Y$1-IF(N(AD26)&gt;0,0,p_CorrFixa))/(H26*W26*$W$6)),9)/$W$5)*$W$5)))</f>
        <v/>
      </c>
      <c r="AG26" s="85" t="str">
        <f>IF(A26="","",IF(AND(N(AD26)=0,N(AF26)*(H26*W26*$W$6)+p_CorrFixa&lt;p_CompraMin),0,AF26))</f>
        <v/>
      </c>
      <c r="AH26" s="85" t="str">
        <f>IF(A26="","",IF(N(AG26)&gt;0,AB26,0))</f>
        <v/>
      </c>
      <c r="AI26" s="85" t="str">
        <f>IF(A26="","",IF(AND(AH26&gt;0,AH26=$AH$6,COUNTIF($AH$9:AH26,AH26)=1),1,0))</f>
        <v/>
      </c>
    </row>
    <row r="27">
      <c r="A27" s="96" t="n"/>
      <c r="B27" s="96" t="n"/>
      <c r="C27" s="96" t="n"/>
      <c r="D27" s="97" t="n"/>
      <c r="E27" s="98" t="n"/>
      <c r="F27" s="99" t="n"/>
      <c r="G27" s="100" t="n"/>
      <c r="H27" s="101" t="str">
        <f>IF(A27="","",IF(AND(p_ModoCot="Automático",ISNUMBER(Z27)),Z27,IF(N(G27)&gt;0,G27,0)))</f>
        <v/>
      </c>
      <c r="I27" s="73" t="str">
        <f>IF(A27="","",IF(W27=0,"Sem câmbio",IF(AND(p_ModoCot="Automático",ISNUMBER(Z27)),"Auto",IF(N(G27)&gt;0,"Manual","Sem cotação"))))</f>
        <v/>
      </c>
      <c r="J27" s="102" t="str">
        <f>IF(A27="","",N(E27)*H27)</f>
        <v/>
      </c>
      <c r="K27" s="70" t="str">
        <f>IF(A27="","",J27*W27)</f>
        <v/>
      </c>
      <c r="L27" s="30" t="str">
        <f>IF(A27="","",IF($K$6&gt;0,K27/$K$6,0))</f>
        <v/>
      </c>
      <c r="M27" s="72" t="str">
        <f>IF(A27="","",N(F27)-L27)</f>
        <v/>
      </c>
      <c r="N27" s="30" t="str">
        <f>IF(A27="","",IF($AB$6&gt;0,AB27/$AB$6,0))</f>
        <v/>
      </c>
      <c r="O27" s="74" t="str">
        <f>IF(A27="","",IF(AB27&lt;=0,"",COUNTIF($AB$9:$AB$108,"&gt;"&amp;AB27)+COUNTIF($AB$9:AB27,AB27)))</f>
        <v/>
      </c>
      <c r="P27" s="73" t="str">
        <f>IF(A27="","",IF(Q27&gt;0,"BUY","HOLD"))</f>
        <v/>
      </c>
      <c r="Q27" s="70" t="str">
        <f>IF(A27="","",IF($W$7&lt;=0,0,IF($AC$6&gt;0,$W$7*AC27/$AC$6,IF($F$6&gt;0,$W$7*N(F27)/$F$6,0))))</f>
        <v/>
      </c>
      <c r="R27" s="103" t="str">
        <f>IF(A27="","",N(AD27)+IF(AI27=1,N(AG27),0))</f>
        <v/>
      </c>
      <c r="S27" s="103" t="str">
        <f>IF(A27="","",N(E27)+N(R27))</f>
        <v/>
      </c>
      <c r="T27" s="70" t="str">
        <f>IF(A27="","",IF(N(R27)&gt;0,R27*H27*W27*$W$6+p_CorrFixa,0))</f>
        <v/>
      </c>
      <c r="V27" s="85" t="str">
        <f>IF(A27="","",IF(D27="",$W$1,D27))</f>
        <v/>
      </c>
      <c r="W27" s="85" t="str">
        <f>IF(A27="","",IFERROR(INDEX(moeda_fx,MATCH(V27,moeda_cod,0)),0))</f>
        <v/>
      </c>
      <c r="X27" s="85" t="str">
        <f>IF(A27="","",IF($W$2="",UPPER(TRIM(A27)),IF(RIGHT(UPPER(TRIM(A27)),LEN($W$2))=$W$2,UPPER(TRIM(A27)),UPPER(TRIM(A27))&amp;$W$2)))</f>
        <v/>
      </c>
      <c r="Y27" s="85" t="str">
        <f>IF(OR(A27="",p_ModoCot&lt;&gt;"Automático"),"",IFERROR(_xlfn.WEBSERVICE("https://query1.finance.yahoo.com/v8/finance/chart/"&amp;X27&amp;"?range=1d&amp;interval=1d"),""))</f>
        <v/>
      </c>
      <c r="Z27" s="85" t="str">
        <f>IF(Y27="","",IFERROR(_xlfn.NUMBERVALUE(MID(Y27,SEARCH("""regularMarketPrice"":",Y27)+21,SEARCH(",",Y27&amp;",",SEARCH("""regularMarketPrice"":",Y27)+21)-SEARCH("""regularMarketPrice"":",Y27)-21),".",","),""))</f>
        <v/>
      </c>
      <c r="AA27" s="85" t="str">
        <f>IF(A27="","",ROUND(MAX(0,N(F27)*($K$6+$W$7)-K27),2))</f>
        <v/>
      </c>
      <c r="AB27" s="85" t="str">
        <f>IF(A27="","",IF(AND(M27&gt;0,M27&gt;=p_DifMin),AA27,0))</f>
        <v/>
      </c>
      <c r="AC27" s="85" t="str">
        <f>IF(A27="","",IF(AND(AB27&gt;0,N(O27)&lt;=p_MaxAtivos),AB27,0))</f>
        <v/>
      </c>
      <c r="AD27" s="85" t="str">
        <f>IF(A27="","",IF(OR(Q27&lt;=0,Q27&lt;p_CompraMin,N(H27)&lt;=0,N(W27)&lt;=0),0,IF($W$3="Sim",TRUNC(ROUND(MAX(0,(Q27-p_CorrFixa)/(H27*W27*$W$6)),9),$W$4),TRUNC(ROUND(MAX(0,(Q27-p_CorrFixa)/(H27*W27*$W$6)),9)/$W$5)*$W$5)))</f>
        <v/>
      </c>
      <c r="AE27" s="85" t="str">
        <f>IF(A27="","",IF(N(AD27)&gt;0,AD27*H27*W27*$W$6+p_CorrFixa,0))</f>
        <v/>
      </c>
      <c r="AF27" s="85" t="str">
        <f>IF(A27="","",IF(OR($Y$1&lt;=0,N(H27)&lt;=0,N(W27)&lt;=0,N(AB27)&lt;=0),0,IF($W$3="Sim",TRUNC(ROUND(MAX(0,($Y$1-IF(N(AD27)&gt;0,0,p_CorrFixa))/(H27*W27*$W$6)),9),$W$4),TRUNC(ROUND(MAX(0,($Y$1-IF(N(AD27)&gt;0,0,p_CorrFixa))/(H27*W27*$W$6)),9)/$W$5)*$W$5)))</f>
        <v/>
      </c>
      <c r="AG27" s="85" t="str">
        <f>IF(A27="","",IF(AND(N(AD27)=0,N(AF27)*(H27*W27*$W$6)+p_CorrFixa&lt;p_CompraMin),0,AF27))</f>
        <v/>
      </c>
      <c r="AH27" s="85" t="str">
        <f>IF(A27="","",IF(N(AG27)&gt;0,AB27,0))</f>
        <v/>
      </c>
      <c r="AI27" s="85" t="str">
        <f>IF(A27="","",IF(AND(AH27&gt;0,AH27=$AH$6,COUNTIF($AH$9:AH27,AH27)=1),1,0))</f>
        <v/>
      </c>
    </row>
    <row r="28">
      <c r="A28" s="96" t="n"/>
      <c r="B28" s="96" t="n"/>
      <c r="C28" s="96" t="n"/>
      <c r="D28" s="97" t="n"/>
      <c r="E28" s="98" t="n"/>
      <c r="F28" s="99" t="n"/>
      <c r="G28" s="100" t="n"/>
      <c r="H28" s="104" t="str">
        <f>IF(A28="","",IF(AND(p_ModoCot="Automático",ISNUMBER(Z28)),Z28,IF(N(G28)&gt;0,G28,0)))</f>
        <v/>
      </c>
      <c r="I28" s="105" t="str">
        <f>IF(A28="","",IF(W28=0,"Sem câmbio",IF(AND(p_ModoCot="Automático",ISNUMBER(Z28)),"Auto",IF(N(G28)&gt;0,"Manual","Sem cotação"))))</f>
        <v/>
      </c>
      <c r="J28" s="106" t="str">
        <f>IF(A28="","",N(E28)*H28)</f>
        <v/>
      </c>
      <c r="K28" s="107" t="str">
        <f>IF(A28="","",J28*W28)</f>
        <v/>
      </c>
      <c r="L28" s="108" t="str">
        <f>IF(A28="","",IF($K$6&gt;0,K28/$K$6,0))</f>
        <v/>
      </c>
      <c r="M28" s="109" t="str">
        <f>IF(A28="","",N(F28)-L28)</f>
        <v/>
      </c>
      <c r="N28" s="108" t="str">
        <f>IF(A28="","",IF($AB$6&gt;0,AB28/$AB$6,0))</f>
        <v/>
      </c>
      <c r="O28" s="110" t="str">
        <f>IF(A28="","",IF(AB28&lt;=0,"",COUNTIF($AB$9:$AB$108,"&gt;"&amp;AB28)+COUNTIF($AB$9:AB28,AB28)))</f>
        <v/>
      </c>
      <c r="P28" s="105" t="str">
        <f>IF(A28="","",IF(Q28&gt;0,"BUY","HOLD"))</f>
        <v/>
      </c>
      <c r="Q28" s="107" t="str">
        <f>IF(A28="","",IF($W$7&lt;=0,0,IF($AC$6&gt;0,$W$7*AC28/$AC$6,IF($F$6&gt;0,$W$7*N(F28)/$F$6,0))))</f>
        <v/>
      </c>
      <c r="R28" s="111" t="str">
        <f>IF(A28="","",N(AD28)+IF(AI28=1,N(AG28),0))</f>
        <v/>
      </c>
      <c r="S28" s="111" t="str">
        <f>IF(A28="","",N(E28)+N(R28))</f>
        <v/>
      </c>
      <c r="T28" s="107" t="str">
        <f>IF(A28="","",IF(N(R28)&gt;0,R28*H28*W28*$W$6+p_CorrFixa,0))</f>
        <v/>
      </c>
      <c r="V28" s="85" t="str">
        <f>IF(A28="","",IF(D28="",$W$1,D28))</f>
        <v/>
      </c>
      <c r="W28" s="85" t="str">
        <f>IF(A28="","",IFERROR(INDEX(moeda_fx,MATCH(V28,moeda_cod,0)),0))</f>
        <v/>
      </c>
      <c r="X28" s="85" t="str">
        <f>IF(A28="","",IF($W$2="",UPPER(TRIM(A28)),IF(RIGHT(UPPER(TRIM(A28)),LEN($W$2))=$W$2,UPPER(TRIM(A28)),UPPER(TRIM(A28))&amp;$W$2)))</f>
        <v/>
      </c>
      <c r="Y28" s="85" t="str">
        <f>IF(OR(A28="",p_ModoCot&lt;&gt;"Automático"),"",IFERROR(_xlfn.WEBSERVICE("https://query1.finance.yahoo.com/v8/finance/chart/"&amp;X28&amp;"?range=1d&amp;interval=1d"),""))</f>
        <v/>
      </c>
      <c r="Z28" s="85" t="str">
        <f>IF(Y28="","",IFERROR(_xlfn.NUMBERVALUE(MID(Y28,SEARCH("""regularMarketPrice"":",Y28)+21,SEARCH(",",Y28&amp;",",SEARCH("""regularMarketPrice"":",Y28)+21)-SEARCH("""regularMarketPrice"":",Y28)-21),".",","),""))</f>
        <v/>
      </c>
      <c r="AA28" s="85" t="str">
        <f>IF(A28="","",ROUND(MAX(0,N(F28)*($K$6+$W$7)-K28),2))</f>
        <v/>
      </c>
      <c r="AB28" s="85" t="str">
        <f>IF(A28="","",IF(AND(M28&gt;0,M28&gt;=p_DifMin),AA28,0))</f>
        <v/>
      </c>
      <c r="AC28" s="85" t="str">
        <f>IF(A28="","",IF(AND(AB28&gt;0,N(O28)&lt;=p_MaxAtivos),AB28,0))</f>
        <v/>
      </c>
      <c r="AD28" s="85" t="str">
        <f>IF(A28="","",IF(OR(Q28&lt;=0,Q28&lt;p_CompraMin,N(H28)&lt;=0,N(W28)&lt;=0),0,IF($W$3="Sim",TRUNC(ROUND(MAX(0,(Q28-p_CorrFixa)/(H28*W28*$W$6)),9),$W$4),TRUNC(ROUND(MAX(0,(Q28-p_CorrFixa)/(H28*W28*$W$6)),9)/$W$5)*$W$5)))</f>
        <v/>
      </c>
      <c r="AE28" s="85" t="str">
        <f>IF(A28="","",IF(N(AD28)&gt;0,AD28*H28*W28*$W$6+p_CorrFixa,0))</f>
        <v/>
      </c>
      <c r="AF28" s="85" t="str">
        <f>IF(A28="","",IF(OR($Y$1&lt;=0,N(H28)&lt;=0,N(W28)&lt;=0,N(AB28)&lt;=0),0,IF($W$3="Sim",TRUNC(ROUND(MAX(0,($Y$1-IF(N(AD28)&gt;0,0,p_CorrFixa))/(H28*W28*$W$6)),9),$W$4),TRUNC(ROUND(MAX(0,($Y$1-IF(N(AD28)&gt;0,0,p_CorrFixa))/(H28*W28*$W$6)),9)/$W$5)*$W$5)))</f>
        <v/>
      </c>
      <c r="AG28" s="85" t="str">
        <f>IF(A28="","",IF(AND(N(AD28)=0,N(AF28)*(H28*W28*$W$6)+p_CorrFixa&lt;p_CompraMin),0,AF28))</f>
        <v/>
      </c>
      <c r="AH28" s="85" t="str">
        <f>IF(A28="","",IF(N(AG28)&gt;0,AB28,0))</f>
        <v/>
      </c>
      <c r="AI28" s="85" t="str">
        <f>IF(A28="","",IF(AND(AH28&gt;0,AH28=$AH$6,COUNTIF($AH$9:AH28,AH28)=1),1,0))</f>
        <v/>
      </c>
    </row>
    <row r="29">
      <c r="A29" s="96" t="n"/>
      <c r="B29" s="96" t="n"/>
      <c r="C29" s="96" t="n"/>
      <c r="D29" s="97" t="n"/>
      <c r="E29" s="98" t="n"/>
      <c r="F29" s="99" t="n"/>
      <c r="G29" s="100" t="n"/>
      <c r="H29" s="101" t="str">
        <f>IF(A29="","",IF(AND(p_ModoCot="Automático",ISNUMBER(Z29)),Z29,IF(N(G29)&gt;0,G29,0)))</f>
        <v/>
      </c>
      <c r="I29" s="73" t="str">
        <f>IF(A29="","",IF(W29=0,"Sem câmbio",IF(AND(p_ModoCot="Automático",ISNUMBER(Z29)),"Auto",IF(N(G29)&gt;0,"Manual","Sem cotação"))))</f>
        <v/>
      </c>
      <c r="J29" s="102" t="str">
        <f>IF(A29="","",N(E29)*H29)</f>
        <v/>
      </c>
      <c r="K29" s="70" t="str">
        <f>IF(A29="","",J29*W29)</f>
        <v/>
      </c>
      <c r="L29" s="30" t="str">
        <f>IF(A29="","",IF($K$6&gt;0,K29/$K$6,0))</f>
        <v/>
      </c>
      <c r="M29" s="72" t="str">
        <f>IF(A29="","",N(F29)-L29)</f>
        <v/>
      </c>
      <c r="N29" s="30" t="str">
        <f>IF(A29="","",IF($AB$6&gt;0,AB29/$AB$6,0))</f>
        <v/>
      </c>
      <c r="O29" s="74" t="str">
        <f>IF(A29="","",IF(AB29&lt;=0,"",COUNTIF($AB$9:$AB$108,"&gt;"&amp;AB29)+COUNTIF($AB$9:AB29,AB29)))</f>
        <v/>
      </c>
      <c r="P29" s="73" t="str">
        <f>IF(A29="","",IF(Q29&gt;0,"BUY","HOLD"))</f>
        <v/>
      </c>
      <c r="Q29" s="70" t="str">
        <f>IF(A29="","",IF($W$7&lt;=0,0,IF($AC$6&gt;0,$W$7*AC29/$AC$6,IF($F$6&gt;0,$W$7*N(F29)/$F$6,0))))</f>
        <v/>
      </c>
      <c r="R29" s="103" t="str">
        <f>IF(A29="","",N(AD29)+IF(AI29=1,N(AG29),0))</f>
        <v/>
      </c>
      <c r="S29" s="103" t="str">
        <f>IF(A29="","",N(E29)+N(R29))</f>
        <v/>
      </c>
      <c r="T29" s="70" t="str">
        <f>IF(A29="","",IF(N(R29)&gt;0,R29*H29*W29*$W$6+p_CorrFixa,0))</f>
        <v/>
      </c>
      <c r="V29" s="85" t="str">
        <f>IF(A29="","",IF(D29="",$W$1,D29))</f>
        <v/>
      </c>
      <c r="W29" s="85" t="str">
        <f>IF(A29="","",IFERROR(INDEX(moeda_fx,MATCH(V29,moeda_cod,0)),0))</f>
        <v/>
      </c>
      <c r="X29" s="85" t="str">
        <f>IF(A29="","",IF($W$2="",UPPER(TRIM(A29)),IF(RIGHT(UPPER(TRIM(A29)),LEN($W$2))=$W$2,UPPER(TRIM(A29)),UPPER(TRIM(A29))&amp;$W$2)))</f>
        <v/>
      </c>
      <c r="Y29" s="85" t="str">
        <f>IF(OR(A29="",p_ModoCot&lt;&gt;"Automático"),"",IFERROR(_xlfn.WEBSERVICE("https://query1.finance.yahoo.com/v8/finance/chart/"&amp;X29&amp;"?range=1d&amp;interval=1d"),""))</f>
        <v/>
      </c>
      <c r="Z29" s="85" t="str">
        <f>IF(Y29="","",IFERROR(_xlfn.NUMBERVALUE(MID(Y29,SEARCH("""regularMarketPrice"":",Y29)+21,SEARCH(",",Y29&amp;",",SEARCH("""regularMarketPrice"":",Y29)+21)-SEARCH("""regularMarketPrice"":",Y29)-21),".",","),""))</f>
        <v/>
      </c>
      <c r="AA29" s="85" t="str">
        <f>IF(A29="","",ROUND(MAX(0,N(F29)*($K$6+$W$7)-K29),2))</f>
        <v/>
      </c>
      <c r="AB29" s="85" t="str">
        <f>IF(A29="","",IF(AND(M29&gt;0,M29&gt;=p_DifMin),AA29,0))</f>
        <v/>
      </c>
      <c r="AC29" s="85" t="str">
        <f>IF(A29="","",IF(AND(AB29&gt;0,N(O29)&lt;=p_MaxAtivos),AB29,0))</f>
        <v/>
      </c>
      <c r="AD29" s="85" t="str">
        <f>IF(A29="","",IF(OR(Q29&lt;=0,Q29&lt;p_CompraMin,N(H29)&lt;=0,N(W29)&lt;=0),0,IF($W$3="Sim",TRUNC(ROUND(MAX(0,(Q29-p_CorrFixa)/(H29*W29*$W$6)),9),$W$4),TRUNC(ROUND(MAX(0,(Q29-p_CorrFixa)/(H29*W29*$W$6)),9)/$W$5)*$W$5)))</f>
        <v/>
      </c>
      <c r="AE29" s="85" t="str">
        <f>IF(A29="","",IF(N(AD29)&gt;0,AD29*H29*W29*$W$6+p_CorrFixa,0))</f>
        <v/>
      </c>
      <c r="AF29" s="85" t="str">
        <f>IF(A29="","",IF(OR($Y$1&lt;=0,N(H29)&lt;=0,N(W29)&lt;=0,N(AB29)&lt;=0),0,IF($W$3="Sim",TRUNC(ROUND(MAX(0,($Y$1-IF(N(AD29)&gt;0,0,p_CorrFixa))/(H29*W29*$W$6)),9),$W$4),TRUNC(ROUND(MAX(0,($Y$1-IF(N(AD29)&gt;0,0,p_CorrFixa))/(H29*W29*$W$6)),9)/$W$5)*$W$5)))</f>
        <v/>
      </c>
      <c r="AG29" s="85" t="str">
        <f>IF(A29="","",IF(AND(N(AD29)=0,N(AF29)*(H29*W29*$W$6)+p_CorrFixa&lt;p_CompraMin),0,AF29))</f>
        <v/>
      </c>
      <c r="AH29" s="85" t="str">
        <f>IF(A29="","",IF(N(AG29)&gt;0,AB29,0))</f>
        <v/>
      </c>
      <c r="AI29" s="85" t="str">
        <f>IF(A29="","",IF(AND(AH29&gt;0,AH29=$AH$6,COUNTIF($AH$9:AH29,AH29)=1),1,0))</f>
        <v/>
      </c>
    </row>
    <row r="30">
      <c r="A30" s="96" t="n"/>
      <c r="B30" s="96" t="n"/>
      <c r="C30" s="96" t="n"/>
      <c r="D30" s="97" t="n"/>
      <c r="E30" s="98" t="n"/>
      <c r="F30" s="99" t="n"/>
      <c r="G30" s="100" t="n"/>
      <c r="H30" s="104" t="str">
        <f>IF(A30="","",IF(AND(p_ModoCot="Automático",ISNUMBER(Z30)),Z30,IF(N(G30)&gt;0,G30,0)))</f>
        <v/>
      </c>
      <c r="I30" s="105" t="str">
        <f>IF(A30="","",IF(W30=0,"Sem câmbio",IF(AND(p_ModoCot="Automático",ISNUMBER(Z30)),"Auto",IF(N(G30)&gt;0,"Manual","Sem cotação"))))</f>
        <v/>
      </c>
      <c r="J30" s="106" t="str">
        <f>IF(A30="","",N(E30)*H30)</f>
        <v/>
      </c>
      <c r="K30" s="107" t="str">
        <f>IF(A30="","",J30*W30)</f>
        <v/>
      </c>
      <c r="L30" s="108" t="str">
        <f>IF(A30="","",IF($K$6&gt;0,K30/$K$6,0))</f>
        <v/>
      </c>
      <c r="M30" s="109" t="str">
        <f>IF(A30="","",N(F30)-L30)</f>
        <v/>
      </c>
      <c r="N30" s="108" t="str">
        <f>IF(A30="","",IF($AB$6&gt;0,AB30/$AB$6,0))</f>
        <v/>
      </c>
      <c r="O30" s="110" t="str">
        <f>IF(A30="","",IF(AB30&lt;=0,"",COUNTIF($AB$9:$AB$108,"&gt;"&amp;AB30)+COUNTIF($AB$9:AB30,AB30)))</f>
        <v/>
      </c>
      <c r="P30" s="105" t="str">
        <f>IF(A30="","",IF(Q30&gt;0,"BUY","HOLD"))</f>
        <v/>
      </c>
      <c r="Q30" s="107" t="str">
        <f>IF(A30="","",IF($W$7&lt;=0,0,IF($AC$6&gt;0,$W$7*AC30/$AC$6,IF($F$6&gt;0,$W$7*N(F30)/$F$6,0))))</f>
        <v/>
      </c>
      <c r="R30" s="111" t="str">
        <f>IF(A30="","",N(AD30)+IF(AI30=1,N(AG30),0))</f>
        <v/>
      </c>
      <c r="S30" s="111" t="str">
        <f>IF(A30="","",N(E30)+N(R30))</f>
        <v/>
      </c>
      <c r="T30" s="107" t="str">
        <f>IF(A30="","",IF(N(R30)&gt;0,R30*H30*W30*$W$6+p_CorrFixa,0))</f>
        <v/>
      </c>
      <c r="V30" s="85" t="str">
        <f>IF(A30="","",IF(D30="",$W$1,D30))</f>
        <v/>
      </c>
      <c r="W30" s="85" t="str">
        <f>IF(A30="","",IFERROR(INDEX(moeda_fx,MATCH(V30,moeda_cod,0)),0))</f>
        <v/>
      </c>
      <c r="X30" s="85" t="str">
        <f>IF(A30="","",IF($W$2="",UPPER(TRIM(A30)),IF(RIGHT(UPPER(TRIM(A30)),LEN($W$2))=$W$2,UPPER(TRIM(A30)),UPPER(TRIM(A30))&amp;$W$2)))</f>
        <v/>
      </c>
      <c r="Y30" s="85" t="str">
        <f>IF(OR(A30="",p_ModoCot&lt;&gt;"Automático"),"",IFERROR(_xlfn.WEBSERVICE("https://query1.finance.yahoo.com/v8/finance/chart/"&amp;X30&amp;"?range=1d&amp;interval=1d"),""))</f>
        <v/>
      </c>
      <c r="Z30" s="85" t="str">
        <f>IF(Y30="","",IFERROR(_xlfn.NUMBERVALUE(MID(Y30,SEARCH("""regularMarketPrice"":",Y30)+21,SEARCH(",",Y30&amp;",",SEARCH("""regularMarketPrice"":",Y30)+21)-SEARCH("""regularMarketPrice"":",Y30)-21),".",","),""))</f>
        <v/>
      </c>
      <c r="AA30" s="85" t="str">
        <f>IF(A30="","",ROUND(MAX(0,N(F30)*($K$6+$W$7)-K30),2))</f>
        <v/>
      </c>
      <c r="AB30" s="85" t="str">
        <f>IF(A30="","",IF(AND(M30&gt;0,M30&gt;=p_DifMin),AA30,0))</f>
        <v/>
      </c>
      <c r="AC30" s="85" t="str">
        <f>IF(A30="","",IF(AND(AB30&gt;0,N(O30)&lt;=p_MaxAtivos),AB30,0))</f>
        <v/>
      </c>
      <c r="AD30" s="85" t="str">
        <f>IF(A30="","",IF(OR(Q30&lt;=0,Q30&lt;p_CompraMin,N(H30)&lt;=0,N(W30)&lt;=0),0,IF($W$3="Sim",TRUNC(ROUND(MAX(0,(Q30-p_CorrFixa)/(H30*W30*$W$6)),9),$W$4),TRUNC(ROUND(MAX(0,(Q30-p_CorrFixa)/(H30*W30*$W$6)),9)/$W$5)*$W$5)))</f>
        <v/>
      </c>
      <c r="AE30" s="85" t="str">
        <f>IF(A30="","",IF(N(AD30)&gt;0,AD30*H30*W30*$W$6+p_CorrFixa,0))</f>
        <v/>
      </c>
      <c r="AF30" s="85" t="str">
        <f>IF(A30="","",IF(OR($Y$1&lt;=0,N(H30)&lt;=0,N(W30)&lt;=0,N(AB30)&lt;=0),0,IF($W$3="Sim",TRUNC(ROUND(MAX(0,($Y$1-IF(N(AD30)&gt;0,0,p_CorrFixa))/(H30*W30*$W$6)),9),$W$4),TRUNC(ROUND(MAX(0,($Y$1-IF(N(AD30)&gt;0,0,p_CorrFixa))/(H30*W30*$W$6)),9)/$W$5)*$W$5)))</f>
        <v/>
      </c>
      <c r="AG30" s="85" t="str">
        <f>IF(A30="","",IF(AND(N(AD30)=0,N(AF30)*(H30*W30*$W$6)+p_CorrFixa&lt;p_CompraMin),0,AF30))</f>
        <v/>
      </c>
      <c r="AH30" s="85" t="str">
        <f>IF(A30="","",IF(N(AG30)&gt;0,AB30,0))</f>
        <v/>
      </c>
      <c r="AI30" s="85" t="str">
        <f>IF(A30="","",IF(AND(AH30&gt;0,AH30=$AH$6,COUNTIF($AH$9:AH30,AH30)=1),1,0))</f>
        <v/>
      </c>
    </row>
    <row r="31">
      <c r="A31" s="96" t="n"/>
      <c r="B31" s="96" t="n"/>
      <c r="C31" s="96" t="n"/>
      <c r="D31" s="97" t="n"/>
      <c r="E31" s="98" t="n"/>
      <c r="F31" s="99" t="n"/>
      <c r="G31" s="100" t="n"/>
      <c r="H31" s="101" t="str">
        <f>IF(A31="","",IF(AND(p_ModoCot="Automático",ISNUMBER(Z31)),Z31,IF(N(G31)&gt;0,G31,0)))</f>
        <v/>
      </c>
      <c r="I31" s="73" t="str">
        <f>IF(A31="","",IF(W31=0,"Sem câmbio",IF(AND(p_ModoCot="Automático",ISNUMBER(Z31)),"Auto",IF(N(G31)&gt;0,"Manual","Sem cotação"))))</f>
        <v/>
      </c>
      <c r="J31" s="102" t="str">
        <f>IF(A31="","",N(E31)*H31)</f>
        <v/>
      </c>
      <c r="K31" s="70" t="str">
        <f>IF(A31="","",J31*W31)</f>
        <v/>
      </c>
      <c r="L31" s="30" t="str">
        <f>IF(A31="","",IF($K$6&gt;0,K31/$K$6,0))</f>
        <v/>
      </c>
      <c r="M31" s="72" t="str">
        <f>IF(A31="","",N(F31)-L31)</f>
        <v/>
      </c>
      <c r="N31" s="30" t="str">
        <f>IF(A31="","",IF($AB$6&gt;0,AB31/$AB$6,0))</f>
        <v/>
      </c>
      <c r="O31" s="74" t="str">
        <f>IF(A31="","",IF(AB31&lt;=0,"",COUNTIF($AB$9:$AB$108,"&gt;"&amp;AB31)+COUNTIF($AB$9:AB31,AB31)))</f>
        <v/>
      </c>
      <c r="P31" s="73" t="str">
        <f>IF(A31="","",IF(Q31&gt;0,"BUY","HOLD"))</f>
        <v/>
      </c>
      <c r="Q31" s="70" t="str">
        <f>IF(A31="","",IF($W$7&lt;=0,0,IF($AC$6&gt;0,$W$7*AC31/$AC$6,IF($F$6&gt;0,$W$7*N(F31)/$F$6,0))))</f>
        <v/>
      </c>
      <c r="R31" s="103" t="str">
        <f>IF(A31="","",N(AD31)+IF(AI31=1,N(AG31),0))</f>
        <v/>
      </c>
      <c r="S31" s="103" t="str">
        <f>IF(A31="","",N(E31)+N(R31))</f>
        <v/>
      </c>
      <c r="T31" s="70" t="str">
        <f>IF(A31="","",IF(N(R31)&gt;0,R31*H31*W31*$W$6+p_CorrFixa,0))</f>
        <v/>
      </c>
      <c r="V31" s="85" t="str">
        <f>IF(A31="","",IF(D31="",$W$1,D31))</f>
        <v/>
      </c>
      <c r="W31" s="85" t="str">
        <f>IF(A31="","",IFERROR(INDEX(moeda_fx,MATCH(V31,moeda_cod,0)),0))</f>
        <v/>
      </c>
      <c r="X31" s="85" t="str">
        <f>IF(A31="","",IF($W$2="",UPPER(TRIM(A31)),IF(RIGHT(UPPER(TRIM(A31)),LEN($W$2))=$W$2,UPPER(TRIM(A31)),UPPER(TRIM(A31))&amp;$W$2)))</f>
        <v/>
      </c>
      <c r="Y31" s="85" t="str">
        <f>IF(OR(A31="",p_ModoCot&lt;&gt;"Automático"),"",IFERROR(_xlfn.WEBSERVICE("https://query1.finance.yahoo.com/v8/finance/chart/"&amp;X31&amp;"?range=1d&amp;interval=1d"),""))</f>
        <v/>
      </c>
      <c r="Z31" s="85" t="str">
        <f>IF(Y31="","",IFERROR(_xlfn.NUMBERVALUE(MID(Y31,SEARCH("""regularMarketPrice"":",Y31)+21,SEARCH(",",Y31&amp;",",SEARCH("""regularMarketPrice"":",Y31)+21)-SEARCH("""regularMarketPrice"":",Y31)-21),".",","),""))</f>
        <v/>
      </c>
      <c r="AA31" s="85" t="str">
        <f>IF(A31="","",ROUND(MAX(0,N(F31)*($K$6+$W$7)-K31),2))</f>
        <v/>
      </c>
      <c r="AB31" s="85" t="str">
        <f>IF(A31="","",IF(AND(M31&gt;0,M31&gt;=p_DifMin),AA31,0))</f>
        <v/>
      </c>
      <c r="AC31" s="85" t="str">
        <f>IF(A31="","",IF(AND(AB31&gt;0,N(O31)&lt;=p_MaxAtivos),AB31,0))</f>
        <v/>
      </c>
      <c r="AD31" s="85" t="str">
        <f>IF(A31="","",IF(OR(Q31&lt;=0,Q31&lt;p_CompraMin,N(H31)&lt;=0,N(W31)&lt;=0),0,IF($W$3="Sim",TRUNC(ROUND(MAX(0,(Q31-p_CorrFixa)/(H31*W31*$W$6)),9),$W$4),TRUNC(ROUND(MAX(0,(Q31-p_CorrFixa)/(H31*W31*$W$6)),9)/$W$5)*$W$5)))</f>
        <v/>
      </c>
      <c r="AE31" s="85" t="str">
        <f>IF(A31="","",IF(N(AD31)&gt;0,AD31*H31*W31*$W$6+p_CorrFixa,0))</f>
        <v/>
      </c>
      <c r="AF31" s="85" t="str">
        <f>IF(A31="","",IF(OR($Y$1&lt;=0,N(H31)&lt;=0,N(W31)&lt;=0,N(AB31)&lt;=0),0,IF($W$3="Sim",TRUNC(ROUND(MAX(0,($Y$1-IF(N(AD31)&gt;0,0,p_CorrFixa))/(H31*W31*$W$6)),9),$W$4),TRUNC(ROUND(MAX(0,($Y$1-IF(N(AD31)&gt;0,0,p_CorrFixa))/(H31*W31*$W$6)),9)/$W$5)*$W$5)))</f>
        <v/>
      </c>
      <c r="AG31" s="85" t="str">
        <f>IF(A31="","",IF(AND(N(AD31)=0,N(AF31)*(H31*W31*$W$6)+p_CorrFixa&lt;p_CompraMin),0,AF31))</f>
        <v/>
      </c>
      <c r="AH31" s="85" t="str">
        <f>IF(A31="","",IF(N(AG31)&gt;0,AB31,0))</f>
        <v/>
      </c>
      <c r="AI31" s="85" t="str">
        <f>IF(A31="","",IF(AND(AH31&gt;0,AH31=$AH$6,COUNTIF($AH$9:AH31,AH31)=1),1,0))</f>
        <v/>
      </c>
    </row>
    <row r="32">
      <c r="A32" s="96" t="n"/>
      <c r="B32" s="96" t="n"/>
      <c r="C32" s="96" t="n"/>
      <c r="D32" s="97" t="n"/>
      <c r="E32" s="98" t="n"/>
      <c r="F32" s="99" t="n"/>
      <c r="G32" s="100" t="n"/>
      <c r="H32" s="104" t="str">
        <f>IF(A32="","",IF(AND(p_ModoCot="Automático",ISNUMBER(Z32)),Z32,IF(N(G32)&gt;0,G32,0)))</f>
        <v/>
      </c>
      <c r="I32" s="105" t="str">
        <f>IF(A32="","",IF(W32=0,"Sem câmbio",IF(AND(p_ModoCot="Automático",ISNUMBER(Z32)),"Auto",IF(N(G32)&gt;0,"Manual","Sem cotação"))))</f>
        <v/>
      </c>
      <c r="J32" s="106" t="str">
        <f>IF(A32="","",N(E32)*H32)</f>
        <v/>
      </c>
      <c r="K32" s="107" t="str">
        <f>IF(A32="","",J32*W32)</f>
        <v/>
      </c>
      <c r="L32" s="108" t="str">
        <f>IF(A32="","",IF($K$6&gt;0,K32/$K$6,0))</f>
        <v/>
      </c>
      <c r="M32" s="109" t="str">
        <f>IF(A32="","",N(F32)-L32)</f>
        <v/>
      </c>
      <c r="N32" s="108" t="str">
        <f>IF(A32="","",IF($AB$6&gt;0,AB32/$AB$6,0))</f>
        <v/>
      </c>
      <c r="O32" s="110" t="str">
        <f>IF(A32="","",IF(AB32&lt;=0,"",COUNTIF($AB$9:$AB$108,"&gt;"&amp;AB32)+COUNTIF($AB$9:AB32,AB32)))</f>
        <v/>
      </c>
      <c r="P32" s="105" t="str">
        <f>IF(A32="","",IF(Q32&gt;0,"BUY","HOLD"))</f>
        <v/>
      </c>
      <c r="Q32" s="107" t="str">
        <f>IF(A32="","",IF($W$7&lt;=0,0,IF($AC$6&gt;0,$W$7*AC32/$AC$6,IF($F$6&gt;0,$W$7*N(F32)/$F$6,0))))</f>
        <v/>
      </c>
      <c r="R32" s="111" t="str">
        <f>IF(A32="","",N(AD32)+IF(AI32=1,N(AG32),0))</f>
        <v/>
      </c>
      <c r="S32" s="111" t="str">
        <f>IF(A32="","",N(E32)+N(R32))</f>
        <v/>
      </c>
      <c r="T32" s="107" t="str">
        <f>IF(A32="","",IF(N(R32)&gt;0,R32*H32*W32*$W$6+p_CorrFixa,0))</f>
        <v/>
      </c>
      <c r="V32" s="85" t="str">
        <f>IF(A32="","",IF(D32="",$W$1,D32))</f>
        <v/>
      </c>
      <c r="W32" s="85" t="str">
        <f>IF(A32="","",IFERROR(INDEX(moeda_fx,MATCH(V32,moeda_cod,0)),0))</f>
        <v/>
      </c>
      <c r="X32" s="85" t="str">
        <f>IF(A32="","",IF($W$2="",UPPER(TRIM(A32)),IF(RIGHT(UPPER(TRIM(A32)),LEN($W$2))=$W$2,UPPER(TRIM(A32)),UPPER(TRIM(A32))&amp;$W$2)))</f>
        <v/>
      </c>
      <c r="Y32" s="85" t="str">
        <f>IF(OR(A32="",p_ModoCot&lt;&gt;"Automático"),"",IFERROR(_xlfn.WEBSERVICE("https://query1.finance.yahoo.com/v8/finance/chart/"&amp;X32&amp;"?range=1d&amp;interval=1d"),""))</f>
        <v/>
      </c>
      <c r="Z32" s="85" t="str">
        <f>IF(Y32="","",IFERROR(_xlfn.NUMBERVALUE(MID(Y32,SEARCH("""regularMarketPrice"":",Y32)+21,SEARCH(",",Y32&amp;",",SEARCH("""regularMarketPrice"":",Y32)+21)-SEARCH("""regularMarketPrice"":",Y32)-21),".",","),""))</f>
        <v/>
      </c>
      <c r="AA32" s="85" t="str">
        <f>IF(A32="","",ROUND(MAX(0,N(F32)*($K$6+$W$7)-K32),2))</f>
        <v/>
      </c>
      <c r="AB32" s="85" t="str">
        <f>IF(A32="","",IF(AND(M32&gt;0,M32&gt;=p_DifMin),AA32,0))</f>
        <v/>
      </c>
      <c r="AC32" s="85" t="str">
        <f>IF(A32="","",IF(AND(AB32&gt;0,N(O32)&lt;=p_MaxAtivos),AB32,0))</f>
        <v/>
      </c>
      <c r="AD32" s="85" t="str">
        <f>IF(A32="","",IF(OR(Q32&lt;=0,Q32&lt;p_CompraMin,N(H32)&lt;=0,N(W32)&lt;=0),0,IF($W$3="Sim",TRUNC(ROUND(MAX(0,(Q32-p_CorrFixa)/(H32*W32*$W$6)),9),$W$4),TRUNC(ROUND(MAX(0,(Q32-p_CorrFixa)/(H32*W32*$W$6)),9)/$W$5)*$W$5)))</f>
        <v/>
      </c>
      <c r="AE32" s="85" t="str">
        <f>IF(A32="","",IF(N(AD32)&gt;0,AD32*H32*W32*$W$6+p_CorrFixa,0))</f>
        <v/>
      </c>
      <c r="AF32" s="85" t="str">
        <f>IF(A32="","",IF(OR($Y$1&lt;=0,N(H32)&lt;=0,N(W32)&lt;=0,N(AB32)&lt;=0),0,IF($W$3="Sim",TRUNC(ROUND(MAX(0,($Y$1-IF(N(AD32)&gt;0,0,p_CorrFixa))/(H32*W32*$W$6)),9),$W$4),TRUNC(ROUND(MAX(0,($Y$1-IF(N(AD32)&gt;0,0,p_CorrFixa))/(H32*W32*$W$6)),9)/$W$5)*$W$5)))</f>
        <v/>
      </c>
      <c r="AG32" s="85" t="str">
        <f>IF(A32="","",IF(AND(N(AD32)=0,N(AF32)*(H32*W32*$W$6)+p_CorrFixa&lt;p_CompraMin),0,AF32))</f>
        <v/>
      </c>
      <c r="AH32" s="85" t="str">
        <f>IF(A32="","",IF(N(AG32)&gt;0,AB32,0))</f>
        <v/>
      </c>
      <c r="AI32" s="85" t="str">
        <f>IF(A32="","",IF(AND(AH32&gt;0,AH32=$AH$6,COUNTIF($AH$9:AH32,AH32)=1),1,0))</f>
        <v/>
      </c>
    </row>
    <row r="33">
      <c r="A33" s="96" t="n"/>
      <c r="B33" s="96" t="n"/>
      <c r="C33" s="96" t="n"/>
      <c r="D33" s="97" t="n"/>
      <c r="E33" s="98" t="n"/>
      <c r="F33" s="99" t="n"/>
      <c r="G33" s="100" t="n"/>
      <c r="H33" s="101" t="str">
        <f>IF(A33="","",IF(AND(p_ModoCot="Automático",ISNUMBER(Z33)),Z33,IF(N(G33)&gt;0,G33,0)))</f>
        <v/>
      </c>
      <c r="I33" s="73" t="str">
        <f>IF(A33="","",IF(W33=0,"Sem câmbio",IF(AND(p_ModoCot="Automático",ISNUMBER(Z33)),"Auto",IF(N(G33)&gt;0,"Manual","Sem cotação"))))</f>
        <v/>
      </c>
      <c r="J33" s="102" t="str">
        <f>IF(A33="","",N(E33)*H33)</f>
        <v/>
      </c>
      <c r="K33" s="70" t="str">
        <f>IF(A33="","",J33*W33)</f>
        <v/>
      </c>
      <c r="L33" s="30" t="str">
        <f>IF(A33="","",IF($K$6&gt;0,K33/$K$6,0))</f>
        <v/>
      </c>
      <c r="M33" s="72" t="str">
        <f>IF(A33="","",N(F33)-L33)</f>
        <v/>
      </c>
      <c r="N33" s="30" t="str">
        <f>IF(A33="","",IF($AB$6&gt;0,AB33/$AB$6,0))</f>
        <v/>
      </c>
      <c r="O33" s="74" t="str">
        <f>IF(A33="","",IF(AB33&lt;=0,"",COUNTIF($AB$9:$AB$108,"&gt;"&amp;AB33)+COUNTIF($AB$9:AB33,AB33)))</f>
        <v/>
      </c>
      <c r="P33" s="73" t="str">
        <f>IF(A33="","",IF(Q33&gt;0,"BUY","HOLD"))</f>
        <v/>
      </c>
      <c r="Q33" s="70" t="str">
        <f>IF(A33="","",IF($W$7&lt;=0,0,IF($AC$6&gt;0,$W$7*AC33/$AC$6,IF($F$6&gt;0,$W$7*N(F33)/$F$6,0))))</f>
        <v/>
      </c>
      <c r="R33" s="103" t="str">
        <f>IF(A33="","",N(AD33)+IF(AI33=1,N(AG33),0))</f>
        <v/>
      </c>
      <c r="S33" s="103" t="str">
        <f>IF(A33="","",N(E33)+N(R33))</f>
        <v/>
      </c>
      <c r="T33" s="70" t="str">
        <f>IF(A33="","",IF(N(R33)&gt;0,R33*H33*W33*$W$6+p_CorrFixa,0))</f>
        <v/>
      </c>
      <c r="V33" s="85" t="str">
        <f>IF(A33="","",IF(D33="",$W$1,D33))</f>
        <v/>
      </c>
      <c r="W33" s="85" t="str">
        <f>IF(A33="","",IFERROR(INDEX(moeda_fx,MATCH(V33,moeda_cod,0)),0))</f>
        <v/>
      </c>
      <c r="X33" s="85" t="str">
        <f>IF(A33="","",IF($W$2="",UPPER(TRIM(A33)),IF(RIGHT(UPPER(TRIM(A33)),LEN($W$2))=$W$2,UPPER(TRIM(A33)),UPPER(TRIM(A33))&amp;$W$2)))</f>
        <v/>
      </c>
      <c r="Y33" s="85" t="str">
        <f>IF(OR(A33="",p_ModoCot&lt;&gt;"Automático"),"",IFERROR(_xlfn.WEBSERVICE("https://query1.finance.yahoo.com/v8/finance/chart/"&amp;X33&amp;"?range=1d&amp;interval=1d"),""))</f>
        <v/>
      </c>
      <c r="Z33" s="85" t="str">
        <f>IF(Y33="","",IFERROR(_xlfn.NUMBERVALUE(MID(Y33,SEARCH("""regularMarketPrice"":",Y33)+21,SEARCH(",",Y33&amp;",",SEARCH("""regularMarketPrice"":",Y33)+21)-SEARCH("""regularMarketPrice"":",Y33)-21),".",","),""))</f>
        <v/>
      </c>
      <c r="AA33" s="85" t="str">
        <f>IF(A33="","",ROUND(MAX(0,N(F33)*($K$6+$W$7)-K33),2))</f>
        <v/>
      </c>
      <c r="AB33" s="85" t="str">
        <f>IF(A33="","",IF(AND(M33&gt;0,M33&gt;=p_DifMin),AA33,0))</f>
        <v/>
      </c>
      <c r="AC33" s="85" t="str">
        <f>IF(A33="","",IF(AND(AB33&gt;0,N(O33)&lt;=p_MaxAtivos),AB33,0))</f>
        <v/>
      </c>
      <c r="AD33" s="85" t="str">
        <f>IF(A33="","",IF(OR(Q33&lt;=0,Q33&lt;p_CompraMin,N(H33)&lt;=0,N(W33)&lt;=0),0,IF($W$3="Sim",TRUNC(ROUND(MAX(0,(Q33-p_CorrFixa)/(H33*W33*$W$6)),9),$W$4),TRUNC(ROUND(MAX(0,(Q33-p_CorrFixa)/(H33*W33*$W$6)),9)/$W$5)*$W$5)))</f>
        <v/>
      </c>
      <c r="AE33" s="85" t="str">
        <f>IF(A33="","",IF(N(AD33)&gt;0,AD33*H33*W33*$W$6+p_CorrFixa,0))</f>
        <v/>
      </c>
      <c r="AF33" s="85" t="str">
        <f>IF(A33="","",IF(OR($Y$1&lt;=0,N(H33)&lt;=0,N(W33)&lt;=0,N(AB33)&lt;=0),0,IF($W$3="Sim",TRUNC(ROUND(MAX(0,($Y$1-IF(N(AD33)&gt;0,0,p_CorrFixa))/(H33*W33*$W$6)),9),$W$4),TRUNC(ROUND(MAX(0,($Y$1-IF(N(AD33)&gt;0,0,p_CorrFixa))/(H33*W33*$W$6)),9)/$W$5)*$W$5)))</f>
        <v/>
      </c>
      <c r="AG33" s="85" t="str">
        <f>IF(A33="","",IF(AND(N(AD33)=0,N(AF33)*(H33*W33*$W$6)+p_CorrFixa&lt;p_CompraMin),0,AF33))</f>
        <v/>
      </c>
      <c r="AH33" s="85" t="str">
        <f>IF(A33="","",IF(N(AG33)&gt;0,AB33,0))</f>
        <v/>
      </c>
      <c r="AI33" s="85" t="str">
        <f>IF(A33="","",IF(AND(AH33&gt;0,AH33=$AH$6,COUNTIF($AH$9:AH33,AH33)=1),1,0))</f>
        <v/>
      </c>
    </row>
    <row r="34">
      <c r="A34" s="96" t="n"/>
      <c r="B34" s="96" t="n"/>
      <c r="C34" s="96" t="n"/>
      <c r="D34" s="97" t="n"/>
      <c r="E34" s="98" t="n"/>
      <c r="F34" s="99" t="n"/>
      <c r="G34" s="100" t="n"/>
      <c r="H34" s="104" t="str">
        <f>IF(A34="","",IF(AND(p_ModoCot="Automático",ISNUMBER(Z34)),Z34,IF(N(G34)&gt;0,G34,0)))</f>
        <v/>
      </c>
      <c r="I34" s="105" t="str">
        <f>IF(A34="","",IF(W34=0,"Sem câmbio",IF(AND(p_ModoCot="Automático",ISNUMBER(Z34)),"Auto",IF(N(G34)&gt;0,"Manual","Sem cotação"))))</f>
        <v/>
      </c>
      <c r="J34" s="106" t="str">
        <f>IF(A34="","",N(E34)*H34)</f>
        <v/>
      </c>
      <c r="K34" s="107" t="str">
        <f>IF(A34="","",J34*W34)</f>
        <v/>
      </c>
      <c r="L34" s="108" t="str">
        <f>IF(A34="","",IF($K$6&gt;0,K34/$K$6,0))</f>
        <v/>
      </c>
      <c r="M34" s="109" t="str">
        <f>IF(A34="","",N(F34)-L34)</f>
        <v/>
      </c>
      <c r="N34" s="108" t="str">
        <f>IF(A34="","",IF($AB$6&gt;0,AB34/$AB$6,0))</f>
        <v/>
      </c>
      <c r="O34" s="110" t="str">
        <f>IF(A34="","",IF(AB34&lt;=0,"",COUNTIF($AB$9:$AB$108,"&gt;"&amp;AB34)+COUNTIF($AB$9:AB34,AB34)))</f>
        <v/>
      </c>
      <c r="P34" s="105" t="str">
        <f>IF(A34="","",IF(Q34&gt;0,"BUY","HOLD"))</f>
        <v/>
      </c>
      <c r="Q34" s="107" t="str">
        <f>IF(A34="","",IF($W$7&lt;=0,0,IF($AC$6&gt;0,$W$7*AC34/$AC$6,IF($F$6&gt;0,$W$7*N(F34)/$F$6,0))))</f>
        <v/>
      </c>
      <c r="R34" s="111" t="str">
        <f>IF(A34="","",N(AD34)+IF(AI34=1,N(AG34),0))</f>
        <v/>
      </c>
      <c r="S34" s="111" t="str">
        <f>IF(A34="","",N(E34)+N(R34))</f>
        <v/>
      </c>
      <c r="T34" s="107" t="str">
        <f>IF(A34="","",IF(N(R34)&gt;0,R34*H34*W34*$W$6+p_CorrFixa,0))</f>
        <v/>
      </c>
      <c r="V34" s="85" t="str">
        <f>IF(A34="","",IF(D34="",$W$1,D34))</f>
        <v/>
      </c>
      <c r="W34" s="85" t="str">
        <f>IF(A34="","",IFERROR(INDEX(moeda_fx,MATCH(V34,moeda_cod,0)),0))</f>
        <v/>
      </c>
      <c r="X34" s="85" t="str">
        <f>IF(A34="","",IF($W$2="",UPPER(TRIM(A34)),IF(RIGHT(UPPER(TRIM(A34)),LEN($W$2))=$W$2,UPPER(TRIM(A34)),UPPER(TRIM(A34))&amp;$W$2)))</f>
        <v/>
      </c>
      <c r="Y34" s="85" t="str">
        <f>IF(OR(A34="",p_ModoCot&lt;&gt;"Automático"),"",IFERROR(_xlfn.WEBSERVICE("https://query1.finance.yahoo.com/v8/finance/chart/"&amp;X34&amp;"?range=1d&amp;interval=1d"),""))</f>
        <v/>
      </c>
      <c r="Z34" s="85" t="str">
        <f>IF(Y34="","",IFERROR(_xlfn.NUMBERVALUE(MID(Y34,SEARCH("""regularMarketPrice"":",Y34)+21,SEARCH(",",Y34&amp;",",SEARCH("""regularMarketPrice"":",Y34)+21)-SEARCH("""regularMarketPrice"":",Y34)-21),".",","),""))</f>
        <v/>
      </c>
      <c r="AA34" s="85" t="str">
        <f>IF(A34="","",ROUND(MAX(0,N(F34)*($K$6+$W$7)-K34),2))</f>
        <v/>
      </c>
      <c r="AB34" s="85" t="str">
        <f>IF(A34="","",IF(AND(M34&gt;0,M34&gt;=p_DifMin),AA34,0))</f>
        <v/>
      </c>
      <c r="AC34" s="85" t="str">
        <f>IF(A34="","",IF(AND(AB34&gt;0,N(O34)&lt;=p_MaxAtivos),AB34,0))</f>
        <v/>
      </c>
      <c r="AD34" s="85" t="str">
        <f>IF(A34="","",IF(OR(Q34&lt;=0,Q34&lt;p_CompraMin,N(H34)&lt;=0,N(W34)&lt;=0),0,IF($W$3="Sim",TRUNC(ROUND(MAX(0,(Q34-p_CorrFixa)/(H34*W34*$W$6)),9),$W$4),TRUNC(ROUND(MAX(0,(Q34-p_CorrFixa)/(H34*W34*$W$6)),9)/$W$5)*$W$5)))</f>
        <v/>
      </c>
      <c r="AE34" s="85" t="str">
        <f>IF(A34="","",IF(N(AD34)&gt;0,AD34*H34*W34*$W$6+p_CorrFixa,0))</f>
        <v/>
      </c>
      <c r="AF34" s="85" t="str">
        <f>IF(A34="","",IF(OR($Y$1&lt;=0,N(H34)&lt;=0,N(W34)&lt;=0,N(AB34)&lt;=0),0,IF($W$3="Sim",TRUNC(ROUND(MAX(0,($Y$1-IF(N(AD34)&gt;0,0,p_CorrFixa))/(H34*W34*$W$6)),9),$W$4),TRUNC(ROUND(MAX(0,($Y$1-IF(N(AD34)&gt;0,0,p_CorrFixa))/(H34*W34*$W$6)),9)/$W$5)*$W$5)))</f>
        <v/>
      </c>
      <c r="AG34" s="85" t="str">
        <f>IF(A34="","",IF(AND(N(AD34)=0,N(AF34)*(H34*W34*$W$6)+p_CorrFixa&lt;p_CompraMin),0,AF34))</f>
        <v/>
      </c>
      <c r="AH34" s="85" t="str">
        <f>IF(A34="","",IF(N(AG34)&gt;0,AB34,0))</f>
        <v/>
      </c>
      <c r="AI34" s="85" t="str">
        <f>IF(A34="","",IF(AND(AH34&gt;0,AH34=$AH$6,COUNTIF($AH$9:AH34,AH34)=1),1,0))</f>
        <v/>
      </c>
    </row>
    <row r="35">
      <c r="A35" s="96" t="n"/>
      <c r="B35" s="96" t="n"/>
      <c r="C35" s="96" t="n"/>
      <c r="D35" s="97" t="n"/>
      <c r="E35" s="98" t="n"/>
      <c r="F35" s="99" t="n"/>
      <c r="G35" s="100" t="n"/>
      <c r="H35" s="101" t="str">
        <f>IF(A35="","",IF(AND(p_ModoCot="Automático",ISNUMBER(Z35)),Z35,IF(N(G35)&gt;0,G35,0)))</f>
        <v/>
      </c>
      <c r="I35" s="73" t="str">
        <f>IF(A35="","",IF(W35=0,"Sem câmbio",IF(AND(p_ModoCot="Automático",ISNUMBER(Z35)),"Auto",IF(N(G35)&gt;0,"Manual","Sem cotação"))))</f>
        <v/>
      </c>
      <c r="J35" s="102" t="str">
        <f>IF(A35="","",N(E35)*H35)</f>
        <v/>
      </c>
      <c r="K35" s="70" t="str">
        <f>IF(A35="","",J35*W35)</f>
        <v/>
      </c>
      <c r="L35" s="30" t="str">
        <f>IF(A35="","",IF($K$6&gt;0,K35/$K$6,0))</f>
        <v/>
      </c>
      <c r="M35" s="72" t="str">
        <f>IF(A35="","",N(F35)-L35)</f>
        <v/>
      </c>
      <c r="N35" s="30" t="str">
        <f>IF(A35="","",IF($AB$6&gt;0,AB35/$AB$6,0))</f>
        <v/>
      </c>
      <c r="O35" s="74" t="str">
        <f>IF(A35="","",IF(AB35&lt;=0,"",COUNTIF($AB$9:$AB$108,"&gt;"&amp;AB35)+COUNTIF($AB$9:AB35,AB35)))</f>
        <v/>
      </c>
      <c r="P35" s="73" t="str">
        <f>IF(A35="","",IF(Q35&gt;0,"BUY","HOLD"))</f>
        <v/>
      </c>
      <c r="Q35" s="70" t="str">
        <f>IF(A35="","",IF($W$7&lt;=0,0,IF($AC$6&gt;0,$W$7*AC35/$AC$6,IF($F$6&gt;0,$W$7*N(F35)/$F$6,0))))</f>
        <v/>
      </c>
      <c r="R35" s="103" t="str">
        <f>IF(A35="","",N(AD35)+IF(AI35=1,N(AG35),0))</f>
        <v/>
      </c>
      <c r="S35" s="103" t="str">
        <f>IF(A35="","",N(E35)+N(R35))</f>
        <v/>
      </c>
      <c r="T35" s="70" t="str">
        <f>IF(A35="","",IF(N(R35)&gt;0,R35*H35*W35*$W$6+p_CorrFixa,0))</f>
        <v/>
      </c>
      <c r="V35" s="85" t="str">
        <f>IF(A35="","",IF(D35="",$W$1,D35))</f>
        <v/>
      </c>
      <c r="W35" s="85" t="str">
        <f>IF(A35="","",IFERROR(INDEX(moeda_fx,MATCH(V35,moeda_cod,0)),0))</f>
        <v/>
      </c>
      <c r="X35" s="85" t="str">
        <f>IF(A35="","",IF($W$2="",UPPER(TRIM(A35)),IF(RIGHT(UPPER(TRIM(A35)),LEN($W$2))=$W$2,UPPER(TRIM(A35)),UPPER(TRIM(A35))&amp;$W$2)))</f>
        <v/>
      </c>
      <c r="Y35" s="85" t="str">
        <f>IF(OR(A35="",p_ModoCot&lt;&gt;"Automático"),"",IFERROR(_xlfn.WEBSERVICE("https://query1.finance.yahoo.com/v8/finance/chart/"&amp;X35&amp;"?range=1d&amp;interval=1d"),""))</f>
        <v/>
      </c>
      <c r="Z35" s="85" t="str">
        <f>IF(Y35="","",IFERROR(_xlfn.NUMBERVALUE(MID(Y35,SEARCH("""regularMarketPrice"":",Y35)+21,SEARCH(",",Y35&amp;",",SEARCH("""regularMarketPrice"":",Y35)+21)-SEARCH("""regularMarketPrice"":",Y35)-21),".",","),""))</f>
        <v/>
      </c>
      <c r="AA35" s="85" t="str">
        <f>IF(A35="","",ROUND(MAX(0,N(F35)*($K$6+$W$7)-K35),2))</f>
        <v/>
      </c>
      <c r="AB35" s="85" t="str">
        <f>IF(A35="","",IF(AND(M35&gt;0,M35&gt;=p_DifMin),AA35,0))</f>
        <v/>
      </c>
      <c r="AC35" s="85" t="str">
        <f>IF(A35="","",IF(AND(AB35&gt;0,N(O35)&lt;=p_MaxAtivos),AB35,0))</f>
        <v/>
      </c>
      <c r="AD35" s="85" t="str">
        <f>IF(A35="","",IF(OR(Q35&lt;=0,Q35&lt;p_CompraMin,N(H35)&lt;=0,N(W35)&lt;=0),0,IF($W$3="Sim",TRUNC(ROUND(MAX(0,(Q35-p_CorrFixa)/(H35*W35*$W$6)),9),$W$4),TRUNC(ROUND(MAX(0,(Q35-p_CorrFixa)/(H35*W35*$W$6)),9)/$W$5)*$W$5)))</f>
        <v/>
      </c>
      <c r="AE35" s="85" t="str">
        <f>IF(A35="","",IF(N(AD35)&gt;0,AD35*H35*W35*$W$6+p_CorrFixa,0))</f>
        <v/>
      </c>
      <c r="AF35" s="85" t="str">
        <f>IF(A35="","",IF(OR($Y$1&lt;=0,N(H35)&lt;=0,N(W35)&lt;=0,N(AB35)&lt;=0),0,IF($W$3="Sim",TRUNC(ROUND(MAX(0,($Y$1-IF(N(AD35)&gt;0,0,p_CorrFixa))/(H35*W35*$W$6)),9),$W$4),TRUNC(ROUND(MAX(0,($Y$1-IF(N(AD35)&gt;0,0,p_CorrFixa))/(H35*W35*$W$6)),9)/$W$5)*$W$5)))</f>
        <v/>
      </c>
      <c r="AG35" s="85" t="str">
        <f>IF(A35="","",IF(AND(N(AD35)=0,N(AF35)*(H35*W35*$W$6)+p_CorrFixa&lt;p_CompraMin),0,AF35))</f>
        <v/>
      </c>
      <c r="AH35" s="85" t="str">
        <f>IF(A35="","",IF(N(AG35)&gt;0,AB35,0))</f>
        <v/>
      </c>
      <c r="AI35" s="85" t="str">
        <f>IF(A35="","",IF(AND(AH35&gt;0,AH35=$AH$6,COUNTIF($AH$9:AH35,AH35)=1),1,0))</f>
        <v/>
      </c>
    </row>
    <row r="36">
      <c r="A36" s="96" t="n"/>
      <c r="B36" s="96" t="n"/>
      <c r="C36" s="96" t="n"/>
      <c r="D36" s="97" t="n"/>
      <c r="E36" s="98" t="n"/>
      <c r="F36" s="99" t="n"/>
      <c r="G36" s="100" t="n"/>
      <c r="H36" s="104" t="str">
        <f>IF(A36="","",IF(AND(p_ModoCot="Automático",ISNUMBER(Z36)),Z36,IF(N(G36)&gt;0,G36,0)))</f>
        <v/>
      </c>
      <c r="I36" s="105" t="str">
        <f>IF(A36="","",IF(W36=0,"Sem câmbio",IF(AND(p_ModoCot="Automático",ISNUMBER(Z36)),"Auto",IF(N(G36)&gt;0,"Manual","Sem cotação"))))</f>
        <v/>
      </c>
      <c r="J36" s="106" t="str">
        <f>IF(A36="","",N(E36)*H36)</f>
        <v/>
      </c>
      <c r="K36" s="107" t="str">
        <f>IF(A36="","",J36*W36)</f>
        <v/>
      </c>
      <c r="L36" s="108" t="str">
        <f>IF(A36="","",IF($K$6&gt;0,K36/$K$6,0))</f>
        <v/>
      </c>
      <c r="M36" s="109" t="str">
        <f>IF(A36="","",N(F36)-L36)</f>
        <v/>
      </c>
      <c r="N36" s="108" t="str">
        <f>IF(A36="","",IF($AB$6&gt;0,AB36/$AB$6,0))</f>
        <v/>
      </c>
      <c r="O36" s="110" t="str">
        <f>IF(A36="","",IF(AB36&lt;=0,"",COUNTIF($AB$9:$AB$108,"&gt;"&amp;AB36)+COUNTIF($AB$9:AB36,AB36)))</f>
        <v/>
      </c>
      <c r="P36" s="105" t="str">
        <f>IF(A36="","",IF(Q36&gt;0,"BUY","HOLD"))</f>
        <v/>
      </c>
      <c r="Q36" s="107" t="str">
        <f>IF(A36="","",IF($W$7&lt;=0,0,IF($AC$6&gt;0,$W$7*AC36/$AC$6,IF($F$6&gt;0,$W$7*N(F36)/$F$6,0))))</f>
        <v/>
      </c>
      <c r="R36" s="111" t="str">
        <f>IF(A36="","",N(AD36)+IF(AI36=1,N(AG36),0))</f>
        <v/>
      </c>
      <c r="S36" s="111" t="str">
        <f>IF(A36="","",N(E36)+N(R36))</f>
        <v/>
      </c>
      <c r="T36" s="107" t="str">
        <f>IF(A36="","",IF(N(R36)&gt;0,R36*H36*W36*$W$6+p_CorrFixa,0))</f>
        <v/>
      </c>
      <c r="V36" s="85" t="str">
        <f>IF(A36="","",IF(D36="",$W$1,D36))</f>
        <v/>
      </c>
      <c r="W36" s="85" t="str">
        <f>IF(A36="","",IFERROR(INDEX(moeda_fx,MATCH(V36,moeda_cod,0)),0))</f>
        <v/>
      </c>
      <c r="X36" s="85" t="str">
        <f>IF(A36="","",IF($W$2="",UPPER(TRIM(A36)),IF(RIGHT(UPPER(TRIM(A36)),LEN($W$2))=$W$2,UPPER(TRIM(A36)),UPPER(TRIM(A36))&amp;$W$2)))</f>
        <v/>
      </c>
      <c r="Y36" s="85" t="str">
        <f>IF(OR(A36="",p_ModoCot&lt;&gt;"Automático"),"",IFERROR(_xlfn.WEBSERVICE("https://query1.finance.yahoo.com/v8/finance/chart/"&amp;X36&amp;"?range=1d&amp;interval=1d"),""))</f>
        <v/>
      </c>
      <c r="Z36" s="85" t="str">
        <f>IF(Y36="","",IFERROR(_xlfn.NUMBERVALUE(MID(Y36,SEARCH("""regularMarketPrice"":",Y36)+21,SEARCH(",",Y36&amp;",",SEARCH("""regularMarketPrice"":",Y36)+21)-SEARCH("""regularMarketPrice"":",Y36)-21),".",","),""))</f>
        <v/>
      </c>
      <c r="AA36" s="85" t="str">
        <f>IF(A36="","",ROUND(MAX(0,N(F36)*($K$6+$W$7)-K36),2))</f>
        <v/>
      </c>
      <c r="AB36" s="85" t="str">
        <f>IF(A36="","",IF(AND(M36&gt;0,M36&gt;=p_DifMin),AA36,0))</f>
        <v/>
      </c>
      <c r="AC36" s="85" t="str">
        <f>IF(A36="","",IF(AND(AB36&gt;0,N(O36)&lt;=p_MaxAtivos),AB36,0))</f>
        <v/>
      </c>
      <c r="AD36" s="85" t="str">
        <f>IF(A36="","",IF(OR(Q36&lt;=0,Q36&lt;p_CompraMin,N(H36)&lt;=0,N(W36)&lt;=0),0,IF($W$3="Sim",TRUNC(ROUND(MAX(0,(Q36-p_CorrFixa)/(H36*W36*$W$6)),9),$W$4),TRUNC(ROUND(MAX(0,(Q36-p_CorrFixa)/(H36*W36*$W$6)),9)/$W$5)*$W$5)))</f>
        <v/>
      </c>
      <c r="AE36" s="85" t="str">
        <f>IF(A36="","",IF(N(AD36)&gt;0,AD36*H36*W36*$W$6+p_CorrFixa,0))</f>
        <v/>
      </c>
      <c r="AF36" s="85" t="str">
        <f>IF(A36="","",IF(OR($Y$1&lt;=0,N(H36)&lt;=0,N(W36)&lt;=0,N(AB36)&lt;=0),0,IF($W$3="Sim",TRUNC(ROUND(MAX(0,($Y$1-IF(N(AD36)&gt;0,0,p_CorrFixa))/(H36*W36*$W$6)),9),$W$4),TRUNC(ROUND(MAX(0,($Y$1-IF(N(AD36)&gt;0,0,p_CorrFixa))/(H36*W36*$W$6)),9)/$W$5)*$W$5)))</f>
        <v/>
      </c>
      <c r="AG36" s="85" t="str">
        <f>IF(A36="","",IF(AND(N(AD36)=0,N(AF36)*(H36*W36*$W$6)+p_CorrFixa&lt;p_CompraMin),0,AF36))</f>
        <v/>
      </c>
      <c r="AH36" s="85" t="str">
        <f>IF(A36="","",IF(N(AG36)&gt;0,AB36,0))</f>
        <v/>
      </c>
      <c r="AI36" s="85" t="str">
        <f>IF(A36="","",IF(AND(AH36&gt;0,AH36=$AH$6,COUNTIF($AH$9:AH36,AH36)=1),1,0))</f>
        <v/>
      </c>
    </row>
    <row r="37">
      <c r="A37" s="96" t="n"/>
      <c r="B37" s="96" t="n"/>
      <c r="C37" s="96" t="n"/>
      <c r="D37" s="97" t="n"/>
      <c r="E37" s="98" t="n"/>
      <c r="F37" s="99" t="n"/>
      <c r="G37" s="100" t="n"/>
      <c r="H37" s="101" t="str">
        <f>IF(A37="","",IF(AND(p_ModoCot="Automático",ISNUMBER(Z37)),Z37,IF(N(G37)&gt;0,G37,0)))</f>
        <v/>
      </c>
      <c r="I37" s="73" t="str">
        <f>IF(A37="","",IF(W37=0,"Sem câmbio",IF(AND(p_ModoCot="Automático",ISNUMBER(Z37)),"Auto",IF(N(G37)&gt;0,"Manual","Sem cotação"))))</f>
        <v/>
      </c>
      <c r="J37" s="102" t="str">
        <f>IF(A37="","",N(E37)*H37)</f>
        <v/>
      </c>
      <c r="K37" s="70" t="str">
        <f>IF(A37="","",J37*W37)</f>
        <v/>
      </c>
      <c r="L37" s="30" t="str">
        <f>IF(A37="","",IF($K$6&gt;0,K37/$K$6,0))</f>
        <v/>
      </c>
      <c r="M37" s="72" t="str">
        <f>IF(A37="","",N(F37)-L37)</f>
        <v/>
      </c>
      <c r="N37" s="30" t="str">
        <f>IF(A37="","",IF($AB$6&gt;0,AB37/$AB$6,0))</f>
        <v/>
      </c>
      <c r="O37" s="74" t="str">
        <f>IF(A37="","",IF(AB37&lt;=0,"",COUNTIF($AB$9:$AB$108,"&gt;"&amp;AB37)+COUNTIF($AB$9:AB37,AB37)))</f>
        <v/>
      </c>
      <c r="P37" s="73" t="str">
        <f>IF(A37="","",IF(Q37&gt;0,"BUY","HOLD"))</f>
        <v/>
      </c>
      <c r="Q37" s="70" t="str">
        <f>IF(A37="","",IF($W$7&lt;=0,0,IF($AC$6&gt;0,$W$7*AC37/$AC$6,IF($F$6&gt;0,$W$7*N(F37)/$F$6,0))))</f>
        <v/>
      </c>
      <c r="R37" s="103" t="str">
        <f>IF(A37="","",N(AD37)+IF(AI37=1,N(AG37),0))</f>
        <v/>
      </c>
      <c r="S37" s="103" t="str">
        <f>IF(A37="","",N(E37)+N(R37))</f>
        <v/>
      </c>
      <c r="T37" s="70" t="str">
        <f>IF(A37="","",IF(N(R37)&gt;0,R37*H37*W37*$W$6+p_CorrFixa,0))</f>
        <v/>
      </c>
      <c r="V37" s="85" t="str">
        <f>IF(A37="","",IF(D37="",$W$1,D37))</f>
        <v/>
      </c>
      <c r="W37" s="85" t="str">
        <f>IF(A37="","",IFERROR(INDEX(moeda_fx,MATCH(V37,moeda_cod,0)),0))</f>
        <v/>
      </c>
      <c r="X37" s="85" t="str">
        <f>IF(A37="","",IF($W$2="",UPPER(TRIM(A37)),IF(RIGHT(UPPER(TRIM(A37)),LEN($W$2))=$W$2,UPPER(TRIM(A37)),UPPER(TRIM(A37))&amp;$W$2)))</f>
        <v/>
      </c>
      <c r="Y37" s="85" t="str">
        <f>IF(OR(A37="",p_ModoCot&lt;&gt;"Automático"),"",IFERROR(_xlfn.WEBSERVICE("https://query1.finance.yahoo.com/v8/finance/chart/"&amp;X37&amp;"?range=1d&amp;interval=1d"),""))</f>
        <v/>
      </c>
      <c r="Z37" s="85" t="str">
        <f>IF(Y37="","",IFERROR(_xlfn.NUMBERVALUE(MID(Y37,SEARCH("""regularMarketPrice"":",Y37)+21,SEARCH(",",Y37&amp;",",SEARCH("""regularMarketPrice"":",Y37)+21)-SEARCH("""regularMarketPrice"":",Y37)-21),".",","),""))</f>
        <v/>
      </c>
      <c r="AA37" s="85" t="str">
        <f>IF(A37="","",ROUND(MAX(0,N(F37)*($K$6+$W$7)-K37),2))</f>
        <v/>
      </c>
      <c r="AB37" s="85" t="str">
        <f>IF(A37="","",IF(AND(M37&gt;0,M37&gt;=p_DifMin),AA37,0))</f>
        <v/>
      </c>
      <c r="AC37" s="85" t="str">
        <f>IF(A37="","",IF(AND(AB37&gt;0,N(O37)&lt;=p_MaxAtivos),AB37,0))</f>
        <v/>
      </c>
      <c r="AD37" s="85" t="str">
        <f>IF(A37="","",IF(OR(Q37&lt;=0,Q37&lt;p_CompraMin,N(H37)&lt;=0,N(W37)&lt;=0),0,IF($W$3="Sim",TRUNC(ROUND(MAX(0,(Q37-p_CorrFixa)/(H37*W37*$W$6)),9),$W$4),TRUNC(ROUND(MAX(0,(Q37-p_CorrFixa)/(H37*W37*$W$6)),9)/$W$5)*$W$5)))</f>
        <v/>
      </c>
      <c r="AE37" s="85" t="str">
        <f>IF(A37="","",IF(N(AD37)&gt;0,AD37*H37*W37*$W$6+p_CorrFixa,0))</f>
        <v/>
      </c>
      <c r="AF37" s="85" t="str">
        <f>IF(A37="","",IF(OR($Y$1&lt;=0,N(H37)&lt;=0,N(W37)&lt;=0,N(AB37)&lt;=0),0,IF($W$3="Sim",TRUNC(ROUND(MAX(0,($Y$1-IF(N(AD37)&gt;0,0,p_CorrFixa))/(H37*W37*$W$6)),9),$W$4),TRUNC(ROUND(MAX(0,($Y$1-IF(N(AD37)&gt;0,0,p_CorrFixa))/(H37*W37*$W$6)),9)/$W$5)*$W$5)))</f>
        <v/>
      </c>
      <c r="AG37" s="85" t="str">
        <f>IF(A37="","",IF(AND(N(AD37)=0,N(AF37)*(H37*W37*$W$6)+p_CorrFixa&lt;p_CompraMin),0,AF37))</f>
        <v/>
      </c>
      <c r="AH37" s="85" t="str">
        <f>IF(A37="","",IF(N(AG37)&gt;0,AB37,0))</f>
        <v/>
      </c>
      <c r="AI37" s="85" t="str">
        <f>IF(A37="","",IF(AND(AH37&gt;0,AH37=$AH$6,COUNTIF($AH$9:AH37,AH37)=1),1,0))</f>
        <v/>
      </c>
    </row>
    <row r="38">
      <c r="A38" s="96" t="n"/>
      <c r="B38" s="96" t="n"/>
      <c r="C38" s="96" t="n"/>
      <c r="D38" s="97" t="n"/>
      <c r="E38" s="98" t="n"/>
      <c r="F38" s="99" t="n"/>
      <c r="G38" s="100" t="n"/>
      <c r="H38" s="104" t="str">
        <f>IF(A38="","",IF(AND(p_ModoCot="Automático",ISNUMBER(Z38)),Z38,IF(N(G38)&gt;0,G38,0)))</f>
        <v/>
      </c>
      <c r="I38" s="105" t="str">
        <f>IF(A38="","",IF(W38=0,"Sem câmbio",IF(AND(p_ModoCot="Automático",ISNUMBER(Z38)),"Auto",IF(N(G38)&gt;0,"Manual","Sem cotação"))))</f>
        <v/>
      </c>
      <c r="J38" s="106" t="str">
        <f>IF(A38="","",N(E38)*H38)</f>
        <v/>
      </c>
      <c r="K38" s="107" t="str">
        <f>IF(A38="","",J38*W38)</f>
        <v/>
      </c>
      <c r="L38" s="108" t="str">
        <f>IF(A38="","",IF($K$6&gt;0,K38/$K$6,0))</f>
        <v/>
      </c>
      <c r="M38" s="109" t="str">
        <f>IF(A38="","",N(F38)-L38)</f>
        <v/>
      </c>
      <c r="N38" s="108" t="str">
        <f>IF(A38="","",IF($AB$6&gt;0,AB38/$AB$6,0))</f>
        <v/>
      </c>
      <c r="O38" s="110" t="str">
        <f>IF(A38="","",IF(AB38&lt;=0,"",COUNTIF($AB$9:$AB$108,"&gt;"&amp;AB38)+COUNTIF($AB$9:AB38,AB38)))</f>
        <v/>
      </c>
      <c r="P38" s="105" t="str">
        <f>IF(A38="","",IF(Q38&gt;0,"BUY","HOLD"))</f>
        <v/>
      </c>
      <c r="Q38" s="107" t="str">
        <f>IF(A38="","",IF($W$7&lt;=0,0,IF($AC$6&gt;0,$W$7*AC38/$AC$6,IF($F$6&gt;0,$W$7*N(F38)/$F$6,0))))</f>
        <v/>
      </c>
      <c r="R38" s="111" t="str">
        <f>IF(A38="","",N(AD38)+IF(AI38=1,N(AG38),0))</f>
        <v/>
      </c>
      <c r="S38" s="111" t="str">
        <f>IF(A38="","",N(E38)+N(R38))</f>
        <v/>
      </c>
      <c r="T38" s="107" t="str">
        <f>IF(A38="","",IF(N(R38)&gt;0,R38*H38*W38*$W$6+p_CorrFixa,0))</f>
        <v/>
      </c>
      <c r="V38" s="85" t="str">
        <f>IF(A38="","",IF(D38="",$W$1,D38))</f>
        <v/>
      </c>
      <c r="W38" s="85" t="str">
        <f>IF(A38="","",IFERROR(INDEX(moeda_fx,MATCH(V38,moeda_cod,0)),0))</f>
        <v/>
      </c>
      <c r="X38" s="85" t="str">
        <f>IF(A38="","",IF($W$2="",UPPER(TRIM(A38)),IF(RIGHT(UPPER(TRIM(A38)),LEN($W$2))=$W$2,UPPER(TRIM(A38)),UPPER(TRIM(A38))&amp;$W$2)))</f>
        <v/>
      </c>
      <c r="Y38" s="85" t="str">
        <f>IF(OR(A38="",p_ModoCot&lt;&gt;"Automático"),"",IFERROR(_xlfn.WEBSERVICE("https://query1.finance.yahoo.com/v8/finance/chart/"&amp;X38&amp;"?range=1d&amp;interval=1d"),""))</f>
        <v/>
      </c>
      <c r="Z38" s="85" t="str">
        <f>IF(Y38="","",IFERROR(_xlfn.NUMBERVALUE(MID(Y38,SEARCH("""regularMarketPrice"":",Y38)+21,SEARCH(",",Y38&amp;",",SEARCH("""regularMarketPrice"":",Y38)+21)-SEARCH("""regularMarketPrice"":",Y38)-21),".",","),""))</f>
        <v/>
      </c>
      <c r="AA38" s="85" t="str">
        <f>IF(A38="","",ROUND(MAX(0,N(F38)*($K$6+$W$7)-K38),2))</f>
        <v/>
      </c>
      <c r="AB38" s="85" t="str">
        <f>IF(A38="","",IF(AND(M38&gt;0,M38&gt;=p_DifMin),AA38,0))</f>
        <v/>
      </c>
      <c r="AC38" s="85" t="str">
        <f>IF(A38="","",IF(AND(AB38&gt;0,N(O38)&lt;=p_MaxAtivos),AB38,0))</f>
        <v/>
      </c>
      <c r="AD38" s="85" t="str">
        <f>IF(A38="","",IF(OR(Q38&lt;=0,Q38&lt;p_CompraMin,N(H38)&lt;=0,N(W38)&lt;=0),0,IF($W$3="Sim",TRUNC(ROUND(MAX(0,(Q38-p_CorrFixa)/(H38*W38*$W$6)),9),$W$4),TRUNC(ROUND(MAX(0,(Q38-p_CorrFixa)/(H38*W38*$W$6)),9)/$W$5)*$W$5)))</f>
        <v/>
      </c>
      <c r="AE38" s="85" t="str">
        <f>IF(A38="","",IF(N(AD38)&gt;0,AD38*H38*W38*$W$6+p_CorrFixa,0))</f>
        <v/>
      </c>
      <c r="AF38" s="85" t="str">
        <f>IF(A38="","",IF(OR($Y$1&lt;=0,N(H38)&lt;=0,N(W38)&lt;=0,N(AB38)&lt;=0),0,IF($W$3="Sim",TRUNC(ROUND(MAX(0,($Y$1-IF(N(AD38)&gt;0,0,p_CorrFixa))/(H38*W38*$W$6)),9),$W$4),TRUNC(ROUND(MAX(0,($Y$1-IF(N(AD38)&gt;0,0,p_CorrFixa))/(H38*W38*$W$6)),9)/$W$5)*$W$5)))</f>
        <v/>
      </c>
      <c r="AG38" s="85" t="str">
        <f>IF(A38="","",IF(AND(N(AD38)=0,N(AF38)*(H38*W38*$W$6)+p_CorrFixa&lt;p_CompraMin),0,AF38))</f>
        <v/>
      </c>
      <c r="AH38" s="85" t="str">
        <f>IF(A38="","",IF(N(AG38)&gt;0,AB38,0))</f>
        <v/>
      </c>
      <c r="AI38" s="85" t="str">
        <f>IF(A38="","",IF(AND(AH38&gt;0,AH38=$AH$6,COUNTIF($AH$9:AH38,AH38)=1),1,0))</f>
        <v/>
      </c>
    </row>
    <row r="39">
      <c r="A39" s="96" t="n"/>
      <c r="B39" s="96" t="n"/>
      <c r="C39" s="96" t="n"/>
      <c r="D39" s="97" t="n"/>
      <c r="E39" s="98" t="n"/>
      <c r="F39" s="99" t="n"/>
      <c r="G39" s="100" t="n"/>
      <c r="H39" s="101" t="str">
        <f>IF(A39="","",IF(AND(p_ModoCot="Automático",ISNUMBER(Z39)),Z39,IF(N(G39)&gt;0,G39,0)))</f>
        <v/>
      </c>
      <c r="I39" s="73" t="str">
        <f>IF(A39="","",IF(W39=0,"Sem câmbio",IF(AND(p_ModoCot="Automático",ISNUMBER(Z39)),"Auto",IF(N(G39)&gt;0,"Manual","Sem cotação"))))</f>
        <v/>
      </c>
      <c r="J39" s="102" t="str">
        <f>IF(A39="","",N(E39)*H39)</f>
        <v/>
      </c>
      <c r="K39" s="70" t="str">
        <f>IF(A39="","",J39*W39)</f>
        <v/>
      </c>
      <c r="L39" s="30" t="str">
        <f>IF(A39="","",IF($K$6&gt;0,K39/$K$6,0))</f>
        <v/>
      </c>
      <c r="M39" s="72" t="str">
        <f>IF(A39="","",N(F39)-L39)</f>
        <v/>
      </c>
      <c r="N39" s="30" t="str">
        <f>IF(A39="","",IF($AB$6&gt;0,AB39/$AB$6,0))</f>
        <v/>
      </c>
      <c r="O39" s="74" t="str">
        <f>IF(A39="","",IF(AB39&lt;=0,"",COUNTIF($AB$9:$AB$108,"&gt;"&amp;AB39)+COUNTIF($AB$9:AB39,AB39)))</f>
        <v/>
      </c>
      <c r="P39" s="73" t="str">
        <f>IF(A39="","",IF(Q39&gt;0,"BUY","HOLD"))</f>
        <v/>
      </c>
      <c r="Q39" s="70" t="str">
        <f>IF(A39="","",IF($W$7&lt;=0,0,IF($AC$6&gt;0,$W$7*AC39/$AC$6,IF($F$6&gt;0,$W$7*N(F39)/$F$6,0))))</f>
        <v/>
      </c>
      <c r="R39" s="103" t="str">
        <f>IF(A39="","",N(AD39)+IF(AI39=1,N(AG39),0))</f>
        <v/>
      </c>
      <c r="S39" s="103" t="str">
        <f>IF(A39="","",N(E39)+N(R39))</f>
        <v/>
      </c>
      <c r="T39" s="70" t="str">
        <f>IF(A39="","",IF(N(R39)&gt;0,R39*H39*W39*$W$6+p_CorrFixa,0))</f>
        <v/>
      </c>
      <c r="V39" s="85" t="str">
        <f>IF(A39="","",IF(D39="",$W$1,D39))</f>
        <v/>
      </c>
      <c r="W39" s="85" t="str">
        <f>IF(A39="","",IFERROR(INDEX(moeda_fx,MATCH(V39,moeda_cod,0)),0))</f>
        <v/>
      </c>
      <c r="X39" s="85" t="str">
        <f>IF(A39="","",IF($W$2="",UPPER(TRIM(A39)),IF(RIGHT(UPPER(TRIM(A39)),LEN($W$2))=$W$2,UPPER(TRIM(A39)),UPPER(TRIM(A39))&amp;$W$2)))</f>
        <v/>
      </c>
      <c r="Y39" s="85" t="str">
        <f>IF(OR(A39="",p_ModoCot&lt;&gt;"Automático"),"",IFERROR(_xlfn.WEBSERVICE("https://query1.finance.yahoo.com/v8/finance/chart/"&amp;X39&amp;"?range=1d&amp;interval=1d"),""))</f>
        <v/>
      </c>
      <c r="Z39" s="85" t="str">
        <f>IF(Y39="","",IFERROR(_xlfn.NUMBERVALUE(MID(Y39,SEARCH("""regularMarketPrice"":",Y39)+21,SEARCH(",",Y39&amp;",",SEARCH("""regularMarketPrice"":",Y39)+21)-SEARCH("""regularMarketPrice"":",Y39)-21),".",","),""))</f>
        <v/>
      </c>
      <c r="AA39" s="85" t="str">
        <f>IF(A39="","",ROUND(MAX(0,N(F39)*($K$6+$W$7)-K39),2))</f>
        <v/>
      </c>
      <c r="AB39" s="85" t="str">
        <f>IF(A39="","",IF(AND(M39&gt;0,M39&gt;=p_DifMin),AA39,0))</f>
        <v/>
      </c>
      <c r="AC39" s="85" t="str">
        <f>IF(A39="","",IF(AND(AB39&gt;0,N(O39)&lt;=p_MaxAtivos),AB39,0))</f>
        <v/>
      </c>
      <c r="AD39" s="85" t="str">
        <f>IF(A39="","",IF(OR(Q39&lt;=0,Q39&lt;p_CompraMin,N(H39)&lt;=0,N(W39)&lt;=0),0,IF($W$3="Sim",TRUNC(ROUND(MAX(0,(Q39-p_CorrFixa)/(H39*W39*$W$6)),9),$W$4),TRUNC(ROUND(MAX(0,(Q39-p_CorrFixa)/(H39*W39*$W$6)),9)/$W$5)*$W$5)))</f>
        <v/>
      </c>
      <c r="AE39" s="85" t="str">
        <f>IF(A39="","",IF(N(AD39)&gt;0,AD39*H39*W39*$W$6+p_CorrFixa,0))</f>
        <v/>
      </c>
      <c r="AF39" s="85" t="str">
        <f>IF(A39="","",IF(OR($Y$1&lt;=0,N(H39)&lt;=0,N(W39)&lt;=0,N(AB39)&lt;=0),0,IF($W$3="Sim",TRUNC(ROUND(MAX(0,($Y$1-IF(N(AD39)&gt;0,0,p_CorrFixa))/(H39*W39*$W$6)),9),$W$4),TRUNC(ROUND(MAX(0,($Y$1-IF(N(AD39)&gt;0,0,p_CorrFixa))/(H39*W39*$W$6)),9)/$W$5)*$W$5)))</f>
        <v/>
      </c>
      <c r="AG39" s="85" t="str">
        <f>IF(A39="","",IF(AND(N(AD39)=0,N(AF39)*(H39*W39*$W$6)+p_CorrFixa&lt;p_CompraMin),0,AF39))</f>
        <v/>
      </c>
      <c r="AH39" s="85" t="str">
        <f>IF(A39="","",IF(N(AG39)&gt;0,AB39,0))</f>
        <v/>
      </c>
      <c r="AI39" s="85" t="str">
        <f>IF(A39="","",IF(AND(AH39&gt;0,AH39=$AH$6,COUNTIF($AH$9:AH39,AH39)=1),1,0))</f>
        <v/>
      </c>
    </row>
    <row r="40">
      <c r="A40" s="96" t="n"/>
      <c r="B40" s="96" t="n"/>
      <c r="C40" s="96" t="n"/>
      <c r="D40" s="97" t="n"/>
      <c r="E40" s="98" t="n"/>
      <c r="F40" s="99" t="n"/>
      <c r="G40" s="100" t="n"/>
      <c r="H40" s="104" t="str">
        <f>IF(A40="","",IF(AND(p_ModoCot="Automático",ISNUMBER(Z40)),Z40,IF(N(G40)&gt;0,G40,0)))</f>
        <v/>
      </c>
      <c r="I40" s="105" t="str">
        <f>IF(A40="","",IF(W40=0,"Sem câmbio",IF(AND(p_ModoCot="Automático",ISNUMBER(Z40)),"Auto",IF(N(G40)&gt;0,"Manual","Sem cotação"))))</f>
        <v/>
      </c>
      <c r="J40" s="106" t="str">
        <f>IF(A40="","",N(E40)*H40)</f>
        <v/>
      </c>
      <c r="K40" s="107" t="str">
        <f>IF(A40="","",J40*W40)</f>
        <v/>
      </c>
      <c r="L40" s="108" t="str">
        <f>IF(A40="","",IF($K$6&gt;0,K40/$K$6,0))</f>
        <v/>
      </c>
      <c r="M40" s="109" t="str">
        <f>IF(A40="","",N(F40)-L40)</f>
        <v/>
      </c>
      <c r="N40" s="108" t="str">
        <f>IF(A40="","",IF($AB$6&gt;0,AB40/$AB$6,0))</f>
        <v/>
      </c>
      <c r="O40" s="110" t="str">
        <f>IF(A40="","",IF(AB40&lt;=0,"",COUNTIF($AB$9:$AB$108,"&gt;"&amp;AB40)+COUNTIF($AB$9:AB40,AB40)))</f>
        <v/>
      </c>
      <c r="P40" s="105" t="str">
        <f>IF(A40="","",IF(Q40&gt;0,"BUY","HOLD"))</f>
        <v/>
      </c>
      <c r="Q40" s="107" t="str">
        <f>IF(A40="","",IF($W$7&lt;=0,0,IF($AC$6&gt;0,$W$7*AC40/$AC$6,IF($F$6&gt;0,$W$7*N(F40)/$F$6,0))))</f>
        <v/>
      </c>
      <c r="R40" s="111" t="str">
        <f>IF(A40="","",N(AD40)+IF(AI40=1,N(AG40),0))</f>
        <v/>
      </c>
      <c r="S40" s="111" t="str">
        <f>IF(A40="","",N(E40)+N(R40))</f>
        <v/>
      </c>
      <c r="T40" s="107" t="str">
        <f>IF(A40="","",IF(N(R40)&gt;0,R40*H40*W40*$W$6+p_CorrFixa,0))</f>
        <v/>
      </c>
      <c r="V40" s="85" t="str">
        <f>IF(A40="","",IF(D40="",$W$1,D40))</f>
        <v/>
      </c>
      <c r="W40" s="85" t="str">
        <f>IF(A40="","",IFERROR(INDEX(moeda_fx,MATCH(V40,moeda_cod,0)),0))</f>
        <v/>
      </c>
      <c r="X40" s="85" t="str">
        <f>IF(A40="","",IF($W$2="",UPPER(TRIM(A40)),IF(RIGHT(UPPER(TRIM(A40)),LEN($W$2))=$W$2,UPPER(TRIM(A40)),UPPER(TRIM(A40))&amp;$W$2)))</f>
        <v/>
      </c>
      <c r="Y40" s="85" t="str">
        <f>IF(OR(A40="",p_ModoCot&lt;&gt;"Automático"),"",IFERROR(_xlfn.WEBSERVICE("https://query1.finance.yahoo.com/v8/finance/chart/"&amp;X40&amp;"?range=1d&amp;interval=1d"),""))</f>
        <v/>
      </c>
      <c r="Z40" s="85" t="str">
        <f>IF(Y40="","",IFERROR(_xlfn.NUMBERVALUE(MID(Y40,SEARCH("""regularMarketPrice"":",Y40)+21,SEARCH(",",Y40&amp;",",SEARCH("""regularMarketPrice"":",Y40)+21)-SEARCH("""regularMarketPrice"":",Y40)-21),".",","),""))</f>
        <v/>
      </c>
      <c r="AA40" s="85" t="str">
        <f>IF(A40="","",ROUND(MAX(0,N(F40)*($K$6+$W$7)-K40),2))</f>
        <v/>
      </c>
      <c r="AB40" s="85" t="str">
        <f>IF(A40="","",IF(AND(M40&gt;0,M40&gt;=p_DifMin),AA40,0))</f>
        <v/>
      </c>
      <c r="AC40" s="85" t="str">
        <f>IF(A40="","",IF(AND(AB40&gt;0,N(O40)&lt;=p_MaxAtivos),AB40,0))</f>
        <v/>
      </c>
      <c r="AD40" s="85" t="str">
        <f>IF(A40="","",IF(OR(Q40&lt;=0,Q40&lt;p_CompraMin,N(H40)&lt;=0,N(W40)&lt;=0),0,IF($W$3="Sim",TRUNC(ROUND(MAX(0,(Q40-p_CorrFixa)/(H40*W40*$W$6)),9),$W$4),TRUNC(ROUND(MAX(0,(Q40-p_CorrFixa)/(H40*W40*$W$6)),9)/$W$5)*$W$5)))</f>
        <v/>
      </c>
      <c r="AE40" s="85" t="str">
        <f>IF(A40="","",IF(N(AD40)&gt;0,AD40*H40*W40*$W$6+p_CorrFixa,0))</f>
        <v/>
      </c>
      <c r="AF40" s="85" t="str">
        <f>IF(A40="","",IF(OR($Y$1&lt;=0,N(H40)&lt;=0,N(W40)&lt;=0,N(AB40)&lt;=0),0,IF($W$3="Sim",TRUNC(ROUND(MAX(0,($Y$1-IF(N(AD40)&gt;0,0,p_CorrFixa))/(H40*W40*$W$6)),9),$W$4),TRUNC(ROUND(MAX(0,($Y$1-IF(N(AD40)&gt;0,0,p_CorrFixa))/(H40*W40*$W$6)),9)/$W$5)*$W$5)))</f>
        <v/>
      </c>
      <c r="AG40" s="85" t="str">
        <f>IF(A40="","",IF(AND(N(AD40)=0,N(AF40)*(H40*W40*$W$6)+p_CorrFixa&lt;p_CompraMin),0,AF40))</f>
        <v/>
      </c>
      <c r="AH40" s="85" t="str">
        <f>IF(A40="","",IF(N(AG40)&gt;0,AB40,0))</f>
        <v/>
      </c>
      <c r="AI40" s="85" t="str">
        <f>IF(A40="","",IF(AND(AH40&gt;0,AH40=$AH$6,COUNTIF($AH$9:AH40,AH40)=1),1,0))</f>
        <v/>
      </c>
    </row>
    <row r="41">
      <c r="A41" s="96" t="n"/>
      <c r="B41" s="96" t="n"/>
      <c r="C41" s="96" t="n"/>
      <c r="D41" s="97" t="n"/>
      <c r="E41" s="98" t="n"/>
      <c r="F41" s="99" t="n"/>
      <c r="G41" s="100" t="n"/>
      <c r="H41" s="101" t="str">
        <f>IF(A41="","",IF(AND(p_ModoCot="Automático",ISNUMBER(Z41)),Z41,IF(N(G41)&gt;0,G41,0)))</f>
        <v/>
      </c>
      <c r="I41" s="73" t="str">
        <f>IF(A41="","",IF(W41=0,"Sem câmbio",IF(AND(p_ModoCot="Automático",ISNUMBER(Z41)),"Auto",IF(N(G41)&gt;0,"Manual","Sem cotação"))))</f>
        <v/>
      </c>
      <c r="J41" s="102" t="str">
        <f>IF(A41="","",N(E41)*H41)</f>
        <v/>
      </c>
      <c r="K41" s="70" t="str">
        <f>IF(A41="","",J41*W41)</f>
        <v/>
      </c>
      <c r="L41" s="30" t="str">
        <f>IF(A41="","",IF($K$6&gt;0,K41/$K$6,0))</f>
        <v/>
      </c>
      <c r="M41" s="72" t="str">
        <f>IF(A41="","",N(F41)-L41)</f>
        <v/>
      </c>
      <c r="N41" s="30" t="str">
        <f>IF(A41="","",IF($AB$6&gt;0,AB41/$AB$6,0))</f>
        <v/>
      </c>
      <c r="O41" s="74" t="str">
        <f>IF(A41="","",IF(AB41&lt;=0,"",COUNTIF($AB$9:$AB$108,"&gt;"&amp;AB41)+COUNTIF($AB$9:AB41,AB41)))</f>
        <v/>
      </c>
      <c r="P41" s="73" t="str">
        <f>IF(A41="","",IF(Q41&gt;0,"BUY","HOLD"))</f>
        <v/>
      </c>
      <c r="Q41" s="70" t="str">
        <f>IF(A41="","",IF($W$7&lt;=0,0,IF($AC$6&gt;0,$W$7*AC41/$AC$6,IF($F$6&gt;0,$W$7*N(F41)/$F$6,0))))</f>
        <v/>
      </c>
      <c r="R41" s="103" t="str">
        <f>IF(A41="","",N(AD41)+IF(AI41=1,N(AG41),0))</f>
        <v/>
      </c>
      <c r="S41" s="103" t="str">
        <f>IF(A41="","",N(E41)+N(R41))</f>
        <v/>
      </c>
      <c r="T41" s="70" t="str">
        <f>IF(A41="","",IF(N(R41)&gt;0,R41*H41*W41*$W$6+p_CorrFixa,0))</f>
        <v/>
      </c>
      <c r="V41" s="85" t="str">
        <f>IF(A41="","",IF(D41="",$W$1,D41))</f>
        <v/>
      </c>
      <c r="W41" s="85" t="str">
        <f>IF(A41="","",IFERROR(INDEX(moeda_fx,MATCH(V41,moeda_cod,0)),0))</f>
        <v/>
      </c>
      <c r="X41" s="85" t="str">
        <f>IF(A41="","",IF($W$2="",UPPER(TRIM(A41)),IF(RIGHT(UPPER(TRIM(A41)),LEN($W$2))=$W$2,UPPER(TRIM(A41)),UPPER(TRIM(A41))&amp;$W$2)))</f>
        <v/>
      </c>
      <c r="Y41" s="85" t="str">
        <f>IF(OR(A41="",p_ModoCot&lt;&gt;"Automático"),"",IFERROR(_xlfn.WEBSERVICE("https://query1.finance.yahoo.com/v8/finance/chart/"&amp;X41&amp;"?range=1d&amp;interval=1d"),""))</f>
        <v/>
      </c>
      <c r="Z41" s="85" t="str">
        <f>IF(Y41="","",IFERROR(_xlfn.NUMBERVALUE(MID(Y41,SEARCH("""regularMarketPrice"":",Y41)+21,SEARCH(",",Y41&amp;",",SEARCH("""regularMarketPrice"":",Y41)+21)-SEARCH("""regularMarketPrice"":",Y41)-21),".",","),""))</f>
        <v/>
      </c>
      <c r="AA41" s="85" t="str">
        <f>IF(A41="","",ROUND(MAX(0,N(F41)*($K$6+$W$7)-K41),2))</f>
        <v/>
      </c>
      <c r="AB41" s="85" t="str">
        <f>IF(A41="","",IF(AND(M41&gt;0,M41&gt;=p_DifMin),AA41,0))</f>
        <v/>
      </c>
      <c r="AC41" s="85" t="str">
        <f>IF(A41="","",IF(AND(AB41&gt;0,N(O41)&lt;=p_MaxAtivos),AB41,0))</f>
        <v/>
      </c>
      <c r="AD41" s="85" t="str">
        <f>IF(A41="","",IF(OR(Q41&lt;=0,Q41&lt;p_CompraMin,N(H41)&lt;=0,N(W41)&lt;=0),0,IF($W$3="Sim",TRUNC(ROUND(MAX(0,(Q41-p_CorrFixa)/(H41*W41*$W$6)),9),$W$4),TRUNC(ROUND(MAX(0,(Q41-p_CorrFixa)/(H41*W41*$W$6)),9)/$W$5)*$W$5)))</f>
        <v/>
      </c>
      <c r="AE41" s="85" t="str">
        <f>IF(A41="","",IF(N(AD41)&gt;0,AD41*H41*W41*$W$6+p_CorrFixa,0))</f>
        <v/>
      </c>
      <c r="AF41" s="85" t="str">
        <f>IF(A41="","",IF(OR($Y$1&lt;=0,N(H41)&lt;=0,N(W41)&lt;=0,N(AB41)&lt;=0),0,IF($W$3="Sim",TRUNC(ROUND(MAX(0,($Y$1-IF(N(AD41)&gt;0,0,p_CorrFixa))/(H41*W41*$W$6)),9),$W$4),TRUNC(ROUND(MAX(0,($Y$1-IF(N(AD41)&gt;0,0,p_CorrFixa))/(H41*W41*$W$6)),9)/$W$5)*$W$5)))</f>
        <v/>
      </c>
      <c r="AG41" s="85" t="str">
        <f>IF(A41="","",IF(AND(N(AD41)=0,N(AF41)*(H41*W41*$W$6)+p_CorrFixa&lt;p_CompraMin),0,AF41))</f>
        <v/>
      </c>
      <c r="AH41" s="85" t="str">
        <f>IF(A41="","",IF(N(AG41)&gt;0,AB41,0))</f>
        <v/>
      </c>
      <c r="AI41" s="85" t="str">
        <f>IF(A41="","",IF(AND(AH41&gt;0,AH41=$AH$6,COUNTIF($AH$9:AH41,AH41)=1),1,0))</f>
        <v/>
      </c>
    </row>
    <row r="42">
      <c r="A42" s="96" t="n"/>
      <c r="B42" s="96" t="n"/>
      <c r="C42" s="96" t="n"/>
      <c r="D42" s="97" t="n"/>
      <c r="E42" s="98" t="n"/>
      <c r="F42" s="99" t="n"/>
      <c r="G42" s="100" t="n"/>
      <c r="H42" s="104" t="str">
        <f>IF(A42="","",IF(AND(p_ModoCot="Automático",ISNUMBER(Z42)),Z42,IF(N(G42)&gt;0,G42,0)))</f>
        <v/>
      </c>
      <c r="I42" s="105" t="str">
        <f>IF(A42="","",IF(W42=0,"Sem câmbio",IF(AND(p_ModoCot="Automático",ISNUMBER(Z42)),"Auto",IF(N(G42)&gt;0,"Manual","Sem cotação"))))</f>
        <v/>
      </c>
      <c r="J42" s="106" t="str">
        <f>IF(A42="","",N(E42)*H42)</f>
        <v/>
      </c>
      <c r="K42" s="107" t="str">
        <f>IF(A42="","",J42*W42)</f>
        <v/>
      </c>
      <c r="L42" s="108" t="str">
        <f>IF(A42="","",IF($K$6&gt;0,K42/$K$6,0))</f>
        <v/>
      </c>
      <c r="M42" s="109" t="str">
        <f>IF(A42="","",N(F42)-L42)</f>
        <v/>
      </c>
      <c r="N42" s="108" t="str">
        <f>IF(A42="","",IF($AB$6&gt;0,AB42/$AB$6,0))</f>
        <v/>
      </c>
      <c r="O42" s="110" t="str">
        <f>IF(A42="","",IF(AB42&lt;=0,"",COUNTIF($AB$9:$AB$108,"&gt;"&amp;AB42)+COUNTIF($AB$9:AB42,AB42)))</f>
        <v/>
      </c>
      <c r="P42" s="105" t="str">
        <f>IF(A42="","",IF(Q42&gt;0,"BUY","HOLD"))</f>
        <v/>
      </c>
      <c r="Q42" s="107" t="str">
        <f>IF(A42="","",IF($W$7&lt;=0,0,IF($AC$6&gt;0,$W$7*AC42/$AC$6,IF($F$6&gt;0,$W$7*N(F42)/$F$6,0))))</f>
        <v/>
      </c>
      <c r="R42" s="111" t="str">
        <f>IF(A42="","",N(AD42)+IF(AI42=1,N(AG42),0))</f>
        <v/>
      </c>
      <c r="S42" s="111" t="str">
        <f>IF(A42="","",N(E42)+N(R42))</f>
        <v/>
      </c>
      <c r="T42" s="107" t="str">
        <f>IF(A42="","",IF(N(R42)&gt;0,R42*H42*W42*$W$6+p_CorrFixa,0))</f>
        <v/>
      </c>
      <c r="V42" s="85" t="str">
        <f>IF(A42="","",IF(D42="",$W$1,D42))</f>
        <v/>
      </c>
      <c r="W42" s="85" t="str">
        <f>IF(A42="","",IFERROR(INDEX(moeda_fx,MATCH(V42,moeda_cod,0)),0))</f>
        <v/>
      </c>
      <c r="X42" s="85" t="str">
        <f>IF(A42="","",IF($W$2="",UPPER(TRIM(A42)),IF(RIGHT(UPPER(TRIM(A42)),LEN($W$2))=$W$2,UPPER(TRIM(A42)),UPPER(TRIM(A42))&amp;$W$2)))</f>
        <v/>
      </c>
      <c r="Y42" s="85" t="str">
        <f>IF(OR(A42="",p_ModoCot&lt;&gt;"Automático"),"",IFERROR(_xlfn.WEBSERVICE("https://query1.finance.yahoo.com/v8/finance/chart/"&amp;X42&amp;"?range=1d&amp;interval=1d"),""))</f>
        <v/>
      </c>
      <c r="Z42" s="85" t="str">
        <f>IF(Y42="","",IFERROR(_xlfn.NUMBERVALUE(MID(Y42,SEARCH("""regularMarketPrice"":",Y42)+21,SEARCH(",",Y42&amp;",",SEARCH("""regularMarketPrice"":",Y42)+21)-SEARCH("""regularMarketPrice"":",Y42)-21),".",","),""))</f>
        <v/>
      </c>
      <c r="AA42" s="85" t="str">
        <f>IF(A42="","",ROUND(MAX(0,N(F42)*($K$6+$W$7)-K42),2))</f>
        <v/>
      </c>
      <c r="AB42" s="85" t="str">
        <f>IF(A42="","",IF(AND(M42&gt;0,M42&gt;=p_DifMin),AA42,0))</f>
        <v/>
      </c>
      <c r="AC42" s="85" t="str">
        <f>IF(A42="","",IF(AND(AB42&gt;0,N(O42)&lt;=p_MaxAtivos),AB42,0))</f>
        <v/>
      </c>
      <c r="AD42" s="85" t="str">
        <f>IF(A42="","",IF(OR(Q42&lt;=0,Q42&lt;p_CompraMin,N(H42)&lt;=0,N(W42)&lt;=0),0,IF($W$3="Sim",TRUNC(ROUND(MAX(0,(Q42-p_CorrFixa)/(H42*W42*$W$6)),9),$W$4),TRUNC(ROUND(MAX(0,(Q42-p_CorrFixa)/(H42*W42*$W$6)),9)/$W$5)*$W$5)))</f>
        <v/>
      </c>
      <c r="AE42" s="85" t="str">
        <f>IF(A42="","",IF(N(AD42)&gt;0,AD42*H42*W42*$W$6+p_CorrFixa,0))</f>
        <v/>
      </c>
      <c r="AF42" s="85" t="str">
        <f>IF(A42="","",IF(OR($Y$1&lt;=0,N(H42)&lt;=0,N(W42)&lt;=0,N(AB42)&lt;=0),0,IF($W$3="Sim",TRUNC(ROUND(MAX(0,($Y$1-IF(N(AD42)&gt;0,0,p_CorrFixa))/(H42*W42*$W$6)),9),$W$4),TRUNC(ROUND(MAX(0,($Y$1-IF(N(AD42)&gt;0,0,p_CorrFixa))/(H42*W42*$W$6)),9)/$W$5)*$W$5)))</f>
        <v/>
      </c>
      <c r="AG42" s="85" t="str">
        <f>IF(A42="","",IF(AND(N(AD42)=0,N(AF42)*(H42*W42*$W$6)+p_CorrFixa&lt;p_CompraMin),0,AF42))</f>
        <v/>
      </c>
      <c r="AH42" s="85" t="str">
        <f>IF(A42="","",IF(N(AG42)&gt;0,AB42,0))</f>
        <v/>
      </c>
      <c r="AI42" s="85" t="str">
        <f>IF(A42="","",IF(AND(AH42&gt;0,AH42=$AH$6,COUNTIF($AH$9:AH42,AH42)=1),1,0))</f>
        <v/>
      </c>
    </row>
    <row r="43">
      <c r="A43" s="96" t="n"/>
      <c r="B43" s="96" t="n"/>
      <c r="C43" s="96" t="n"/>
      <c r="D43" s="97" t="n"/>
      <c r="E43" s="98" t="n"/>
      <c r="F43" s="99" t="n"/>
      <c r="G43" s="100" t="n"/>
      <c r="H43" s="101" t="str">
        <f>IF(A43="","",IF(AND(p_ModoCot="Automático",ISNUMBER(Z43)),Z43,IF(N(G43)&gt;0,G43,0)))</f>
        <v/>
      </c>
      <c r="I43" s="73" t="str">
        <f>IF(A43="","",IF(W43=0,"Sem câmbio",IF(AND(p_ModoCot="Automático",ISNUMBER(Z43)),"Auto",IF(N(G43)&gt;0,"Manual","Sem cotação"))))</f>
        <v/>
      </c>
      <c r="J43" s="102" t="str">
        <f>IF(A43="","",N(E43)*H43)</f>
        <v/>
      </c>
      <c r="K43" s="70" t="str">
        <f>IF(A43="","",J43*W43)</f>
        <v/>
      </c>
      <c r="L43" s="30" t="str">
        <f>IF(A43="","",IF($K$6&gt;0,K43/$K$6,0))</f>
        <v/>
      </c>
      <c r="M43" s="72" t="str">
        <f>IF(A43="","",N(F43)-L43)</f>
        <v/>
      </c>
      <c r="N43" s="30" t="str">
        <f>IF(A43="","",IF($AB$6&gt;0,AB43/$AB$6,0))</f>
        <v/>
      </c>
      <c r="O43" s="74" t="str">
        <f>IF(A43="","",IF(AB43&lt;=0,"",COUNTIF($AB$9:$AB$108,"&gt;"&amp;AB43)+COUNTIF($AB$9:AB43,AB43)))</f>
        <v/>
      </c>
      <c r="P43" s="73" t="str">
        <f>IF(A43="","",IF(Q43&gt;0,"BUY","HOLD"))</f>
        <v/>
      </c>
      <c r="Q43" s="70" t="str">
        <f>IF(A43="","",IF($W$7&lt;=0,0,IF($AC$6&gt;0,$W$7*AC43/$AC$6,IF($F$6&gt;0,$W$7*N(F43)/$F$6,0))))</f>
        <v/>
      </c>
      <c r="R43" s="103" t="str">
        <f>IF(A43="","",N(AD43)+IF(AI43=1,N(AG43),0))</f>
        <v/>
      </c>
      <c r="S43" s="103" t="str">
        <f>IF(A43="","",N(E43)+N(R43))</f>
        <v/>
      </c>
      <c r="T43" s="70" t="str">
        <f>IF(A43="","",IF(N(R43)&gt;0,R43*H43*W43*$W$6+p_CorrFixa,0))</f>
        <v/>
      </c>
      <c r="V43" s="85" t="str">
        <f>IF(A43="","",IF(D43="",$W$1,D43))</f>
        <v/>
      </c>
      <c r="W43" s="85" t="str">
        <f>IF(A43="","",IFERROR(INDEX(moeda_fx,MATCH(V43,moeda_cod,0)),0))</f>
        <v/>
      </c>
      <c r="X43" s="85" t="str">
        <f>IF(A43="","",IF($W$2="",UPPER(TRIM(A43)),IF(RIGHT(UPPER(TRIM(A43)),LEN($W$2))=$W$2,UPPER(TRIM(A43)),UPPER(TRIM(A43))&amp;$W$2)))</f>
        <v/>
      </c>
      <c r="Y43" s="85" t="str">
        <f>IF(OR(A43="",p_ModoCot&lt;&gt;"Automático"),"",IFERROR(_xlfn.WEBSERVICE("https://query1.finance.yahoo.com/v8/finance/chart/"&amp;X43&amp;"?range=1d&amp;interval=1d"),""))</f>
        <v/>
      </c>
      <c r="Z43" s="85" t="str">
        <f>IF(Y43="","",IFERROR(_xlfn.NUMBERVALUE(MID(Y43,SEARCH("""regularMarketPrice"":",Y43)+21,SEARCH(",",Y43&amp;",",SEARCH("""regularMarketPrice"":",Y43)+21)-SEARCH("""regularMarketPrice"":",Y43)-21),".",","),""))</f>
        <v/>
      </c>
      <c r="AA43" s="85" t="str">
        <f>IF(A43="","",ROUND(MAX(0,N(F43)*($K$6+$W$7)-K43),2))</f>
        <v/>
      </c>
      <c r="AB43" s="85" t="str">
        <f>IF(A43="","",IF(AND(M43&gt;0,M43&gt;=p_DifMin),AA43,0))</f>
        <v/>
      </c>
      <c r="AC43" s="85" t="str">
        <f>IF(A43="","",IF(AND(AB43&gt;0,N(O43)&lt;=p_MaxAtivos),AB43,0))</f>
        <v/>
      </c>
      <c r="AD43" s="85" t="str">
        <f>IF(A43="","",IF(OR(Q43&lt;=0,Q43&lt;p_CompraMin,N(H43)&lt;=0,N(W43)&lt;=0),0,IF($W$3="Sim",TRUNC(ROUND(MAX(0,(Q43-p_CorrFixa)/(H43*W43*$W$6)),9),$W$4),TRUNC(ROUND(MAX(0,(Q43-p_CorrFixa)/(H43*W43*$W$6)),9)/$W$5)*$W$5)))</f>
        <v/>
      </c>
      <c r="AE43" s="85" t="str">
        <f>IF(A43="","",IF(N(AD43)&gt;0,AD43*H43*W43*$W$6+p_CorrFixa,0))</f>
        <v/>
      </c>
      <c r="AF43" s="85" t="str">
        <f>IF(A43="","",IF(OR($Y$1&lt;=0,N(H43)&lt;=0,N(W43)&lt;=0,N(AB43)&lt;=0),0,IF($W$3="Sim",TRUNC(ROUND(MAX(0,($Y$1-IF(N(AD43)&gt;0,0,p_CorrFixa))/(H43*W43*$W$6)),9),$W$4),TRUNC(ROUND(MAX(0,($Y$1-IF(N(AD43)&gt;0,0,p_CorrFixa))/(H43*W43*$W$6)),9)/$W$5)*$W$5)))</f>
        <v/>
      </c>
      <c r="AG43" s="85" t="str">
        <f>IF(A43="","",IF(AND(N(AD43)=0,N(AF43)*(H43*W43*$W$6)+p_CorrFixa&lt;p_CompraMin),0,AF43))</f>
        <v/>
      </c>
      <c r="AH43" s="85" t="str">
        <f>IF(A43="","",IF(N(AG43)&gt;0,AB43,0))</f>
        <v/>
      </c>
      <c r="AI43" s="85" t="str">
        <f>IF(A43="","",IF(AND(AH43&gt;0,AH43=$AH$6,COUNTIF($AH$9:AH43,AH43)=1),1,0))</f>
        <v/>
      </c>
    </row>
    <row r="44">
      <c r="A44" s="96" t="n"/>
      <c r="B44" s="96" t="n"/>
      <c r="C44" s="96" t="n"/>
      <c r="D44" s="97" t="n"/>
      <c r="E44" s="98" t="n"/>
      <c r="F44" s="99" t="n"/>
      <c r="G44" s="100" t="n"/>
      <c r="H44" s="104" t="str">
        <f>IF(A44="","",IF(AND(p_ModoCot="Automático",ISNUMBER(Z44)),Z44,IF(N(G44)&gt;0,G44,0)))</f>
        <v/>
      </c>
      <c r="I44" s="105" t="str">
        <f>IF(A44="","",IF(W44=0,"Sem câmbio",IF(AND(p_ModoCot="Automático",ISNUMBER(Z44)),"Auto",IF(N(G44)&gt;0,"Manual","Sem cotação"))))</f>
        <v/>
      </c>
      <c r="J44" s="106" t="str">
        <f>IF(A44="","",N(E44)*H44)</f>
        <v/>
      </c>
      <c r="K44" s="107" t="str">
        <f>IF(A44="","",J44*W44)</f>
        <v/>
      </c>
      <c r="L44" s="108" t="str">
        <f>IF(A44="","",IF($K$6&gt;0,K44/$K$6,0))</f>
        <v/>
      </c>
      <c r="M44" s="109" t="str">
        <f>IF(A44="","",N(F44)-L44)</f>
        <v/>
      </c>
      <c r="N44" s="108" t="str">
        <f>IF(A44="","",IF($AB$6&gt;0,AB44/$AB$6,0))</f>
        <v/>
      </c>
      <c r="O44" s="110" t="str">
        <f>IF(A44="","",IF(AB44&lt;=0,"",COUNTIF($AB$9:$AB$108,"&gt;"&amp;AB44)+COUNTIF($AB$9:AB44,AB44)))</f>
        <v/>
      </c>
      <c r="P44" s="105" t="str">
        <f>IF(A44="","",IF(Q44&gt;0,"BUY","HOLD"))</f>
        <v/>
      </c>
      <c r="Q44" s="107" t="str">
        <f>IF(A44="","",IF($W$7&lt;=0,0,IF($AC$6&gt;0,$W$7*AC44/$AC$6,IF($F$6&gt;0,$W$7*N(F44)/$F$6,0))))</f>
        <v/>
      </c>
      <c r="R44" s="111" t="str">
        <f>IF(A44="","",N(AD44)+IF(AI44=1,N(AG44),0))</f>
        <v/>
      </c>
      <c r="S44" s="111" t="str">
        <f>IF(A44="","",N(E44)+N(R44))</f>
        <v/>
      </c>
      <c r="T44" s="107" t="str">
        <f>IF(A44="","",IF(N(R44)&gt;0,R44*H44*W44*$W$6+p_CorrFixa,0))</f>
        <v/>
      </c>
      <c r="V44" s="85" t="str">
        <f>IF(A44="","",IF(D44="",$W$1,D44))</f>
        <v/>
      </c>
      <c r="W44" s="85" t="str">
        <f>IF(A44="","",IFERROR(INDEX(moeda_fx,MATCH(V44,moeda_cod,0)),0))</f>
        <v/>
      </c>
      <c r="X44" s="85" t="str">
        <f>IF(A44="","",IF($W$2="",UPPER(TRIM(A44)),IF(RIGHT(UPPER(TRIM(A44)),LEN($W$2))=$W$2,UPPER(TRIM(A44)),UPPER(TRIM(A44))&amp;$W$2)))</f>
        <v/>
      </c>
      <c r="Y44" s="85" t="str">
        <f>IF(OR(A44="",p_ModoCot&lt;&gt;"Automático"),"",IFERROR(_xlfn.WEBSERVICE("https://query1.finance.yahoo.com/v8/finance/chart/"&amp;X44&amp;"?range=1d&amp;interval=1d"),""))</f>
        <v/>
      </c>
      <c r="Z44" s="85" t="str">
        <f>IF(Y44="","",IFERROR(_xlfn.NUMBERVALUE(MID(Y44,SEARCH("""regularMarketPrice"":",Y44)+21,SEARCH(",",Y44&amp;",",SEARCH("""regularMarketPrice"":",Y44)+21)-SEARCH("""regularMarketPrice"":",Y44)-21),".",","),""))</f>
        <v/>
      </c>
      <c r="AA44" s="85" t="str">
        <f>IF(A44="","",ROUND(MAX(0,N(F44)*($K$6+$W$7)-K44),2))</f>
        <v/>
      </c>
      <c r="AB44" s="85" t="str">
        <f>IF(A44="","",IF(AND(M44&gt;0,M44&gt;=p_DifMin),AA44,0))</f>
        <v/>
      </c>
      <c r="AC44" s="85" t="str">
        <f>IF(A44="","",IF(AND(AB44&gt;0,N(O44)&lt;=p_MaxAtivos),AB44,0))</f>
        <v/>
      </c>
      <c r="AD44" s="85" t="str">
        <f>IF(A44="","",IF(OR(Q44&lt;=0,Q44&lt;p_CompraMin,N(H44)&lt;=0,N(W44)&lt;=0),0,IF($W$3="Sim",TRUNC(ROUND(MAX(0,(Q44-p_CorrFixa)/(H44*W44*$W$6)),9),$W$4),TRUNC(ROUND(MAX(0,(Q44-p_CorrFixa)/(H44*W44*$W$6)),9)/$W$5)*$W$5)))</f>
        <v/>
      </c>
      <c r="AE44" s="85" t="str">
        <f>IF(A44="","",IF(N(AD44)&gt;0,AD44*H44*W44*$W$6+p_CorrFixa,0))</f>
        <v/>
      </c>
      <c r="AF44" s="85" t="str">
        <f>IF(A44="","",IF(OR($Y$1&lt;=0,N(H44)&lt;=0,N(W44)&lt;=0,N(AB44)&lt;=0),0,IF($W$3="Sim",TRUNC(ROUND(MAX(0,($Y$1-IF(N(AD44)&gt;0,0,p_CorrFixa))/(H44*W44*$W$6)),9),$W$4),TRUNC(ROUND(MAX(0,($Y$1-IF(N(AD44)&gt;0,0,p_CorrFixa))/(H44*W44*$W$6)),9)/$W$5)*$W$5)))</f>
        <v/>
      </c>
      <c r="AG44" s="85" t="str">
        <f>IF(A44="","",IF(AND(N(AD44)=0,N(AF44)*(H44*W44*$W$6)+p_CorrFixa&lt;p_CompraMin),0,AF44))</f>
        <v/>
      </c>
      <c r="AH44" s="85" t="str">
        <f>IF(A44="","",IF(N(AG44)&gt;0,AB44,0))</f>
        <v/>
      </c>
      <c r="AI44" s="85" t="str">
        <f>IF(A44="","",IF(AND(AH44&gt;0,AH44=$AH$6,COUNTIF($AH$9:AH44,AH44)=1),1,0))</f>
        <v/>
      </c>
    </row>
    <row r="45">
      <c r="A45" s="96" t="n"/>
      <c r="B45" s="96" t="n"/>
      <c r="C45" s="96" t="n"/>
      <c r="D45" s="97" t="n"/>
      <c r="E45" s="98" t="n"/>
      <c r="F45" s="99" t="n"/>
      <c r="G45" s="100" t="n"/>
      <c r="H45" s="101" t="str">
        <f>IF(A45="","",IF(AND(p_ModoCot="Automático",ISNUMBER(Z45)),Z45,IF(N(G45)&gt;0,G45,0)))</f>
        <v/>
      </c>
      <c r="I45" s="73" t="str">
        <f>IF(A45="","",IF(W45=0,"Sem câmbio",IF(AND(p_ModoCot="Automático",ISNUMBER(Z45)),"Auto",IF(N(G45)&gt;0,"Manual","Sem cotação"))))</f>
        <v/>
      </c>
      <c r="J45" s="102" t="str">
        <f>IF(A45="","",N(E45)*H45)</f>
        <v/>
      </c>
      <c r="K45" s="70" t="str">
        <f>IF(A45="","",J45*W45)</f>
        <v/>
      </c>
      <c r="L45" s="30" t="str">
        <f>IF(A45="","",IF($K$6&gt;0,K45/$K$6,0))</f>
        <v/>
      </c>
      <c r="M45" s="72" t="str">
        <f>IF(A45="","",N(F45)-L45)</f>
        <v/>
      </c>
      <c r="N45" s="30" t="str">
        <f>IF(A45="","",IF($AB$6&gt;0,AB45/$AB$6,0))</f>
        <v/>
      </c>
      <c r="O45" s="74" t="str">
        <f>IF(A45="","",IF(AB45&lt;=0,"",COUNTIF($AB$9:$AB$108,"&gt;"&amp;AB45)+COUNTIF($AB$9:AB45,AB45)))</f>
        <v/>
      </c>
      <c r="P45" s="73" t="str">
        <f>IF(A45="","",IF(Q45&gt;0,"BUY","HOLD"))</f>
        <v/>
      </c>
      <c r="Q45" s="70" t="str">
        <f>IF(A45="","",IF($W$7&lt;=0,0,IF($AC$6&gt;0,$W$7*AC45/$AC$6,IF($F$6&gt;0,$W$7*N(F45)/$F$6,0))))</f>
        <v/>
      </c>
      <c r="R45" s="103" t="str">
        <f>IF(A45="","",N(AD45)+IF(AI45=1,N(AG45),0))</f>
        <v/>
      </c>
      <c r="S45" s="103" t="str">
        <f>IF(A45="","",N(E45)+N(R45))</f>
        <v/>
      </c>
      <c r="T45" s="70" t="str">
        <f>IF(A45="","",IF(N(R45)&gt;0,R45*H45*W45*$W$6+p_CorrFixa,0))</f>
        <v/>
      </c>
      <c r="V45" s="85" t="str">
        <f>IF(A45="","",IF(D45="",$W$1,D45))</f>
        <v/>
      </c>
      <c r="W45" s="85" t="str">
        <f>IF(A45="","",IFERROR(INDEX(moeda_fx,MATCH(V45,moeda_cod,0)),0))</f>
        <v/>
      </c>
      <c r="X45" s="85" t="str">
        <f>IF(A45="","",IF($W$2="",UPPER(TRIM(A45)),IF(RIGHT(UPPER(TRIM(A45)),LEN($W$2))=$W$2,UPPER(TRIM(A45)),UPPER(TRIM(A45))&amp;$W$2)))</f>
        <v/>
      </c>
      <c r="Y45" s="85" t="str">
        <f>IF(OR(A45="",p_ModoCot&lt;&gt;"Automático"),"",IFERROR(_xlfn.WEBSERVICE("https://query1.finance.yahoo.com/v8/finance/chart/"&amp;X45&amp;"?range=1d&amp;interval=1d"),""))</f>
        <v/>
      </c>
      <c r="Z45" s="85" t="str">
        <f>IF(Y45="","",IFERROR(_xlfn.NUMBERVALUE(MID(Y45,SEARCH("""regularMarketPrice"":",Y45)+21,SEARCH(",",Y45&amp;",",SEARCH("""regularMarketPrice"":",Y45)+21)-SEARCH("""regularMarketPrice"":",Y45)-21),".",","),""))</f>
        <v/>
      </c>
      <c r="AA45" s="85" t="str">
        <f>IF(A45="","",ROUND(MAX(0,N(F45)*($K$6+$W$7)-K45),2))</f>
        <v/>
      </c>
      <c r="AB45" s="85" t="str">
        <f>IF(A45="","",IF(AND(M45&gt;0,M45&gt;=p_DifMin),AA45,0))</f>
        <v/>
      </c>
      <c r="AC45" s="85" t="str">
        <f>IF(A45="","",IF(AND(AB45&gt;0,N(O45)&lt;=p_MaxAtivos),AB45,0))</f>
        <v/>
      </c>
      <c r="AD45" s="85" t="str">
        <f>IF(A45="","",IF(OR(Q45&lt;=0,Q45&lt;p_CompraMin,N(H45)&lt;=0,N(W45)&lt;=0),0,IF($W$3="Sim",TRUNC(ROUND(MAX(0,(Q45-p_CorrFixa)/(H45*W45*$W$6)),9),$W$4),TRUNC(ROUND(MAX(0,(Q45-p_CorrFixa)/(H45*W45*$W$6)),9)/$W$5)*$W$5)))</f>
        <v/>
      </c>
      <c r="AE45" s="85" t="str">
        <f>IF(A45="","",IF(N(AD45)&gt;0,AD45*H45*W45*$W$6+p_CorrFixa,0))</f>
        <v/>
      </c>
      <c r="AF45" s="85" t="str">
        <f>IF(A45="","",IF(OR($Y$1&lt;=0,N(H45)&lt;=0,N(W45)&lt;=0,N(AB45)&lt;=0),0,IF($W$3="Sim",TRUNC(ROUND(MAX(0,($Y$1-IF(N(AD45)&gt;0,0,p_CorrFixa))/(H45*W45*$W$6)),9),$W$4),TRUNC(ROUND(MAX(0,($Y$1-IF(N(AD45)&gt;0,0,p_CorrFixa))/(H45*W45*$W$6)),9)/$W$5)*$W$5)))</f>
        <v/>
      </c>
      <c r="AG45" s="85" t="str">
        <f>IF(A45="","",IF(AND(N(AD45)=0,N(AF45)*(H45*W45*$W$6)+p_CorrFixa&lt;p_CompraMin),0,AF45))</f>
        <v/>
      </c>
      <c r="AH45" s="85" t="str">
        <f>IF(A45="","",IF(N(AG45)&gt;0,AB45,0))</f>
        <v/>
      </c>
      <c r="AI45" s="85" t="str">
        <f>IF(A45="","",IF(AND(AH45&gt;0,AH45=$AH$6,COUNTIF($AH$9:AH45,AH45)=1),1,0))</f>
        <v/>
      </c>
    </row>
    <row r="46">
      <c r="A46" s="96" t="n"/>
      <c r="B46" s="96" t="n"/>
      <c r="C46" s="96" t="n"/>
      <c r="D46" s="97" t="n"/>
      <c r="E46" s="98" t="n"/>
      <c r="F46" s="99" t="n"/>
      <c r="G46" s="100" t="n"/>
      <c r="H46" s="104" t="str">
        <f>IF(A46="","",IF(AND(p_ModoCot="Automático",ISNUMBER(Z46)),Z46,IF(N(G46)&gt;0,G46,0)))</f>
        <v/>
      </c>
      <c r="I46" s="105" t="str">
        <f>IF(A46="","",IF(W46=0,"Sem câmbio",IF(AND(p_ModoCot="Automático",ISNUMBER(Z46)),"Auto",IF(N(G46)&gt;0,"Manual","Sem cotação"))))</f>
        <v/>
      </c>
      <c r="J46" s="106" t="str">
        <f>IF(A46="","",N(E46)*H46)</f>
        <v/>
      </c>
      <c r="K46" s="107" t="str">
        <f>IF(A46="","",J46*W46)</f>
        <v/>
      </c>
      <c r="L46" s="108" t="str">
        <f>IF(A46="","",IF($K$6&gt;0,K46/$K$6,0))</f>
        <v/>
      </c>
      <c r="M46" s="109" t="str">
        <f>IF(A46="","",N(F46)-L46)</f>
        <v/>
      </c>
      <c r="N46" s="108" t="str">
        <f>IF(A46="","",IF($AB$6&gt;0,AB46/$AB$6,0))</f>
        <v/>
      </c>
      <c r="O46" s="110" t="str">
        <f>IF(A46="","",IF(AB46&lt;=0,"",COUNTIF($AB$9:$AB$108,"&gt;"&amp;AB46)+COUNTIF($AB$9:AB46,AB46)))</f>
        <v/>
      </c>
      <c r="P46" s="105" t="str">
        <f>IF(A46="","",IF(Q46&gt;0,"BUY","HOLD"))</f>
        <v/>
      </c>
      <c r="Q46" s="107" t="str">
        <f>IF(A46="","",IF($W$7&lt;=0,0,IF($AC$6&gt;0,$W$7*AC46/$AC$6,IF($F$6&gt;0,$W$7*N(F46)/$F$6,0))))</f>
        <v/>
      </c>
      <c r="R46" s="111" t="str">
        <f>IF(A46="","",N(AD46)+IF(AI46=1,N(AG46),0))</f>
        <v/>
      </c>
      <c r="S46" s="111" t="str">
        <f>IF(A46="","",N(E46)+N(R46))</f>
        <v/>
      </c>
      <c r="T46" s="107" t="str">
        <f>IF(A46="","",IF(N(R46)&gt;0,R46*H46*W46*$W$6+p_CorrFixa,0))</f>
        <v/>
      </c>
      <c r="V46" s="85" t="str">
        <f>IF(A46="","",IF(D46="",$W$1,D46))</f>
        <v/>
      </c>
      <c r="W46" s="85" t="str">
        <f>IF(A46="","",IFERROR(INDEX(moeda_fx,MATCH(V46,moeda_cod,0)),0))</f>
        <v/>
      </c>
      <c r="X46" s="85" t="str">
        <f>IF(A46="","",IF($W$2="",UPPER(TRIM(A46)),IF(RIGHT(UPPER(TRIM(A46)),LEN($W$2))=$W$2,UPPER(TRIM(A46)),UPPER(TRIM(A46))&amp;$W$2)))</f>
        <v/>
      </c>
      <c r="Y46" s="85" t="str">
        <f>IF(OR(A46="",p_ModoCot&lt;&gt;"Automático"),"",IFERROR(_xlfn.WEBSERVICE("https://query1.finance.yahoo.com/v8/finance/chart/"&amp;X46&amp;"?range=1d&amp;interval=1d"),""))</f>
        <v/>
      </c>
      <c r="Z46" s="85" t="str">
        <f>IF(Y46="","",IFERROR(_xlfn.NUMBERVALUE(MID(Y46,SEARCH("""regularMarketPrice"":",Y46)+21,SEARCH(",",Y46&amp;",",SEARCH("""regularMarketPrice"":",Y46)+21)-SEARCH("""regularMarketPrice"":",Y46)-21),".",","),""))</f>
        <v/>
      </c>
      <c r="AA46" s="85" t="str">
        <f>IF(A46="","",ROUND(MAX(0,N(F46)*($K$6+$W$7)-K46),2))</f>
        <v/>
      </c>
      <c r="AB46" s="85" t="str">
        <f>IF(A46="","",IF(AND(M46&gt;0,M46&gt;=p_DifMin),AA46,0))</f>
        <v/>
      </c>
      <c r="AC46" s="85" t="str">
        <f>IF(A46="","",IF(AND(AB46&gt;0,N(O46)&lt;=p_MaxAtivos),AB46,0))</f>
        <v/>
      </c>
      <c r="AD46" s="85" t="str">
        <f>IF(A46="","",IF(OR(Q46&lt;=0,Q46&lt;p_CompraMin,N(H46)&lt;=0,N(W46)&lt;=0),0,IF($W$3="Sim",TRUNC(ROUND(MAX(0,(Q46-p_CorrFixa)/(H46*W46*$W$6)),9),$W$4),TRUNC(ROUND(MAX(0,(Q46-p_CorrFixa)/(H46*W46*$W$6)),9)/$W$5)*$W$5)))</f>
        <v/>
      </c>
      <c r="AE46" s="85" t="str">
        <f>IF(A46="","",IF(N(AD46)&gt;0,AD46*H46*W46*$W$6+p_CorrFixa,0))</f>
        <v/>
      </c>
      <c r="AF46" s="85" t="str">
        <f>IF(A46="","",IF(OR($Y$1&lt;=0,N(H46)&lt;=0,N(W46)&lt;=0,N(AB46)&lt;=0),0,IF($W$3="Sim",TRUNC(ROUND(MAX(0,($Y$1-IF(N(AD46)&gt;0,0,p_CorrFixa))/(H46*W46*$W$6)),9),$W$4),TRUNC(ROUND(MAX(0,($Y$1-IF(N(AD46)&gt;0,0,p_CorrFixa))/(H46*W46*$W$6)),9)/$W$5)*$W$5)))</f>
        <v/>
      </c>
      <c r="AG46" s="85" t="str">
        <f>IF(A46="","",IF(AND(N(AD46)=0,N(AF46)*(H46*W46*$W$6)+p_CorrFixa&lt;p_CompraMin),0,AF46))</f>
        <v/>
      </c>
      <c r="AH46" s="85" t="str">
        <f>IF(A46="","",IF(N(AG46)&gt;0,AB46,0))</f>
        <v/>
      </c>
      <c r="AI46" s="85" t="str">
        <f>IF(A46="","",IF(AND(AH46&gt;0,AH46=$AH$6,COUNTIF($AH$9:AH46,AH46)=1),1,0))</f>
        <v/>
      </c>
    </row>
    <row r="47">
      <c r="A47" s="96" t="n"/>
      <c r="B47" s="96" t="n"/>
      <c r="C47" s="96" t="n"/>
      <c r="D47" s="97" t="n"/>
      <c r="E47" s="98" t="n"/>
      <c r="F47" s="99" t="n"/>
      <c r="G47" s="100" t="n"/>
      <c r="H47" s="101" t="str">
        <f>IF(A47="","",IF(AND(p_ModoCot="Automático",ISNUMBER(Z47)),Z47,IF(N(G47)&gt;0,G47,0)))</f>
        <v/>
      </c>
      <c r="I47" s="73" t="str">
        <f>IF(A47="","",IF(W47=0,"Sem câmbio",IF(AND(p_ModoCot="Automático",ISNUMBER(Z47)),"Auto",IF(N(G47)&gt;0,"Manual","Sem cotação"))))</f>
        <v/>
      </c>
      <c r="J47" s="102" t="str">
        <f>IF(A47="","",N(E47)*H47)</f>
        <v/>
      </c>
      <c r="K47" s="70" t="str">
        <f>IF(A47="","",J47*W47)</f>
        <v/>
      </c>
      <c r="L47" s="30" t="str">
        <f>IF(A47="","",IF($K$6&gt;0,K47/$K$6,0))</f>
        <v/>
      </c>
      <c r="M47" s="72" t="str">
        <f>IF(A47="","",N(F47)-L47)</f>
        <v/>
      </c>
      <c r="N47" s="30" t="str">
        <f>IF(A47="","",IF($AB$6&gt;0,AB47/$AB$6,0))</f>
        <v/>
      </c>
      <c r="O47" s="74" t="str">
        <f>IF(A47="","",IF(AB47&lt;=0,"",COUNTIF($AB$9:$AB$108,"&gt;"&amp;AB47)+COUNTIF($AB$9:AB47,AB47)))</f>
        <v/>
      </c>
      <c r="P47" s="73" t="str">
        <f>IF(A47="","",IF(Q47&gt;0,"BUY","HOLD"))</f>
        <v/>
      </c>
      <c r="Q47" s="70" t="str">
        <f>IF(A47="","",IF($W$7&lt;=0,0,IF($AC$6&gt;0,$W$7*AC47/$AC$6,IF($F$6&gt;0,$W$7*N(F47)/$F$6,0))))</f>
        <v/>
      </c>
      <c r="R47" s="103" t="str">
        <f>IF(A47="","",N(AD47)+IF(AI47=1,N(AG47),0))</f>
        <v/>
      </c>
      <c r="S47" s="103" t="str">
        <f>IF(A47="","",N(E47)+N(R47))</f>
        <v/>
      </c>
      <c r="T47" s="70" t="str">
        <f>IF(A47="","",IF(N(R47)&gt;0,R47*H47*W47*$W$6+p_CorrFixa,0))</f>
        <v/>
      </c>
      <c r="V47" s="85" t="str">
        <f>IF(A47="","",IF(D47="",$W$1,D47))</f>
        <v/>
      </c>
      <c r="W47" s="85" t="str">
        <f>IF(A47="","",IFERROR(INDEX(moeda_fx,MATCH(V47,moeda_cod,0)),0))</f>
        <v/>
      </c>
      <c r="X47" s="85" t="str">
        <f>IF(A47="","",IF($W$2="",UPPER(TRIM(A47)),IF(RIGHT(UPPER(TRIM(A47)),LEN($W$2))=$W$2,UPPER(TRIM(A47)),UPPER(TRIM(A47))&amp;$W$2)))</f>
        <v/>
      </c>
      <c r="Y47" s="85" t="str">
        <f>IF(OR(A47="",p_ModoCot&lt;&gt;"Automático"),"",IFERROR(_xlfn.WEBSERVICE("https://query1.finance.yahoo.com/v8/finance/chart/"&amp;X47&amp;"?range=1d&amp;interval=1d"),""))</f>
        <v/>
      </c>
      <c r="Z47" s="85" t="str">
        <f>IF(Y47="","",IFERROR(_xlfn.NUMBERVALUE(MID(Y47,SEARCH("""regularMarketPrice"":",Y47)+21,SEARCH(",",Y47&amp;",",SEARCH("""regularMarketPrice"":",Y47)+21)-SEARCH("""regularMarketPrice"":",Y47)-21),".",","),""))</f>
        <v/>
      </c>
      <c r="AA47" s="85" t="str">
        <f>IF(A47="","",ROUND(MAX(0,N(F47)*($K$6+$W$7)-K47),2))</f>
        <v/>
      </c>
      <c r="AB47" s="85" t="str">
        <f>IF(A47="","",IF(AND(M47&gt;0,M47&gt;=p_DifMin),AA47,0))</f>
        <v/>
      </c>
      <c r="AC47" s="85" t="str">
        <f>IF(A47="","",IF(AND(AB47&gt;0,N(O47)&lt;=p_MaxAtivos),AB47,0))</f>
        <v/>
      </c>
      <c r="AD47" s="85" t="str">
        <f>IF(A47="","",IF(OR(Q47&lt;=0,Q47&lt;p_CompraMin,N(H47)&lt;=0,N(W47)&lt;=0),0,IF($W$3="Sim",TRUNC(ROUND(MAX(0,(Q47-p_CorrFixa)/(H47*W47*$W$6)),9),$W$4),TRUNC(ROUND(MAX(0,(Q47-p_CorrFixa)/(H47*W47*$W$6)),9)/$W$5)*$W$5)))</f>
        <v/>
      </c>
      <c r="AE47" s="85" t="str">
        <f>IF(A47="","",IF(N(AD47)&gt;0,AD47*H47*W47*$W$6+p_CorrFixa,0))</f>
        <v/>
      </c>
      <c r="AF47" s="85" t="str">
        <f>IF(A47="","",IF(OR($Y$1&lt;=0,N(H47)&lt;=0,N(W47)&lt;=0,N(AB47)&lt;=0),0,IF($W$3="Sim",TRUNC(ROUND(MAX(0,($Y$1-IF(N(AD47)&gt;0,0,p_CorrFixa))/(H47*W47*$W$6)),9),$W$4),TRUNC(ROUND(MAX(0,($Y$1-IF(N(AD47)&gt;0,0,p_CorrFixa))/(H47*W47*$W$6)),9)/$W$5)*$W$5)))</f>
        <v/>
      </c>
      <c r="AG47" s="85" t="str">
        <f>IF(A47="","",IF(AND(N(AD47)=0,N(AF47)*(H47*W47*$W$6)+p_CorrFixa&lt;p_CompraMin),0,AF47))</f>
        <v/>
      </c>
      <c r="AH47" s="85" t="str">
        <f>IF(A47="","",IF(N(AG47)&gt;0,AB47,0))</f>
        <v/>
      </c>
      <c r="AI47" s="85" t="str">
        <f>IF(A47="","",IF(AND(AH47&gt;0,AH47=$AH$6,COUNTIF($AH$9:AH47,AH47)=1),1,0))</f>
        <v/>
      </c>
    </row>
    <row r="48">
      <c r="A48" s="96" t="n"/>
      <c r="B48" s="96" t="n"/>
      <c r="C48" s="96" t="n"/>
      <c r="D48" s="97" t="n"/>
      <c r="E48" s="98" t="n"/>
      <c r="F48" s="99" t="n"/>
      <c r="G48" s="100" t="n"/>
      <c r="H48" s="104" t="str">
        <f>IF(A48="","",IF(AND(p_ModoCot="Automático",ISNUMBER(Z48)),Z48,IF(N(G48)&gt;0,G48,0)))</f>
        <v/>
      </c>
      <c r="I48" s="105" t="str">
        <f>IF(A48="","",IF(W48=0,"Sem câmbio",IF(AND(p_ModoCot="Automático",ISNUMBER(Z48)),"Auto",IF(N(G48)&gt;0,"Manual","Sem cotação"))))</f>
        <v/>
      </c>
      <c r="J48" s="106" t="str">
        <f>IF(A48="","",N(E48)*H48)</f>
        <v/>
      </c>
      <c r="K48" s="107" t="str">
        <f>IF(A48="","",J48*W48)</f>
        <v/>
      </c>
      <c r="L48" s="108" t="str">
        <f>IF(A48="","",IF($K$6&gt;0,K48/$K$6,0))</f>
        <v/>
      </c>
      <c r="M48" s="109" t="str">
        <f>IF(A48="","",N(F48)-L48)</f>
        <v/>
      </c>
      <c r="N48" s="108" t="str">
        <f>IF(A48="","",IF($AB$6&gt;0,AB48/$AB$6,0))</f>
        <v/>
      </c>
      <c r="O48" s="110" t="str">
        <f>IF(A48="","",IF(AB48&lt;=0,"",COUNTIF($AB$9:$AB$108,"&gt;"&amp;AB48)+COUNTIF($AB$9:AB48,AB48)))</f>
        <v/>
      </c>
      <c r="P48" s="105" t="str">
        <f>IF(A48="","",IF(Q48&gt;0,"BUY","HOLD"))</f>
        <v/>
      </c>
      <c r="Q48" s="107" t="str">
        <f>IF(A48="","",IF($W$7&lt;=0,0,IF($AC$6&gt;0,$W$7*AC48/$AC$6,IF($F$6&gt;0,$W$7*N(F48)/$F$6,0))))</f>
        <v/>
      </c>
      <c r="R48" s="111" t="str">
        <f>IF(A48="","",N(AD48)+IF(AI48=1,N(AG48),0))</f>
        <v/>
      </c>
      <c r="S48" s="111" t="str">
        <f>IF(A48="","",N(E48)+N(R48))</f>
        <v/>
      </c>
      <c r="T48" s="107" t="str">
        <f>IF(A48="","",IF(N(R48)&gt;0,R48*H48*W48*$W$6+p_CorrFixa,0))</f>
        <v/>
      </c>
      <c r="V48" s="85" t="str">
        <f>IF(A48="","",IF(D48="",$W$1,D48))</f>
        <v/>
      </c>
      <c r="W48" s="85" t="str">
        <f>IF(A48="","",IFERROR(INDEX(moeda_fx,MATCH(V48,moeda_cod,0)),0))</f>
        <v/>
      </c>
      <c r="X48" s="85" t="str">
        <f>IF(A48="","",IF($W$2="",UPPER(TRIM(A48)),IF(RIGHT(UPPER(TRIM(A48)),LEN($W$2))=$W$2,UPPER(TRIM(A48)),UPPER(TRIM(A48))&amp;$W$2)))</f>
        <v/>
      </c>
      <c r="Y48" s="85" t="str">
        <f>IF(OR(A48="",p_ModoCot&lt;&gt;"Automático"),"",IFERROR(_xlfn.WEBSERVICE("https://query1.finance.yahoo.com/v8/finance/chart/"&amp;X48&amp;"?range=1d&amp;interval=1d"),""))</f>
        <v/>
      </c>
      <c r="Z48" s="85" t="str">
        <f>IF(Y48="","",IFERROR(_xlfn.NUMBERVALUE(MID(Y48,SEARCH("""regularMarketPrice"":",Y48)+21,SEARCH(",",Y48&amp;",",SEARCH("""regularMarketPrice"":",Y48)+21)-SEARCH("""regularMarketPrice"":",Y48)-21),".",","),""))</f>
        <v/>
      </c>
      <c r="AA48" s="85" t="str">
        <f>IF(A48="","",ROUND(MAX(0,N(F48)*($K$6+$W$7)-K48),2))</f>
        <v/>
      </c>
      <c r="AB48" s="85" t="str">
        <f>IF(A48="","",IF(AND(M48&gt;0,M48&gt;=p_DifMin),AA48,0))</f>
        <v/>
      </c>
      <c r="AC48" s="85" t="str">
        <f>IF(A48="","",IF(AND(AB48&gt;0,N(O48)&lt;=p_MaxAtivos),AB48,0))</f>
        <v/>
      </c>
      <c r="AD48" s="85" t="str">
        <f>IF(A48="","",IF(OR(Q48&lt;=0,Q48&lt;p_CompraMin,N(H48)&lt;=0,N(W48)&lt;=0),0,IF($W$3="Sim",TRUNC(ROUND(MAX(0,(Q48-p_CorrFixa)/(H48*W48*$W$6)),9),$W$4),TRUNC(ROUND(MAX(0,(Q48-p_CorrFixa)/(H48*W48*$W$6)),9)/$W$5)*$W$5)))</f>
        <v/>
      </c>
      <c r="AE48" s="85" t="str">
        <f>IF(A48="","",IF(N(AD48)&gt;0,AD48*H48*W48*$W$6+p_CorrFixa,0))</f>
        <v/>
      </c>
      <c r="AF48" s="85" t="str">
        <f>IF(A48="","",IF(OR($Y$1&lt;=0,N(H48)&lt;=0,N(W48)&lt;=0,N(AB48)&lt;=0),0,IF($W$3="Sim",TRUNC(ROUND(MAX(0,($Y$1-IF(N(AD48)&gt;0,0,p_CorrFixa))/(H48*W48*$W$6)),9),$W$4),TRUNC(ROUND(MAX(0,($Y$1-IF(N(AD48)&gt;0,0,p_CorrFixa))/(H48*W48*$W$6)),9)/$W$5)*$W$5)))</f>
        <v/>
      </c>
      <c r="AG48" s="85" t="str">
        <f>IF(A48="","",IF(AND(N(AD48)=0,N(AF48)*(H48*W48*$W$6)+p_CorrFixa&lt;p_CompraMin),0,AF48))</f>
        <v/>
      </c>
      <c r="AH48" s="85" t="str">
        <f>IF(A48="","",IF(N(AG48)&gt;0,AB48,0))</f>
        <v/>
      </c>
      <c r="AI48" s="85" t="str">
        <f>IF(A48="","",IF(AND(AH48&gt;0,AH48=$AH$6,COUNTIF($AH$9:AH48,AH48)=1),1,0))</f>
        <v/>
      </c>
    </row>
    <row r="49">
      <c r="A49" s="96" t="n"/>
      <c r="B49" s="96" t="n"/>
      <c r="C49" s="96" t="n"/>
      <c r="D49" s="97" t="n"/>
      <c r="E49" s="98" t="n"/>
      <c r="F49" s="99" t="n"/>
      <c r="G49" s="100" t="n"/>
      <c r="H49" s="101" t="str">
        <f>IF(A49="","",IF(AND(p_ModoCot="Automático",ISNUMBER(Z49)),Z49,IF(N(G49)&gt;0,G49,0)))</f>
        <v/>
      </c>
      <c r="I49" s="73" t="str">
        <f>IF(A49="","",IF(W49=0,"Sem câmbio",IF(AND(p_ModoCot="Automático",ISNUMBER(Z49)),"Auto",IF(N(G49)&gt;0,"Manual","Sem cotação"))))</f>
        <v/>
      </c>
      <c r="J49" s="102" t="str">
        <f>IF(A49="","",N(E49)*H49)</f>
        <v/>
      </c>
      <c r="K49" s="70" t="str">
        <f>IF(A49="","",J49*W49)</f>
        <v/>
      </c>
      <c r="L49" s="30" t="str">
        <f>IF(A49="","",IF($K$6&gt;0,K49/$K$6,0))</f>
        <v/>
      </c>
      <c r="M49" s="72" t="str">
        <f>IF(A49="","",N(F49)-L49)</f>
        <v/>
      </c>
      <c r="N49" s="30" t="str">
        <f>IF(A49="","",IF($AB$6&gt;0,AB49/$AB$6,0))</f>
        <v/>
      </c>
      <c r="O49" s="74" t="str">
        <f>IF(A49="","",IF(AB49&lt;=0,"",COUNTIF($AB$9:$AB$108,"&gt;"&amp;AB49)+COUNTIF($AB$9:AB49,AB49)))</f>
        <v/>
      </c>
      <c r="P49" s="73" t="str">
        <f>IF(A49="","",IF(Q49&gt;0,"BUY","HOLD"))</f>
        <v/>
      </c>
      <c r="Q49" s="70" t="str">
        <f>IF(A49="","",IF($W$7&lt;=0,0,IF($AC$6&gt;0,$W$7*AC49/$AC$6,IF($F$6&gt;0,$W$7*N(F49)/$F$6,0))))</f>
        <v/>
      </c>
      <c r="R49" s="103" t="str">
        <f>IF(A49="","",N(AD49)+IF(AI49=1,N(AG49),0))</f>
        <v/>
      </c>
      <c r="S49" s="103" t="str">
        <f>IF(A49="","",N(E49)+N(R49))</f>
        <v/>
      </c>
      <c r="T49" s="70" t="str">
        <f>IF(A49="","",IF(N(R49)&gt;0,R49*H49*W49*$W$6+p_CorrFixa,0))</f>
        <v/>
      </c>
      <c r="V49" s="85" t="str">
        <f>IF(A49="","",IF(D49="",$W$1,D49))</f>
        <v/>
      </c>
      <c r="W49" s="85" t="str">
        <f>IF(A49="","",IFERROR(INDEX(moeda_fx,MATCH(V49,moeda_cod,0)),0))</f>
        <v/>
      </c>
      <c r="X49" s="85" t="str">
        <f>IF(A49="","",IF($W$2="",UPPER(TRIM(A49)),IF(RIGHT(UPPER(TRIM(A49)),LEN($W$2))=$W$2,UPPER(TRIM(A49)),UPPER(TRIM(A49))&amp;$W$2)))</f>
        <v/>
      </c>
      <c r="Y49" s="85" t="str">
        <f>IF(OR(A49="",p_ModoCot&lt;&gt;"Automático"),"",IFERROR(_xlfn.WEBSERVICE("https://query1.finance.yahoo.com/v8/finance/chart/"&amp;X49&amp;"?range=1d&amp;interval=1d"),""))</f>
        <v/>
      </c>
      <c r="Z49" s="85" t="str">
        <f>IF(Y49="","",IFERROR(_xlfn.NUMBERVALUE(MID(Y49,SEARCH("""regularMarketPrice"":",Y49)+21,SEARCH(",",Y49&amp;",",SEARCH("""regularMarketPrice"":",Y49)+21)-SEARCH("""regularMarketPrice"":",Y49)-21),".",","),""))</f>
        <v/>
      </c>
      <c r="AA49" s="85" t="str">
        <f>IF(A49="","",ROUND(MAX(0,N(F49)*($K$6+$W$7)-K49),2))</f>
        <v/>
      </c>
      <c r="AB49" s="85" t="str">
        <f>IF(A49="","",IF(AND(M49&gt;0,M49&gt;=p_DifMin),AA49,0))</f>
        <v/>
      </c>
      <c r="AC49" s="85" t="str">
        <f>IF(A49="","",IF(AND(AB49&gt;0,N(O49)&lt;=p_MaxAtivos),AB49,0))</f>
        <v/>
      </c>
      <c r="AD49" s="85" t="str">
        <f>IF(A49="","",IF(OR(Q49&lt;=0,Q49&lt;p_CompraMin,N(H49)&lt;=0,N(W49)&lt;=0),0,IF($W$3="Sim",TRUNC(ROUND(MAX(0,(Q49-p_CorrFixa)/(H49*W49*$W$6)),9),$W$4),TRUNC(ROUND(MAX(0,(Q49-p_CorrFixa)/(H49*W49*$W$6)),9)/$W$5)*$W$5)))</f>
        <v/>
      </c>
      <c r="AE49" s="85" t="str">
        <f>IF(A49="","",IF(N(AD49)&gt;0,AD49*H49*W49*$W$6+p_CorrFixa,0))</f>
        <v/>
      </c>
      <c r="AF49" s="85" t="str">
        <f>IF(A49="","",IF(OR($Y$1&lt;=0,N(H49)&lt;=0,N(W49)&lt;=0,N(AB49)&lt;=0),0,IF($W$3="Sim",TRUNC(ROUND(MAX(0,($Y$1-IF(N(AD49)&gt;0,0,p_CorrFixa))/(H49*W49*$W$6)),9),$W$4),TRUNC(ROUND(MAX(0,($Y$1-IF(N(AD49)&gt;0,0,p_CorrFixa))/(H49*W49*$W$6)),9)/$W$5)*$W$5)))</f>
        <v/>
      </c>
      <c r="AG49" s="85" t="str">
        <f>IF(A49="","",IF(AND(N(AD49)=0,N(AF49)*(H49*W49*$W$6)+p_CorrFixa&lt;p_CompraMin),0,AF49))</f>
        <v/>
      </c>
      <c r="AH49" s="85" t="str">
        <f>IF(A49="","",IF(N(AG49)&gt;0,AB49,0))</f>
        <v/>
      </c>
      <c r="AI49" s="85" t="str">
        <f>IF(A49="","",IF(AND(AH49&gt;0,AH49=$AH$6,COUNTIF($AH$9:AH49,AH49)=1),1,0))</f>
        <v/>
      </c>
    </row>
    <row r="50">
      <c r="A50" s="96" t="n"/>
      <c r="B50" s="96" t="n"/>
      <c r="C50" s="96" t="n"/>
      <c r="D50" s="97" t="n"/>
      <c r="E50" s="98" t="n"/>
      <c r="F50" s="99" t="n"/>
      <c r="G50" s="100" t="n"/>
      <c r="H50" s="104" t="str">
        <f>IF(A50="","",IF(AND(p_ModoCot="Automático",ISNUMBER(Z50)),Z50,IF(N(G50)&gt;0,G50,0)))</f>
        <v/>
      </c>
      <c r="I50" s="105" t="str">
        <f>IF(A50="","",IF(W50=0,"Sem câmbio",IF(AND(p_ModoCot="Automático",ISNUMBER(Z50)),"Auto",IF(N(G50)&gt;0,"Manual","Sem cotação"))))</f>
        <v/>
      </c>
      <c r="J50" s="106" t="str">
        <f>IF(A50="","",N(E50)*H50)</f>
        <v/>
      </c>
      <c r="K50" s="107" t="str">
        <f>IF(A50="","",J50*W50)</f>
        <v/>
      </c>
      <c r="L50" s="108" t="str">
        <f>IF(A50="","",IF($K$6&gt;0,K50/$K$6,0))</f>
        <v/>
      </c>
      <c r="M50" s="109" t="str">
        <f>IF(A50="","",N(F50)-L50)</f>
        <v/>
      </c>
      <c r="N50" s="108" t="str">
        <f>IF(A50="","",IF($AB$6&gt;0,AB50/$AB$6,0))</f>
        <v/>
      </c>
      <c r="O50" s="110" t="str">
        <f>IF(A50="","",IF(AB50&lt;=0,"",COUNTIF($AB$9:$AB$108,"&gt;"&amp;AB50)+COUNTIF($AB$9:AB50,AB50)))</f>
        <v/>
      </c>
      <c r="P50" s="105" t="str">
        <f>IF(A50="","",IF(Q50&gt;0,"BUY","HOLD"))</f>
        <v/>
      </c>
      <c r="Q50" s="107" t="str">
        <f>IF(A50="","",IF($W$7&lt;=0,0,IF($AC$6&gt;0,$W$7*AC50/$AC$6,IF($F$6&gt;0,$W$7*N(F50)/$F$6,0))))</f>
        <v/>
      </c>
      <c r="R50" s="111" t="str">
        <f>IF(A50="","",N(AD50)+IF(AI50=1,N(AG50),0))</f>
        <v/>
      </c>
      <c r="S50" s="111" t="str">
        <f>IF(A50="","",N(E50)+N(R50))</f>
        <v/>
      </c>
      <c r="T50" s="107" t="str">
        <f>IF(A50="","",IF(N(R50)&gt;0,R50*H50*W50*$W$6+p_CorrFixa,0))</f>
        <v/>
      </c>
      <c r="V50" s="85" t="str">
        <f>IF(A50="","",IF(D50="",$W$1,D50))</f>
        <v/>
      </c>
      <c r="W50" s="85" t="str">
        <f>IF(A50="","",IFERROR(INDEX(moeda_fx,MATCH(V50,moeda_cod,0)),0))</f>
        <v/>
      </c>
      <c r="X50" s="85" t="str">
        <f>IF(A50="","",IF($W$2="",UPPER(TRIM(A50)),IF(RIGHT(UPPER(TRIM(A50)),LEN($W$2))=$W$2,UPPER(TRIM(A50)),UPPER(TRIM(A50))&amp;$W$2)))</f>
        <v/>
      </c>
      <c r="Y50" s="85" t="str">
        <f>IF(OR(A50="",p_ModoCot&lt;&gt;"Automático"),"",IFERROR(_xlfn.WEBSERVICE("https://query1.finance.yahoo.com/v8/finance/chart/"&amp;X50&amp;"?range=1d&amp;interval=1d"),""))</f>
        <v/>
      </c>
      <c r="Z50" s="85" t="str">
        <f>IF(Y50="","",IFERROR(_xlfn.NUMBERVALUE(MID(Y50,SEARCH("""regularMarketPrice"":",Y50)+21,SEARCH(",",Y50&amp;",",SEARCH("""regularMarketPrice"":",Y50)+21)-SEARCH("""regularMarketPrice"":",Y50)-21),".",","),""))</f>
        <v/>
      </c>
      <c r="AA50" s="85" t="str">
        <f>IF(A50="","",ROUND(MAX(0,N(F50)*($K$6+$W$7)-K50),2))</f>
        <v/>
      </c>
      <c r="AB50" s="85" t="str">
        <f>IF(A50="","",IF(AND(M50&gt;0,M50&gt;=p_DifMin),AA50,0))</f>
        <v/>
      </c>
      <c r="AC50" s="85" t="str">
        <f>IF(A50="","",IF(AND(AB50&gt;0,N(O50)&lt;=p_MaxAtivos),AB50,0))</f>
        <v/>
      </c>
      <c r="AD50" s="85" t="str">
        <f>IF(A50="","",IF(OR(Q50&lt;=0,Q50&lt;p_CompraMin,N(H50)&lt;=0,N(W50)&lt;=0),0,IF($W$3="Sim",TRUNC(ROUND(MAX(0,(Q50-p_CorrFixa)/(H50*W50*$W$6)),9),$W$4),TRUNC(ROUND(MAX(0,(Q50-p_CorrFixa)/(H50*W50*$W$6)),9)/$W$5)*$W$5)))</f>
        <v/>
      </c>
      <c r="AE50" s="85" t="str">
        <f>IF(A50="","",IF(N(AD50)&gt;0,AD50*H50*W50*$W$6+p_CorrFixa,0))</f>
        <v/>
      </c>
      <c r="AF50" s="85" t="str">
        <f>IF(A50="","",IF(OR($Y$1&lt;=0,N(H50)&lt;=0,N(W50)&lt;=0,N(AB50)&lt;=0),0,IF($W$3="Sim",TRUNC(ROUND(MAX(0,($Y$1-IF(N(AD50)&gt;0,0,p_CorrFixa))/(H50*W50*$W$6)),9),$W$4),TRUNC(ROUND(MAX(0,($Y$1-IF(N(AD50)&gt;0,0,p_CorrFixa))/(H50*W50*$W$6)),9)/$W$5)*$W$5)))</f>
        <v/>
      </c>
      <c r="AG50" s="85" t="str">
        <f>IF(A50="","",IF(AND(N(AD50)=0,N(AF50)*(H50*W50*$W$6)+p_CorrFixa&lt;p_CompraMin),0,AF50))</f>
        <v/>
      </c>
      <c r="AH50" s="85" t="str">
        <f>IF(A50="","",IF(N(AG50)&gt;0,AB50,0))</f>
        <v/>
      </c>
      <c r="AI50" s="85" t="str">
        <f>IF(A50="","",IF(AND(AH50&gt;0,AH50=$AH$6,COUNTIF($AH$9:AH50,AH50)=1),1,0))</f>
        <v/>
      </c>
    </row>
    <row r="51">
      <c r="A51" s="96" t="n"/>
      <c r="B51" s="96" t="n"/>
      <c r="C51" s="96" t="n"/>
      <c r="D51" s="97" t="n"/>
      <c r="E51" s="98" t="n"/>
      <c r="F51" s="99" t="n"/>
      <c r="G51" s="100" t="n"/>
      <c r="H51" s="101" t="str">
        <f>IF(A51="","",IF(AND(p_ModoCot="Automático",ISNUMBER(Z51)),Z51,IF(N(G51)&gt;0,G51,0)))</f>
        <v/>
      </c>
      <c r="I51" s="73" t="str">
        <f>IF(A51="","",IF(W51=0,"Sem câmbio",IF(AND(p_ModoCot="Automático",ISNUMBER(Z51)),"Auto",IF(N(G51)&gt;0,"Manual","Sem cotação"))))</f>
        <v/>
      </c>
      <c r="J51" s="102" t="str">
        <f>IF(A51="","",N(E51)*H51)</f>
        <v/>
      </c>
      <c r="K51" s="70" t="str">
        <f>IF(A51="","",J51*W51)</f>
        <v/>
      </c>
      <c r="L51" s="30" t="str">
        <f>IF(A51="","",IF($K$6&gt;0,K51/$K$6,0))</f>
        <v/>
      </c>
      <c r="M51" s="72" t="str">
        <f>IF(A51="","",N(F51)-L51)</f>
        <v/>
      </c>
      <c r="N51" s="30" t="str">
        <f>IF(A51="","",IF($AB$6&gt;0,AB51/$AB$6,0))</f>
        <v/>
      </c>
      <c r="O51" s="74" t="str">
        <f>IF(A51="","",IF(AB51&lt;=0,"",COUNTIF($AB$9:$AB$108,"&gt;"&amp;AB51)+COUNTIF($AB$9:AB51,AB51)))</f>
        <v/>
      </c>
      <c r="P51" s="73" t="str">
        <f>IF(A51="","",IF(Q51&gt;0,"BUY","HOLD"))</f>
        <v/>
      </c>
      <c r="Q51" s="70" t="str">
        <f>IF(A51="","",IF($W$7&lt;=0,0,IF($AC$6&gt;0,$W$7*AC51/$AC$6,IF($F$6&gt;0,$W$7*N(F51)/$F$6,0))))</f>
        <v/>
      </c>
      <c r="R51" s="103" t="str">
        <f>IF(A51="","",N(AD51)+IF(AI51=1,N(AG51),0))</f>
        <v/>
      </c>
      <c r="S51" s="103" t="str">
        <f>IF(A51="","",N(E51)+N(R51))</f>
        <v/>
      </c>
      <c r="T51" s="70" t="str">
        <f>IF(A51="","",IF(N(R51)&gt;0,R51*H51*W51*$W$6+p_CorrFixa,0))</f>
        <v/>
      </c>
      <c r="V51" s="85" t="str">
        <f>IF(A51="","",IF(D51="",$W$1,D51))</f>
        <v/>
      </c>
      <c r="W51" s="85" t="str">
        <f>IF(A51="","",IFERROR(INDEX(moeda_fx,MATCH(V51,moeda_cod,0)),0))</f>
        <v/>
      </c>
      <c r="X51" s="85" t="str">
        <f>IF(A51="","",IF($W$2="",UPPER(TRIM(A51)),IF(RIGHT(UPPER(TRIM(A51)),LEN($W$2))=$W$2,UPPER(TRIM(A51)),UPPER(TRIM(A51))&amp;$W$2)))</f>
        <v/>
      </c>
      <c r="Y51" s="85" t="str">
        <f>IF(OR(A51="",p_ModoCot&lt;&gt;"Automático"),"",IFERROR(_xlfn.WEBSERVICE("https://query1.finance.yahoo.com/v8/finance/chart/"&amp;X51&amp;"?range=1d&amp;interval=1d"),""))</f>
        <v/>
      </c>
      <c r="Z51" s="85" t="str">
        <f>IF(Y51="","",IFERROR(_xlfn.NUMBERVALUE(MID(Y51,SEARCH("""regularMarketPrice"":",Y51)+21,SEARCH(",",Y51&amp;",",SEARCH("""regularMarketPrice"":",Y51)+21)-SEARCH("""regularMarketPrice"":",Y51)-21),".",","),""))</f>
        <v/>
      </c>
      <c r="AA51" s="85" t="str">
        <f>IF(A51="","",ROUND(MAX(0,N(F51)*($K$6+$W$7)-K51),2))</f>
        <v/>
      </c>
      <c r="AB51" s="85" t="str">
        <f>IF(A51="","",IF(AND(M51&gt;0,M51&gt;=p_DifMin),AA51,0))</f>
        <v/>
      </c>
      <c r="AC51" s="85" t="str">
        <f>IF(A51="","",IF(AND(AB51&gt;0,N(O51)&lt;=p_MaxAtivos),AB51,0))</f>
        <v/>
      </c>
      <c r="AD51" s="85" t="str">
        <f>IF(A51="","",IF(OR(Q51&lt;=0,Q51&lt;p_CompraMin,N(H51)&lt;=0,N(W51)&lt;=0),0,IF($W$3="Sim",TRUNC(ROUND(MAX(0,(Q51-p_CorrFixa)/(H51*W51*$W$6)),9),$W$4),TRUNC(ROUND(MAX(0,(Q51-p_CorrFixa)/(H51*W51*$W$6)),9)/$W$5)*$W$5)))</f>
        <v/>
      </c>
      <c r="AE51" s="85" t="str">
        <f>IF(A51="","",IF(N(AD51)&gt;0,AD51*H51*W51*$W$6+p_CorrFixa,0))</f>
        <v/>
      </c>
      <c r="AF51" s="85" t="str">
        <f>IF(A51="","",IF(OR($Y$1&lt;=0,N(H51)&lt;=0,N(W51)&lt;=0,N(AB51)&lt;=0),0,IF($W$3="Sim",TRUNC(ROUND(MAX(0,($Y$1-IF(N(AD51)&gt;0,0,p_CorrFixa))/(H51*W51*$W$6)),9),$W$4),TRUNC(ROUND(MAX(0,($Y$1-IF(N(AD51)&gt;0,0,p_CorrFixa))/(H51*W51*$W$6)),9)/$W$5)*$W$5)))</f>
        <v/>
      </c>
      <c r="AG51" s="85" t="str">
        <f>IF(A51="","",IF(AND(N(AD51)=0,N(AF51)*(H51*W51*$W$6)+p_CorrFixa&lt;p_CompraMin),0,AF51))</f>
        <v/>
      </c>
      <c r="AH51" s="85" t="str">
        <f>IF(A51="","",IF(N(AG51)&gt;0,AB51,0))</f>
        <v/>
      </c>
      <c r="AI51" s="85" t="str">
        <f>IF(A51="","",IF(AND(AH51&gt;0,AH51=$AH$6,COUNTIF($AH$9:AH51,AH51)=1),1,0))</f>
        <v/>
      </c>
    </row>
    <row r="52">
      <c r="A52" s="96" t="n"/>
      <c r="B52" s="96" t="n"/>
      <c r="C52" s="96" t="n"/>
      <c r="D52" s="97" t="n"/>
      <c r="E52" s="98" t="n"/>
      <c r="F52" s="99" t="n"/>
      <c r="G52" s="100" t="n"/>
      <c r="H52" s="104" t="str">
        <f>IF(A52="","",IF(AND(p_ModoCot="Automático",ISNUMBER(Z52)),Z52,IF(N(G52)&gt;0,G52,0)))</f>
        <v/>
      </c>
      <c r="I52" s="105" t="str">
        <f>IF(A52="","",IF(W52=0,"Sem câmbio",IF(AND(p_ModoCot="Automático",ISNUMBER(Z52)),"Auto",IF(N(G52)&gt;0,"Manual","Sem cotação"))))</f>
        <v/>
      </c>
      <c r="J52" s="106" t="str">
        <f>IF(A52="","",N(E52)*H52)</f>
        <v/>
      </c>
      <c r="K52" s="107" t="str">
        <f>IF(A52="","",J52*W52)</f>
        <v/>
      </c>
      <c r="L52" s="108" t="str">
        <f>IF(A52="","",IF($K$6&gt;0,K52/$K$6,0))</f>
        <v/>
      </c>
      <c r="M52" s="109" t="str">
        <f>IF(A52="","",N(F52)-L52)</f>
        <v/>
      </c>
      <c r="N52" s="108" t="str">
        <f>IF(A52="","",IF($AB$6&gt;0,AB52/$AB$6,0))</f>
        <v/>
      </c>
      <c r="O52" s="110" t="str">
        <f>IF(A52="","",IF(AB52&lt;=0,"",COUNTIF($AB$9:$AB$108,"&gt;"&amp;AB52)+COUNTIF($AB$9:AB52,AB52)))</f>
        <v/>
      </c>
      <c r="P52" s="105" t="str">
        <f>IF(A52="","",IF(Q52&gt;0,"BUY","HOLD"))</f>
        <v/>
      </c>
      <c r="Q52" s="107" t="str">
        <f>IF(A52="","",IF($W$7&lt;=0,0,IF($AC$6&gt;0,$W$7*AC52/$AC$6,IF($F$6&gt;0,$W$7*N(F52)/$F$6,0))))</f>
        <v/>
      </c>
      <c r="R52" s="111" t="str">
        <f>IF(A52="","",N(AD52)+IF(AI52=1,N(AG52),0))</f>
        <v/>
      </c>
      <c r="S52" s="111" t="str">
        <f>IF(A52="","",N(E52)+N(R52))</f>
        <v/>
      </c>
      <c r="T52" s="107" t="str">
        <f>IF(A52="","",IF(N(R52)&gt;0,R52*H52*W52*$W$6+p_CorrFixa,0))</f>
        <v/>
      </c>
      <c r="V52" s="85" t="str">
        <f>IF(A52="","",IF(D52="",$W$1,D52))</f>
        <v/>
      </c>
      <c r="W52" s="85" t="str">
        <f>IF(A52="","",IFERROR(INDEX(moeda_fx,MATCH(V52,moeda_cod,0)),0))</f>
        <v/>
      </c>
      <c r="X52" s="85" t="str">
        <f>IF(A52="","",IF($W$2="",UPPER(TRIM(A52)),IF(RIGHT(UPPER(TRIM(A52)),LEN($W$2))=$W$2,UPPER(TRIM(A52)),UPPER(TRIM(A52))&amp;$W$2)))</f>
        <v/>
      </c>
      <c r="Y52" s="85" t="str">
        <f>IF(OR(A52="",p_ModoCot&lt;&gt;"Automático"),"",IFERROR(_xlfn.WEBSERVICE("https://query1.finance.yahoo.com/v8/finance/chart/"&amp;X52&amp;"?range=1d&amp;interval=1d"),""))</f>
        <v/>
      </c>
      <c r="Z52" s="85" t="str">
        <f>IF(Y52="","",IFERROR(_xlfn.NUMBERVALUE(MID(Y52,SEARCH("""regularMarketPrice"":",Y52)+21,SEARCH(",",Y52&amp;",",SEARCH("""regularMarketPrice"":",Y52)+21)-SEARCH("""regularMarketPrice"":",Y52)-21),".",","),""))</f>
        <v/>
      </c>
      <c r="AA52" s="85" t="str">
        <f>IF(A52="","",ROUND(MAX(0,N(F52)*($K$6+$W$7)-K52),2))</f>
        <v/>
      </c>
      <c r="AB52" s="85" t="str">
        <f>IF(A52="","",IF(AND(M52&gt;0,M52&gt;=p_DifMin),AA52,0))</f>
        <v/>
      </c>
      <c r="AC52" s="85" t="str">
        <f>IF(A52="","",IF(AND(AB52&gt;0,N(O52)&lt;=p_MaxAtivos),AB52,0))</f>
        <v/>
      </c>
      <c r="AD52" s="85" t="str">
        <f>IF(A52="","",IF(OR(Q52&lt;=0,Q52&lt;p_CompraMin,N(H52)&lt;=0,N(W52)&lt;=0),0,IF($W$3="Sim",TRUNC(ROUND(MAX(0,(Q52-p_CorrFixa)/(H52*W52*$W$6)),9),$W$4),TRUNC(ROUND(MAX(0,(Q52-p_CorrFixa)/(H52*W52*$W$6)),9)/$W$5)*$W$5)))</f>
        <v/>
      </c>
      <c r="AE52" s="85" t="str">
        <f>IF(A52="","",IF(N(AD52)&gt;0,AD52*H52*W52*$W$6+p_CorrFixa,0))</f>
        <v/>
      </c>
      <c r="AF52" s="85" t="str">
        <f>IF(A52="","",IF(OR($Y$1&lt;=0,N(H52)&lt;=0,N(W52)&lt;=0,N(AB52)&lt;=0),0,IF($W$3="Sim",TRUNC(ROUND(MAX(0,($Y$1-IF(N(AD52)&gt;0,0,p_CorrFixa))/(H52*W52*$W$6)),9),$W$4),TRUNC(ROUND(MAX(0,($Y$1-IF(N(AD52)&gt;0,0,p_CorrFixa))/(H52*W52*$W$6)),9)/$W$5)*$W$5)))</f>
        <v/>
      </c>
      <c r="AG52" s="85" t="str">
        <f>IF(A52="","",IF(AND(N(AD52)=0,N(AF52)*(H52*W52*$W$6)+p_CorrFixa&lt;p_CompraMin),0,AF52))</f>
        <v/>
      </c>
      <c r="AH52" s="85" t="str">
        <f>IF(A52="","",IF(N(AG52)&gt;0,AB52,0))</f>
        <v/>
      </c>
      <c r="AI52" s="85" t="str">
        <f>IF(A52="","",IF(AND(AH52&gt;0,AH52=$AH$6,COUNTIF($AH$9:AH52,AH52)=1),1,0))</f>
        <v/>
      </c>
    </row>
    <row r="53">
      <c r="A53" s="96" t="n"/>
      <c r="B53" s="96" t="n"/>
      <c r="C53" s="96" t="n"/>
      <c r="D53" s="97" t="n"/>
      <c r="E53" s="98" t="n"/>
      <c r="F53" s="99" t="n"/>
      <c r="G53" s="100" t="n"/>
      <c r="H53" s="101" t="str">
        <f>IF(A53="","",IF(AND(p_ModoCot="Automático",ISNUMBER(Z53)),Z53,IF(N(G53)&gt;0,G53,0)))</f>
        <v/>
      </c>
      <c r="I53" s="73" t="str">
        <f>IF(A53="","",IF(W53=0,"Sem câmbio",IF(AND(p_ModoCot="Automático",ISNUMBER(Z53)),"Auto",IF(N(G53)&gt;0,"Manual","Sem cotação"))))</f>
        <v/>
      </c>
      <c r="J53" s="102" t="str">
        <f>IF(A53="","",N(E53)*H53)</f>
        <v/>
      </c>
      <c r="K53" s="70" t="str">
        <f>IF(A53="","",J53*W53)</f>
        <v/>
      </c>
      <c r="L53" s="30" t="str">
        <f>IF(A53="","",IF($K$6&gt;0,K53/$K$6,0))</f>
        <v/>
      </c>
      <c r="M53" s="72" t="str">
        <f>IF(A53="","",N(F53)-L53)</f>
        <v/>
      </c>
      <c r="N53" s="30" t="str">
        <f>IF(A53="","",IF($AB$6&gt;0,AB53/$AB$6,0))</f>
        <v/>
      </c>
      <c r="O53" s="74" t="str">
        <f>IF(A53="","",IF(AB53&lt;=0,"",COUNTIF($AB$9:$AB$108,"&gt;"&amp;AB53)+COUNTIF($AB$9:AB53,AB53)))</f>
        <v/>
      </c>
      <c r="P53" s="73" t="str">
        <f>IF(A53="","",IF(Q53&gt;0,"BUY","HOLD"))</f>
        <v/>
      </c>
      <c r="Q53" s="70" t="str">
        <f>IF(A53="","",IF($W$7&lt;=0,0,IF($AC$6&gt;0,$W$7*AC53/$AC$6,IF($F$6&gt;0,$W$7*N(F53)/$F$6,0))))</f>
        <v/>
      </c>
      <c r="R53" s="103" t="str">
        <f>IF(A53="","",N(AD53)+IF(AI53=1,N(AG53),0))</f>
        <v/>
      </c>
      <c r="S53" s="103" t="str">
        <f>IF(A53="","",N(E53)+N(R53))</f>
        <v/>
      </c>
      <c r="T53" s="70" t="str">
        <f>IF(A53="","",IF(N(R53)&gt;0,R53*H53*W53*$W$6+p_CorrFixa,0))</f>
        <v/>
      </c>
      <c r="V53" s="85" t="str">
        <f>IF(A53="","",IF(D53="",$W$1,D53))</f>
        <v/>
      </c>
      <c r="W53" s="85" t="str">
        <f>IF(A53="","",IFERROR(INDEX(moeda_fx,MATCH(V53,moeda_cod,0)),0))</f>
        <v/>
      </c>
      <c r="X53" s="85" t="str">
        <f>IF(A53="","",IF($W$2="",UPPER(TRIM(A53)),IF(RIGHT(UPPER(TRIM(A53)),LEN($W$2))=$W$2,UPPER(TRIM(A53)),UPPER(TRIM(A53))&amp;$W$2)))</f>
        <v/>
      </c>
      <c r="Y53" s="85" t="str">
        <f>IF(OR(A53="",p_ModoCot&lt;&gt;"Automático"),"",IFERROR(_xlfn.WEBSERVICE("https://query1.finance.yahoo.com/v8/finance/chart/"&amp;X53&amp;"?range=1d&amp;interval=1d"),""))</f>
        <v/>
      </c>
      <c r="Z53" s="85" t="str">
        <f>IF(Y53="","",IFERROR(_xlfn.NUMBERVALUE(MID(Y53,SEARCH("""regularMarketPrice"":",Y53)+21,SEARCH(",",Y53&amp;",",SEARCH("""regularMarketPrice"":",Y53)+21)-SEARCH("""regularMarketPrice"":",Y53)-21),".",","),""))</f>
        <v/>
      </c>
      <c r="AA53" s="85" t="str">
        <f>IF(A53="","",ROUND(MAX(0,N(F53)*($K$6+$W$7)-K53),2))</f>
        <v/>
      </c>
      <c r="AB53" s="85" t="str">
        <f>IF(A53="","",IF(AND(M53&gt;0,M53&gt;=p_DifMin),AA53,0))</f>
        <v/>
      </c>
      <c r="AC53" s="85" t="str">
        <f>IF(A53="","",IF(AND(AB53&gt;0,N(O53)&lt;=p_MaxAtivos),AB53,0))</f>
        <v/>
      </c>
      <c r="AD53" s="85" t="str">
        <f>IF(A53="","",IF(OR(Q53&lt;=0,Q53&lt;p_CompraMin,N(H53)&lt;=0,N(W53)&lt;=0),0,IF($W$3="Sim",TRUNC(ROUND(MAX(0,(Q53-p_CorrFixa)/(H53*W53*$W$6)),9),$W$4),TRUNC(ROUND(MAX(0,(Q53-p_CorrFixa)/(H53*W53*$W$6)),9)/$W$5)*$W$5)))</f>
        <v/>
      </c>
      <c r="AE53" s="85" t="str">
        <f>IF(A53="","",IF(N(AD53)&gt;0,AD53*H53*W53*$W$6+p_CorrFixa,0))</f>
        <v/>
      </c>
      <c r="AF53" s="85" t="str">
        <f>IF(A53="","",IF(OR($Y$1&lt;=0,N(H53)&lt;=0,N(W53)&lt;=0,N(AB53)&lt;=0),0,IF($W$3="Sim",TRUNC(ROUND(MAX(0,($Y$1-IF(N(AD53)&gt;0,0,p_CorrFixa))/(H53*W53*$W$6)),9),$W$4),TRUNC(ROUND(MAX(0,($Y$1-IF(N(AD53)&gt;0,0,p_CorrFixa))/(H53*W53*$W$6)),9)/$W$5)*$W$5)))</f>
        <v/>
      </c>
      <c r="AG53" s="85" t="str">
        <f>IF(A53="","",IF(AND(N(AD53)=0,N(AF53)*(H53*W53*$W$6)+p_CorrFixa&lt;p_CompraMin),0,AF53))</f>
        <v/>
      </c>
      <c r="AH53" s="85" t="str">
        <f>IF(A53="","",IF(N(AG53)&gt;0,AB53,0))</f>
        <v/>
      </c>
      <c r="AI53" s="85" t="str">
        <f>IF(A53="","",IF(AND(AH53&gt;0,AH53=$AH$6,COUNTIF($AH$9:AH53,AH53)=1),1,0))</f>
        <v/>
      </c>
    </row>
    <row r="54">
      <c r="A54" s="96" t="n"/>
      <c r="B54" s="96" t="n"/>
      <c r="C54" s="96" t="n"/>
      <c r="D54" s="97" t="n"/>
      <c r="E54" s="98" t="n"/>
      <c r="F54" s="99" t="n"/>
      <c r="G54" s="100" t="n"/>
      <c r="H54" s="104" t="str">
        <f>IF(A54="","",IF(AND(p_ModoCot="Automático",ISNUMBER(Z54)),Z54,IF(N(G54)&gt;0,G54,0)))</f>
        <v/>
      </c>
      <c r="I54" s="105" t="str">
        <f>IF(A54="","",IF(W54=0,"Sem câmbio",IF(AND(p_ModoCot="Automático",ISNUMBER(Z54)),"Auto",IF(N(G54)&gt;0,"Manual","Sem cotação"))))</f>
        <v/>
      </c>
      <c r="J54" s="106" t="str">
        <f>IF(A54="","",N(E54)*H54)</f>
        <v/>
      </c>
      <c r="K54" s="107" t="str">
        <f>IF(A54="","",J54*W54)</f>
        <v/>
      </c>
      <c r="L54" s="108" t="str">
        <f>IF(A54="","",IF($K$6&gt;0,K54/$K$6,0))</f>
        <v/>
      </c>
      <c r="M54" s="109" t="str">
        <f>IF(A54="","",N(F54)-L54)</f>
        <v/>
      </c>
      <c r="N54" s="108" t="str">
        <f>IF(A54="","",IF($AB$6&gt;0,AB54/$AB$6,0))</f>
        <v/>
      </c>
      <c r="O54" s="110" t="str">
        <f>IF(A54="","",IF(AB54&lt;=0,"",COUNTIF($AB$9:$AB$108,"&gt;"&amp;AB54)+COUNTIF($AB$9:AB54,AB54)))</f>
        <v/>
      </c>
      <c r="P54" s="105" t="str">
        <f>IF(A54="","",IF(Q54&gt;0,"BUY","HOLD"))</f>
        <v/>
      </c>
      <c r="Q54" s="107" t="str">
        <f>IF(A54="","",IF($W$7&lt;=0,0,IF($AC$6&gt;0,$W$7*AC54/$AC$6,IF($F$6&gt;0,$W$7*N(F54)/$F$6,0))))</f>
        <v/>
      </c>
      <c r="R54" s="111" t="str">
        <f>IF(A54="","",N(AD54)+IF(AI54=1,N(AG54),0))</f>
        <v/>
      </c>
      <c r="S54" s="111" t="str">
        <f>IF(A54="","",N(E54)+N(R54))</f>
        <v/>
      </c>
      <c r="T54" s="107" t="str">
        <f>IF(A54="","",IF(N(R54)&gt;0,R54*H54*W54*$W$6+p_CorrFixa,0))</f>
        <v/>
      </c>
      <c r="V54" s="85" t="str">
        <f>IF(A54="","",IF(D54="",$W$1,D54))</f>
        <v/>
      </c>
      <c r="W54" s="85" t="str">
        <f>IF(A54="","",IFERROR(INDEX(moeda_fx,MATCH(V54,moeda_cod,0)),0))</f>
        <v/>
      </c>
      <c r="X54" s="85" t="str">
        <f>IF(A54="","",IF($W$2="",UPPER(TRIM(A54)),IF(RIGHT(UPPER(TRIM(A54)),LEN($W$2))=$W$2,UPPER(TRIM(A54)),UPPER(TRIM(A54))&amp;$W$2)))</f>
        <v/>
      </c>
      <c r="Y54" s="85" t="str">
        <f>IF(OR(A54="",p_ModoCot&lt;&gt;"Automático"),"",IFERROR(_xlfn.WEBSERVICE("https://query1.finance.yahoo.com/v8/finance/chart/"&amp;X54&amp;"?range=1d&amp;interval=1d"),""))</f>
        <v/>
      </c>
      <c r="Z54" s="85" t="str">
        <f>IF(Y54="","",IFERROR(_xlfn.NUMBERVALUE(MID(Y54,SEARCH("""regularMarketPrice"":",Y54)+21,SEARCH(",",Y54&amp;",",SEARCH("""regularMarketPrice"":",Y54)+21)-SEARCH("""regularMarketPrice"":",Y54)-21),".",","),""))</f>
        <v/>
      </c>
      <c r="AA54" s="85" t="str">
        <f>IF(A54="","",ROUND(MAX(0,N(F54)*($K$6+$W$7)-K54),2))</f>
        <v/>
      </c>
      <c r="AB54" s="85" t="str">
        <f>IF(A54="","",IF(AND(M54&gt;0,M54&gt;=p_DifMin),AA54,0))</f>
        <v/>
      </c>
      <c r="AC54" s="85" t="str">
        <f>IF(A54="","",IF(AND(AB54&gt;0,N(O54)&lt;=p_MaxAtivos),AB54,0))</f>
        <v/>
      </c>
      <c r="AD54" s="85" t="str">
        <f>IF(A54="","",IF(OR(Q54&lt;=0,Q54&lt;p_CompraMin,N(H54)&lt;=0,N(W54)&lt;=0),0,IF($W$3="Sim",TRUNC(ROUND(MAX(0,(Q54-p_CorrFixa)/(H54*W54*$W$6)),9),$W$4),TRUNC(ROUND(MAX(0,(Q54-p_CorrFixa)/(H54*W54*$W$6)),9)/$W$5)*$W$5)))</f>
        <v/>
      </c>
      <c r="AE54" s="85" t="str">
        <f>IF(A54="","",IF(N(AD54)&gt;0,AD54*H54*W54*$W$6+p_CorrFixa,0))</f>
        <v/>
      </c>
      <c r="AF54" s="85" t="str">
        <f>IF(A54="","",IF(OR($Y$1&lt;=0,N(H54)&lt;=0,N(W54)&lt;=0,N(AB54)&lt;=0),0,IF($W$3="Sim",TRUNC(ROUND(MAX(0,($Y$1-IF(N(AD54)&gt;0,0,p_CorrFixa))/(H54*W54*$W$6)),9),$W$4),TRUNC(ROUND(MAX(0,($Y$1-IF(N(AD54)&gt;0,0,p_CorrFixa))/(H54*W54*$W$6)),9)/$W$5)*$W$5)))</f>
        <v/>
      </c>
      <c r="AG54" s="85" t="str">
        <f>IF(A54="","",IF(AND(N(AD54)=0,N(AF54)*(H54*W54*$W$6)+p_CorrFixa&lt;p_CompraMin),0,AF54))</f>
        <v/>
      </c>
      <c r="AH54" s="85" t="str">
        <f>IF(A54="","",IF(N(AG54)&gt;0,AB54,0))</f>
        <v/>
      </c>
      <c r="AI54" s="85" t="str">
        <f>IF(A54="","",IF(AND(AH54&gt;0,AH54=$AH$6,COUNTIF($AH$9:AH54,AH54)=1),1,0))</f>
        <v/>
      </c>
    </row>
    <row r="55">
      <c r="A55" s="96" t="n"/>
      <c r="B55" s="96" t="n"/>
      <c r="C55" s="96" t="n"/>
      <c r="D55" s="97" t="n"/>
      <c r="E55" s="98" t="n"/>
      <c r="F55" s="99" t="n"/>
      <c r="G55" s="100" t="n"/>
      <c r="H55" s="101" t="str">
        <f>IF(A55="","",IF(AND(p_ModoCot="Automático",ISNUMBER(Z55)),Z55,IF(N(G55)&gt;0,G55,0)))</f>
        <v/>
      </c>
      <c r="I55" s="73" t="str">
        <f>IF(A55="","",IF(W55=0,"Sem câmbio",IF(AND(p_ModoCot="Automático",ISNUMBER(Z55)),"Auto",IF(N(G55)&gt;0,"Manual","Sem cotação"))))</f>
        <v/>
      </c>
      <c r="J55" s="102" t="str">
        <f>IF(A55="","",N(E55)*H55)</f>
        <v/>
      </c>
      <c r="K55" s="70" t="str">
        <f>IF(A55="","",J55*W55)</f>
        <v/>
      </c>
      <c r="L55" s="30" t="str">
        <f>IF(A55="","",IF($K$6&gt;0,K55/$K$6,0))</f>
        <v/>
      </c>
      <c r="M55" s="72" t="str">
        <f>IF(A55="","",N(F55)-L55)</f>
        <v/>
      </c>
      <c r="N55" s="30" t="str">
        <f>IF(A55="","",IF($AB$6&gt;0,AB55/$AB$6,0))</f>
        <v/>
      </c>
      <c r="O55" s="74" t="str">
        <f>IF(A55="","",IF(AB55&lt;=0,"",COUNTIF($AB$9:$AB$108,"&gt;"&amp;AB55)+COUNTIF($AB$9:AB55,AB55)))</f>
        <v/>
      </c>
      <c r="P55" s="73" t="str">
        <f>IF(A55="","",IF(Q55&gt;0,"BUY","HOLD"))</f>
        <v/>
      </c>
      <c r="Q55" s="70" t="str">
        <f>IF(A55="","",IF($W$7&lt;=0,0,IF($AC$6&gt;0,$W$7*AC55/$AC$6,IF($F$6&gt;0,$W$7*N(F55)/$F$6,0))))</f>
        <v/>
      </c>
      <c r="R55" s="103" t="str">
        <f>IF(A55="","",N(AD55)+IF(AI55=1,N(AG55),0))</f>
        <v/>
      </c>
      <c r="S55" s="103" t="str">
        <f>IF(A55="","",N(E55)+N(R55))</f>
        <v/>
      </c>
      <c r="T55" s="70" t="str">
        <f>IF(A55="","",IF(N(R55)&gt;0,R55*H55*W55*$W$6+p_CorrFixa,0))</f>
        <v/>
      </c>
      <c r="V55" s="85" t="str">
        <f>IF(A55="","",IF(D55="",$W$1,D55))</f>
        <v/>
      </c>
      <c r="W55" s="85" t="str">
        <f>IF(A55="","",IFERROR(INDEX(moeda_fx,MATCH(V55,moeda_cod,0)),0))</f>
        <v/>
      </c>
      <c r="X55" s="85" t="str">
        <f>IF(A55="","",IF($W$2="",UPPER(TRIM(A55)),IF(RIGHT(UPPER(TRIM(A55)),LEN($W$2))=$W$2,UPPER(TRIM(A55)),UPPER(TRIM(A55))&amp;$W$2)))</f>
        <v/>
      </c>
      <c r="Y55" s="85" t="str">
        <f>IF(OR(A55="",p_ModoCot&lt;&gt;"Automático"),"",IFERROR(_xlfn.WEBSERVICE("https://query1.finance.yahoo.com/v8/finance/chart/"&amp;X55&amp;"?range=1d&amp;interval=1d"),""))</f>
        <v/>
      </c>
      <c r="Z55" s="85" t="str">
        <f>IF(Y55="","",IFERROR(_xlfn.NUMBERVALUE(MID(Y55,SEARCH("""regularMarketPrice"":",Y55)+21,SEARCH(",",Y55&amp;",",SEARCH("""regularMarketPrice"":",Y55)+21)-SEARCH("""regularMarketPrice"":",Y55)-21),".",","),""))</f>
        <v/>
      </c>
      <c r="AA55" s="85" t="str">
        <f>IF(A55="","",ROUND(MAX(0,N(F55)*($K$6+$W$7)-K55),2))</f>
        <v/>
      </c>
      <c r="AB55" s="85" t="str">
        <f>IF(A55="","",IF(AND(M55&gt;0,M55&gt;=p_DifMin),AA55,0))</f>
        <v/>
      </c>
      <c r="AC55" s="85" t="str">
        <f>IF(A55="","",IF(AND(AB55&gt;0,N(O55)&lt;=p_MaxAtivos),AB55,0))</f>
        <v/>
      </c>
      <c r="AD55" s="85" t="str">
        <f>IF(A55="","",IF(OR(Q55&lt;=0,Q55&lt;p_CompraMin,N(H55)&lt;=0,N(W55)&lt;=0),0,IF($W$3="Sim",TRUNC(ROUND(MAX(0,(Q55-p_CorrFixa)/(H55*W55*$W$6)),9),$W$4),TRUNC(ROUND(MAX(0,(Q55-p_CorrFixa)/(H55*W55*$W$6)),9)/$W$5)*$W$5)))</f>
        <v/>
      </c>
      <c r="AE55" s="85" t="str">
        <f>IF(A55="","",IF(N(AD55)&gt;0,AD55*H55*W55*$W$6+p_CorrFixa,0))</f>
        <v/>
      </c>
      <c r="AF55" s="85" t="str">
        <f>IF(A55="","",IF(OR($Y$1&lt;=0,N(H55)&lt;=0,N(W55)&lt;=0,N(AB55)&lt;=0),0,IF($W$3="Sim",TRUNC(ROUND(MAX(0,($Y$1-IF(N(AD55)&gt;0,0,p_CorrFixa))/(H55*W55*$W$6)),9),$W$4),TRUNC(ROUND(MAX(0,($Y$1-IF(N(AD55)&gt;0,0,p_CorrFixa))/(H55*W55*$W$6)),9)/$W$5)*$W$5)))</f>
        <v/>
      </c>
      <c r="AG55" s="85" t="str">
        <f>IF(A55="","",IF(AND(N(AD55)=0,N(AF55)*(H55*W55*$W$6)+p_CorrFixa&lt;p_CompraMin),0,AF55))</f>
        <v/>
      </c>
      <c r="AH55" s="85" t="str">
        <f>IF(A55="","",IF(N(AG55)&gt;0,AB55,0))</f>
        <v/>
      </c>
      <c r="AI55" s="85" t="str">
        <f>IF(A55="","",IF(AND(AH55&gt;0,AH55=$AH$6,COUNTIF($AH$9:AH55,AH55)=1),1,0))</f>
        <v/>
      </c>
    </row>
    <row r="56">
      <c r="A56" s="96" t="n"/>
      <c r="B56" s="96" t="n"/>
      <c r="C56" s="96" t="n"/>
      <c r="D56" s="97" t="n"/>
      <c r="E56" s="98" t="n"/>
      <c r="F56" s="99" t="n"/>
      <c r="G56" s="100" t="n"/>
      <c r="H56" s="104" t="str">
        <f>IF(A56="","",IF(AND(p_ModoCot="Automático",ISNUMBER(Z56)),Z56,IF(N(G56)&gt;0,G56,0)))</f>
        <v/>
      </c>
      <c r="I56" s="105" t="str">
        <f>IF(A56="","",IF(W56=0,"Sem câmbio",IF(AND(p_ModoCot="Automático",ISNUMBER(Z56)),"Auto",IF(N(G56)&gt;0,"Manual","Sem cotação"))))</f>
        <v/>
      </c>
      <c r="J56" s="106" t="str">
        <f>IF(A56="","",N(E56)*H56)</f>
        <v/>
      </c>
      <c r="K56" s="107" t="str">
        <f>IF(A56="","",J56*W56)</f>
        <v/>
      </c>
      <c r="L56" s="108" t="str">
        <f>IF(A56="","",IF($K$6&gt;0,K56/$K$6,0))</f>
        <v/>
      </c>
      <c r="M56" s="109" t="str">
        <f>IF(A56="","",N(F56)-L56)</f>
        <v/>
      </c>
      <c r="N56" s="108" t="str">
        <f>IF(A56="","",IF($AB$6&gt;0,AB56/$AB$6,0))</f>
        <v/>
      </c>
      <c r="O56" s="110" t="str">
        <f>IF(A56="","",IF(AB56&lt;=0,"",COUNTIF($AB$9:$AB$108,"&gt;"&amp;AB56)+COUNTIF($AB$9:AB56,AB56)))</f>
        <v/>
      </c>
      <c r="P56" s="105" t="str">
        <f>IF(A56="","",IF(Q56&gt;0,"BUY","HOLD"))</f>
        <v/>
      </c>
      <c r="Q56" s="107" t="str">
        <f>IF(A56="","",IF($W$7&lt;=0,0,IF($AC$6&gt;0,$W$7*AC56/$AC$6,IF($F$6&gt;0,$W$7*N(F56)/$F$6,0))))</f>
        <v/>
      </c>
      <c r="R56" s="111" t="str">
        <f>IF(A56="","",N(AD56)+IF(AI56=1,N(AG56),0))</f>
        <v/>
      </c>
      <c r="S56" s="111" t="str">
        <f>IF(A56="","",N(E56)+N(R56))</f>
        <v/>
      </c>
      <c r="T56" s="107" t="str">
        <f>IF(A56="","",IF(N(R56)&gt;0,R56*H56*W56*$W$6+p_CorrFixa,0))</f>
        <v/>
      </c>
      <c r="V56" s="85" t="str">
        <f>IF(A56="","",IF(D56="",$W$1,D56))</f>
        <v/>
      </c>
      <c r="W56" s="85" t="str">
        <f>IF(A56="","",IFERROR(INDEX(moeda_fx,MATCH(V56,moeda_cod,0)),0))</f>
        <v/>
      </c>
      <c r="X56" s="85" t="str">
        <f>IF(A56="","",IF($W$2="",UPPER(TRIM(A56)),IF(RIGHT(UPPER(TRIM(A56)),LEN($W$2))=$W$2,UPPER(TRIM(A56)),UPPER(TRIM(A56))&amp;$W$2)))</f>
        <v/>
      </c>
      <c r="Y56" s="85" t="str">
        <f>IF(OR(A56="",p_ModoCot&lt;&gt;"Automático"),"",IFERROR(_xlfn.WEBSERVICE("https://query1.finance.yahoo.com/v8/finance/chart/"&amp;X56&amp;"?range=1d&amp;interval=1d"),""))</f>
        <v/>
      </c>
      <c r="Z56" s="85" t="str">
        <f>IF(Y56="","",IFERROR(_xlfn.NUMBERVALUE(MID(Y56,SEARCH("""regularMarketPrice"":",Y56)+21,SEARCH(",",Y56&amp;",",SEARCH("""regularMarketPrice"":",Y56)+21)-SEARCH("""regularMarketPrice"":",Y56)-21),".",","),""))</f>
        <v/>
      </c>
      <c r="AA56" s="85" t="str">
        <f>IF(A56="","",ROUND(MAX(0,N(F56)*($K$6+$W$7)-K56),2))</f>
        <v/>
      </c>
      <c r="AB56" s="85" t="str">
        <f>IF(A56="","",IF(AND(M56&gt;0,M56&gt;=p_DifMin),AA56,0))</f>
        <v/>
      </c>
      <c r="AC56" s="85" t="str">
        <f>IF(A56="","",IF(AND(AB56&gt;0,N(O56)&lt;=p_MaxAtivos),AB56,0))</f>
        <v/>
      </c>
      <c r="AD56" s="85" t="str">
        <f>IF(A56="","",IF(OR(Q56&lt;=0,Q56&lt;p_CompraMin,N(H56)&lt;=0,N(W56)&lt;=0),0,IF($W$3="Sim",TRUNC(ROUND(MAX(0,(Q56-p_CorrFixa)/(H56*W56*$W$6)),9),$W$4),TRUNC(ROUND(MAX(0,(Q56-p_CorrFixa)/(H56*W56*$W$6)),9)/$W$5)*$W$5)))</f>
        <v/>
      </c>
      <c r="AE56" s="85" t="str">
        <f>IF(A56="","",IF(N(AD56)&gt;0,AD56*H56*W56*$W$6+p_CorrFixa,0))</f>
        <v/>
      </c>
      <c r="AF56" s="85" t="str">
        <f>IF(A56="","",IF(OR($Y$1&lt;=0,N(H56)&lt;=0,N(W56)&lt;=0,N(AB56)&lt;=0),0,IF($W$3="Sim",TRUNC(ROUND(MAX(0,($Y$1-IF(N(AD56)&gt;0,0,p_CorrFixa))/(H56*W56*$W$6)),9),$W$4),TRUNC(ROUND(MAX(0,($Y$1-IF(N(AD56)&gt;0,0,p_CorrFixa))/(H56*W56*$W$6)),9)/$W$5)*$W$5)))</f>
        <v/>
      </c>
      <c r="AG56" s="85" t="str">
        <f>IF(A56="","",IF(AND(N(AD56)=0,N(AF56)*(H56*W56*$W$6)+p_CorrFixa&lt;p_CompraMin),0,AF56))</f>
        <v/>
      </c>
      <c r="AH56" s="85" t="str">
        <f>IF(A56="","",IF(N(AG56)&gt;0,AB56,0))</f>
        <v/>
      </c>
      <c r="AI56" s="85" t="str">
        <f>IF(A56="","",IF(AND(AH56&gt;0,AH56=$AH$6,COUNTIF($AH$9:AH56,AH56)=1),1,0))</f>
        <v/>
      </c>
    </row>
    <row r="57">
      <c r="A57" s="96" t="n"/>
      <c r="B57" s="96" t="n"/>
      <c r="C57" s="96" t="n"/>
      <c r="D57" s="97" t="n"/>
      <c r="E57" s="98" t="n"/>
      <c r="F57" s="99" t="n"/>
      <c r="G57" s="100" t="n"/>
      <c r="H57" s="101" t="str">
        <f>IF(A57="","",IF(AND(p_ModoCot="Automático",ISNUMBER(Z57)),Z57,IF(N(G57)&gt;0,G57,0)))</f>
        <v/>
      </c>
      <c r="I57" s="73" t="str">
        <f>IF(A57="","",IF(W57=0,"Sem câmbio",IF(AND(p_ModoCot="Automático",ISNUMBER(Z57)),"Auto",IF(N(G57)&gt;0,"Manual","Sem cotação"))))</f>
        <v/>
      </c>
      <c r="J57" s="102" t="str">
        <f>IF(A57="","",N(E57)*H57)</f>
        <v/>
      </c>
      <c r="K57" s="70" t="str">
        <f>IF(A57="","",J57*W57)</f>
        <v/>
      </c>
      <c r="L57" s="30" t="str">
        <f>IF(A57="","",IF($K$6&gt;0,K57/$K$6,0))</f>
        <v/>
      </c>
      <c r="M57" s="72" t="str">
        <f>IF(A57="","",N(F57)-L57)</f>
        <v/>
      </c>
      <c r="N57" s="30" t="str">
        <f>IF(A57="","",IF($AB$6&gt;0,AB57/$AB$6,0))</f>
        <v/>
      </c>
      <c r="O57" s="74" t="str">
        <f>IF(A57="","",IF(AB57&lt;=0,"",COUNTIF($AB$9:$AB$108,"&gt;"&amp;AB57)+COUNTIF($AB$9:AB57,AB57)))</f>
        <v/>
      </c>
      <c r="P57" s="73" t="str">
        <f>IF(A57="","",IF(Q57&gt;0,"BUY","HOLD"))</f>
        <v/>
      </c>
      <c r="Q57" s="70" t="str">
        <f>IF(A57="","",IF($W$7&lt;=0,0,IF($AC$6&gt;0,$W$7*AC57/$AC$6,IF($F$6&gt;0,$W$7*N(F57)/$F$6,0))))</f>
        <v/>
      </c>
      <c r="R57" s="103" t="str">
        <f>IF(A57="","",N(AD57)+IF(AI57=1,N(AG57),0))</f>
        <v/>
      </c>
      <c r="S57" s="103" t="str">
        <f>IF(A57="","",N(E57)+N(R57))</f>
        <v/>
      </c>
      <c r="T57" s="70" t="str">
        <f>IF(A57="","",IF(N(R57)&gt;0,R57*H57*W57*$W$6+p_CorrFixa,0))</f>
        <v/>
      </c>
      <c r="V57" s="85" t="str">
        <f>IF(A57="","",IF(D57="",$W$1,D57))</f>
        <v/>
      </c>
      <c r="W57" s="85" t="str">
        <f>IF(A57="","",IFERROR(INDEX(moeda_fx,MATCH(V57,moeda_cod,0)),0))</f>
        <v/>
      </c>
      <c r="X57" s="85" t="str">
        <f>IF(A57="","",IF($W$2="",UPPER(TRIM(A57)),IF(RIGHT(UPPER(TRIM(A57)),LEN($W$2))=$W$2,UPPER(TRIM(A57)),UPPER(TRIM(A57))&amp;$W$2)))</f>
        <v/>
      </c>
      <c r="Y57" s="85" t="str">
        <f>IF(OR(A57="",p_ModoCot&lt;&gt;"Automático"),"",IFERROR(_xlfn.WEBSERVICE("https://query1.finance.yahoo.com/v8/finance/chart/"&amp;X57&amp;"?range=1d&amp;interval=1d"),""))</f>
        <v/>
      </c>
      <c r="Z57" s="85" t="str">
        <f>IF(Y57="","",IFERROR(_xlfn.NUMBERVALUE(MID(Y57,SEARCH("""regularMarketPrice"":",Y57)+21,SEARCH(",",Y57&amp;",",SEARCH("""regularMarketPrice"":",Y57)+21)-SEARCH("""regularMarketPrice"":",Y57)-21),".",","),""))</f>
        <v/>
      </c>
      <c r="AA57" s="85" t="str">
        <f>IF(A57="","",ROUND(MAX(0,N(F57)*($K$6+$W$7)-K57),2))</f>
        <v/>
      </c>
      <c r="AB57" s="85" t="str">
        <f>IF(A57="","",IF(AND(M57&gt;0,M57&gt;=p_DifMin),AA57,0))</f>
        <v/>
      </c>
      <c r="AC57" s="85" t="str">
        <f>IF(A57="","",IF(AND(AB57&gt;0,N(O57)&lt;=p_MaxAtivos),AB57,0))</f>
        <v/>
      </c>
      <c r="AD57" s="85" t="str">
        <f>IF(A57="","",IF(OR(Q57&lt;=0,Q57&lt;p_CompraMin,N(H57)&lt;=0,N(W57)&lt;=0),0,IF($W$3="Sim",TRUNC(ROUND(MAX(0,(Q57-p_CorrFixa)/(H57*W57*$W$6)),9),$W$4),TRUNC(ROUND(MAX(0,(Q57-p_CorrFixa)/(H57*W57*$W$6)),9)/$W$5)*$W$5)))</f>
        <v/>
      </c>
      <c r="AE57" s="85" t="str">
        <f>IF(A57="","",IF(N(AD57)&gt;0,AD57*H57*W57*$W$6+p_CorrFixa,0))</f>
        <v/>
      </c>
      <c r="AF57" s="85" t="str">
        <f>IF(A57="","",IF(OR($Y$1&lt;=0,N(H57)&lt;=0,N(W57)&lt;=0,N(AB57)&lt;=0),0,IF($W$3="Sim",TRUNC(ROUND(MAX(0,($Y$1-IF(N(AD57)&gt;0,0,p_CorrFixa))/(H57*W57*$W$6)),9),$W$4),TRUNC(ROUND(MAX(0,($Y$1-IF(N(AD57)&gt;0,0,p_CorrFixa))/(H57*W57*$W$6)),9)/$W$5)*$W$5)))</f>
        <v/>
      </c>
      <c r="AG57" s="85" t="str">
        <f>IF(A57="","",IF(AND(N(AD57)=0,N(AF57)*(H57*W57*$W$6)+p_CorrFixa&lt;p_CompraMin),0,AF57))</f>
        <v/>
      </c>
      <c r="AH57" s="85" t="str">
        <f>IF(A57="","",IF(N(AG57)&gt;0,AB57,0))</f>
        <v/>
      </c>
      <c r="AI57" s="85" t="str">
        <f>IF(A57="","",IF(AND(AH57&gt;0,AH57=$AH$6,COUNTIF($AH$9:AH57,AH57)=1),1,0))</f>
        <v/>
      </c>
    </row>
    <row r="58">
      <c r="A58" s="96" t="n"/>
      <c r="B58" s="96" t="n"/>
      <c r="C58" s="96" t="n"/>
      <c r="D58" s="97" t="n"/>
      <c r="E58" s="98" t="n"/>
      <c r="F58" s="99" t="n"/>
      <c r="G58" s="100" t="n"/>
      <c r="H58" s="104" t="str">
        <f>IF(A58="","",IF(AND(p_ModoCot="Automático",ISNUMBER(Z58)),Z58,IF(N(G58)&gt;0,G58,0)))</f>
        <v/>
      </c>
      <c r="I58" s="105" t="str">
        <f>IF(A58="","",IF(W58=0,"Sem câmbio",IF(AND(p_ModoCot="Automático",ISNUMBER(Z58)),"Auto",IF(N(G58)&gt;0,"Manual","Sem cotação"))))</f>
        <v/>
      </c>
      <c r="J58" s="106" t="str">
        <f>IF(A58="","",N(E58)*H58)</f>
        <v/>
      </c>
      <c r="K58" s="107" t="str">
        <f>IF(A58="","",J58*W58)</f>
        <v/>
      </c>
      <c r="L58" s="108" t="str">
        <f>IF(A58="","",IF($K$6&gt;0,K58/$K$6,0))</f>
        <v/>
      </c>
      <c r="M58" s="109" t="str">
        <f>IF(A58="","",N(F58)-L58)</f>
        <v/>
      </c>
      <c r="N58" s="108" t="str">
        <f>IF(A58="","",IF($AB$6&gt;0,AB58/$AB$6,0))</f>
        <v/>
      </c>
      <c r="O58" s="110" t="str">
        <f>IF(A58="","",IF(AB58&lt;=0,"",COUNTIF($AB$9:$AB$108,"&gt;"&amp;AB58)+COUNTIF($AB$9:AB58,AB58)))</f>
        <v/>
      </c>
      <c r="P58" s="105" t="str">
        <f>IF(A58="","",IF(Q58&gt;0,"BUY","HOLD"))</f>
        <v/>
      </c>
      <c r="Q58" s="107" t="str">
        <f>IF(A58="","",IF($W$7&lt;=0,0,IF($AC$6&gt;0,$W$7*AC58/$AC$6,IF($F$6&gt;0,$W$7*N(F58)/$F$6,0))))</f>
        <v/>
      </c>
      <c r="R58" s="111" t="str">
        <f>IF(A58="","",N(AD58)+IF(AI58=1,N(AG58),0))</f>
        <v/>
      </c>
      <c r="S58" s="111" t="str">
        <f>IF(A58="","",N(E58)+N(R58))</f>
        <v/>
      </c>
      <c r="T58" s="107" t="str">
        <f>IF(A58="","",IF(N(R58)&gt;0,R58*H58*W58*$W$6+p_CorrFixa,0))</f>
        <v/>
      </c>
      <c r="V58" s="85" t="str">
        <f>IF(A58="","",IF(D58="",$W$1,D58))</f>
        <v/>
      </c>
      <c r="W58" s="85" t="str">
        <f>IF(A58="","",IFERROR(INDEX(moeda_fx,MATCH(V58,moeda_cod,0)),0))</f>
        <v/>
      </c>
      <c r="X58" s="85" t="str">
        <f>IF(A58="","",IF($W$2="",UPPER(TRIM(A58)),IF(RIGHT(UPPER(TRIM(A58)),LEN($W$2))=$W$2,UPPER(TRIM(A58)),UPPER(TRIM(A58))&amp;$W$2)))</f>
        <v/>
      </c>
      <c r="Y58" s="85" t="str">
        <f>IF(OR(A58="",p_ModoCot&lt;&gt;"Automático"),"",IFERROR(_xlfn.WEBSERVICE("https://query1.finance.yahoo.com/v8/finance/chart/"&amp;X58&amp;"?range=1d&amp;interval=1d"),""))</f>
        <v/>
      </c>
      <c r="Z58" s="85" t="str">
        <f>IF(Y58="","",IFERROR(_xlfn.NUMBERVALUE(MID(Y58,SEARCH("""regularMarketPrice"":",Y58)+21,SEARCH(",",Y58&amp;",",SEARCH("""regularMarketPrice"":",Y58)+21)-SEARCH("""regularMarketPrice"":",Y58)-21),".",","),""))</f>
        <v/>
      </c>
      <c r="AA58" s="85" t="str">
        <f>IF(A58="","",ROUND(MAX(0,N(F58)*($K$6+$W$7)-K58),2))</f>
        <v/>
      </c>
      <c r="AB58" s="85" t="str">
        <f>IF(A58="","",IF(AND(M58&gt;0,M58&gt;=p_DifMin),AA58,0))</f>
        <v/>
      </c>
      <c r="AC58" s="85" t="str">
        <f>IF(A58="","",IF(AND(AB58&gt;0,N(O58)&lt;=p_MaxAtivos),AB58,0))</f>
        <v/>
      </c>
      <c r="AD58" s="85" t="str">
        <f>IF(A58="","",IF(OR(Q58&lt;=0,Q58&lt;p_CompraMin,N(H58)&lt;=0,N(W58)&lt;=0),0,IF($W$3="Sim",TRUNC(ROUND(MAX(0,(Q58-p_CorrFixa)/(H58*W58*$W$6)),9),$W$4),TRUNC(ROUND(MAX(0,(Q58-p_CorrFixa)/(H58*W58*$W$6)),9)/$W$5)*$W$5)))</f>
        <v/>
      </c>
      <c r="AE58" s="85" t="str">
        <f>IF(A58="","",IF(N(AD58)&gt;0,AD58*H58*W58*$W$6+p_CorrFixa,0))</f>
        <v/>
      </c>
      <c r="AF58" s="85" t="str">
        <f>IF(A58="","",IF(OR($Y$1&lt;=0,N(H58)&lt;=0,N(W58)&lt;=0,N(AB58)&lt;=0),0,IF($W$3="Sim",TRUNC(ROUND(MAX(0,($Y$1-IF(N(AD58)&gt;0,0,p_CorrFixa))/(H58*W58*$W$6)),9),$W$4),TRUNC(ROUND(MAX(0,($Y$1-IF(N(AD58)&gt;0,0,p_CorrFixa))/(H58*W58*$W$6)),9)/$W$5)*$W$5)))</f>
        <v/>
      </c>
      <c r="AG58" s="85" t="str">
        <f>IF(A58="","",IF(AND(N(AD58)=0,N(AF58)*(H58*W58*$W$6)+p_CorrFixa&lt;p_CompraMin),0,AF58))</f>
        <v/>
      </c>
      <c r="AH58" s="85" t="str">
        <f>IF(A58="","",IF(N(AG58)&gt;0,AB58,0))</f>
        <v/>
      </c>
      <c r="AI58" s="85" t="str">
        <f>IF(A58="","",IF(AND(AH58&gt;0,AH58=$AH$6,COUNTIF($AH$9:AH58,AH58)=1),1,0))</f>
        <v/>
      </c>
    </row>
    <row r="59">
      <c r="A59" s="96" t="n"/>
      <c r="B59" s="96" t="n"/>
      <c r="C59" s="96" t="n"/>
      <c r="D59" s="97" t="n"/>
      <c r="E59" s="98" t="n"/>
      <c r="F59" s="99" t="n"/>
      <c r="G59" s="100" t="n"/>
      <c r="H59" s="101" t="str">
        <f>IF(A59="","",IF(AND(p_ModoCot="Automático",ISNUMBER(Z59)),Z59,IF(N(G59)&gt;0,G59,0)))</f>
        <v/>
      </c>
      <c r="I59" s="73" t="str">
        <f>IF(A59="","",IF(W59=0,"Sem câmbio",IF(AND(p_ModoCot="Automático",ISNUMBER(Z59)),"Auto",IF(N(G59)&gt;0,"Manual","Sem cotação"))))</f>
        <v/>
      </c>
      <c r="J59" s="102" t="str">
        <f>IF(A59="","",N(E59)*H59)</f>
        <v/>
      </c>
      <c r="K59" s="70" t="str">
        <f>IF(A59="","",J59*W59)</f>
        <v/>
      </c>
      <c r="L59" s="30" t="str">
        <f>IF(A59="","",IF($K$6&gt;0,K59/$K$6,0))</f>
        <v/>
      </c>
      <c r="M59" s="72" t="str">
        <f>IF(A59="","",N(F59)-L59)</f>
        <v/>
      </c>
      <c r="N59" s="30" t="str">
        <f>IF(A59="","",IF($AB$6&gt;0,AB59/$AB$6,0))</f>
        <v/>
      </c>
      <c r="O59" s="74" t="str">
        <f>IF(A59="","",IF(AB59&lt;=0,"",COUNTIF($AB$9:$AB$108,"&gt;"&amp;AB59)+COUNTIF($AB$9:AB59,AB59)))</f>
        <v/>
      </c>
      <c r="P59" s="73" t="str">
        <f>IF(A59="","",IF(Q59&gt;0,"BUY","HOLD"))</f>
        <v/>
      </c>
      <c r="Q59" s="70" t="str">
        <f>IF(A59="","",IF($W$7&lt;=0,0,IF($AC$6&gt;0,$W$7*AC59/$AC$6,IF($F$6&gt;0,$W$7*N(F59)/$F$6,0))))</f>
        <v/>
      </c>
      <c r="R59" s="103" t="str">
        <f>IF(A59="","",N(AD59)+IF(AI59=1,N(AG59),0))</f>
        <v/>
      </c>
      <c r="S59" s="103" t="str">
        <f>IF(A59="","",N(E59)+N(R59))</f>
        <v/>
      </c>
      <c r="T59" s="70" t="str">
        <f>IF(A59="","",IF(N(R59)&gt;0,R59*H59*W59*$W$6+p_CorrFixa,0))</f>
        <v/>
      </c>
      <c r="V59" s="85" t="str">
        <f>IF(A59="","",IF(D59="",$W$1,D59))</f>
        <v/>
      </c>
      <c r="W59" s="85" t="str">
        <f>IF(A59="","",IFERROR(INDEX(moeda_fx,MATCH(V59,moeda_cod,0)),0))</f>
        <v/>
      </c>
      <c r="X59" s="85" t="str">
        <f>IF(A59="","",IF($W$2="",UPPER(TRIM(A59)),IF(RIGHT(UPPER(TRIM(A59)),LEN($W$2))=$W$2,UPPER(TRIM(A59)),UPPER(TRIM(A59))&amp;$W$2)))</f>
        <v/>
      </c>
      <c r="Y59" s="85" t="str">
        <f>IF(OR(A59="",p_ModoCot&lt;&gt;"Automático"),"",IFERROR(_xlfn.WEBSERVICE("https://query1.finance.yahoo.com/v8/finance/chart/"&amp;X59&amp;"?range=1d&amp;interval=1d"),""))</f>
        <v/>
      </c>
      <c r="Z59" s="85" t="str">
        <f>IF(Y59="","",IFERROR(_xlfn.NUMBERVALUE(MID(Y59,SEARCH("""regularMarketPrice"":",Y59)+21,SEARCH(",",Y59&amp;",",SEARCH("""regularMarketPrice"":",Y59)+21)-SEARCH("""regularMarketPrice"":",Y59)-21),".",","),""))</f>
        <v/>
      </c>
      <c r="AA59" s="85" t="str">
        <f>IF(A59="","",ROUND(MAX(0,N(F59)*($K$6+$W$7)-K59),2))</f>
        <v/>
      </c>
      <c r="AB59" s="85" t="str">
        <f>IF(A59="","",IF(AND(M59&gt;0,M59&gt;=p_DifMin),AA59,0))</f>
        <v/>
      </c>
      <c r="AC59" s="85" t="str">
        <f>IF(A59="","",IF(AND(AB59&gt;0,N(O59)&lt;=p_MaxAtivos),AB59,0))</f>
        <v/>
      </c>
      <c r="AD59" s="85" t="str">
        <f>IF(A59="","",IF(OR(Q59&lt;=0,Q59&lt;p_CompraMin,N(H59)&lt;=0,N(W59)&lt;=0),0,IF($W$3="Sim",TRUNC(ROUND(MAX(0,(Q59-p_CorrFixa)/(H59*W59*$W$6)),9),$W$4),TRUNC(ROUND(MAX(0,(Q59-p_CorrFixa)/(H59*W59*$W$6)),9)/$W$5)*$W$5)))</f>
        <v/>
      </c>
      <c r="AE59" s="85" t="str">
        <f>IF(A59="","",IF(N(AD59)&gt;0,AD59*H59*W59*$W$6+p_CorrFixa,0))</f>
        <v/>
      </c>
      <c r="AF59" s="85" t="str">
        <f>IF(A59="","",IF(OR($Y$1&lt;=0,N(H59)&lt;=0,N(W59)&lt;=0,N(AB59)&lt;=0),0,IF($W$3="Sim",TRUNC(ROUND(MAX(0,($Y$1-IF(N(AD59)&gt;0,0,p_CorrFixa))/(H59*W59*$W$6)),9),$W$4),TRUNC(ROUND(MAX(0,($Y$1-IF(N(AD59)&gt;0,0,p_CorrFixa))/(H59*W59*$W$6)),9)/$W$5)*$W$5)))</f>
        <v/>
      </c>
      <c r="AG59" s="85" t="str">
        <f>IF(A59="","",IF(AND(N(AD59)=0,N(AF59)*(H59*W59*$W$6)+p_CorrFixa&lt;p_CompraMin),0,AF59))</f>
        <v/>
      </c>
      <c r="AH59" s="85" t="str">
        <f>IF(A59="","",IF(N(AG59)&gt;0,AB59,0))</f>
        <v/>
      </c>
      <c r="AI59" s="85" t="str">
        <f>IF(A59="","",IF(AND(AH59&gt;0,AH59=$AH$6,COUNTIF($AH$9:AH59,AH59)=1),1,0))</f>
        <v/>
      </c>
    </row>
    <row r="60">
      <c r="A60" s="96" t="n"/>
      <c r="B60" s="96" t="n"/>
      <c r="C60" s="96" t="n"/>
      <c r="D60" s="97" t="n"/>
      <c r="E60" s="98" t="n"/>
      <c r="F60" s="99" t="n"/>
      <c r="G60" s="100" t="n"/>
      <c r="H60" s="104" t="str">
        <f>IF(A60="","",IF(AND(p_ModoCot="Automático",ISNUMBER(Z60)),Z60,IF(N(G60)&gt;0,G60,0)))</f>
        <v/>
      </c>
      <c r="I60" s="105" t="str">
        <f>IF(A60="","",IF(W60=0,"Sem câmbio",IF(AND(p_ModoCot="Automático",ISNUMBER(Z60)),"Auto",IF(N(G60)&gt;0,"Manual","Sem cotação"))))</f>
        <v/>
      </c>
      <c r="J60" s="106" t="str">
        <f>IF(A60="","",N(E60)*H60)</f>
        <v/>
      </c>
      <c r="K60" s="107" t="str">
        <f>IF(A60="","",J60*W60)</f>
        <v/>
      </c>
      <c r="L60" s="108" t="str">
        <f>IF(A60="","",IF($K$6&gt;0,K60/$K$6,0))</f>
        <v/>
      </c>
      <c r="M60" s="109" t="str">
        <f>IF(A60="","",N(F60)-L60)</f>
        <v/>
      </c>
      <c r="N60" s="108" t="str">
        <f>IF(A60="","",IF($AB$6&gt;0,AB60/$AB$6,0))</f>
        <v/>
      </c>
      <c r="O60" s="110" t="str">
        <f>IF(A60="","",IF(AB60&lt;=0,"",COUNTIF($AB$9:$AB$108,"&gt;"&amp;AB60)+COUNTIF($AB$9:AB60,AB60)))</f>
        <v/>
      </c>
      <c r="P60" s="105" t="str">
        <f>IF(A60="","",IF(Q60&gt;0,"BUY","HOLD"))</f>
        <v/>
      </c>
      <c r="Q60" s="107" t="str">
        <f>IF(A60="","",IF($W$7&lt;=0,0,IF($AC$6&gt;0,$W$7*AC60/$AC$6,IF($F$6&gt;0,$W$7*N(F60)/$F$6,0))))</f>
        <v/>
      </c>
      <c r="R60" s="111" t="str">
        <f>IF(A60="","",N(AD60)+IF(AI60=1,N(AG60),0))</f>
        <v/>
      </c>
      <c r="S60" s="111" t="str">
        <f>IF(A60="","",N(E60)+N(R60))</f>
        <v/>
      </c>
      <c r="T60" s="107" t="str">
        <f>IF(A60="","",IF(N(R60)&gt;0,R60*H60*W60*$W$6+p_CorrFixa,0))</f>
        <v/>
      </c>
      <c r="V60" s="85" t="str">
        <f>IF(A60="","",IF(D60="",$W$1,D60))</f>
        <v/>
      </c>
      <c r="W60" s="85" t="str">
        <f>IF(A60="","",IFERROR(INDEX(moeda_fx,MATCH(V60,moeda_cod,0)),0))</f>
        <v/>
      </c>
      <c r="X60" s="85" t="str">
        <f>IF(A60="","",IF($W$2="",UPPER(TRIM(A60)),IF(RIGHT(UPPER(TRIM(A60)),LEN($W$2))=$W$2,UPPER(TRIM(A60)),UPPER(TRIM(A60))&amp;$W$2)))</f>
        <v/>
      </c>
      <c r="Y60" s="85" t="str">
        <f>IF(OR(A60="",p_ModoCot&lt;&gt;"Automático"),"",IFERROR(_xlfn.WEBSERVICE("https://query1.finance.yahoo.com/v8/finance/chart/"&amp;X60&amp;"?range=1d&amp;interval=1d"),""))</f>
        <v/>
      </c>
      <c r="Z60" s="85" t="str">
        <f>IF(Y60="","",IFERROR(_xlfn.NUMBERVALUE(MID(Y60,SEARCH("""regularMarketPrice"":",Y60)+21,SEARCH(",",Y60&amp;",",SEARCH("""regularMarketPrice"":",Y60)+21)-SEARCH("""regularMarketPrice"":",Y60)-21),".",","),""))</f>
        <v/>
      </c>
      <c r="AA60" s="85" t="str">
        <f>IF(A60="","",ROUND(MAX(0,N(F60)*($K$6+$W$7)-K60),2))</f>
        <v/>
      </c>
      <c r="AB60" s="85" t="str">
        <f>IF(A60="","",IF(AND(M60&gt;0,M60&gt;=p_DifMin),AA60,0))</f>
        <v/>
      </c>
      <c r="AC60" s="85" t="str">
        <f>IF(A60="","",IF(AND(AB60&gt;0,N(O60)&lt;=p_MaxAtivos),AB60,0))</f>
        <v/>
      </c>
      <c r="AD60" s="85" t="str">
        <f>IF(A60="","",IF(OR(Q60&lt;=0,Q60&lt;p_CompraMin,N(H60)&lt;=0,N(W60)&lt;=0),0,IF($W$3="Sim",TRUNC(ROUND(MAX(0,(Q60-p_CorrFixa)/(H60*W60*$W$6)),9),$W$4),TRUNC(ROUND(MAX(0,(Q60-p_CorrFixa)/(H60*W60*$W$6)),9)/$W$5)*$W$5)))</f>
        <v/>
      </c>
      <c r="AE60" s="85" t="str">
        <f>IF(A60="","",IF(N(AD60)&gt;0,AD60*H60*W60*$W$6+p_CorrFixa,0))</f>
        <v/>
      </c>
      <c r="AF60" s="85" t="str">
        <f>IF(A60="","",IF(OR($Y$1&lt;=0,N(H60)&lt;=0,N(W60)&lt;=0,N(AB60)&lt;=0),0,IF($W$3="Sim",TRUNC(ROUND(MAX(0,($Y$1-IF(N(AD60)&gt;0,0,p_CorrFixa))/(H60*W60*$W$6)),9),$W$4),TRUNC(ROUND(MAX(0,($Y$1-IF(N(AD60)&gt;0,0,p_CorrFixa))/(H60*W60*$W$6)),9)/$W$5)*$W$5)))</f>
        <v/>
      </c>
      <c r="AG60" s="85" t="str">
        <f>IF(A60="","",IF(AND(N(AD60)=0,N(AF60)*(H60*W60*$W$6)+p_CorrFixa&lt;p_CompraMin),0,AF60))</f>
        <v/>
      </c>
      <c r="AH60" s="85" t="str">
        <f>IF(A60="","",IF(N(AG60)&gt;0,AB60,0))</f>
        <v/>
      </c>
      <c r="AI60" s="85" t="str">
        <f>IF(A60="","",IF(AND(AH60&gt;0,AH60=$AH$6,COUNTIF($AH$9:AH60,AH60)=1),1,0))</f>
        <v/>
      </c>
    </row>
    <row r="61">
      <c r="A61" s="96" t="n"/>
      <c r="B61" s="96" t="n"/>
      <c r="C61" s="96" t="n"/>
      <c r="D61" s="97" t="n"/>
      <c r="E61" s="98" t="n"/>
      <c r="F61" s="99" t="n"/>
      <c r="G61" s="100" t="n"/>
      <c r="H61" s="101" t="str">
        <f>IF(A61="","",IF(AND(p_ModoCot="Automático",ISNUMBER(Z61)),Z61,IF(N(G61)&gt;0,G61,0)))</f>
        <v/>
      </c>
      <c r="I61" s="73" t="str">
        <f>IF(A61="","",IF(W61=0,"Sem câmbio",IF(AND(p_ModoCot="Automático",ISNUMBER(Z61)),"Auto",IF(N(G61)&gt;0,"Manual","Sem cotação"))))</f>
        <v/>
      </c>
      <c r="J61" s="102" t="str">
        <f>IF(A61="","",N(E61)*H61)</f>
        <v/>
      </c>
      <c r="K61" s="70" t="str">
        <f>IF(A61="","",J61*W61)</f>
        <v/>
      </c>
      <c r="L61" s="30" t="str">
        <f>IF(A61="","",IF($K$6&gt;0,K61/$K$6,0))</f>
        <v/>
      </c>
      <c r="M61" s="72" t="str">
        <f>IF(A61="","",N(F61)-L61)</f>
        <v/>
      </c>
      <c r="N61" s="30" t="str">
        <f>IF(A61="","",IF($AB$6&gt;0,AB61/$AB$6,0))</f>
        <v/>
      </c>
      <c r="O61" s="74" t="str">
        <f>IF(A61="","",IF(AB61&lt;=0,"",COUNTIF($AB$9:$AB$108,"&gt;"&amp;AB61)+COUNTIF($AB$9:AB61,AB61)))</f>
        <v/>
      </c>
      <c r="P61" s="73" t="str">
        <f>IF(A61="","",IF(Q61&gt;0,"BUY","HOLD"))</f>
        <v/>
      </c>
      <c r="Q61" s="70" t="str">
        <f>IF(A61="","",IF($W$7&lt;=0,0,IF($AC$6&gt;0,$W$7*AC61/$AC$6,IF($F$6&gt;0,$W$7*N(F61)/$F$6,0))))</f>
        <v/>
      </c>
      <c r="R61" s="103" t="str">
        <f>IF(A61="","",N(AD61)+IF(AI61=1,N(AG61),0))</f>
        <v/>
      </c>
      <c r="S61" s="103" t="str">
        <f>IF(A61="","",N(E61)+N(R61))</f>
        <v/>
      </c>
      <c r="T61" s="70" t="str">
        <f>IF(A61="","",IF(N(R61)&gt;0,R61*H61*W61*$W$6+p_CorrFixa,0))</f>
        <v/>
      </c>
      <c r="V61" s="85" t="str">
        <f>IF(A61="","",IF(D61="",$W$1,D61))</f>
        <v/>
      </c>
      <c r="W61" s="85" t="str">
        <f>IF(A61="","",IFERROR(INDEX(moeda_fx,MATCH(V61,moeda_cod,0)),0))</f>
        <v/>
      </c>
      <c r="X61" s="85" t="str">
        <f>IF(A61="","",IF($W$2="",UPPER(TRIM(A61)),IF(RIGHT(UPPER(TRIM(A61)),LEN($W$2))=$W$2,UPPER(TRIM(A61)),UPPER(TRIM(A61))&amp;$W$2)))</f>
        <v/>
      </c>
      <c r="Y61" s="85" t="str">
        <f>IF(OR(A61="",p_ModoCot&lt;&gt;"Automático"),"",IFERROR(_xlfn.WEBSERVICE("https://query1.finance.yahoo.com/v8/finance/chart/"&amp;X61&amp;"?range=1d&amp;interval=1d"),""))</f>
        <v/>
      </c>
      <c r="Z61" s="85" t="str">
        <f>IF(Y61="","",IFERROR(_xlfn.NUMBERVALUE(MID(Y61,SEARCH("""regularMarketPrice"":",Y61)+21,SEARCH(",",Y61&amp;",",SEARCH("""regularMarketPrice"":",Y61)+21)-SEARCH("""regularMarketPrice"":",Y61)-21),".",","),""))</f>
        <v/>
      </c>
      <c r="AA61" s="85" t="str">
        <f>IF(A61="","",ROUND(MAX(0,N(F61)*($K$6+$W$7)-K61),2))</f>
        <v/>
      </c>
      <c r="AB61" s="85" t="str">
        <f>IF(A61="","",IF(AND(M61&gt;0,M61&gt;=p_DifMin),AA61,0))</f>
        <v/>
      </c>
      <c r="AC61" s="85" t="str">
        <f>IF(A61="","",IF(AND(AB61&gt;0,N(O61)&lt;=p_MaxAtivos),AB61,0))</f>
        <v/>
      </c>
      <c r="AD61" s="85" t="str">
        <f>IF(A61="","",IF(OR(Q61&lt;=0,Q61&lt;p_CompraMin,N(H61)&lt;=0,N(W61)&lt;=0),0,IF($W$3="Sim",TRUNC(ROUND(MAX(0,(Q61-p_CorrFixa)/(H61*W61*$W$6)),9),$W$4),TRUNC(ROUND(MAX(0,(Q61-p_CorrFixa)/(H61*W61*$W$6)),9)/$W$5)*$W$5)))</f>
        <v/>
      </c>
      <c r="AE61" s="85" t="str">
        <f>IF(A61="","",IF(N(AD61)&gt;0,AD61*H61*W61*$W$6+p_CorrFixa,0))</f>
        <v/>
      </c>
      <c r="AF61" s="85" t="str">
        <f>IF(A61="","",IF(OR($Y$1&lt;=0,N(H61)&lt;=0,N(W61)&lt;=0,N(AB61)&lt;=0),0,IF($W$3="Sim",TRUNC(ROUND(MAX(0,($Y$1-IF(N(AD61)&gt;0,0,p_CorrFixa))/(H61*W61*$W$6)),9),$W$4),TRUNC(ROUND(MAX(0,($Y$1-IF(N(AD61)&gt;0,0,p_CorrFixa))/(H61*W61*$W$6)),9)/$W$5)*$W$5)))</f>
        <v/>
      </c>
      <c r="AG61" s="85" t="str">
        <f>IF(A61="","",IF(AND(N(AD61)=0,N(AF61)*(H61*W61*$W$6)+p_CorrFixa&lt;p_CompraMin),0,AF61))</f>
        <v/>
      </c>
      <c r="AH61" s="85" t="str">
        <f>IF(A61="","",IF(N(AG61)&gt;0,AB61,0))</f>
        <v/>
      </c>
      <c r="AI61" s="85" t="str">
        <f>IF(A61="","",IF(AND(AH61&gt;0,AH61=$AH$6,COUNTIF($AH$9:AH61,AH61)=1),1,0))</f>
        <v/>
      </c>
    </row>
    <row r="62">
      <c r="A62" s="96" t="n"/>
      <c r="B62" s="96" t="n"/>
      <c r="C62" s="96" t="n"/>
      <c r="D62" s="97" t="n"/>
      <c r="E62" s="98" t="n"/>
      <c r="F62" s="99" t="n"/>
      <c r="G62" s="100" t="n"/>
      <c r="H62" s="104" t="str">
        <f>IF(A62="","",IF(AND(p_ModoCot="Automático",ISNUMBER(Z62)),Z62,IF(N(G62)&gt;0,G62,0)))</f>
        <v/>
      </c>
      <c r="I62" s="105" t="str">
        <f>IF(A62="","",IF(W62=0,"Sem câmbio",IF(AND(p_ModoCot="Automático",ISNUMBER(Z62)),"Auto",IF(N(G62)&gt;0,"Manual","Sem cotação"))))</f>
        <v/>
      </c>
      <c r="J62" s="106" t="str">
        <f>IF(A62="","",N(E62)*H62)</f>
        <v/>
      </c>
      <c r="K62" s="107" t="str">
        <f>IF(A62="","",J62*W62)</f>
        <v/>
      </c>
      <c r="L62" s="108" t="str">
        <f>IF(A62="","",IF($K$6&gt;0,K62/$K$6,0))</f>
        <v/>
      </c>
      <c r="M62" s="109" t="str">
        <f>IF(A62="","",N(F62)-L62)</f>
        <v/>
      </c>
      <c r="N62" s="108" t="str">
        <f>IF(A62="","",IF($AB$6&gt;0,AB62/$AB$6,0))</f>
        <v/>
      </c>
      <c r="O62" s="110" t="str">
        <f>IF(A62="","",IF(AB62&lt;=0,"",COUNTIF($AB$9:$AB$108,"&gt;"&amp;AB62)+COUNTIF($AB$9:AB62,AB62)))</f>
        <v/>
      </c>
      <c r="P62" s="105" t="str">
        <f>IF(A62="","",IF(Q62&gt;0,"BUY","HOLD"))</f>
        <v/>
      </c>
      <c r="Q62" s="107" t="str">
        <f>IF(A62="","",IF($W$7&lt;=0,0,IF($AC$6&gt;0,$W$7*AC62/$AC$6,IF($F$6&gt;0,$W$7*N(F62)/$F$6,0))))</f>
        <v/>
      </c>
      <c r="R62" s="111" t="str">
        <f>IF(A62="","",N(AD62)+IF(AI62=1,N(AG62),0))</f>
        <v/>
      </c>
      <c r="S62" s="111" t="str">
        <f>IF(A62="","",N(E62)+N(R62))</f>
        <v/>
      </c>
      <c r="T62" s="107" t="str">
        <f>IF(A62="","",IF(N(R62)&gt;0,R62*H62*W62*$W$6+p_CorrFixa,0))</f>
        <v/>
      </c>
      <c r="V62" s="85" t="str">
        <f>IF(A62="","",IF(D62="",$W$1,D62))</f>
        <v/>
      </c>
      <c r="W62" s="85" t="str">
        <f>IF(A62="","",IFERROR(INDEX(moeda_fx,MATCH(V62,moeda_cod,0)),0))</f>
        <v/>
      </c>
      <c r="X62" s="85" t="str">
        <f>IF(A62="","",IF($W$2="",UPPER(TRIM(A62)),IF(RIGHT(UPPER(TRIM(A62)),LEN($W$2))=$W$2,UPPER(TRIM(A62)),UPPER(TRIM(A62))&amp;$W$2)))</f>
        <v/>
      </c>
      <c r="Y62" s="85" t="str">
        <f>IF(OR(A62="",p_ModoCot&lt;&gt;"Automático"),"",IFERROR(_xlfn.WEBSERVICE("https://query1.finance.yahoo.com/v8/finance/chart/"&amp;X62&amp;"?range=1d&amp;interval=1d"),""))</f>
        <v/>
      </c>
      <c r="Z62" s="85" t="str">
        <f>IF(Y62="","",IFERROR(_xlfn.NUMBERVALUE(MID(Y62,SEARCH("""regularMarketPrice"":",Y62)+21,SEARCH(",",Y62&amp;",",SEARCH("""regularMarketPrice"":",Y62)+21)-SEARCH("""regularMarketPrice"":",Y62)-21),".",","),""))</f>
        <v/>
      </c>
      <c r="AA62" s="85" t="str">
        <f>IF(A62="","",ROUND(MAX(0,N(F62)*($K$6+$W$7)-K62),2))</f>
        <v/>
      </c>
      <c r="AB62" s="85" t="str">
        <f>IF(A62="","",IF(AND(M62&gt;0,M62&gt;=p_DifMin),AA62,0))</f>
        <v/>
      </c>
      <c r="AC62" s="85" t="str">
        <f>IF(A62="","",IF(AND(AB62&gt;0,N(O62)&lt;=p_MaxAtivos),AB62,0))</f>
        <v/>
      </c>
      <c r="AD62" s="85" t="str">
        <f>IF(A62="","",IF(OR(Q62&lt;=0,Q62&lt;p_CompraMin,N(H62)&lt;=0,N(W62)&lt;=0),0,IF($W$3="Sim",TRUNC(ROUND(MAX(0,(Q62-p_CorrFixa)/(H62*W62*$W$6)),9),$W$4),TRUNC(ROUND(MAX(0,(Q62-p_CorrFixa)/(H62*W62*$W$6)),9)/$W$5)*$W$5)))</f>
        <v/>
      </c>
      <c r="AE62" s="85" t="str">
        <f>IF(A62="","",IF(N(AD62)&gt;0,AD62*H62*W62*$W$6+p_CorrFixa,0))</f>
        <v/>
      </c>
      <c r="AF62" s="85" t="str">
        <f>IF(A62="","",IF(OR($Y$1&lt;=0,N(H62)&lt;=0,N(W62)&lt;=0,N(AB62)&lt;=0),0,IF($W$3="Sim",TRUNC(ROUND(MAX(0,($Y$1-IF(N(AD62)&gt;0,0,p_CorrFixa))/(H62*W62*$W$6)),9),$W$4),TRUNC(ROUND(MAX(0,($Y$1-IF(N(AD62)&gt;0,0,p_CorrFixa))/(H62*W62*$W$6)),9)/$W$5)*$W$5)))</f>
        <v/>
      </c>
      <c r="AG62" s="85" t="str">
        <f>IF(A62="","",IF(AND(N(AD62)=0,N(AF62)*(H62*W62*$W$6)+p_CorrFixa&lt;p_CompraMin),0,AF62))</f>
        <v/>
      </c>
      <c r="AH62" s="85" t="str">
        <f>IF(A62="","",IF(N(AG62)&gt;0,AB62,0))</f>
        <v/>
      </c>
      <c r="AI62" s="85" t="str">
        <f>IF(A62="","",IF(AND(AH62&gt;0,AH62=$AH$6,COUNTIF($AH$9:AH62,AH62)=1),1,0))</f>
        <v/>
      </c>
    </row>
    <row r="63">
      <c r="A63" s="96" t="n"/>
      <c r="B63" s="96" t="n"/>
      <c r="C63" s="96" t="n"/>
      <c r="D63" s="97" t="n"/>
      <c r="E63" s="98" t="n"/>
      <c r="F63" s="99" t="n"/>
      <c r="G63" s="100" t="n"/>
      <c r="H63" s="101" t="str">
        <f>IF(A63="","",IF(AND(p_ModoCot="Automático",ISNUMBER(Z63)),Z63,IF(N(G63)&gt;0,G63,0)))</f>
        <v/>
      </c>
      <c r="I63" s="73" t="str">
        <f>IF(A63="","",IF(W63=0,"Sem câmbio",IF(AND(p_ModoCot="Automático",ISNUMBER(Z63)),"Auto",IF(N(G63)&gt;0,"Manual","Sem cotação"))))</f>
        <v/>
      </c>
      <c r="J63" s="102" t="str">
        <f>IF(A63="","",N(E63)*H63)</f>
        <v/>
      </c>
      <c r="K63" s="70" t="str">
        <f>IF(A63="","",J63*W63)</f>
        <v/>
      </c>
      <c r="L63" s="30" t="str">
        <f>IF(A63="","",IF($K$6&gt;0,K63/$K$6,0))</f>
        <v/>
      </c>
      <c r="M63" s="72" t="str">
        <f>IF(A63="","",N(F63)-L63)</f>
        <v/>
      </c>
      <c r="N63" s="30" t="str">
        <f>IF(A63="","",IF($AB$6&gt;0,AB63/$AB$6,0))</f>
        <v/>
      </c>
      <c r="O63" s="74" t="str">
        <f>IF(A63="","",IF(AB63&lt;=0,"",COUNTIF($AB$9:$AB$108,"&gt;"&amp;AB63)+COUNTIF($AB$9:AB63,AB63)))</f>
        <v/>
      </c>
      <c r="P63" s="73" t="str">
        <f>IF(A63="","",IF(Q63&gt;0,"BUY","HOLD"))</f>
        <v/>
      </c>
      <c r="Q63" s="70" t="str">
        <f>IF(A63="","",IF($W$7&lt;=0,0,IF($AC$6&gt;0,$W$7*AC63/$AC$6,IF($F$6&gt;0,$W$7*N(F63)/$F$6,0))))</f>
        <v/>
      </c>
      <c r="R63" s="103" t="str">
        <f>IF(A63="","",N(AD63)+IF(AI63=1,N(AG63),0))</f>
        <v/>
      </c>
      <c r="S63" s="103" t="str">
        <f>IF(A63="","",N(E63)+N(R63))</f>
        <v/>
      </c>
      <c r="T63" s="70" t="str">
        <f>IF(A63="","",IF(N(R63)&gt;0,R63*H63*W63*$W$6+p_CorrFixa,0))</f>
        <v/>
      </c>
      <c r="V63" s="85" t="str">
        <f>IF(A63="","",IF(D63="",$W$1,D63))</f>
        <v/>
      </c>
      <c r="W63" s="85" t="str">
        <f>IF(A63="","",IFERROR(INDEX(moeda_fx,MATCH(V63,moeda_cod,0)),0))</f>
        <v/>
      </c>
      <c r="X63" s="85" t="str">
        <f>IF(A63="","",IF($W$2="",UPPER(TRIM(A63)),IF(RIGHT(UPPER(TRIM(A63)),LEN($W$2))=$W$2,UPPER(TRIM(A63)),UPPER(TRIM(A63))&amp;$W$2)))</f>
        <v/>
      </c>
      <c r="Y63" s="85" t="str">
        <f>IF(OR(A63="",p_ModoCot&lt;&gt;"Automático"),"",IFERROR(_xlfn.WEBSERVICE("https://query1.finance.yahoo.com/v8/finance/chart/"&amp;X63&amp;"?range=1d&amp;interval=1d"),""))</f>
        <v/>
      </c>
      <c r="Z63" s="85" t="str">
        <f>IF(Y63="","",IFERROR(_xlfn.NUMBERVALUE(MID(Y63,SEARCH("""regularMarketPrice"":",Y63)+21,SEARCH(",",Y63&amp;",",SEARCH("""regularMarketPrice"":",Y63)+21)-SEARCH("""regularMarketPrice"":",Y63)-21),".",","),""))</f>
        <v/>
      </c>
      <c r="AA63" s="85" t="str">
        <f>IF(A63="","",ROUND(MAX(0,N(F63)*($K$6+$W$7)-K63),2))</f>
        <v/>
      </c>
      <c r="AB63" s="85" t="str">
        <f>IF(A63="","",IF(AND(M63&gt;0,M63&gt;=p_DifMin),AA63,0))</f>
        <v/>
      </c>
      <c r="AC63" s="85" t="str">
        <f>IF(A63="","",IF(AND(AB63&gt;0,N(O63)&lt;=p_MaxAtivos),AB63,0))</f>
        <v/>
      </c>
      <c r="AD63" s="85" t="str">
        <f>IF(A63="","",IF(OR(Q63&lt;=0,Q63&lt;p_CompraMin,N(H63)&lt;=0,N(W63)&lt;=0),0,IF($W$3="Sim",TRUNC(ROUND(MAX(0,(Q63-p_CorrFixa)/(H63*W63*$W$6)),9),$W$4),TRUNC(ROUND(MAX(0,(Q63-p_CorrFixa)/(H63*W63*$W$6)),9)/$W$5)*$W$5)))</f>
        <v/>
      </c>
      <c r="AE63" s="85" t="str">
        <f>IF(A63="","",IF(N(AD63)&gt;0,AD63*H63*W63*$W$6+p_CorrFixa,0))</f>
        <v/>
      </c>
      <c r="AF63" s="85" t="str">
        <f>IF(A63="","",IF(OR($Y$1&lt;=0,N(H63)&lt;=0,N(W63)&lt;=0,N(AB63)&lt;=0),0,IF($W$3="Sim",TRUNC(ROUND(MAX(0,($Y$1-IF(N(AD63)&gt;0,0,p_CorrFixa))/(H63*W63*$W$6)),9),$W$4),TRUNC(ROUND(MAX(0,($Y$1-IF(N(AD63)&gt;0,0,p_CorrFixa))/(H63*W63*$W$6)),9)/$W$5)*$W$5)))</f>
        <v/>
      </c>
      <c r="AG63" s="85" t="str">
        <f>IF(A63="","",IF(AND(N(AD63)=0,N(AF63)*(H63*W63*$W$6)+p_CorrFixa&lt;p_CompraMin),0,AF63))</f>
        <v/>
      </c>
      <c r="AH63" s="85" t="str">
        <f>IF(A63="","",IF(N(AG63)&gt;0,AB63,0))</f>
        <v/>
      </c>
      <c r="AI63" s="85" t="str">
        <f>IF(A63="","",IF(AND(AH63&gt;0,AH63=$AH$6,COUNTIF($AH$9:AH63,AH63)=1),1,0))</f>
        <v/>
      </c>
    </row>
    <row r="64">
      <c r="A64" s="96" t="n"/>
      <c r="B64" s="96" t="n"/>
      <c r="C64" s="96" t="n"/>
      <c r="D64" s="97" t="n"/>
      <c r="E64" s="98" t="n"/>
      <c r="F64" s="99" t="n"/>
      <c r="G64" s="100" t="n"/>
      <c r="H64" s="104" t="str">
        <f>IF(A64="","",IF(AND(p_ModoCot="Automático",ISNUMBER(Z64)),Z64,IF(N(G64)&gt;0,G64,0)))</f>
        <v/>
      </c>
      <c r="I64" s="105" t="str">
        <f>IF(A64="","",IF(W64=0,"Sem câmbio",IF(AND(p_ModoCot="Automático",ISNUMBER(Z64)),"Auto",IF(N(G64)&gt;0,"Manual","Sem cotação"))))</f>
        <v/>
      </c>
      <c r="J64" s="106" t="str">
        <f>IF(A64="","",N(E64)*H64)</f>
        <v/>
      </c>
      <c r="K64" s="107" t="str">
        <f>IF(A64="","",J64*W64)</f>
        <v/>
      </c>
      <c r="L64" s="108" t="str">
        <f>IF(A64="","",IF($K$6&gt;0,K64/$K$6,0))</f>
        <v/>
      </c>
      <c r="M64" s="109" t="str">
        <f>IF(A64="","",N(F64)-L64)</f>
        <v/>
      </c>
      <c r="N64" s="108" t="str">
        <f>IF(A64="","",IF($AB$6&gt;0,AB64/$AB$6,0))</f>
        <v/>
      </c>
      <c r="O64" s="110" t="str">
        <f>IF(A64="","",IF(AB64&lt;=0,"",COUNTIF($AB$9:$AB$108,"&gt;"&amp;AB64)+COUNTIF($AB$9:AB64,AB64)))</f>
        <v/>
      </c>
      <c r="P64" s="105" t="str">
        <f>IF(A64="","",IF(Q64&gt;0,"BUY","HOLD"))</f>
        <v/>
      </c>
      <c r="Q64" s="107" t="str">
        <f>IF(A64="","",IF($W$7&lt;=0,0,IF($AC$6&gt;0,$W$7*AC64/$AC$6,IF($F$6&gt;0,$W$7*N(F64)/$F$6,0))))</f>
        <v/>
      </c>
      <c r="R64" s="111" t="str">
        <f>IF(A64="","",N(AD64)+IF(AI64=1,N(AG64),0))</f>
        <v/>
      </c>
      <c r="S64" s="111" t="str">
        <f>IF(A64="","",N(E64)+N(R64))</f>
        <v/>
      </c>
      <c r="T64" s="107" t="str">
        <f>IF(A64="","",IF(N(R64)&gt;0,R64*H64*W64*$W$6+p_CorrFixa,0))</f>
        <v/>
      </c>
      <c r="V64" s="85" t="str">
        <f>IF(A64="","",IF(D64="",$W$1,D64))</f>
        <v/>
      </c>
      <c r="W64" s="85" t="str">
        <f>IF(A64="","",IFERROR(INDEX(moeda_fx,MATCH(V64,moeda_cod,0)),0))</f>
        <v/>
      </c>
      <c r="X64" s="85" t="str">
        <f>IF(A64="","",IF($W$2="",UPPER(TRIM(A64)),IF(RIGHT(UPPER(TRIM(A64)),LEN($W$2))=$W$2,UPPER(TRIM(A64)),UPPER(TRIM(A64))&amp;$W$2)))</f>
        <v/>
      </c>
      <c r="Y64" s="85" t="str">
        <f>IF(OR(A64="",p_ModoCot&lt;&gt;"Automático"),"",IFERROR(_xlfn.WEBSERVICE("https://query1.finance.yahoo.com/v8/finance/chart/"&amp;X64&amp;"?range=1d&amp;interval=1d"),""))</f>
        <v/>
      </c>
      <c r="Z64" s="85" t="str">
        <f>IF(Y64="","",IFERROR(_xlfn.NUMBERVALUE(MID(Y64,SEARCH("""regularMarketPrice"":",Y64)+21,SEARCH(",",Y64&amp;",",SEARCH("""regularMarketPrice"":",Y64)+21)-SEARCH("""regularMarketPrice"":",Y64)-21),".",","),""))</f>
        <v/>
      </c>
      <c r="AA64" s="85" t="str">
        <f>IF(A64="","",ROUND(MAX(0,N(F64)*($K$6+$W$7)-K64),2))</f>
        <v/>
      </c>
      <c r="AB64" s="85" t="str">
        <f>IF(A64="","",IF(AND(M64&gt;0,M64&gt;=p_DifMin),AA64,0))</f>
        <v/>
      </c>
      <c r="AC64" s="85" t="str">
        <f>IF(A64="","",IF(AND(AB64&gt;0,N(O64)&lt;=p_MaxAtivos),AB64,0))</f>
        <v/>
      </c>
      <c r="AD64" s="85" t="str">
        <f>IF(A64="","",IF(OR(Q64&lt;=0,Q64&lt;p_CompraMin,N(H64)&lt;=0,N(W64)&lt;=0),0,IF($W$3="Sim",TRUNC(ROUND(MAX(0,(Q64-p_CorrFixa)/(H64*W64*$W$6)),9),$W$4),TRUNC(ROUND(MAX(0,(Q64-p_CorrFixa)/(H64*W64*$W$6)),9)/$W$5)*$W$5)))</f>
        <v/>
      </c>
      <c r="AE64" s="85" t="str">
        <f>IF(A64="","",IF(N(AD64)&gt;0,AD64*H64*W64*$W$6+p_CorrFixa,0))</f>
        <v/>
      </c>
      <c r="AF64" s="85" t="str">
        <f>IF(A64="","",IF(OR($Y$1&lt;=0,N(H64)&lt;=0,N(W64)&lt;=0,N(AB64)&lt;=0),0,IF($W$3="Sim",TRUNC(ROUND(MAX(0,($Y$1-IF(N(AD64)&gt;0,0,p_CorrFixa))/(H64*W64*$W$6)),9),$W$4),TRUNC(ROUND(MAX(0,($Y$1-IF(N(AD64)&gt;0,0,p_CorrFixa))/(H64*W64*$W$6)),9)/$W$5)*$W$5)))</f>
        <v/>
      </c>
      <c r="AG64" s="85" t="str">
        <f>IF(A64="","",IF(AND(N(AD64)=0,N(AF64)*(H64*W64*$W$6)+p_CorrFixa&lt;p_CompraMin),0,AF64))</f>
        <v/>
      </c>
      <c r="AH64" s="85" t="str">
        <f>IF(A64="","",IF(N(AG64)&gt;0,AB64,0))</f>
        <v/>
      </c>
      <c r="AI64" s="85" t="str">
        <f>IF(A64="","",IF(AND(AH64&gt;0,AH64=$AH$6,COUNTIF($AH$9:AH64,AH64)=1),1,0))</f>
        <v/>
      </c>
    </row>
    <row r="65">
      <c r="A65" s="96" t="n"/>
      <c r="B65" s="96" t="n"/>
      <c r="C65" s="96" t="n"/>
      <c r="D65" s="97" t="n"/>
      <c r="E65" s="98" t="n"/>
      <c r="F65" s="99" t="n"/>
      <c r="G65" s="100" t="n"/>
      <c r="H65" s="101" t="str">
        <f>IF(A65="","",IF(AND(p_ModoCot="Automático",ISNUMBER(Z65)),Z65,IF(N(G65)&gt;0,G65,0)))</f>
        <v/>
      </c>
      <c r="I65" s="73" t="str">
        <f>IF(A65="","",IF(W65=0,"Sem câmbio",IF(AND(p_ModoCot="Automático",ISNUMBER(Z65)),"Auto",IF(N(G65)&gt;0,"Manual","Sem cotação"))))</f>
        <v/>
      </c>
      <c r="J65" s="102" t="str">
        <f>IF(A65="","",N(E65)*H65)</f>
        <v/>
      </c>
      <c r="K65" s="70" t="str">
        <f>IF(A65="","",J65*W65)</f>
        <v/>
      </c>
      <c r="L65" s="30" t="str">
        <f>IF(A65="","",IF($K$6&gt;0,K65/$K$6,0))</f>
        <v/>
      </c>
      <c r="M65" s="72" t="str">
        <f>IF(A65="","",N(F65)-L65)</f>
        <v/>
      </c>
      <c r="N65" s="30" t="str">
        <f>IF(A65="","",IF($AB$6&gt;0,AB65/$AB$6,0))</f>
        <v/>
      </c>
      <c r="O65" s="74" t="str">
        <f>IF(A65="","",IF(AB65&lt;=0,"",COUNTIF($AB$9:$AB$108,"&gt;"&amp;AB65)+COUNTIF($AB$9:AB65,AB65)))</f>
        <v/>
      </c>
      <c r="P65" s="73" t="str">
        <f>IF(A65="","",IF(Q65&gt;0,"BUY","HOLD"))</f>
        <v/>
      </c>
      <c r="Q65" s="70" t="str">
        <f>IF(A65="","",IF($W$7&lt;=0,0,IF($AC$6&gt;0,$W$7*AC65/$AC$6,IF($F$6&gt;0,$W$7*N(F65)/$F$6,0))))</f>
        <v/>
      </c>
      <c r="R65" s="103" t="str">
        <f>IF(A65="","",N(AD65)+IF(AI65=1,N(AG65),0))</f>
        <v/>
      </c>
      <c r="S65" s="103" t="str">
        <f>IF(A65="","",N(E65)+N(R65))</f>
        <v/>
      </c>
      <c r="T65" s="70" t="str">
        <f>IF(A65="","",IF(N(R65)&gt;0,R65*H65*W65*$W$6+p_CorrFixa,0))</f>
        <v/>
      </c>
      <c r="V65" s="85" t="str">
        <f>IF(A65="","",IF(D65="",$W$1,D65))</f>
        <v/>
      </c>
      <c r="W65" s="85" t="str">
        <f>IF(A65="","",IFERROR(INDEX(moeda_fx,MATCH(V65,moeda_cod,0)),0))</f>
        <v/>
      </c>
      <c r="X65" s="85" t="str">
        <f>IF(A65="","",IF($W$2="",UPPER(TRIM(A65)),IF(RIGHT(UPPER(TRIM(A65)),LEN($W$2))=$W$2,UPPER(TRIM(A65)),UPPER(TRIM(A65))&amp;$W$2)))</f>
        <v/>
      </c>
      <c r="Y65" s="85" t="str">
        <f>IF(OR(A65="",p_ModoCot&lt;&gt;"Automático"),"",IFERROR(_xlfn.WEBSERVICE("https://query1.finance.yahoo.com/v8/finance/chart/"&amp;X65&amp;"?range=1d&amp;interval=1d"),""))</f>
        <v/>
      </c>
      <c r="Z65" s="85" t="str">
        <f>IF(Y65="","",IFERROR(_xlfn.NUMBERVALUE(MID(Y65,SEARCH("""regularMarketPrice"":",Y65)+21,SEARCH(",",Y65&amp;",",SEARCH("""regularMarketPrice"":",Y65)+21)-SEARCH("""regularMarketPrice"":",Y65)-21),".",","),""))</f>
        <v/>
      </c>
      <c r="AA65" s="85" t="str">
        <f>IF(A65="","",ROUND(MAX(0,N(F65)*($K$6+$W$7)-K65),2))</f>
        <v/>
      </c>
      <c r="AB65" s="85" t="str">
        <f>IF(A65="","",IF(AND(M65&gt;0,M65&gt;=p_DifMin),AA65,0))</f>
        <v/>
      </c>
      <c r="AC65" s="85" t="str">
        <f>IF(A65="","",IF(AND(AB65&gt;0,N(O65)&lt;=p_MaxAtivos),AB65,0))</f>
        <v/>
      </c>
      <c r="AD65" s="85" t="str">
        <f>IF(A65="","",IF(OR(Q65&lt;=0,Q65&lt;p_CompraMin,N(H65)&lt;=0,N(W65)&lt;=0),0,IF($W$3="Sim",TRUNC(ROUND(MAX(0,(Q65-p_CorrFixa)/(H65*W65*$W$6)),9),$W$4),TRUNC(ROUND(MAX(0,(Q65-p_CorrFixa)/(H65*W65*$W$6)),9)/$W$5)*$W$5)))</f>
        <v/>
      </c>
      <c r="AE65" s="85" t="str">
        <f>IF(A65="","",IF(N(AD65)&gt;0,AD65*H65*W65*$W$6+p_CorrFixa,0))</f>
        <v/>
      </c>
      <c r="AF65" s="85" t="str">
        <f>IF(A65="","",IF(OR($Y$1&lt;=0,N(H65)&lt;=0,N(W65)&lt;=0,N(AB65)&lt;=0),0,IF($W$3="Sim",TRUNC(ROUND(MAX(0,($Y$1-IF(N(AD65)&gt;0,0,p_CorrFixa))/(H65*W65*$W$6)),9),$W$4),TRUNC(ROUND(MAX(0,($Y$1-IF(N(AD65)&gt;0,0,p_CorrFixa))/(H65*W65*$W$6)),9)/$W$5)*$W$5)))</f>
        <v/>
      </c>
      <c r="AG65" s="85" t="str">
        <f>IF(A65="","",IF(AND(N(AD65)=0,N(AF65)*(H65*W65*$W$6)+p_CorrFixa&lt;p_CompraMin),0,AF65))</f>
        <v/>
      </c>
      <c r="AH65" s="85" t="str">
        <f>IF(A65="","",IF(N(AG65)&gt;0,AB65,0))</f>
        <v/>
      </c>
      <c r="AI65" s="85" t="str">
        <f>IF(A65="","",IF(AND(AH65&gt;0,AH65=$AH$6,COUNTIF($AH$9:AH65,AH65)=1),1,0))</f>
        <v/>
      </c>
    </row>
    <row r="66">
      <c r="A66" s="96" t="n"/>
      <c r="B66" s="96" t="n"/>
      <c r="C66" s="96" t="n"/>
      <c r="D66" s="97" t="n"/>
      <c r="E66" s="98" t="n"/>
      <c r="F66" s="99" t="n"/>
      <c r="G66" s="100" t="n"/>
      <c r="H66" s="104" t="str">
        <f>IF(A66="","",IF(AND(p_ModoCot="Automático",ISNUMBER(Z66)),Z66,IF(N(G66)&gt;0,G66,0)))</f>
        <v/>
      </c>
      <c r="I66" s="105" t="str">
        <f>IF(A66="","",IF(W66=0,"Sem câmbio",IF(AND(p_ModoCot="Automático",ISNUMBER(Z66)),"Auto",IF(N(G66)&gt;0,"Manual","Sem cotação"))))</f>
        <v/>
      </c>
      <c r="J66" s="106" t="str">
        <f>IF(A66="","",N(E66)*H66)</f>
        <v/>
      </c>
      <c r="K66" s="107" t="str">
        <f>IF(A66="","",J66*W66)</f>
        <v/>
      </c>
      <c r="L66" s="108" t="str">
        <f>IF(A66="","",IF($K$6&gt;0,K66/$K$6,0))</f>
        <v/>
      </c>
      <c r="M66" s="109" t="str">
        <f>IF(A66="","",N(F66)-L66)</f>
        <v/>
      </c>
      <c r="N66" s="108" t="str">
        <f>IF(A66="","",IF($AB$6&gt;0,AB66/$AB$6,0))</f>
        <v/>
      </c>
      <c r="O66" s="110" t="str">
        <f>IF(A66="","",IF(AB66&lt;=0,"",COUNTIF($AB$9:$AB$108,"&gt;"&amp;AB66)+COUNTIF($AB$9:AB66,AB66)))</f>
        <v/>
      </c>
      <c r="P66" s="105" t="str">
        <f>IF(A66="","",IF(Q66&gt;0,"BUY","HOLD"))</f>
        <v/>
      </c>
      <c r="Q66" s="107" t="str">
        <f>IF(A66="","",IF($W$7&lt;=0,0,IF($AC$6&gt;0,$W$7*AC66/$AC$6,IF($F$6&gt;0,$W$7*N(F66)/$F$6,0))))</f>
        <v/>
      </c>
      <c r="R66" s="111" t="str">
        <f>IF(A66="","",N(AD66)+IF(AI66=1,N(AG66),0))</f>
        <v/>
      </c>
      <c r="S66" s="111" t="str">
        <f>IF(A66="","",N(E66)+N(R66))</f>
        <v/>
      </c>
      <c r="T66" s="107" t="str">
        <f>IF(A66="","",IF(N(R66)&gt;0,R66*H66*W66*$W$6+p_CorrFixa,0))</f>
        <v/>
      </c>
      <c r="V66" s="85" t="str">
        <f>IF(A66="","",IF(D66="",$W$1,D66))</f>
        <v/>
      </c>
      <c r="W66" s="85" t="str">
        <f>IF(A66="","",IFERROR(INDEX(moeda_fx,MATCH(V66,moeda_cod,0)),0))</f>
        <v/>
      </c>
      <c r="X66" s="85" t="str">
        <f>IF(A66="","",IF($W$2="",UPPER(TRIM(A66)),IF(RIGHT(UPPER(TRIM(A66)),LEN($W$2))=$W$2,UPPER(TRIM(A66)),UPPER(TRIM(A66))&amp;$W$2)))</f>
        <v/>
      </c>
      <c r="Y66" s="85" t="str">
        <f>IF(OR(A66="",p_ModoCot&lt;&gt;"Automático"),"",IFERROR(_xlfn.WEBSERVICE("https://query1.finance.yahoo.com/v8/finance/chart/"&amp;X66&amp;"?range=1d&amp;interval=1d"),""))</f>
        <v/>
      </c>
      <c r="Z66" s="85" t="str">
        <f>IF(Y66="","",IFERROR(_xlfn.NUMBERVALUE(MID(Y66,SEARCH("""regularMarketPrice"":",Y66)+21,SEARCH(",",Y66&amp;",",SEARCH("""regularMarketPrice"":",Y66)+21)-SEARCH("""regularMarketPrice"":",Y66)-21),".",","),""))</f>
        <v/>
      </c>
      <c r="AA66" s="85" t="str">
        <f>IF(A66="","",ROUND(MAX(0,N(F66)*($K$6+$W$7)-K66),2))</f>
        <v/>
      </c>
      <c r="AB66" s="85" t="str">
        <f>IF(A66="","",IF(AND(M66&gt;0,M66&gt;=p_DifMin),AA66,0))</f>
        <v/>
      </c>
      <c r="AC66" s="85" t="str">
        <f>IF(A66="","",IF(AND(AB66&gt;0,N(O66)&lt;=p_MaxAtivos),AB66,0))</f>
        <v/>
      </c>
      <c r="AD66" s="85" t="str">
        <f>IF(A66="","",IF(OR(Q66&lt;=0,Q66&lt;p_CompraMin,N(H66)&lt;=0,N(W66)&lt;=0),0,IF($W$3="Sim",TRUNC(ROUND(MAX(0,(Q66-p_CorrFixa)/(H66*W66*$W$6)),9),$W$4),TRUNC(ROUND(MAX(0,(Q66-p_CorrFixa)/(H66*W66*$W$6)),9)/$W$5)*$W$5)))</f>
        <v/>
      </c>
      <c r="AE66" s="85" t="str">
        <f>IF(A66="","",IF(N(AD66)&gt;0,AD66*H66*W66*$W$6+p_CorrFixa,0))</f>
        <v/>
      </c>
      <c r="AF66" s="85" t="str">
        <f>IF(A66="","",IF(OR($Y$1&lt;=0,N(H66)&lt;=0,N(W66)&lt;=0,N(AB66)&lt;=0),0,IF($W$3="Sim",TRUNC(ROUND(MAX(0,($Y$1-IF(N(AD66)&gt;0,0,p_CorrFixa))/(H66*W66*$W$6)),9),$W$4),TRUNC(ROUND(MAX(0,($Y$1-IF(N(AD66)&gt;0,0,p_CorrFixa))/(H66*W66*$W$6)),9)/$W$5)*$W$5)))</f>
        <v/>
      </c>
      <c r="AG66" s="85" t="str">
        <f>IF(A66="","",IF(AND(N(AD66)=0,N(AF66)*(H66*W66*$W$6)+p_CorrFixa&lt;p_CompraMin),0,AF66))</f>
        <v/>
      </c>
      <c r="AH66" s="85" t="str">
        <f>IF(A66="","",IF(N(AG66)&gt;0,AB66,0))</f>
        <v/>
      </c>
      <c r="AI66" s="85" t="str">
        <f>IF(A66="","",IF(AND(AH66&gt;0,AH66=$AH$6,COUNTIF($AH$9:AH66,AH66)=1),1,0))</f>
        <v/>
      </c>
    </row>
    <row r="67">
      <c r="A67" s="96" t="n"/>
      <c r="B67" s="96" t="n"/>
      <c r="C67" s="96" t="n"/>
      <c r="D67" s="97" t="n"/>
      <c r="E67" s="98" t="n"/>
      <c r="F67" s="99" t="n"/>
      <c r="G67" s="100" t="n"/>
      <c r="H67" s="101" t="str">
        <f>IF(A67="","",IF(AND(p_ModoCot="Automático",ISNUMBER(Z67)),Z67,IF(N(G67)&gt;0,G67,0)))</f>
        <v/>
      </c>
      <c r="I67" s="73" t="str">
        <f>IF(A67="","",IF(W67=0,"Sem câmbio",IF(AND(p_ModoCot="Automático",ISNUMBER(Z67)),"Auto",IF(N(G67)&gt;0,"Manual","Sem cotação"))))</f>
        <v/>
      </c>
      <c r="J67" s="102" t="str">
        <f>IF(A67="","",N(E67)*H67)</f>
        <v/>
      </c>
      <c r="K67" s="70" t="str">
        <f>IF(A67="","",J67*W67)</f>
        <v/>
      </c>
      <c r="L67" s="30" t="str">
        <f>IF(A67="","",IF($K$6&gt;0,K67/$K$6,0))</f>
        <v/>
      </c>
      <c r="M67" s="72" t="str">
        <f>IF(A67="","",N(F67)-L67)</f>
        <v/>
      </c>
      <c r="N67" s="30" t="str">
        <f>IF(A67="","",IF($AB$6&gt;0,AB67/$AB$6,0))</f>
        <v/>
      </c>
      <c r="O67" s="74" t="str">
        <f>IF(A67="","",IF(AB67&lt;=0,"",COUNTIF($AB$9:$AB$108,"&gt;"&amp;AB67)+COUNTIF($AB$9:AB67,AB67)))</f>
        <v/>
      </c>
      <c r="P67" s="73" t="str">
        <f>IF(A67="","",IF(Q67&gt;0,"BUY","HOLD"))</f>
        <v/>
      </c>
      <c r="Q67" s="70" t="str">
        <f>IF(A67="","",IF($W$7&lt;=0,0,IF($AC$6&gt;0,$W$7*AC67/$AC$6,IF($F$6&gt;0,$W$7*N(F67)/$F$6,0))))</f>
        <v/>
      </c>
      <c r="R67" s="103" t="str">
        <f>IF(A67="","",N(AD67)+IF(AI67=1,N(AG67),0))</f>
        <v/>
      </c>
      <c r="S67" s="103" t="str">
        <f>IF(A67="","",N(E67)+N(R67))</f>
        <v/>
      </c>
      <c r="T67" s="70" t="str">
        <f>IF(A67="","",IF(N(R67)&gt;0,R67*H67*W67*$W$6+p_CorrFixa,0))</f>
        <v/>
      </c>
      <c r="V67" s="85" t="str">
        <f>IF(A67="","",IF(D67="",$W$1,D67))</f>
        <v/>
      </c>
      <c r="W67" s="85" t="str">
        <f>IF(A67="","",IFERROR(INDEX(moeda_fx,MATCH(V67,moeda_cod,0)),0))</f>
        <v/>
      </c>
      <c r="X67" s="85" t="str">
        <f>IF(A67="","",IF($W$2="",UPPER(TRIM(A67)),IF(RIGHT(UPPER(TRIM(A67)),LEN($W$2))=$W$2,UPPER(TRIM(A67)),UPPER(TRIM(A67))&amp;$W$2)))</f>
        <v/>
      </c>
      <c r="Y67" s="85" t="str">
        <f>IF(OR(A67="",p_ModoCot&lt;&gt;"Automático"),"",IFERROR(_xlfn.WEBSERVICE("https://query1.finance.yahoo.com/v8/finance/chart/"&amp;X67&amp;"?range=1d&amp;interval=1d"),""))</f>
        <v/>
      </c>
      <c r="Z67" s="85" t="str">
        <f>IF(Y67="","",IFERROR(_xlfn.NUMBERVALUE(MID(Y67,SEARCH("""regularMarketPrice"":",Y67)+21,SEARCH(",",Y67&amp;",",SEARCH("""regularMarketPrice"":",Y67)+21)-SEARCH("""regularMarketPrice"":",Y67)-21),".",","),""))</f>
        <v/>
      </c>
      <c r="AA67" s="85" t="str">
        <f>IF(A67="","",ROUND(MAX(0,N(F67)*($K$6+$W$7)-K67),2))</f>
        <v/>
      </c>
      <c r="AB67" s="85" t="str">
        <f>IF(A67="","",IF(AND(M67&gt;0,M67&gt;=p_DifMin),AA67,0))</f>
        <v/>
      </c>
      <c r="AC67" s="85" t="str">
        <f>IF(A67="","",IF(AND(AB67&gt;0,N(O67)&lt;=p_MaxAtivos),AB67,0))</f>
        <v/>
      </c>
      <c r="AD67" s="85" t="str">
        <f>IF(A67="","",IF(OR(Q67&lt;=0,Q67&lt;p_CompraMin,N(H67)&lt;=0,N(W67)&lt;=0),0,IF($W$3="Sim",TRUNC(ROUND(MAX(0,(Q67-p_CorrFixa)/(H67*W67*$W$6)),9),$W$4),TRUNC(ROUND(MAX(0,(Q67-p_CorrFixa)/(H67*W67*$W$6)),9)/$W$5)*$W$5)))</f>
        <v/>
      </c>
      <c r="AE67" s="85" t="str">
        <f>IF(A67="","",IF(N(AD67)&gt;0,AD67*H67*W67*$W$6+p_CorrFixa,0))</f>
        <v/>
      </c>
      <c r="AF67" s="85" t="str">
        <f>IF(A67="","",IF(OR($Y$1&lt;=0,N(H67)&lt;=0,N(W67)&lt;=0,N(AB67)&lt;=0),0,IF($W$3="Sim",TRUNC(ROUND(MAX(0,($Y$1-IF(N(AD67)&gt;0,0,p_CorrFixa))/(H67*W67*$W$6)),9),$W$4),TRUNC(ROUND(MAX(0,($Y$1-IF(N(AD67)&gt;0,0,p_CorrFixa))/(H67*W67*$W$6)),9)/$W$5)*$W$5)))</f>
        <v/>
      </c>
      <c r="AG67" s="85" t="str">
        <f>IF(A67="","",IF(AND(N(AD67)=0,N(AF67)*(H67*W67*$W$6)+p_CorrFixa&lt;p_CompraMin),0,AF67))</f>
        <v/>
      </c>
      <c r="AH67" s="85" t="str">
        <f>IF(A67="","",IF(N(AG67)&gt;0,AB67,0))</f>
        <v/>
      </c>
      <c r="AI67" s="85" t="str">
        <f>IF(A67="","",IF(AND(AH67&gt;0,AH67=$AH$6,COUNTIF($AH$9:AH67,AH67)=1),1,0))</f>
        <v/>
      </c>
    </row>
    <row r="68">
      <c r="A68" s="96" t="n"/>
      <c r="B68" s="96" t="n"/>
      <c r="C68" s="96" t="n"/>
      <c r="D68" s="97" t="n"/>
      <c r="E68" s="98" t="n"/>
      <c r="F68" s="99" t="n"/>
      <c r="G68" s="100" t="n"/>
      <c r="H68" s="104" t="str">
        <f>IF(A68="","",IF(AND(p_ModoCot="Automático",ISNUMBER(Z68)),Z68,IF(N(G68)&gt;0,G68,0)))</f>
        <v/>
      </c>
      <c r="I68" s="105" t="str">
        <f>IF(A68="","",IF(W68=0,"Sem câmbio",IF(AND(p_ModoCot="Automático",ISNUMBER(Z68)),"Auto",IF(N(G68)&gt;0,"Manual","Sem cotação"))))</f>
        <v/>
      </c>
      <c r="J68" s="106" t="str">
        <f>IF(A68="","",N(E68)*H68)</f>
        <v/>
      </c>
      <c r="K68" s="107" t="str">
        <f>IF(A68="","",J68*W68)</f>
        <v/>
      </c>
      <c r="L68" s="108" t="str">
        <f>IF(A68="","",IF($K$6&gt;0,K68/$K$6,0))</f>
        <v/>
      </c>
      <c r="M68" s="109" t="str">
        <f>IF(A68="","",N(F68)-L68)</f>
        <v/>
      </c>
      <c r="N68" s="108" t="str">
        <f>IF(A68="","",IF($AB$6&gt;0,AB68/$AB$6,0))</f>
        <v/>
      </c>
      <c r="O68" s="110" t="str">
        <f>IF(A68="","",IF(AB68&lt;=0,"",COUNTIF($AB$9:$AB$108,"&gt;"&amp;AB68)+COUNTIF($AB$9:AB68,AB68)))</f>
        <v/>
      </c>
      <c r="P68" s="105" t="str">
        <f>IF(A68="","",IF(Q68&gt;0,"BUY","HOLD"))</f>
        <v/>
      </c>
      <c r="Q68" s="107" t="str">
        <f>IF(A68="","",IF($W$7&lt;=0,0,IF($AC$6&gt;0,$W$7*AC68/$AC$6,IF($F$6&gt;0,$W$7*N(F68)/$F$6,0))))</f>
        <v/>
      </c>
      <c r="R68" s="111" t="str">
        <f>IF(A68="","",N(AD68)+IF(AI68=1,N(AG68),0))</f>
        <v/>
      </c>
      <c r="S68" s="111" t="str">
        <f>IF(A68="","",N(E68)+N(R68))</f>
        <v/>
      </c>
      <c r="T68" s="107" t="str">
        <f>IF(A68="","",IF(N(R68)&gt;0,R68*H68*W68*$W$6+p_CorrFixa,0))</f>
        <v/>
      </c>
      <c r="V68" s="85" t="str">
        <f>IF(A68="","",IF(D68="",$W$1,D68))</f>
        <v/>
      </c>
      <c r="W68" s="85" t="str">
        <f>IF(A68="","",IFERROR(INDEX(moeda_fx,MATCH(V68,moeda_cod,0)),0))</f>
        <v/>
      </c>
      <c r="X68" s="85" t="str">
        <f>IF(A68="","",IF($W$2="",UPPER(TRIM(A68)),IF(RIGHT(UPPER(TRIM(A68)),LEN($W$2))=$W$2,UPPER(TRIM(A68)),UPPER(TRIM(A68))&amp;$W$2)))</f>
        <v/>
      </c>
      <c r="Y68" s="85" t="str">
        <f>IF(OR(A68="",p_ModoCot&lt;&gt;"Automático"),"",IFERROR(_xlfn.WEBSERVICE("https://query1.finance.yahoo.com/v8/finance/chart/"&amp;X68&amp;"?range=1d&amp;interval=1d"),""))</f>
        <v/>
      </c>
      <c r="Z68" s="85" t="str">
        <f>IF(Y68="","",IFERROR(_xlfn.NUMBERVALUE(MID(Y68,SEARCH("""regularMarketPrice"":",Y68)+21,SEARCH(",",Y68&amp;",",SEARCH("""regularMarketPrice"":",Y68)+21)-SEARCH("""regularMarketPrice"":",Y68)-21),".",","),""))</f>
        <v/>
      </c>
      <c r="AA68" s="85" t="str">
        <f>IF(A68="","",ROUND(MAX(0,N(F68)*($K$6+$W$7)-K68),2))</f>
        <v/>
      </c>
      <c r="AB68" s="85" t="str">
        <f>IF(A68="","",IF(AND(M68&gt;0,M68&gt;=p_DifMin),AA68,0))</f>
        <v/>
      </c>
      <c r="AC68" s="85" t="str">
        <f>IF(A68="","",IF(AND(AB68&gt;0,N(O68)&lt;=p_MaxAtivos),AB68,0))</f>
        <v/>
      </c>
      <c r="AD68" s="85" t="str">
        <f>IF(A68="","",IF(OR(Q68&lt;=0,Q68&lt;p_CompraMin,N(H68)&lt;=0,N(W68)&lt;=0),0,IF($W$3="Sim",TRUNC(ROUND(MAX(0,(Q68-p_CorrFixa)/(H68*W68*$W$6)),9),$W$4),TRUNC(ROUND(MAX(0,(Q68-p_CorrFixa)/(H68*W68*$W$6)),9)/$W$5)*$W$5)))</f>
        <v/>
      </c>
      <c r="AE68" s="85" t="str">
        <f>IF(A68="","",IF(N(AD68)&gt;0,AD68*H68*W68*$W$6+p_CorrFixa,0))</f>
        <v/>
      </c>
      <c r="AF68" s="85" t="str">
        <f>IF(A68="","",IF(OR($Y$1&lt;=0,N(H68)&lt;=0,N(W68)&lt;=0,N(AB68)&lt;=0),0,IF($W$3="Sim",TRUNC(ROUND(MAX(0,($Y$1-IF(N(AD68)&gt;0,0,p_CorrFixa))/(H68*W68*$W$6)),9),$W$4),TRUNC(ROUND(MAX(0,($Y$1-IF(N(AD68)&gt;0,0,p_CorrFixa))/(H68*W68*$W$6)),9)/$W$5)*$W$5)))</f>
        <v/>
      </c>
      <c r="AG68" s="85" t="str">
        <f>IF(A68="","",IF(AND(N(AD68)=0,N(AF68)*(H68*W68*$W$6)+p_CorrFixa&lt;p_CompraMin),0,AF68))</f>
        <v/>
      </c>
      <c r="AH68" s="85" t="str">
        <f>IF(A68="","",IF(N(AG68)&gt;0,AB68,0))</f>
        <v/>
      </c>
      <c r="AI68" s="85" t="str">
        <f>IF(A68="","",IF(AND(AH68&gt;0,AH68=$AH$6,COUNTIF($AH$9:AH68,AH68)=1),1,0))</f>
        <v/>
      </c>
    </row>
    <row r="69">
      <c r="A69" s="96" t="n"/>
      <c r="B69" s="96" t="n"/>
      <c r="C69" s="96" t="n"/>
      <c r="D69" s="97" t="n"/>
      <c r="E69" s="98" t="n"/>
      <c r="F69" s="99" t="n"/>
      <c r="G69" s="100" t="n"/>
      <c r="H69" s="101" t="str">
        <f>IF(A69="","",IF(AND(p_ModoCot="Automático",ISNUMBER(Z69)),Z69,IF(N(G69)&gt;0,G69,0)))</f>
        <v/>
      </c>
      <c r="I69" s="73" t="str">
        <f>IF(A69="","",IF(W69=0,"Sem câmbio",IF(AND(p_ModoCot="Automático",ISNUMBER(Z69)),"Auto",IF(N(G69)&gt;0,"Manual","Sem cotação"))))</f>
        <v/>
      </c>
      <c r="J69" s="102" t="str">
        <f>IF(A69="","",N(E69)*H69)</f>
        <v/>
      </c>
      <c r="K69" s="70" t="str">
        <f>IF(A69="","",J69*W69)</f>
        <v/>
      </c>
      <c r="L69" s="30" t="str">
        <f>IF(A69="","",IF($K$6&gt;0,K69/$K$6,0))</f>
        <v/>
      </c>
      <c r="M69" s="72" t="str">
        <f>IF(A69="","",N(F69)-L69)</f>
        <v/>
      </c>
      <c r="N69" s="30" t="str">
        <f>IF(A69="","",IF($AB$6&gt;0,AB69/$AB$6,0))</f>
        <v/>
      </c>
      <c r="O69" s="74" t="str">
        <f>IF(A69="","",IF(AB69&lt;=0,"",COUNTIF($AB$9:$AB$108,"&gt;"&amp;AB69)+COUNTIF($AB$9:AB69,AB69)))</f>
        <v/>
      </c>
      <c r="P69" s="73" t="str">
        <f>IF(A69="","",IF(Q69&gt;0,"BUY","HOLD"))</f>
        <v/>
      </c>
      <c r="Q69" s="70" t="str">
        <f>IF(A69="","",IF($W$7&lt;=0,0,IF($AC$6&gt;0,$W$7*AC69/$AC$6,IF($F$6&gt;0,$W$7*N(F69)/$F$6,0))))</f>
        <v/>
      </c>
      <c r="R69" s="103" t="str">
        <f>IF(A69="","",N(AD69)+IF(AI69=1,N(AG69),0))</f>
        <v/>
      </c>
      <c r="S69" s="103" t="str">
        <f>IF(A69="","",N(E69)+N(R69))</f>
        <v/>
      </c>
      <c r="T69" s="70" t="str">
        <f>IF(A69="","",IF(N(R69)&gt;0,R69*H69*W69*$W$6+p_CorrFixa,0))</f>
        <v/>
      </c>
      <c r="V69" s="85" t="str">
        <f>IF(A69="","",IF(D69="",$W$1,D69))</f>
        <v/>
      </c>
      <c r="W69" s="85" t="str">
        <f>IF(A69="","",IFERROR(INDEX(moeda_fx,MATCH(V69,moeda_cod,0)),0))</f>
        <v/>
      </c>
      <c r="X69" s="85" t="str">
        <f>IF(A69="","",IF($W$2="",UPPER(TRIM(A69)),IF(RIGHT(UPPER(TRIM(A69)),LEN($W$2))=$W$2,UPPER(TRIM(A69)),UPPER(TRIM(A69))&amp;$W$2)))</f>
        <v/>
      </c>
      <c r="Y69" s="85" t="str">
        <f>IF(OR(A69="",p_ModoCot&lt;&gt;"Automático"),"",IFERROR(_xlfn.WEBSERVICE("https://query1.finance.yahoo.com/v8/finance/chart/"&amp;X69&amp;"?range=1d&amp;interval=1d"),""))</f>
        <v/>
      </c>
      <c r="Z69" s="85" t="str">
        <f>IF(Y69="","",IFERROR(_xlfn.NUMBERVALUE(MID(Y69,SEARCH("""regularMarketPrice"":",Y69)+21,SEARCH(",",Y69&amp;",",SEARCH("""regularMarketPrice"":",Y69)+21)-SEARCH("""regularMarketPrice"":",Y69)-21),".",","),""))</f>
        <v/>
      </c>
      <c r="AA69" s="85" t="str">
        <f>IF(A69="","",ROUND(MAX(0,N(F69)*($K$6+$W$7)-K69),2))</f>
        <v/>
      </c>
      <c r="AB69" s="85" t="str">
        <f>IF(A69="","",IF(AND(M69&gt;0,M69&gt;=p_DifMin),AA69,0))</f>
        <v/>
      </c>
      <c r="AC69" s="85" t="str">
        <f>IF(A69="","",IF(AND(AB69&gt;0,N(O69)&lt;=p_MaxAtivos),AB69,0))</f>
        <v/>
      </c>
      <c r="AD69" s="85" t="str">
        <f>IF(A69="","",IF(OR(Q69&lt;=0,Q69&lt;p_CompraMin,N(H69)&lt;=0,N(W69)&lt;=0),0,IF($W$3="Sim",TRUNC(ROUND(MAX(0,(Q69-p_CorrFixa)/(H69*W69*$W$6)),9),$W$4),TRUNC(ROUND(MAX(0,(Q69-p_CorrFixa)/(H69*W69*$W$6)),9)/$W$5)*$W$5)))</f>
        <v/>
      </c>
      <c r="AE69" s="85" t="str">
        <f>IF(A69="","",IF(N(AD69)&gt;0,AD69*H69*W69*$W$6+p_CorrFixa,0))</f>
        <v/>
      </c>
      <c r="AF69" s="85" t="str">
        <f>IF(A69="","",IF(OR($Y$1&lt;=0,N(H69)&lt;=0,N(W69)&lt;=0,N(AB69)&lt;=0),0,IF($W$3="Sim",TRUNC(ROUND(MAX(0,($Y$1-IF(N(AD69)&gt;0,0,p_CorrFixa))/(H69*W69*$W$6)),9),$W$4),TRUNC(ROUND(MAX(0,($Y$1-IF(N(AD69)&gt;0,0,p_CorrFixa))/(H69*W69*$W$6)),9)/$W$5)*$W$5)))</f>
        <v/>
      </c>
      <c r="AG69" s="85" t="str">
        <f>IF(A69="","",IF(AND(N(AD69)=0,N(AF69)*(H69*W69*$W$6)+p_CorrFixa&lt;p_CompraMin),0,AF69))</f>
        <v/>
      </c>
      <c r="AH69" s="85" t="str">
        <f>IF(A69="","",IF(N(AG69)&gt;0,AB69,0))</f>
        <v/>
      </c>
      <c r="AI69" s="85" t="str">
        <f>IF(A69="","",IF(AND(AH69&gt;0,AH69=$AH$6,COUNTIF($AH$9:AH69,AH69)=1),1,0))</f>
        <v/>
      </c>
    </row>
    <row r="70">
      <c r="A70" s="96" t="n"/>
      <c r="B70" s="96" t="n"/>
      <c r="C70" s="96" t="n"/>
      <c r="D70" s="97" t="n"/>
      <c r="E70" s="98" t="n"/>
      <c r="F70" s="99" t="n"/>
      <c r="G70" s="100" t="n"/>
      <c r="H70" s="104" t="str">
        <f>IF(A70="","",IF(AND(p_ModoCot="Automático",ISNUMBER(Z70)),Z70,IF(N(G70)&gt;0,G70,0)))</f>
        <v/>
      </c>
      <c r="I70" s="105" t="str">
        <f>IF(A70="","",IF(W70=0,"Sem câmbio",IF(AND(p_ModoCot="Automático",ISNUMBER(Z70)),"Auto",IF(N(G70)&gt;0,"Manual","Sem cotação"))))</f>
        <v/>
      </c>
      <c r="J70" s="106" t="str">
        <f>IF(A70="","",N(E70)*H70)</f>
        <v/>
      </c>
      <c r="K70" s="107" t="str">
        <f>IF(A70="","",J70*W70)</f>
        <v/>
      </c>
      <c r="L70" s="108" t="str">
        <f>IF(A70="","",IF($K$6&gt;0,K70/$K$6,0))</f>
        <v/>
      </c>
      <c r="M70" s="109" t="str">
        <f>IF(A70="","",N(F70)-L70)</f>
        <v/>
      </c>
      <c r="N70" s="108" t="str">
        <f>IF(A70="","",IF($AB$6&gt;0,AB70/$AB$6,0))</f>
        <v/>
      </c>
      <c r="O70" s="110" t="str">
        <f>IF(A70="","",IF(AB70&lt;=0,"",COUNTIF($AB$9:$AB$108,"&gt;"&amp;AB70)+COUNTIF($AB$9:AB70,AB70)))</f>
        <v/>
      </c>
      <c r="P70" s="105" t="str">
        <f>IF(A70="","",IF(Q70&gt;0,"BUY","HOLD"))</f>
        <v/>
      </c>
      <c r="Q70" s="107" t="str">
        <f>IF(A70="","",IF($W$7&lt;=0,0,IF($AC$6&gt;0,$W$7*AC70/$AC$6,IF($F$6&gt;0,$W$7*N(F70)/$F$6,0))))</f>
        <v/>
      </c>
      <c r="R70" s="111" t="str">
        <f>IF(A70="","",N(AD70)+IF(AI70=1,N(AG70),0))</f>
        <v/>
      </c>
      <c r="S70" s="111" t="str">
        <f>IF(A70="","",N(E70)+N(R70))</f>
        <v/>
      </c>
      <c r="T70" s="107" t="str">
        <f>IF(A70="","",IF(N(R70)&gt;0,R70*H70*W70*$W$6+p_CorrFixa,0))</f>
        <v/>
      </c>
      <c r="V70" s="85" t="str">
        <f>IF(A70="","",IF(D70="",$W$1,D70))</f>
        <v/>
      </c>
      <c r="W70" s="85" t="str">
        <f>IF(A70="","",IFERROR(INDEX(moeda_fx,MATCH(V70,moeda_cod,0)),0))</f>
        <v/>
      </c>
      <c r="X70" s="85" t="str">
        <f>IF(A70="","",IF($W$2="",UPPER(TRIM(A70)),IF(RIGHT(UPPER(TRIM(A70)),LEN($W$2))=$W$2,UPPER(TRIM(A70)),UPPER(TRIM(A70))&amp;$W$2)))</f>
        <v/>
      </c>
      <c r="Y70" s="85" t="str">
        <f>IF(OR(A70="",p_ModoCot&lt;&gt;"Automático"),"",IFERROR(_xlfn.WEBSERVICE("https://query1.finance.yahoo.com/v8/finance/chart/"&amp;X70&amp;"?range=1d&amp;interval=1d"),""))</f>
        <v/>
      </c>
      <c r="Z70" s="85" t="str">
        <f>IF(Y70="","",IFERROR(_xlfn.NUMBERVALUE(MID(Y70,SEARCH("""regularMarketPrice"":",Y70)+21,SEARCH(",",Y70&amp;",",SEARCH("""regularMarketPrice"":",Y70)+21)-SEARCH("""regularMarketPrice"":",Y70)-21),".",","),""))</f>
        <v/>
      </c>
      <c r="AA70" s="85" t="str">
        <f>IF(A70="","",ROUND(MAX(0,N(F70)*($K$6+$W$7)-K70),2))</f>
        <v/>
      </c>
      <c r="AB70" s="85" t="str">
        <f>IF(A70="","",IF(AND(M70&gt;0,M70&gt;=p_DifMin),AA70,0))</f>
        <v/>
      </c>
      <c r="AC70" s="85" t="str">
        <f>IF(A70="","",IF(AND(AB70&gt;0,N(O70)&lt;=p_MaxAtivos),AB70,0))</f>
        <v/>
      </c>
      <c r="AD70" s="85" t="str">
        <f>IF(A70="","",IF(OR(Q70&lt;=0,Q70&lt;p_CompraMin,N(H70)&lt;=0,N(W70)&lt;=0),0,IF($W$3="Sim",TRUNC(ROUND(MAX(0,(Q70-p_CorrFixa)/(H70*W70*$W$6)),9),$W$4),TRUNC(ROUND(MAX(0,(Q70-p_CorrFixa)/(H70*W70*$W$6)),9)/$W$5)*$W$5)))</f>
        <v/>
      </c>
      <c r="AE70" s="85" t="str">
        <f>IF(A70="","",IF(N(AD70)&gt;0,AD70*H70*W70*$W$6+p_CorrFixa,0))</f>
        <v/>
      </c>
      <c r="AF70" s="85" t="str">
        <f>IF(A70="","",IF(OR($Y$1&lt;=0,N(H70)&lt;=0,N(W70)&lt;=0,N(AB70)&lt;=0),0,IF($W$3="Sim",TRUNC(ROUND(MAX(0,($Y$1-IF(N(AD70)&gt;0,0,p_CorrFixa))/(H70*W70*$W$6)),9),$W$4),TRUNC(ROUND(MAX(0,($Y$1-IF(N(AD70)&gt;0,0,p_CorrFixa))/(H70*W70*$W$6)),9)/$W$5)*$W$5)))</f>
        <v/>
      </c>
      <c r="AG70" s="85" t="str">
        <f>IF(A70="","",IF(AND(N(AD70)=0,N(AF70)*(H70*W70*$W$6)+p_CorrFixa&lt;p_CompraMin),0,AF70))</f>
        <v/>
      </c>
      <c r="AH70" s="85" t="str">
        <f>IF(A70="","",IF(N(AG70)&gt;0,AB70,0))</f>
        <v/>
      </c>
      <c r="AI70" s="85" t="str">
        <f>IF(A70="","",IF(AND(AH70&gt;0,AH70=$AH$6,COUNTIF($AH$9:AH70,AH70)=1),1,0))</f>
        <v/>
      </c>
    </row>
    <row r="71">
      <c r="A71" s="96" t="n"/>
      <c r="B71" s="96" t="n"/>
      <c r="C71" s="96" t="n"/>
      <c r="D71" s="97" t="n"/>
      <c r="E71" s="98" t="n"/>
      <c r="F71" s="99" t="n"/>
      <c r="G71" s="100" t="n"/>
      <c r="H71" s="101" t="str">
        <f>IF(A71="","",IF(AND(p_ModoCot="Automático",ISNUMBER(Z71)),Z71,IF(N(G71)&gt;0,G71,0)))</f>
        <v/>
      </c>
      <c r="I71" s="73" t="str">
        <f>IF(A71="","",IF(W71=0,"Sem câmbio",IF(AND(p_ModoCot="Automático",ISNUMBER(Z71)),"Auto",IF(N(G71)&gt;0,"Manual","Sem cotação"))))</f>
        <v/>
      </c>
      <c r="J71" s="102" t="str">
        <f>IF(A71="","",N(E71)*H71)</f>
        <v/>
      </c>
      <c r="K71" s="70" t="str">
        <f>IF(A71="","",J71*W71)</f>
        <v/>
      </c>
      <c r="L71" s="30" t="str">
        <f>IF(A71="","",IF($K$6&gt;0,K71/$K$6,0))</f>
        <v/>
      </c>
      <c r="M71" s="72" t="str">
        <f>IF(A71="","",N(F71)-L71)</f>
        <v/>
      </c>
      <c r="N71" s="30" t="str">
        <f>IF(A71="","",IF($AB$6&gt;0,AB71/$AB$6,0))</f>
        <v/>
      </c>
      <c r="O71" s="74" t="str">
        <f>IF(A71="","",IF(AB71&lt;=0,"",COUNTIF($AB$9:$AB$108,"&gt;"&amp;AB71)+COUNTIF($AB$9:AB71,AB71)))</f>
        <v/>
      </c>
      <c r="P71" s="73" t="str">
        <f>IF(A71="","",IF(Q71&gt;0,"BUY","HOLD"))</f>
        <v/>
      </c>
      <c r="Q71" s="70" t="str">
        <f>IF(A71="","",IF($W$7&lt;=0,0,IF($AC$6&gt;0,$W$7*AC71/$AC$6,IF($F$6&gt;0,$W$7*N(F71)/$F$6,0))))</f>
        <v/>
      </c>
      <c r="R71" s="103" t="str">
        <f>IF(A71="","",N(AD71)+IF(AI71=1,N(AG71),0))</f>
        <v/>
      </c>
      <c r="S71" s="103" t="str">
        <f>IF(A71="","",N(E71)+N(R71))</f>
        <v/>
      </c>
      <c r="T71" s="70" t="str">
        <f>IF(A71="","",IF(N(R71)&gt;0,R71*H71*W71*$W$6+p_CorrFixa,0))</f>
        <v/>
      </c>
      <c r="V71" s="85" t="str">
        <f>IF(A71="","",IF(D71="",$W$1,D71))</f>
        <v/>
      </c>
      <c r="W71" s="85" t="str">
        <f>IF(A71="","",IFERROR(INDEX(moeda_fx,MATCH(V71,moeda_cod,0)),0))</f>
        <v/>
      </c>
      <c r="X71" s="85" t="str">
        <f>IF(A71="","",IF($W$2="",UPPER(TRIM(A71)),IF(RIGHT(UPPER(TRIM(A71)),LEN($W$2))=$W$2,UPPER(TRIM(A71)),UPPER(TRIM(A71))&amp;$W$2)))</f>
        <v/>
      </c>
      <c r="Y71" s="85" t="str">
        <f>IF(OR(A71="",p_ModoCot&lt;&gt;"Automático"),"",IFERROR(_xlfn.WEBSERVICE("https://query1.finance.yahoo.com/v8/finance/chart/"&amp;X71&amp;"?range=1d&amp;interval=1d"),""))</f>
        <v/>
      </c>
      <c r="Z71" s="85" t="str">
        <f>IF(Y71="","",IFERROR(_xlfn.NUMBERVALUE(MID(Y71,SEARCH("""regularMarketPrice"":",Y71)+21,SEARCH(",",Y71&amp;",",SEARCH("""regularMarketPrice"":",Y71)+21)-SEARCH("""regularMarketPrice"":",Y71)-21),".",","),""))</f>
        <v/>
      </c>
      <c r="AA71" s="85" t="str">
        <f>IF(A71="","",ROUND(MAX(0,N(F71)*($K$6+$W$7)-K71),2))</f>
        <v/>
      </c>
      <c r="AB71" s="85" t="str">
        <f>IF(A71="","",IF(AND(M71&gt;0,M71&gt;=p_DifMin),AA71,0))</f>
        <v/>
      </c>
      <c r="AC71" s="85" t="str">
        <f>IF(A71="","",IF(AND(AB71&gt;0,N(O71)&lt;=p_MaxAtivos),AB71,0))</f>
        <v/>
      </c>
      <c r="AD71" s="85" t="str">
        <f>IF(A71="","",IF(OR(Q71&lt;=0,Q71&lt;p_CompraMin,N(H71)&lt;=0,N(W71)&lt;=0),0,IF($W$3="Sim",TRUNC(ROUND(MAX(0,(Q71-p_CorrFixa)/(H71*W71*$W$6)),9),$W$4),TRUNC(ROUND(MAX(0,(Q71-p_CorrFixa)/(H71*W71*$W$6)),9)/$W$5)*$W$5)))</f>
        <v/>
      </c>
      <c r="AE71" s="85" t="str">
        <f>IF(A71="","",IF(N(AD71)&gt;0,AD71*H71*W71*$W$6+p_CorrFixa,0))</f>
        <v/>
      </c>
      <c r="AF71" s="85" t="str">
        <f>IF(A71="","",IF(OR($Y$1&lt;=0,N(H71)&lt;=0,N(W71)&lt;=0,N(AB71)&lt;=0),0,IF($W$3="Sim",TRUNC(ROUND(MAX(0,($Y$1-IF(N(AD71)&gt;0,0,p_CorrFixa))/(H71*W71*$W$6)),9),$W$4),TRUNC(ROUND(MAX(0,($Y$1-IF(N(AD71)&gt;0,0,p_CorrFixa))/(H71*W71*$W$6)),9)/$W$5)*$W$5)))</f>
        <v/>
      </c>
      <c r="AG71" s="85" t="str">
        <f>IF(A71="","",IF(AND(N(AD71)=0,N(AF71)*(H71*W71*$W$6)+p_CorrFixa&lt;p_CompraMin),0,AF71))</f>
        <v/>
      </c>
      <c r="AH71" s="85" t="str">
        <f>IF(A71="","",IF(N(AG71)&gt;0,AB71,0))</f>
        <v/>
      </c>
      <c r="AI71" s="85" t="str">
        <f>IF(A71="","",IF(AND(AH71&gt;0,AH71=$AH$6,COUNTIF($AH$9:AH71,AH71)=1),1,0))</f>
        <v/>
      </c>
    </row>
    <row r="72">
      <c r="A72" s="96" t="n"/>
      <c r="B72" s="96" t="n"/>
      <c r="C72" s="96" t="n"/>
      <c r="D72" s="97" t="n"/>
      <c r="E72" s="98" t="n"/>
      <c r="F72" s="99" t="n"/>
      <c r="G72" s="100" t="n"/>
      <c r="H72" s="104" t="str">
        <f>IF(A72="","",IF(AND(p_ModoCot="Automático",ISNUMBER(Z72)),Z72,IF(N(G72)&gt;0,G72,0)))</f>
        <v/>
      </c>
      <c r="I72" s="105" t="str">
        <f>IF(A72="","",IF(W72=0,"Sem câmbio",IF(AND(p_ModoCot="Automático",ISNUMBER(Z72)),"Auto",IF(N(G72)&gt;0,"Manual","Sem cotação"))))</f>
        <v/>
      </c>
      <c r="J72" s="106" t="str">
        <f>IF(A72="","",N(E72)*H72)</f>
        <v/>
      </c>
      <c r="K72" s="107" t="str">
        <f>IF(A72="","",J72*W72)</f>
        <v/>
      </c>
      <c r="L72" s="108" t="str">
        <f>IF(A72="","",IF($K$6&gt;0,K72/$K$6,0))</f>
        <v/>
      </c>
      <c r="M72" s="109" t="str">
        <f>IF(A72="","",N(F72)-L72)</f>
        <v/>
      </c>
      <c r="N72" s="108" t="str">
        <f>IF(A72="","",IF($AB$6&gt;0,AB72/$AB$6,0))</f>
        <v/>
      </c>
      <c r="O72" s="110" t="str">
        <f>IF(A72="","",IF(AB72&lt;=0,"",COUNTIF($AB$9:$AB$108,"&gt;"&amp;AB72)+COUNTIF($AB$9:AB72,AB72)))</f>
        <v/>
      </c>
      <c r="P72" s="105" t="str">
        <f>IF(A72="","",IF(Q72&gt;0,"BUY","HOLD"))</f>
        <v/>
      </c>
      <c r="Q72" s="107" t="str">
        <f>IF(A72="","",IF($W$7&lt;=0,0,IF($AC$6&gt;0,$W$7*AC72/$AC$6,IF($F$6&gt;0,$W$7*N(F72)/$F$6,0))))</f>
        <v/>
      </c>
      <c r="R72" s="111" t="str">
        <f>IF(A72="","",N(AD72)+IF(AI72=1,N(AG72),0))</f>
        <v/>
      </c>
      <c r="S72" s="111" t="str">
        <f>IF(A72="","",N(E72)+N(R72))</f>
        <v/>
      </c>
      <c r="T72" s="107" t="str">
        <f>IF(A72="","",IF(N(R72)&gt;0,R72*H72*W72*$W$6+p_CorrFixa,0))</f>
        <v/>
      </c>
      <c r="V72" s="85" t="str">
        <f>IF(A72="","",IF(D72="",$W$1,D72))</f>
        <v/>
      </c>
      <c r="W72" s="85" t="str">
        <f>IF(A72="","",IFERROR(INDEX(moeda_fx,MATCH(V72,moeda_cod,0)),0))</f>
        <v/>
      </c>
      <c r="X72" s="85" t="str">
        <f>IF(A72="","",IF($W$2="",UPPER(TRIM(A72)),IF(RIGHT(UPPER(TRIM(A72)),LEN($W$2))=$W$2,UPPER(TRIM(A72)),UPPER(TRIM(A72))&amp;$W$2)))</f>
        <v/>
      </c>
      <c r="Y72" s="85" t="str">
        <f>IF(OR(A72="",p_ModoCot&lt;&gt;"Automático"),"",IFERROR(_xlfn.WEBSERVICE("https://query1.finance.yahoo.com/v8/finance/chart/"&amp;X72&amp;"?range=1d&amp;interval=1d"),""))</f>
        <v/>
      </c>
      <c r="Z72" s="85" t="str">
        <f>IF(Y72="","",IFERROR(_xlfn.NUMBERVALUE(MID(Y72,SEARCH("""regularMarketPrice"":",Y72)+21,SEARCH(",",Y72&amp;",",SEARCH("""regularMarketPrice"":",Y72)+21)-SEARCH("""regularMarketPrice"":",Y72)-21),".",","),""))</f>
        <v/>
      </c>
      <c r="AA72" s="85" t="str">
        <f>IF(A72="","",ROUND(MAX(0,N(F72)*($K$6+$W$7)-K72),2))</f>
        <v/>
      </c>
      <c r="AB72" s="85" t="str">
        <f>IF(A72="","",IF(AND(M72&gt;0,M72&gt;=p_DifMin),AA72,0))</f>
        <v/>
      </c>
      <c r="AC72" s="85" t="str">
        <f>IF(A72="","",IF(AND(AB72&gt;0,N(O72)&lt;=p_MaxAtivos),AB72,0))</f>
        <v/>
      </c>
      <c r="AD72" s="85" t="str">
        <f>IF(A72="","",IF(OR(Q72&lt;=0,Q72&lt;p_CompraMin,N(H72)&lt;=0,N(W72)&lt;=0),0,IF($W$3="Sim",TRUNC(ROUND(MAX(0,(Q72-p_CorrFixa)/(H72*W72*$W$6)),9),$W$4),TRUNC(ROUND(MAX(0,(Q72-p_CorrFixa)/(H72*W72*$W$6)),9)/$W$5)*$W$5)))</f>
        <v/>
      </c>
      <c r="AE72" s="85" t="str">
        <f>IF(A72="","",IF(N(AD72)&gt;0,AD72*H72*W72*$W$6+p_CorrFixa,0))</f>
        <v/>
      </c>
      <c r="AF72" s="85" t="str">
        <f>IF(A72="","",IF(OR($Y$1&lt;=0,N(H72)&lt;=0,N(W72)&lt;=0,N(AB72)&lt;=0),0,IF($W$3="Sim",TRUNC(ROUND(MAX(0,($Y$1-IF(N(AD72)&gt;0,0,p_CorrFixa))/(H72*W72*$W$6)),9),$W$4),TRUNC(ROUND(MAX(0,($Y$1-IF(N(AD72)&gt;0,0,p_CorrFixa))/(H72*W72*$W$6)),9)/$W$5)*$W$5)))</f>
        <v/>
      </c>
      <c r="AG72" s="85" t="str">
        <f>IF(A72="","",IF(AND(N(AD72)=0,N(AF72)*(H72*W72*$W$6)+p_CorrFixa&lt;p_CompraMin),0,AF72))</f>
        <v/>
      </c>
      <c r="AH72" s="85" t="str">
        <f>IF(A72="","",IF(N(AG72)&gt;0,AB72,0))</f>
        <v/>
      </c>
      <c r="AI72" s="85" t="str">
        <f>IF(A72="","",IF(AND(AH72&gt;0,AH72=$AH$6,COUNTIF($AH$9:AH72,AH72)=1),1,0))</f>
        <v/>
      </c>
    </row>
    <row r="73">
      <c r="A73" s="96" t="n"/>
      <c r="B73" s="96" t="n"/>
      <c r="C73" s="96" t="n"/>
      <c r="D73" s="97" t="n"/>
      <c r="E73" s="98" t="n"/>
      <c r="F73" s="99" t="n"/>
      <c r="G73" s="100" t="n"/>
      <c r="H73" s="101" t="str">
        <f>IF(A73="","",IF(AND(p_ModoCot="Automático",ISNUMBER(Z73)),Z73,IF(N(G73)&gt;0,G73,0)))</f>
        <v/>
      </c>
      <c r="I73" s="73" t="str">
        <f>IF(A73="","",IF(W73=0,"Sem câmbio",IF(AND(p_ModoCot="Automático",ISNUMBER(Z73)),"Auto",IF(N(G73)&gt;0,"Manual","Sem cotação"))))</f>
        <v/>
      </c>
      <c r="J73" s="102" t="str">
        <f>IF(A73="","",N(E73)*H73)</f>
        <v/>
      </c>
      <c r="K73" s="70" t="str">
        <f>IF(A73="","",J73*W73)</f>
        <v/>
      </c>
      <c r="L73" s="30" t="str">
        <f>IF(A73="","",IF($K$6&gt;0,K73/$K$6,0))</f>
        <v/>
      </c>
      <c r="M73" s="72" t="str">
        <f>IF(A73="","",N(F73)-L73)</f>
        <v/>
      </c>
      <c r="N73" s="30" t="str">
        <f>IF(A73="","",IF($AB$6&gt;0,AB73/$AB$6,0))</f>
        <v/>
      </c>
      <c r="O73" s="74" t="str">
        <f>IF(A73="","",IF(AB73&lt;=0,"",COUNTIF($AB$9:$AB$108,"&gt;"&amp;AB73)+COUNTIF($AB$9:AB73,AB73)))</f>
        <v/>
      </c>
      <c r="P73" s="73" t="str">
        <f>IF(A73="","",IF(Q73&gt;0,"BUY","HOLD"))</f>
        <v/>
      </c>
      <c r="Q73" s="70" t="str">
        <f>IF(A73="","",IF($W$7&lt;=0,0,IF($AC$6&gt;0,$W$7*AC73/$AC$6,IF($F$6&gt;0,$W$7*N(F73)/$F$6,0))))</f>
        <v/>
      </c>
      <c r="R73" s="103" t="str">
        <f>IF(A73="","",N(AD73)+IF(AI73=1,N(AG73),0))</f>
        <v/>
      </c>
      <c r="S73" s="103" t="str">
        <f>IF(A73="","",N(E73)+N(R73))</f>
        <v/>
      </c>
      <c r="T73" s="70" t="str">
        <f>IF(A73="","",IF(N(R73)&gt;0,R73*H73*W73*$W$6+p_CorrFixa,0))</f>
        <v/>
      </c>
      <c r="V73" s="85" t="str">
        <f>IF(A73="","",IF(D73="",$W$1,D73))</f>
        <v/>
      </c>
      <c r="W73" s="85" t="str">
        <f>IF(A73="","",IFERROR(INDEX(moeda_fx,MATCH(V73,moeda_cod,0)),0))</f>
        <v/>
      </c>
      <c r="X73" s="85" t="str">
        <f>IF(A73="","",IF($W$2="",UPPER(TRIM(A73)),IF(RIGHT(UPPER(TRIM(A73)),LEN($W$2))=$W$2,UPPER(TRIM(A73)),UPPER(TRIM(A73))&amp;$W$2)))</f>
        <v/>
      </c>
      <c r="Y73" s="85" t="str">
        <f>IF(OR(A73="",p_ModoCot&lt;&gt;"Automático"),"",IFERROR(_xlfn.WEBSERVICE("https://query1.finance.yahoo.com/v8/finance/chart/"&amp;X73&amp;"?range=1d&amp;interval=1d"),""))</f>
        <v/>
      </c>
      <c r="Z73" s="85" t="str">
        <f>IF(Y73="","",IFERROR(_xlfn.NUMBERVALUE(MID(Y73,SEARCH("""regularMarketPrice"":",Y73)+21,SEARCH(",",Y73&amp;",",SEARCH("""regularMarketPrice"":",Y73)+21)-SEARCH("""regularMarketPrice"":",Y73)-21),".",","),""))</f>
        <v/>
      </c>
      <c r="AA73" s="85" t="str">
        <f>IF(A73="","",ROUND(MAX(0,N(F73)*($K$6+$W$7)-K73),2))</f>
        <v/>
      </c>
      <c r="AB73" s="85" t="str">
        <f>IF(A73="","",IF(AND(M73&gt;0,M73&gt;=p_DifMin),AA73,0))</f>
        <v/>
      </c>
      <c r="AC73" s="85" t="str">
        <f>IF(A73="","",IF(AND(AB73&gt;0,N(O73)&lt;=p_MaxAtivos),AB73,0))</f>
        <v/>
      </c>
      <c r="AD73" s="85" t="str">
        <f>IF(A73="","",IF(OR(Q73&lt;=0,Q73&lt;p_CompraMin,N(H73)&lt;=0,N(W73)&lt;=0),0,IF($W$3="Sim",TRUNC(ROUND(MAX(0,(Q73-p_CorrFixa)/(H73*W73*$W$6)),9),$W$4),TRUNC(ROUND(MAX(0,(Q73-p_CorrFixa)/(H73*W73*$W$6)),9)/$W$5)*$W$5)))</f>
        <v/>
      </c>
      <c r="AE73" s="85" t="str">
        <f>IF(A73="","",IF(N(AD73)&gt;0,AD73*H73*W73*$W$6+p_CorrFixa,0))</f>
        <v/>
      </c>
      <c r="AF73" s="85" t="str">
        <f>IF(A73="","",IF(OR($Y$1&lt;=0,N(H73)&lt;=0,N(W73)&lt;=0,N(AB73)&lt;=0),0,IF($W$3="Sim",TRUNC(ROUND(MAX(0,($Y$1-IF(N(AD73)&gt;0,0,p_CorrFixa))/(H73*W73*$W$6)),9),$W$4),TRUNC(ROUND(MAX(0,($Y$1-IF(N(AD73)&gt;0,0,p_CorrFixa))/(H73*W73*$W$6)),9)/$W$5)*$W$5)))</f>
        <v/>
      </c>
      <c r="AG73" s="85" t="str">
        <f>IF(A73="","",IF(AND(N(AD73)=0,N(AF73)*(H73*W73*$W$6)+p_CorrFixa&lt;p_CompraMin),0,AF73))</f>
        <v/>
      </c>
      <c r="AH73" s="85" t="str">
        <f>IF(A73="","",IF(N(AG73)&gt;0,AB73,0))</f>
        <v/>
      </c>
      <c r="AI73" s="85" t="str">
        <f>IF(A73="","",IF(AND(AH73&gt;0,AH73=$AH$6,COUNTIF($AH$9:AH73,AH73)=1),1,0))</f>
        <v/>
      </c>
    </row>
    <row r="74">
      <c r="A74" s="96" t="n"/>
      <c r="B74" s="96" t="n"/>
      <c r="C74" s="96" t="n"/>
      <c r="D74" s="97" t="n"/>
      <c r="E74" s="98" t="n"/>
      <c r="F74" s="99" t="n"/>
      <c r="G74" s="100" t="n"/>
      <c r="H74" s="104" t="str">
        <f>IF(A74="","",IF(AND(p_ModoCot="Automático",ISNUMBER(Z74)),Z74,IF(N(G74)&gt;0,G74,0)))</f>
        <v/>
      </c>
      <c r="I74" s="105" t="str">
        <f>IF(A74="","",IF(W74=0,"Sem câmbio",IF(AND(p_ModoCot="Automático",ISNUMBER(Z74)),"Auto",IF(N(G74)&gt;0,"Manual","Sem cotação"))))</f>
        <v/>
      </c>
      <c r="J74" s="106" t="str">
        <f>IF(A74="","",N(E74)*H74)</f>
        <v/>
      </c>
      <c r="K74" s="107" t="str">
        <f>IF(A74="","",J74*W74)</f>
        <v/>
      </c>
      <c r="L74" s="108" t="str">
        <f>IF(A74="","",IF($K$6&gt;0,K74/$K$6,0))</f>
        <v/>
      </c>
      <c r="M74" s="109" t="str">
        <f>IF(A74="","",N(F74)-L74)</f>
        <v/>
      </c>
      <c r="N74" s="108" t="str">
        <f>IF(A74="","",IF($AB$6&gt;0,AB74/$AB$6,0))</f>
        <v/>
      </c>
      <c r="O74" s="110" t="str">
        <f>IF(A74="","",IF(AB74&lt;=0,"",COUNTIF($AB$9:$AB$108,"&gt;"&amp;AB74)+COUNTIF($AB$9:AB74,AB74)))</f>
        <v/>
      </c>
      <c r="P74" s="105" t="str">
        <f>IF(A74="","",IF(Q74&gt;0,"BUY","HOLD"))</f>
        <v/>
      </c>
      <c r="Q74" s="107" t="str">
        <f>IF(A74="","",IF($W$7&lt;=0,0,IF($AC$6&gt;0,$W$7*AC74/$AC$6,IF($F$6&gt;0,$W$7*N(F74)/$F$6,0))))</f>
        <v/>
      </c>
      <c r="R74" s="111" t="str">
        <f>IF(A74="","",N(AD74)+IF(AI74=1,N(AG74),0))</f>
        <v/>
      </c>
      <c r="S74" s="111" t="str">
        <f>IF(A74="","",N(E74)+N(R74))</f>
        <v/>
      </c>
      <c r="T74" s="107" t="str">
        <f>IF(A74="","",IF(N(R74)&gt;0,R74*H74*W74*$W$6+p_CorrFixa,0))</f>
        <v/>
      </c>
      <c r="V74" s="85" t="str">
        <f>IF(A74="","",IF(D74="",$W$1,D74))</f>
        <v/>
      </c>
      <c r="W74" s="85" t="str">
        <f>IF(A74="","",IFERROR(INDEX(moeda_fx,MATCH(V74,moeda_cod,0)),0))</f>
        <v/>
      </c>
      <c r="X74" s="85" t="str">
        <f>IF(A74="","",IF($W$2="",UPPER(TRIM(A74)),IF(RIGHT(UPPER(TRIM(A74)),LEN($W$2))=$W$2,UPPER(TRIM(A74)),UPPER(TRIM(A74))&amp;$W$2)))</f>
        <v/>
      </c>
      <c r="Y74" s="85" t="str">
        <f>IF(OR(A74="",p_ModoCot&lt;&gt;"Automático"),"",IFERROR(_xlfn.WEBSERVICE("https://query1.finance.yahoo.com/v8/finance/chart/"&amp;X74&amp;"?range=1d&amp;interval=1d"),""))</f>
        <v/>
      </c>
      <c r="Z74" s="85" t="str">
        <f>IF(Y74="","",IFERROR(_xlfn.NUMBERVALUE(MID(Y74,SEARCH("""regularMarketPrice"":",Y74)+21,SEARCH(",",Y74&amp;",",SEARCH("""regularMarketPrice"":",Y74)+21)-SEARCH("""regularMarketPrice"":",Y74)-21),".",","),""))</f>
        <v/>
      </c>
      <c r="AA74" s="85" t="str">
        <f>IF(A74="","",ROUND(MAX(0,N(F74)*($K$6+$W$7)-K74),2))</f>
        <v/>
      </c>
      <c r="AB74" s="85" t="str">
        <f>IF(A74="","",IF(AND(M74&gt;0,M74&gt;=p_DifMin),AA74,0))</f>
        <v/>
      </c>
      <c r="AC74" s="85" t="str">
        <f>IF(A74="","",IF(AND(AB74&gt;0,N(O74)&lt;=p_MaxAtivos),AB74,0))</f>
        <v/>
      </c>
      <c r="AD74" s="85" t="str">
        <f>IF(A74="","",IF(OR(Q74&lt;=0,Q74&lt;p_CompraMin,N(H74)&lt;=0,N(W74)&lt;=0),0,IF($W$3="Sim",TRUNC(ROUND(MAX(0,(Q74-p_CorrFixa)/(H74*W74*$W$6)),9),$W$4),TRUNC(ROUND(MAX(0,(Q74-p_CorrFixa)/(H74*W74*$W$6)),9)/$W$5)*$W$5)))</f>
        <v/>
      </c>
      <c r="AE74" s="85" t="str">
        <f>IF(A74="","",IF(N(AD74)&gt;0,AD74*H74*W74*$W$6+p_CorrFixa,0))</f>
        <v/>
      </c>
      <c r="AF74" s="85" t="str">
        <f>IF(A74="","",IF(OR($Y$1&lt;=0,N(H74)&lt;=0,N(W74)&lt;=0,N(AB74)&lt;=0),0,IF($W$3="Sim",TRUNC(ROUND(MAX(0,($Y$1-IF(N(AD74)&gt;0,0,p_CorrFixa))/(H74*W74*$W$6)),9),$W$4),TRUNC(ROUND(MAX(0,($Y$1-IF(N(AD74)&gt;0,0,p_CorrFixa))/(H74*W74*$W$6)),9)/$W$5)*$W$5)))</f>
        <v/>
      </c>
      <c r="AG74" s="85" t="str">
        <f>IF(A74="","",IF(AND(N(AD74)=0,N(AF74)*(H74*W74*$W$6)+p_CorrFixa&lt;p_CompraMin),0,AF74))</f>
        <v/>
      </c>
      <c r="AH74" s="85" t="str">
        <f>IF(A74="","",IF(N(AG74)&gt;0,AB74,0))</f>
        <v/>
      </c>
      <c r="AI74" s="85" t="str">
        <f>IF(A74="","",IF(AND(AH74&gt;0,AH74=$AH$6,COUNTIF($AH$9:AH74,AH74)=1),1,0))</f>
        <v/>
      </c>
    </row>
    <row r="75">
      <c r="A75" s="96" t="n"/>
      <c r="B75" s="96" t="n"/>
      <c r="C75" s="96" t="n"/>
      <c r="D75" s="97" t="n"/>
      <c r="E75" s="98" t="n"/>
      <c r="F75" s="99" t="n"/>
      <c r="G75" s="100" t="n"/>
      <c r="H75" s="101" t="str">
        <f>IF(A75="","",IF(AND(p_ModoCot="Automático",ISNUMBER(Z75)),Z75,IF(N(G75)&gt;0,G75,0)))</f>
        <v/>
      </c>
      <c r="I75" s="73" t="str">
        <f>IF(A75="","",IF(W75=0,"Sem câmbio",IF(AND(p_ModoCot="Automático",ISNUMBER(Z75)),"Auto",IF(N(G75)&gt;0,"Manual","Sem cotação"))))</f>
        <v/>
      </c>
      <c r="J75" s="102" t="str">
        <f>IF(A75="","",N(E75)*H75)</f>
        <v/>
      </c>
      <c r="K75" s="70" t="str">
        <f>IF(A75="","",J75*W75)</f>
        <v/>
      </c>
      <c r="L75" s="30" t="str">
        <f>IF(A75="","",IF($K$6&gt;0,K75/$K$6,0))</f>
        <v/>
      </c>
      <c r="M75" s="72" t="str">
        <f>IF(A75="","",N(F75)-L75)</f>
        <v/>
      </c>
      <c r="N75" s="30" t="str">
        <f>IF(A75="","",IF($AB$6&gt;0,AB75/$AB$6,0))</f>
        <v/>
      </c>
      <c r="O75" s="74" t="str">
        <f>IF(A75="","",IF(AB75&lt;=0,"",COUNTIF($AB$9:$AB$108,"&gt;"&amp;AB75)+COUNTIF($AB$9:AB75,AB75)))</f>
        <v/>
      </c>
      <c r="P75" s="73" t="str">
        <f>IF(A75="","",IF(Q75&gt;0,"BUY","HOLD"))</f>
        <v/>
      </c>
      <c r="Q75" s="70" t="str">
        <f>IF(A75="","",IF($W$7&lt;=0,0,IF($AC$6&gt;0,$W$7*AC75/$AC$6,IF($F$6&gt;0,$W$7*N(F75)/$F$6,0))))</f>
        <v/>
      </c>
      <c r="R75" s="103" t="str">
        <f>IF(A75="","",N(AD75)+IF(AI75=1,N(AG75),0))</f>
        <v/>
      </c>
      <c r="S75" s="103" t="str">
        <f>IF(A75="","",N(E75)+N(R75))</f>
        <v/>
      </c>
      <c r="T75" s="70" t="str">
        <f>IF(A75="","",IF(N(R75)&gt;0,R75*H75*W75*$W$6+p_CorrFixa,0))</f>
        <v/>
      </c>
      <c r="V75" s="85" t="str">
        <f>IF(A75="","",IF(D75="",$W$1,D75))</f>
        <v/>
      </c>
      <c r="W75" s="85" t="str">
        <f>IF(A75="","",IFERROR(INDEX(moeda_fx,MATCH(V75,moeda_cod,0)),0))</f>
        <v/>
      </c>
      <c r="X75" s="85" t="str">
        <f>IF(A75="","",IF($W$2="",UPPER(TRIM(A75)),IF(RIGHT(UPPER(TRIM(A75)),LEN($W$2))=$W$2,UPPER(TRIM(A75)),UPPER(TRIM(A75))&amp;$W$2)))</f>
        <v/>
      </c>
      <c r="Y75" s="85" t="str">
        <f>IF(OR(A75="",p_ModoCot&lt;&gt;"Automático"),"",IFERROR(_xlfn.WEBSERVICE("https://query1.finance.yahoo.com/v8/finance/chart/"&amp;X75&amp;"?range=1d&amp;interval=1d"),""))</f>
        <v/>
      </c>
      <c r="Z75" s="85" t="str">
        <f>IF(Y75="","",IFERROR(_xlfn.NUMBERVALUE(MID(Y75,SEARCH("""regularMarketPrice"":",Y75)+21,SEARCH(",",Y75&amp;",",SEARCH("""regularMarketPrice"":",Y75)+21)-SEARCH("""regularMarketPrice"":",Y75)-21),".",","),""))</f>
        <v/>
      </c>
      <c r="AA75" s="85" t="str">
        <f>IF(A75="","",ROUND(MAX(0,N(F75)*($K$6+$W$7)-K75),2))</f>
        <v/>
      </c>
      <c r="AB75" s="85" t="str">
        <f>IF(A75="","",IF(AND(M75&gt;0,M75&gt;=p_DifMin),AA75,0))</f>
        <v/>
      </c>
      <c r="AC75" s="85" t="str">
        <f>IF(A75="","",IF(AND(AB75&gt;0,N(O75)&lt;=p_MaxAtivos),AB75,0))</f>
        <v/>
      </c>
      <c r="AD75" s="85" t="str">
        <f>IF(A75="","",IF(OR(Q75&lt;=0,Q75&lt;p_CompraMin,N(H75)&lt;=0,N(W75)&lt;=0),0,IF($W$3="Sim",TRUNC(ROUND(MAX(0,(Q75-p_CorrFixa)/(H75*W75*$W$6)),9),$W$4),TRUNC(ROUND(MAX(0,(Q75-p_CorrFixa)/(H75*W75*$W$6)),9)/$W$5)*$W$5)))</f>
        <v/>
      </c>
      <c r="AE75" s="85" t="str">
        <f>IF(A75="","",IF(N(AD75)&gt;0,AD75*H75*W75*$W$6+p_CorrFixa,0))</f>
        <v/>
      </c>
      <c r="AF75" s="85" t="str">
        <f>IF(A75="","",IF(OR($Y$1&lt;=0,N(H75)&lt;=0,N(W75)&lt;=0,N(AB75)&lt;=0),0,IF($W$3="Sim",TRUNC(ROUND(MAX(0,($Y$1-IF(N(AD75)&gt;0,0,p_CorrFixa))/(H75*W75*$W$6)),9),$W$4),TRUNC(ROUND(MAX(0,($Y$1-IF(N(AD75)&gt;0,0,p_CorrFixa))/(H75*W75*$W$6)),9)/$W$5)*$W$5)))</f>
        <v/>
      </c>
      <c r="AG75" s="85" t="str">
        <f>IF(A75="","",IF(AND(N(AD75)=0,N(AF75)*(H75*W75*$W$6)+p_CorrFixa&lt;p_CompraMin),0,AF75))</f>
        <v/>
      </c>
      <c r="AH75" s="85" t="str">
        <f>IF(A75="","",IF(N(AG75)&gt;0,AB75,0))</f>
        <v/>
      </c>
      <c r="AI75" s="85" t="str">
        <f>IF(A75="","",IF(AND(AH75&gt;0,AH75=$AH$6,COUNTIF($AH$9:AH75,AH75)=1),1,0))</f>
        <v/>
      </c>
    </row>
    <row r="76">
      <c r="A76" s="96" t="n"/>
      <c r="B76" s="96" t="n"/>
      <c r="C76" s="96" t="n"/>
      <c r="D76" s="97" t="n"/>
      <c r="E76" s="98" t="n"/>
      <c r="F76" s="99" t="n"/>
      <c r="G76" s="100" t="n"/>
      <c r="H76" s="104" t="str">
        <f>IF(A76="","",IF(AND(p_ModoCot="Automático",ISNUMBER(Z76)),Z76,IF(N(G76)&gt;0,G76,0)))</f>
        <v/>
      </c>
      <c r="I76" s="105" t="str">
        <f>IF(A76="","",IF(W76=0,"Sem câmbio",IF(AND(p_ModoCot="Automático",ISNUMBER(Z76)),"Auto",IF(N(G76)&gt;0,"Manual","Sem cotação"))))</f>
        <v/>
      </c>
      <c r="J76" s="106" t="str">
        <f>IF(A76="","",N(E76)*H76)</f>
        <v/>
      </c>
      <c r="K76" s="107" t="str">
        <f>IF(A76="","",J76*W76)</f>
        <v/>
      </c>
      <c r="L76" s="108" t="str">
        <f>IF(A76="","",IF($K$6&gt;0,K76/$K$6,0))</f>
        <v/>
      </c>
      <c r="M76" s="109" t="str">
        <f>IF(A76="","",N(F76)-L76)</f>
        <v/>
      </c>
      <c r="N76" s="108" t="str">
        <f>IF(A76="","",IF($AB$6&gt;0,AB76/$AB$6,0))</f>
        <v/>
      </c>
      <c r="O76" s="110" t="str">
        <f>IF(A76="","",IF(AB76&lt;=0,"",COUNTIF($AB$9:$AB$108,"&gt;"&amp;AB76)+COUNTIF($AB$9:AB76,AB76)))</f>
        <v/>
      </c>
      <c r="P76" s="105" t="str">
        <f>IF(A76="","",IF(Q76&gt;0,"BUY","HOLD"))</f>
        <v/>
      </c>
      <c r="Q76" s="107" t="str">
        <f>IF(A76="","",IF($W$7&lt;=0,0,IF($AC$6&gt;0,$W$7*AC76/$AC$6,IF($F$6&gt;0,$W$7*N(F76)/$F$6,0))))</f>
        <v/>
      </c>
      <c r="R76" s="111" t="str">
        <f>IF(A76="","",N(AD76)+IF(AI76=1,N(AG76),0))</f>
        <v/>
      </c>
      <c r="S76" s="111" t="str">
        <f>IF(A76="","",N(E76)+N(R76))</f>
        <v/>
      </c>
      <c r="T76" s="107" t="str">
        <f>IF(A76="","",IF(N(R76)&gt;0,R76*H76*W76*$W$6+p_CorrFixa,0))</f>
        <v/>
      </c>
      <c r="V76" s="85" t="str">
        <f>IF(A76="","",IF(D76="",$W$1,D76))</f>
        <v/>
      </c>
      <c r="W76" s="85" t="str">
        <f>IF(A76="","",IFERROR(INDEX(moeda_fx,MATCH(V76,moeda_cod,0)),0))</f>
        <v/>
      </c>
      <c r="X76" s="85" t="str">
        <f>IF(A76="","",IF($W$2="",UPPER(TRIM(A76)),IF(RIGHT(UPPER(TRIM(A76)),LEN($W$2))=$W$2,UPPER(TRIM(A76)),UPPER(TRIM(A76))&amp;$W$2)))</f>
        <v/>
      </c>
      <c r="Y76" s="85" t="str">
        <f>IF(OR(A76="",p_ModoCot&lt;&gt;"Automático"),"",IFERROR(_xlfn.WEBSERVICE("https://query1.finance.yahoo.com/v8/finance/chart/"&amp;X76&amp;"?range=1d&amp;interval=1d"),""))</f>
        <v/>
      </c>
      <c r="Z76" s="85" t="str">
        <f>IF(Y76="","",IFERROR(_xlfn.NUMBERVALUE(MID(Y76,SEARCH("""regularMarketPrice"":",Y76)+21,SEARCH(",",Y76&amp;",",SEARCH("""regularMarketPrice"":",Y76)+21)-SEARCH("""regularMarketPrice"":",Y76)-21),".",","),""))</f>
        <v/>
      </c>
      <c r="AA76" s="85" t="str">
        <f>IF(A76="","",ROUND(MAX(0,N(F76)*($K$6+$W$7)-K76),2))</f>
        <v/>
      </c>
      <c r="AB76" s="85" t="str">
        <f>IF(A76="","",IF(AND(M76&gt;0,M76&gt;=p_DifMin),AA76,0))</f>
        <v/>
      </c>
      <c r="AC76" s="85" t="str">
        <f>IF(A76="","",IF(AND(AB76&gt;0,N(O76)&lt;=p_MaxAtivos),AB76,0))</f>
        <v/>
      </c>
      <c r="AD76" s="85" t="str">
        <f>IF(A76="","",IF(OR(Q76&lt;=0,Q76&lt;p_CompraMin,N(H76)&lt;=0,N(W76)&lt;=0),0,IF($W$3="Sim",TRUNC(ROUND(MAX(0,(Q76-p_CorrFixa)/(H76*W76*$W$6)),9),$W$4),TRUNC(ROUND(MAX(0,(Q76-p_CorrFixa)/(H76*W76*$W$6)),9)/$W$5)*$W$5)))</f>
        <v/>
      </c>
      <c r="AE76" s="85" t="str">
        <f>IF(A76="","",IF(N(AD76)&gt;0,AD76*H76*W76*$W$6+p_CorrFixa,0))</f>
        <v/>
      </c>
      <c r="AF76" s="85" t="str">
        <f>IF(A76="","",IF(OR($Y$1&lt;=0,N(H76)&lt;=0,N(W76)&lt;=0,N(AB76)&lt;=0),0,IF($W$3="Sim",TRUNC(ROUND(MAX(0,($Y$1-IF(N(AD76)&gt;0,0,p_CorrFixa))/(H76*W76*$W$6)),9),$W$4),TRUNC(ROUND(MAX(0,($Y$1-IF(N(AD76)&gt;0,0,p_CorrFixa))/(H76*W76*$W$6)),9)/$W$5)*$W$5)))</f>
        <v/>
      </c>
      <c r="AG76" s="85" t="str">
        <f>IF(A76="","",IF(AND(N(AD76)=0,N(AF76)*(H76*W76*$W$6)+p_CorrFixa&lt;p_CompraMin),0,AF76))</f>
        <v/>
      </c>
      <c r="AH76" s="85" t="str">
        <f>IF(A76="","",IF(N(AG76)&gt;0,AB76,0))</f>
        <v/>
      </c>
      <c r="AI76" s="85" t="str">
        <f>IF(A76="","",IF(AND(AH76&gt;0,AH76=$AH$6,COUNTIF($AH$9:AH76,AH76)=1),1,0))</f>
        <v/>
      </c>
    </row>
    <row r="77">
      <c r="A77" s="96" t="n"/>
      <c r="B77" s="96" t="n"/>
      <c r="C77" s="96" t="n"/>
      <c r="D77" s="97" t="n"/>
      <c r="E77" s="98" t="n"/>
      <c r="F77" s="99" t="n"/>
      <c r="G77" s="100" t="n"/>
      <c r="H77" s="101" t="str">
        <f>IF(A77="","",IF(AND(p_ModoCot="Automático",ISNUMBER(Z77)),Z77,IF(N(G77)&gt;0,G77,0)))</f>
        <v/>
      </c>
      <c r="I77" s="73" t="str">
        <f>IF(A77="","",IF(W77=0,"Sem câmbio",IF(AND(p_ModoCot="Automático",ISNUMBER(Z77)),"Auto",IF(N(G77)&gt;0,"Manual","Sem cotação"))))</f>
        <v/>
      </c>
      <c r="J77" s="102" t="str">
        <f>IF(A77="","",N(E77)*H77)</f>
        <v/>
      </c>
      <c r="K77" s="70" t="str">
        <f>IF(A77="","",J77*W77)</f>
        <v/>
      </c>
      <c r="L77" s="30" t="str">
        <f>IF(A77="","",IF($K$6&gt;0,K77/$K$6,0))</f>
        <v/>
      </c>
      <c r="M77" s="72" t="str">
        <f>IF(A77="","",N(F77)-L77)</f>
        <v/>
      </c>
      <c r="N77" s="30" t="str">
        <f>IF(A77="","",IF($AB$6&gt;0,AB77/$AB$6,0))</f>
        <v/>
      </c>
      <c r="O77" s="74" t="str">
        <f>IF(A77="","",IF(AB77&lt;=0,"",COUNTIF($AB$9:$AB$108,"&gt;"&amp;AB77)+COUNTIF($AB$9:AB77,AB77)))</f>
        <v/>
      </c>
      <c r="P77" s="73" t="str">
        <f>IF(A77="","",IF(Q77&gt;0,"BUY","HOLD"))</f>
        <v/>
      </c>
      <c r="Q77" s="70" t="str">
        <f>IF(A77="","",IF($W$7&lt;=0,0,IF($AC$6&gt;0,$W$7*AC77/$AC$6,IF($F$6&gt;0,$W$7*N(F77)/$F$6,0))))</f>
        <v/>
      </c>
      <c r="R77" s="103" t="str">
        <f>IF(A77="","",N(AD77)+IF(AI77=1,N(AG77),0))</f>
        <v/>
      </c>
      <c r="S77" s="103" t="str">
        <f>IF(A77="","",N(E77)+N(R77))</f>
        <v/>
      </c>
      <c r="T77" s="70" t="str">
        <f>IF(A77="","",IF(N(R77)&gt;0,R77*H77*W77*$W$6+p_CorrFixa,0))</f>
        <v/>
      </c>
      <c r="V77" s="85" t="str">
        <f>IF(A77="","",IF(D77="",$W$1,D77))</f>
        <v/>
      </c>
      <c r="W77" s="85" t="str">
        <f>IF(A77="","",IFERROR(INDEX(moeda_fx,MATCH(V77,moeda_cod,0)),0))</f>
        <v/>
      </c>
      <c r="X77" s="85" t="str">
        <f>IF(A77="","",IF($W$2="",UPPER(TRIM(A77)),IF(RIGHT(UPPER(TRIM(A77)),LEN($W$2))=$W$2,UPPER(TRIM(A77)),UPPER(TRIM(A77))&amp;$W$2)))</f>
        <v/>
      </c>
      <c r="Y77" s="85" t="str">
        <f>IF(OR(A77="",p_ModoCot&lt;&gt;"Automático"),"",IFERROR(_xlfn.WEBSERVICE("https://query1.finance.yahoo.com/v8/finance/chart/"&amp;X77&amp;"?range=1d&amp;interval=1d"),""))</f>
        <v/>
      </c>
      <c r="Z77" s="85" t="str">
        <f>IF(Y77="","",IFERROR(_xlfn.NUMBERVALUE(MID(Y77,SEARCH("""regularMarketPrice"":",Y77)+21,SEARCH(",",Y77&amp;",",SEARCH("""regularMarketPrice"":",Y77)+21)-SEARCH("""regularMarketPrice"":",Y77)-21),".",","),""))</f>
        <v/>
      </c>
      <c r="AA77" s="85" t="str">
        <f>IF(A77="","",ROUND(MAX(0,N(F77)*($K$6+$W$7)-K77),2))</f>
        <v/>
      </c>
      <c r="AB77" s="85" t="str">
        <f>IF(A77="","",IF(AND(M77&gt;0,M77&gt;=p_DifMin),AA77,0))</f>
        <v/>
      </c>
      <c r="AC77" s="85" t="str">
        <f>IF(A77="","",IF(AND(AB77&gt;0,N(O77)&lt;=p_MaxAtivos),AB77,0))</f>
        <v/>
      </c>
      <c r="AD77" s="85" t="str">
        <f>IF(A77="","",IF(OR(Q77&lt;=0,Q77&lt;p_CompraMin,N(H77)&lt;=0,N(W77)&lt;=0),0,IF($W$3="Sim",TRUNC(ROUND(MAX(0,(Q77-p_CorrFixa)/(H77*W77*$W$6)),9),$W$4),TRUNC(ROUND(MAX(0,(Q77-p_CorrFixa)/(H77*W77*$W$6)),9)/$W$5)*$W$5)))</f>
        <v/>
      </c>
      <c r="AE77" s="85" t="str">
        <f>IF(A77="","",IF(N(AD77)&gt;0,AD77*H77*W77*$W$6+p_CorrFixa,0))</f>
        <v/>
      </c>
      <c r="AF77" s="85" t="str">
        <f>IF(A77="","",IF(OR($Y$1&lt;=0,N(H77)&lt;=0,N(W77)&lt;=0,N(AB77)&lt;=0),0,IF($W$3="Sim",TRUNC(ROUND(MAX(0,($Y$1-IF(N(AD77)&gt;0,0,p_CorrFixa))/(H77*W77*$W$6)),9),$W$4),TRUNC(ROUND(MAX(0,($Y$1-IF(N(AD77)&gt;0,0,p_CorrFixa))/(H77*W77*$W$6)),9)/$W$5)*$W$5)))</f>
        <v/>
      </c>
      <c r="AG77" s="85" t="str">
        <f>IF(A77="","",IF(AND(N(AD77)=0,N(AF77)*(H77*W77*$W$6)+p_CorrFixa&lt;p_CompraMin),0,AF77))</f>
        <v/>
      </c>
      <c r="AH77" s="85" t="str">
        <f>IF(A77="","",IF(N(AG77)&gt;0,AB77,0))</f>
        <v/>
      </c>
      <c r="AI77" s="85" t="str">
        <f>IF(A77="","",IF(AND(AH77&gt;0,AH77=$AH$6,COUNTIF($AH$9:AH77,AH77)=1),1,0))</f>
        <v/>
      </c>
    </row>
    <row r="78">
      <c r="A78" s="96" t="n"/>
      <c r="B78" s="96" t="n"/>
      <c r="C78" s="96" t="n"/>
      <c r="D78" s="97" t="n"/>
      <c r="E78" s="98" t="n"/>
      <c r="F78" s="99" t="n"/>
      <c r="G78" s="100" t="n"/>
      <c r="H78" s="104" t="str">
        <f>IF(A78="","",IF(AND(p_ModoCot="Automático",ISNUMBER(Z78)),Z78,IF(N(G78)&gt;0,G78,0)))</f>
        <v/>
      </c>
      <c r="I78" s="105" t="str">
        <f>IF(A78="","",IF(W78=0,"Sem câmbio",IF(AND(p_ModoCot="Automático",ISNUMBER(Z78)),"Auto",IF(N(G78)&gt;0,"Manual","Sem cotação"))))</f>
        <v/>
      </c>
      <c r="J78" s="106" t="str">
        <f>IF(A78="","",N(E78)*H78)</f>
        <v/>
      </c>
      <c r="K78" s="107" t="str">
        <f>IF(A78="","",J78*W78)</f>
        <v/>
      </c>
      <c r="L78" s="108" t="str">
        <f>IF(A78="","",IF($K$6&gt;0,K78/$K$6,0))</f>
        <v/>
      </c>
      <c r="M78" s="109" t="str">
        <f>IF(A78="","",N(F78)-L78)</f>
        <v/>
      </c>
      <c r="N78" s="108" t="str">
        <f>IF(A78="","",IF($AB$6&gt;0,AB78/$AB$6,0))</f>
        <v/>
      </c>
      <c r="O78" s="110" t="str">
        <f>IF(A78="","",IF(AB78&lt;=0,"",COUNTIF($AB$9:$AB$108,"&gt;"&amp;AB78)+COUNTIF($AB$9:AB78,AB78)))</f>
        <v/>
      </c>
      <c r="P78" s="105" t="str">
        <f>IF(A78="","",IF(Q78&gt;0,"BUY","HOLD"))</f>
        <v/>
      </c>
      <c r="Q78" s="107" t="str">
        <f>IF(A78="","",IF($W$7&lt;=0,0,IF($AC$6&gt;0,$W$7*AC78/$AC$6,IF($F$6&gt;0,$W$7*N(F78)/$F$6,0))))</f>
        <v/>
      </c>
      <c r="R78" s="111" t="str">
        <f>IF(A78="","",N(AD78)+IF(AI78=1,N(AG78),0))</f>
        <v/>
      </c>
      <c r="S78" s="111" t="str">
        <f>IF(A78="","",N(E78)+N(R78))</f>
        <v/>
      </c>
      <c r="T78" s="107" t="str">
        <f>IF(A78="","",IF(N(R78)&gt;0,R78*H78*W78*$W$6+p_CorrFixa,0))</f>
        <v/>
      </c>
      <c r="V78" s="85" t="str">
        <f>IF(A78="","",IF(D78="",$W$1,D78))</f>
        <v/>
      </c>
      <c r="W78" s="85" t="str">
        <f>IF(A78="","",IFERROR(INDEX(moeda_fx,MATCH(V78,moeda_cod,0)),0))</f>
        <v/>
      </c>
      <c r="X78" s="85" t="str">
        <f>IF(A78="","",IF($W$2="",UPPER(TRIM(A78)),IF(RIGHT(UPPER(TRIM(A78)),LEN($W$2))=$W$2,UPPER(TRIM(A78)),UPPER(TRIM(A78))&amp;$W$2)))</f>
        <v/>
      </c>
      <c r="Y78" s="85" t="str">
        <f>IF(OR(A78="",p_ModoCot&lt;&gt;"Automático"),"",IFERROR(_xlfn.WEBSERVICE("https://query1.finance.yahoo.com/v8/finance/chart/"&amp;X78&amp;"?range=1d&amp;interval=1d"),""))</f>
        <v/>
      </c>
      <c r="Z78" s="85" t="str">
        <f>IF(Y78="","",IFERROR(_xlfn.NUMBERVALUE(MID(Y78,SEARCH("""regularMarketPrice"":",Y78)+21,SEARCH(",",Y78&amp;",",SEARCH("""regularMarketPrice"":",Y78)+21)-SEARCH("""regularMarketPrice"":",Y78)-21),".",","),""))</f>
        <v/>
      </c>
      <c r="AA78" s="85" t="str">
        <f>IF(A78="","",ROUND(MAX(0,N(F78)*($K$6+$W$7)-K78),2))</f>
        <v/>
      </c>
      <c r="AB78" s="85" t="str">
        <f>IF(A78="","",IF(AND(M78&gt;0,M78&gt;=p_DifMin),AA78,0))</f>
        <v/>
      </c>
      <c r="AC78" s="85" t="str">
        <f>IF(A78="","",IF(AND(AB78&gt;0,N(O78)&lt;=p_MaxAtivos),AB78,0))</f>
        <v/>
      </c>
      <c r="AD78" s="85" t="str">
        <f>IF(A78="","",IF(OR(Q78&lt;=0,Q78&lt;p_CompraMin,N(H78)&lt;=0,N(W78)&lt;=0),0,IF($W$3="Sim",TRUNC(ROUND(MAX(0,(Q78-p_CorrFixa)/(H78*W78*$W$6)),9),$W$4),TRUNC(ROUND(MAX(0,(Q78-p_CorrFixa)/(H78*W78*$W$6)),9)/$W$5)*$W$5)))</f>
        <v/>
      </c>
      <c r="AE78" s="85" t="str">
        <f>IF(A78="","",IF(N(AD78)&gt;0,AD78*H78*W78*$W$6+p_CorrFixa,0))</f>
        <v/>
      </c>
      <c r="AF78" s="85" t="str">
        <f>IF(A78="","",IF(OR($Y$1&lt;=0,N(H78)&lt;=0,N(W78)&lt;=0,N(AB78)&lt;=0),0,IF($W$3="Sim",TRUNC(ROUND(MAX(0,($Y$1-IF(N(AD78)&gt;0,0,p_CorrFixa))/(H78*W78*$W$6)),9),$W$4),TRUNC(ROUND(MAX(0,($Y$1-IF(N(AD78)&gt;0,0,p_CorrFixa))/(H78*W78*$W$6)),9)/$W$5)*$W$5)))</f>
        <v/>
      </c>
      <c r="AG78" s="85" t="str">
        <f>IF(A78="","",IF(AND(N(AD78)=0,N(AF78)*(H78*W78*$W$6)+p_CorrFixa&lt;p_CompraMin),0,AF78))</f>
        <v/>
      </c>
      <c r="AH78" s="85" t="str">
        <f>IF(A78="","",IF(N(AG78)&gt;0,AB78,0))</f>
        <v/>
      </c>
      <c r="AI78" s="85" t="str">
        <f>IF(A78="","",IF(AND(AH78&gt;0,AH78=$AH$6,COUNTIF($AH$9:AH78,AH78)=1),1,0))</f>
        <v/>
      </c>
    </row>
    <row r="79">
      <c r="A79" s="96" t="n"/>
      <c r="B79" s="96" t="n"/>
      <c r="C79" s="96" t="n"/>
      <c r="D79" s="97" t="n"/>
      <c r="E79" s="98" t="n"/>
      <c r="F79" s="99" t="n"/>
      <c r="G79" s="100" t="n"/>
      <c r="H79" s="101" t="str">
        <f>IF(A79="","",IF(AND(p_ModoCot="Automático",ISNUMBER(Z79)),Z79,IF(N(G79)&gt;0,G79,0)))</f>
        <v/>
      </c>
      <c r="I79" s="73" t="str">
        <f>IF(A79="","",IF(W79=0,"Sem câmbio",IF(AND(p_ModoCot="Automático",ISNUMBER(Z79)),"Auto",IF(N(G79)&gt;0,"Manual","Sem cotação"))))</f>
        <v/>
      </c>
      <c r="J79" s="102" t="str">
        <f>IF(A79="","",N(E79)*H79)</f>
        <v/>
      </c>
      <c r="K79" s="70" t="str">
        <f>IF(A79="","",J79*W79)</f>
        <v/>
      </c>
      <c r="L79" s="30" t="str">
        <f>IF(A79="","",IF($K$6&gt;0,K79/$K$6,0))</f>
        <v/>
      </c>
      <c r="M79" s="72" t="str">
        <f>IF(A79="","",N(F79)-L79)</f>
        <v/>
      </c>
      <c r="N79" s="30" t="str">
        <f>IF(A79="","",IF($AB$6&gt;0,AB79/$AB$6,0))</f>
        <v/>
      </c>
      <c r="O79" s="74" t="str">
        <f>IF(A79="","",IF(AB79&lt;=0,"",COUNTIF($AB$9:$AB$108,"&gt;"&amp;AB79)+COUNTIF($AB$9:AB79,AB79)))</f>
        <v/>
      </c>
      <c r="P79" s="73" t="str">
        <f>IF(A79="","",IF(Q79&gt;0,"BUY","HOLD"))</f>
        <v/>
      </c>
      <c r="Q79" s="70" t="str">
        <f>IF(A79="","",IF($W$7&lt;=0,0,IF($AC$6&gt;0,$W$7*AC79/$AC$6,IF($F$6&gt;0,$W$7*N(F79)/$F$6,0))))</f>
        <v/>
      </c>
      <c r="R79" s="103" t="str">
        <f>IF(A79="","",N(AD79)+IF(AI79=1,N(AG79),0))</f>
        <v/>
      </c>
      <c r="S79" s="103" t="str">
        <f>IF(A79="","",N(E79)+N(R79))</f>
        <v/>
      </c>
      <c r="T79" s="70" t="str">
        <f>IF(A79="","",IF(N(R79)&gt;0,R79*H79*W79*$W$6+p_CorrFixa,0))</f>
        <v/>
      </c>
      <c r="V79" s="85" t="str">
        <f>IF(A79="","",IF(D79="",$W$1,D79))</f>
        <v/>
      </c>
      <c r="W79" s="85" t="str">
        <f>IF(A79="","",IFERROR(INDEX(moeda_fx,MATCH(V79,moeda_cod,0)),0))</f>
        <v/>
      </c>
      <c r="X79" s="85" t="str">
        <f>IF(A79="","",IF($W$2="",UPPER(TRIM(A79)),IF(RIGHT(UPPER(TRIM(A79)),LEN($W$2))=$W$2,UPPER(TRIM(A79)),UPPER(TRIM(A79))&amp;$W$2)))</f>
        <v/>
      </c>
      <c r="Y79" s="85" t="str">
        <f>IF(OR(A79="",p_ModoCot&lt;&gt;"Automático"),"",IFERROR(_xlfn.WEBSERVICE("https://query1.finance.yahoo.com/v8/finance/chart/"&amp;X79&amp;"?range=1d&amp;interval=1d"),""))</f>
        <v/>
      </c>
      <c r="Z79" s="85" t="str">
        <f>IF(Y79="","",IFERROR(_xlfn.NUMBERVALUE(MID(Y79,SEARCH("""regularMarketPrice"":",Y79)+21,SEARCH(",",Y79&amp;",",SEARCH("""regularMarketPrice"":",Y79)+21)-SEARCH("""regularMarketPrice"":",Y79)-21),".",","),""))</f>
        <v/>
      </c>
      <c r="AA79" s="85" t="str">
        <f>IF(A79="","",ROUND(MAX(0,N(F79)*($K$6+$W$7)-K79),2))</f>
        <v/>
      </c>
      <c r="AB79" s="85" t="str">
        <f>IF(A79="","",IF(AND(M79&gt;0,M79&gt;=p_DifMin),AA79,0))</f>
        <v/>
      </c>
      <c r="AC79" s="85" t="str">
        <f>IF(A79="","",IF(AND(AB79&gt;0,N(O79)&lt;=p_MaxAtivos),AB79,0))</f>
        <v/>
      </c>
      <c r="AD79" s="85" t="str">
        <f>IF(A79="","",IF(OR(Q79&lt;=0,Q79&lt;p_CompraMin,N(H79)&lt;=0,N(W79)&lt;=0),0,IF($W$3="Sim",TRUNC(ROUND(MAX(0,(Q79-p_CorrFixa)/(H79*W79*$W$6)),9),$W$4),TRUNC(ROUND(MAX(0,(Q79-p_CorrFixa)/(H79*W79*$W$6)),9)/$W$5)*$W$5)))</f>
        <v/>
      </c>
      <c r="AE79" s="85" t="str">
        <f>IF(A79="","",IF(N(AD79)&gt;0,AD79*H79*W79*$W$6+p_CorrFixa,0))</f>
        <v/>
      </c>
      <c r="AF79" s="85" t="str">
        <f>IF(A79="","",IF(OR($Y$1&lt;=0,N(H79)&lt;=0,N(W79)&lt;=0,N(AB79)&lt;=0),0,IF($W$3="Sim",TRUNC(ROUND(MAX(0,($Y$1-IF(N(AD79)&gt;0,0,p_CorrFixa))/(H79*W79*$W$6)),9),$W$4),TRUNC(ROUND(MAX(0,($Y$1-IF(N(AD79)&gt;0,0,p_CorrFixa))/(H79*W79*$W$6)),9)/$W$5)*$W$5)))</f>
        <v/>
      </c>
      <c r="AG79" s="85" t="str">
        <f>IF(A79="","",IF(AND(N(AD79)=0,N(AF79)*(H79*W79*$W$6)+p_CorrFixa&lt;p_CompraMin),0,AF79))</f>
        <v/>
      </c>
      <c r="AH79" s="85" t="str">
        <f>IF(A79="","",IF(N(AG79)&gt;0,AB79,0))</f>
        <v/>
      </c>
      <c r="AI79" s="85" t="str">
        <f>IF(A79="","",IF(AND(AH79&gt;0,AH79=$AH$6,COUNTIF($AH$9:AH79,AH79)=1),1,0))</f>
        <v/>
      </c>
    </row>
    <row r="80">
      <c r="A80" s="96" t="n"/>
      <c r="B80" s="96" t="n"/>
      <c r="C80" s="96" t="n"/>
      <c r="D80" s="97" t="n"/>
      <c r="E80" s="98" t="n"/>
      <c r="F80" s="99" t="n"/>
      <c r="G80" s="100" t="n"/>
      <c r="H80" s="104" t="str">
        <f>IF(A80="","",IF(AND(p_ModoCot="Automático",ISNUMBER(Z80)),Z80,IF(N(G80)&gt;0,G80,0)))</f>
        <v/>
      </c>
      <c r="I80" s="105" t="str">
        <f>IF(A80="","",IF(W80=0,"Sem câmbio",IF(AND(p_ModoCot="Automático",ISNUMBER(Z80)),"Auto",IF(N(G80)&gt;0,"Manual","Sem cotação"))))</f>
        <v/>
      </c>
      <c r="J80" s="106" t="str">
        <f>IF(A80="","",N(E80)*H80)</f>
        <v/>
      </c>
      <c r="K80" s="107" t="str">
        <f>IF(A80="","",J80*W80)</f>
        <v/>
      </c>
      <c r="L80" s="108" t="str">
        <f>IF(A80="","",IF($K$6&gt;0,K80/$K$6,0))</f>
        <v/>
      </c>
      <c r="M80" s="109" t="str">
        <f>IF(A80="","",N(F80)-L80)</f>
        <v/>
      </c>
      <c r="N80" s="108" t="str">
        <f>IF(A80="","",IF($AB$6&gt;0,AB80/$AB$6,0))</f>
        <v/>
      </c>
      <c r="O80" s="110" t="str">
        <f>IF(A80="","",IF(AB80&lt;=0,"",COUNTIF($AB$9:$AB$108,"&gt;"&amp;AB80)+COUNTIF($AB$9:AB80,AB80)))</f>
        <v/>
      </c>
      <c r="P80" s="105" t="str">
        <f>IF(A80="","",IF(Q80&gt;0,"BUY","HOLD"))</f>
        <v/>
      </c>
      <c r="Q80" s="107" t="str">
        <f>IF(A80="","",IF($W$7&lt;=0,0,IF($AC$6&gt;0,$W$7*AC80/$AC$6,IF($F$6&gt;0,$W$7*N(F80)/$F$6,0))))</f>
        <v/>
      </c>
      <c r="R80" s="111" t="str">
        <f>IF(A80="","",N(AD80)+IF(AI80=1,N(AG80),0))</f>
        <v/>
      </c>
      <c r="S80" s="111" t="str">
        <f>IF(A80="","",N(E80)+N(R80))</f>
        <v/>
      </c>
      <c r="T80" s="107" t="str">
        <f>IF(A80="","",IF(N(R80)&gt;0,R80*H80*W80*$W$6+p_CorrFixa,0))</f>
        <v/>
      </c>
      <c r="V80" s="85" t="str">
        <f>IF(A80="","",IF(D80="",$W$1,D80))</f>
        <v/>
      </c>
      <c r="W80" s="85" t="str">
        <f>IF(A80="","",IFERROR(INDEX(moeda_fx,MATCH(V80,moeda_cod,0)),0))</f>
        <v/>
      </c>
      <c r="X80" s="85" t="str">
        <f>IF(A80="","",IF($W$2="",UPPER(TRIM(A80)),IF(RIGHT(UPPER(TRIM(A80)),LEN($W$2))=$W$2,UPPER(TRIM(A80)),UPPER(TRIM(A80))&amp;$W$2)))</f>
        <v/>
      </c>
      <c r="Y80" s="85" t="str">
        <f>IF(OR(A80="",p_ModoCot&lt;&gt;"Automático"),"",IFERROR(_xlfn.WEBSERVICE("https://query1.finance.yahoo.com/v8/finance/chart/"&amp;X80&amp;"?range=1d&amp;interval=1d"),""))</f>
        <v/>
      </c>
      <c r="Z80" s="85" t="str">
        <f>IF(Y80="","",IFERROR(_xlfn.NUMBERVALUE(MID(Y80,SEARCH("""regularMarketPrice"":",Y80)+21,SEARCH(",",Y80&amp;",",SEARCH("""regularMarketPrice"":",Y80)+21)-SEARCH("""regularMarketPrice"":",Y80)-21),".",","),""))</f>
        <v/>
      </c>
      <c r="AA80" s="85" t="str">
        <f>IF(A80="","",ROUND(MAX(0,N(F80)*($K$6+$W$7)-K80),2))</f>
        <v/>
      </c>
      <c r="AB80" s="85" t="str">
        <f>IF(A80="","",IF(AND(M80&gt;0,M80&gt;=p_DifMin),AA80,0))</f>
        <v/>
      </c>
      <c r="AC80" s="85" t="str">
        <f>IF(A80="","",IF(AND(AB80&gt;0,N(O80)&lt;=p_MaxAtivos),AB80,0))</f>
        <v/>
      </c>
      <c r="AD80" s="85" t="str">
        <f>IF(A80="","",IF(OR(Q80&lt;=0,Q80&lt;p_CompraMin,N(H80)&lt;=0,N(W80)&lt;=0),0,IF($W$3="Sim",TRUNC(ROUND(MAX(0,(Q80-p_CorrFixa)/(H80*W80*$W$6)),9),$W$4),TRUNC(ROUND(MAX(0,(Q80-p_CorrFixa)/(H80*W80*$W$6)),9)/$W$5)*$W$5)))</f>
        <v/>
      </c>
      <c r="AE80" s="85" t="str">
        <f>IF(A80="","",IF(N(AD80)&gt;0,AD80*H80*W80*$W$6+p_CorrFixa,0))</f>
        <v/>
      </c>
      <c r="AF80" s="85" t="str">
        <f>IF(A80="","",IF(OR($Y$1&lt;=0,N(H80)&lt;=0,N(W80)&lt;=0,N(AB80)&lt;=0),0,IF($W$3="Sim",TRUNC(ROUND(MAX(0,($Y$1-IF(N(AD80)&gt;0,0,p_CorrFixa))/(H80*W80*$W$6)),9),$W$4),TRUNC(ROUND(MAX(0,($Y$1-IF(N(AD80)&gt;0,0,p_CorrFixa))/(H80*W80*$W$6)),9)/$W$5)*$W$5)))</f>
        <v/>
      </c>
      <c r="AG80" s="85" t="str">
        <f>IF(A80="","",IF(AND(N(AD80)=0,N(AF80)*(H80*W80*$W$6)+p_CorrFixa&lt;p_CompraMin),0,AF80))</f>
        <v/>
      </c>
      <c r="AH80" s="85" t="str">
        <f>IF(A80="","",IF(N(AG80)&gt;0,AB80,0))</f>
        <v/>
      </c>
      <c r="AI80" s="85" t="str">
        <f>IF(A80="","",IF(AND(AH80&gt;0,AH80=$AH$6,COUNTIF($AH$9:AH80,AH80)=1),1,0))</f>
        <v/>
      </c>
    </row>
    <row r="81">
      <c r="A81" s="96" t="n"/>
      <c r="B81" s="96" t="n"/>
      <c r="C81" s="96" t="n"/>
      <c r="D81" s="97" t="n"/>
      <c r="E81" s="98" t="n"/>
      <c r="F81" s="99" t="n"/>
      <c r="G81" s="100" t="n"/>
      <c r="H81" s="101" t="str">
        <f>IF(A81="","",IF(AND(p_ModoCot="Automático",ISNUMBER(Z81)),Z81,IF(N(G81)&gt;0,G81,0)))</f>
        <v/>
      </c>
      <c r="I81" s="73" t="str">
        <f>IF(A81="","",IF(W81=0,"Sem câmbio",IF(AND(p_ModoCot="Automático",ISNUMBER(Z81)),"Auto",IF(N(G81)&gt;0,"Manual","Sem cotação"))))</f>
        <v/>
      </c>
      <c r="J81" s="102" t="str">
        <f>IF(A81="","",N(E81)*H81)</f>
        <v/>
      </c>
      <c r="K81" s="70" t="str">
        <f>IF(A81="","",J81*W81)</f>
        <v/>
      </c>
      <c r="L81" s="30" t="str">
        <f>IF(A81="","",IF($K$6&gt;0,K81/$K$6,0))</f>
        <v/>
      </c>
      <c r="M81" s="72" t="str">
        <f>IF(A81="","",N(F81)-L81)</f>
        <v/>
      </c>
      <c r="N81" s="30" t="str">
        <f>IF(A81="","",IF($AB$6&gt;0,AB81/$AB$6,0))</f>
        <v/>
      </c>
      <c r="O81" s="74" t="str">
        <f>IF(A81="","",IF(AB81&lt;=0,"",COUNTIF($AB$9:$AB$108,"&gt;"&amp;AB81)+COUNTIF($AB$9:AB81,AB81)))</f>
        <v/>
      </c>
      <c r="P81" s="73" t="str">
        <f>IF(A81="","",IF(Q81&gt;0,"BUY","HOLD"))</f>
        <v/>
      </c>
      <c r="Q81" s="70" t="str">
        <f>IF(A81="","",IF($W$7&lt;=0,0,IF($AC$6&gt;0,$W$7*AC81/$AC$6,IF($F$6&gt;0,$W$7*N(F81)/$F$6,0))))</f>
        <v/>
      </c>
      <c r="R81" s="103" t="str">
        <f>IF(A81="","",N(AD81)+IF(AI81=1,N(AG81),0))</f>
        <v/>
      </c>
      <c r="S81" s="103" t="str">
        <f>IF(A81="","",N(E81)+N(R81))</f>
        <v/>
      </c>
      <c r="T81" s="70" t="str">
        <f>IF(A81="","",IF(N(R81)&gt;0,R81*H81*W81*$W$6+p_CorrFixa,0))</f>
        <v/>
      </c>
      <c r="V81" s="85" t="str">
        <f>IF(A81="","",IF(D81="",$W$1,D81))</f>
        <v/>
      </c>
      <c r="W81" s="85" t="str">
        <f>IF(A81="","",IFERROR(INDEX(moeda_fx,MATCH(V81,moeda_cod,0)),0))</f>
        <v/>
      </c>
      <c r="X81" s="85" t="str">
        <f>IF(A81="","",IF($W$2="",UPPER(TRIM(A81)),IF(RIGHT(UPPER(TRIM(A81)),LEN($W$2))=$W$2,UPPER(TRIM(A81)),UPPER(TRIM(A81))&amp;$W$2)))</f>
        <v/>
      </c>
      <c r="Y81" s="85" t="str">
        <f>IF(OR(A81="",p_ModoCot&lt;&gt;"Automático"),"",IFERROR(_xlfn.WEBSERVICE("https://query1.finance.yahoo.com/v8/finance/chart/"&amp;X81&amp;"?range=1d&amp;interval=1d"),""))</f>
        <v/>
      </c>
      <c r="Z81" s="85" t="str">
        <f>IF(Y81="","",IFERROR(_xlfn.NUMBERVALUE(MID(Y81,SEARCH("""regularMarketPrice"":",Y81)+21,SEARCH(",",Y81&amp;",",SEARCH("""regularMarketPrice"":",Y81)+21)-SEARCH("""regularMarketPrice"":",Y81)-21),".",","),""))</f>
        <v/>
      </c>
      <c r="AA81" s="85" t="str">
        <f>IF(A81="","",ROUND(MAX(0,N(F81)*($K$6+$W$7)-K81),2))</f>
        <v/>
      </c>
      <c r="AB81" s="85" t="str">
        <f>IF(A81="","",IF(AND(M81&gt;0,M81&gt;=p_DifMin),AA81,0))</f>
        <v/>
      </c>
      <c r="AC81" s="85" t="str">
        <f>IF(A81="","",IF(AND(AB81&gt;0,N(O81)&lt;=p_MaxAtivos),AB81,0))</f>
        <v/>
      </c>
      <c r="AD81" s="85" t="str">
        <f>IF(A81="","",IF(OR(Q81&lt;=0,Q81&lt;p_CompraMin,N(H81)&lt;=0,N(W81)&lt;=0),0,IF($W$3="Sim",TRUNC(ROUND(MAX(0,(Q81-p_CorrFixa)/(H81*W81*$W$6)),9),$W$4),TRUNC(ROUND(MAX(0,(Q81-p_CorrFixa)/(H81*W81*$W$6)),9)/$W$5)*$W$5)))</f>
        <v/>
      </c>
      <c r="AE81" s="85" t="str">
        <f>IF(A81="","",IF(N(AD81)&gt;0,AD81*H81*W81*$W$6+p_CorrFixa,0))</f>
        <v/>
      </c>
      <c r="AF81" s="85" t="str">
        <f>IF(A81="","",IF(OR($Y$1&lt;=0,N(H81)&lt;=0,N(W81)&lt;=0,N(AB81)&lt;=0),0,IF($W$3="Sim",TRUNC(ROUND(MAX(0,($Y$1-IF(N(AD81)&gt;0,0,p_CorrFixa))/(H81*W81*$W$6)),9),$W$4),TRUNC(ROUND(MAX(0,($Y$1-IF(N(AD81)&gt;0,0,p_CorrFixa))/(H81*W81*$W$6)),9)/$W$5)*$W$5)))</f>
        <v/>
      </c>
      <c r="AG81" s="85" t="str">
        <f>IF(A81="","",IF(AND(N(AD81)=0,N(AF81)*(H81*W81*$W$6)+p_CorrFixa&lt;p_CompraMin),0,AF81))</f>
        <v/>
      </c>
      <c r="AH81" s="85" t="str">
        <f>IF(A81="","",IF(N(AG81)&gt;0,AB81,0))</f>
        <v/>
      </c>
      <c r="AI81" s="85" t="str">
        <f>IF(A81="","",IF(AND(AH81&gt;0,AH81=$AH$6,COUNTIF($AH$9:AH81,AH81)=1),1,0))</f>
        <v/>
      </c>
    </row>
    <row r="82">
      <c r="A82" s="96" t="n"/>
      <c r="B82" s="96" t="n"/>
      <c r="C82" s="96" t="n"/>
      <c r="D82" s="97" t="n"/>
      <c r="E82" s="98" t="n"/>
      <c r="F82" s="99" t="n"/>
      <c r="G82" s="100" t="n"/>
      <c r="H82" s="104" t="str">
        <f>IF(A82="","",IF(AND(p_ModoCot="Automático",ISNUMBER(Z82)),Z82,IF(N(G82)&gt;0,G82,0)))</f>
        <v/>
      </c>
      <c r="I82" s="105" t="str">
        <f>IF(A82="","",IF(W82=0,"Sem câmbio",IF(AND(p_ModoCot="Automático",ISNUMBER(Z82)),"Auto",IF(N(G82)&gt;0,"Manual","Sem cotação"))))</f>
        <v/>
      </c>
      <c r="J82" s="106" t="str">
        <f>IF(A82="","",N(E82)*H82)</f>
        <v/>
      </c>
      <c r="K82" s="107" t="str">
        <f>IF(A82="","",J82*W82)</f>
        <v/>
      </c>
      <c r="L82" s="108" t="str">
        <f>IF(A82="","",IF($K$6&gt;0,K82/$K$6,0))</f>
        <v/>
      </c>
      <c r="M82" s="109" t="str">
        <f>IF(A82="","",N(F82)-L82)</f>
        <v/>
      </c>
      <c r="N82" s="108" t="str">
        <f>IF(A82="","",IF($AB$6&gt;0,AB82/$AB$6,0))</f>
        <v/>
      </c>
      <c r="O82" s="110" t="str">
        <f>IF(A82="","",IF(AB82&lt;=0,"",COUNTIF($AB$9:$AB$108,"&gt;"&amp;AB82)+COUNTIF($AB$9:AB82,AB82)))</f>
        <v/>
      </c>
      <c r="P82" s="105" t="str">
        <f>IF(A82="","",IF(Q82&gt;0,"BUY","HOLD"))</f>
        <v/>
      </c>
      <c r="Q82" s="107" t="str">
        <f>IF(A82="","",IF($W$7&lt;=0,0,IF($AC$6&gt;0,$W$7*AC82/$AC$6,IF($F$6&gt;0,$W$7*N(F82)/$F$6,0))))</f>
        <v/>
      </c>
      <c r="R82" s="111" t="str">
        <f>IF(A82="","",N(AD82)+IF(AI82=1,N(AG82),0))</f>
        <v/>
      </c>
      <c r="S82" s="111" t="str">
        <f>IF(A82="","",N(E82)+N(R82))</f>
        <v/>
      </c>
      <c r="T82" s="107" t="str">
        <f>IF(A82="","",IF(N(R82)&gt;0,R82*H82*W82*$W$6+p_CorrFixa,0))</f>
        <v/>
      </c>
      <c r="V82" s="85" t="str">
        <f>IF(A82="","",IF(D82="",$W$1,D82))</f>
        <v/>
      </c>
      <c r="W82" s="85" t="str">
        <f>IF(A82="","",IFERROR(INDEX(moeda_fx,MATCH(V82,moeda_cod,0)),0))</f>
        <v/>
      </c>
      <c r="X82" s="85" t="str">
        <f>IF(A82="","",IF($W$2="",UPPER(TRIM(A82)),IF(RIGHT(UPPER(TRIM(A82)),LEN($W$2))=$W$2,UPPER(TRIM(A82)),UPPER(TRIM(A82))&amp;$W$2)))</f>
        <v/>
      </c>
      <c r="Y82" s="85" t="str">
        <f>IF(OR(A82="",p_ModoCot&lt;&gt;"Automático"),"",IFERROR(_xlfn.WEBSERVICE("https://query1.finance.yahoo.com/v8/finance/chart/"&amp;X82&amp;"?range=1d&amp;interval=1d"),""))</f>
        <v/>
      </c>
      <c r="Z82" s="85" t="str">
        <f>IF(Y82="","",IFERROR(_xlfn.NUMBERVALUE(MID(Y82,SEARCH("""regularMarketPrice"":",Y82)+21,SEARCH(",",Y82&amp;",",SEARCH("""regularMarketPrice"":",Y82)+21)-SEARCH("""regularMarketPrice"":",Y82)-21),".",","),""))</f>
        <v/>
      </c>
      <c r="AA82" s="85" t="str">
        <f>IF(A82="","",ROUND(MAX(0,N(F82)*($K$6+$W$7)-K82),2))</f>
        <v/>
      </c>
      <c r="AB82" s="85" t="str">
        <f>IF(A82="","",IF(AND(M82&gt;0,M82&gt;=p_DifMin),AA82,0))</f>
        <v/>
      </c>
      <c r="AC82" s="85" t="str">
        <f>IF(A82="","",IF(AND(AB82&gt;0,N(O82)&lt;=p_MaxAtivos),AB82,0))</f>
        <v/>
      </c>
      <c r="AD82" s="85" t="str">
        <f>IF(A82="","",IF(OR(Q82&lt;=0,Q82&lt;p_CompraMin,N(H82)&lt;=0,N(W82)&lt;=0),0,IF($W$3="Sim",TRUNC(ROUND(MAX(0,(Q82-p_CorrFixa)/(H82*W82*$W$6)),9),$W$4),TRUNC(ROUND(MAX(0,(Q82-p_CorrFixa)/(H82*W82*$W$6)),9)/$W$5)*$W$5)))</f>
        <v/>
      </c>
      <c r="AE82" s="85" t="str">
        <f>IF(A82="","",IF(N(AD82)&gt;0,AD82*H82*W82*$W$6+p_CorrFixa,0))</f>
        <v/>
      </c>
      <c r="AF82" s="85" t="str">
        <f>IF(A82="","",IF(OR($Y$1&lt;=0,N(H82)&lt;=0,N(W82)&lt;=0,N(AB82)&lt;=0),0,IF($W$3="Sim",TRUNC(ROUND(MAX(0,($Y$1-IF(N(AD82)&gt;0,0,p_CorrFixa))/(H82*W82*$W$6)),9),$W$4),TRUNC(ROUND(MAX(0,($Y$1-IF(N(AD82)&gt;0,0,p_CorrFixa))/(H82*W82*$W$6)),9)/$W$5)*$W$5)))</f>
        <v/>
      </c>
      <c r="AG82" s="85" t="str">
        <f>IF(A82="","",IF(AND(N(AD82)=0,N(AF82)*(H82*W82*$W$6)+p_CorrFixa&lt;p_CompraMin),0,AF82))</f>
        <v/>
      </c>
      <c r="AH82" s="85" t="str">
        <f>IF(A82="","",IF(N(AG82)&gt;0,AB82,0))</f>
        <v/>
      </c>
      <c r="AI82" s="85" t="str">
        <f>IF(A82="","",IF(AND(AH82&gt;0,AH82=$AH$6,COUNTIF($AH$9:AH82,AH82)=1),1,0))</f>
        <v/>
      </c>
    </row>
    <row r="83">
      <c r="A83" s="96" t="n"/>
      <c r="B83" s="96" t="n"/>
      <c r="C83" s="96" t="n"/>
      <c r="D83" s="97" t="n"/>
      <c r="E83" s="98" t="n"/>
      <c r="F83" s="99" t="n"/>
      <c r="G83" s="100" t="n"/>
      <c r="H83" s="101" t="str">
        <f>IF(A83="","",IF(AND(p_ModoCot="Automático",ISNUMBER(Z83)),Z83,IF(N(G83)&gt;0,G83,0)))</f>
        <v/>
      </c>
      <c r="I83" s="73" t="str">
        <f>IF(A83="","",IF(W83=0,"Sem câmbio",IF(AND(p_ModoCot="Automático",ISNUMBER(Z83)),"Auto",IF(N(G83)&gt;0,"Manual","Sem cotação"))))</f>
        <v/>
      </c>
      <c r="J83" s="102" t="str">
        <f>IF(A83="","",N(E83)*H83)</f>
        <v/>
      </c>
      <c r="K83" s="70" t="str">
        <f>IF(A83="","",J83*W83)</f>
        <v/>
      </c>
      <c r="L83" s="30" t="str">
        <f>IF(A83="","",IF($K$6&gt;0,K83/$K$6,0))</f>
        <v/>
      </c>
      <c r="M83" s="72" t="str">
        <f>IF(A83="","",N(F83)-L83)</f>
        <v/>
      </c>
      <c r="N83" s="30" t="str">
        <f>IF(A83="","",IF($AB$6&gt;0,AB83/$AB$6,0))</f>
        <v/>
      </c>
      <c r="O83" s="74" t="str">
        <f>IF(A83="","",IF(AB83&lt;=0,"",COUNTIF($AB$9:$AB$108,"&gt;"&amp;AB83)+COUNTIF($AB$9:AB83,AB83)))</f>
        <v/>
      </c>
      <c r="P83" s="73" t="str">
        <f>IF(A83="","",IF(Q83&gt;0,"BUY","HOLD"))</f>
        <v/>
      </c>
      <c r="Q83" s="70" t="str">
        <f>IF(A83="","",IF($W$7&lt;=0,0,IF($AC$6&gt;0,$W$7*AC83/$AC$6,IF($F$6&gt;0,$W$7*N(F83)/$F$6,0))))</f>
        <v/>
      </c>
      <c r="R83" s="103" t="str">
        <f>IF(A83="","",N(AD83)+IF(AI83=1,N(AG83),0))</f>
        <v/>
      </c>
      <c r="S83" s="103" t="str">
        <f>IF(A83="","",N(E83)+N(R83))</f>
        <v/>
      </c>
      <c r="T83" s="70" t="str">
        <f>IF(A83="","",IF(N(R83)&gt;0,R83*H83*W83*$W$6+p_CorrFixa,0))</f>
        <v/>
      </c>
      <c r="V83" s="85" t="str">
        <f>IF(A83="","",IF(D83="",$W$1,D83))</f>
        <v/>
      </c>
      <c r="W83" s="85" t="str">
        <f>IF(A83="","",IFERROR(INDEX(moeda_fx,MATCH(V83,moeda_cod,0)),0))</f>
        <v/>
      </c>
      <c r="X83" s="85" t="str">
        <f>IF(A83="","",IF($W$2="",UPPER(TRIM(A83)),IF(RIGHT(UPPER(TRIM(A83)),LEN($W$2))=$W$2,UPPER(TRIM(A83)),UPPER(TRIM(A83))&amp;$W$2)))</f>
        <v/>
      </c>
      <c r="Y83" s="85" t="str">
        <f>IF(OR(A83="",p_ModoCot&lt;&gt;"Automático"),"",IFERROR(_xlfn.WEBSERVICE("https://query1.finance.yahoo.com/v8/finance/chart/"&amp;X83&amp;"?range=1d&amp;interval=1d"),""))</f>
        <v/>
      </c>
      <c r="Z83" s="85" t="str">
        <f>IF(Y83="","",IFERROR(_xlfn.NUMBERVALUE(MID(Y83,SEARCH("""regularMarketPrice"":",Y83)+21,SEARCH(",",Y83&amp;",",SEARCH("""regularMarketPrice"":",Y83)+21)-SEARCH("""regularMarketPrice"":",Y83)-21),".",","),""))</f>
        <v/>
      </c>
      <c r="AA83" s="85" t="str">
        <f>IF(A83="","",ROUND(MAX(0,N(F83)*($K$6+$W$7)-K83),2))</f>
        <v/>
      </c>
      <c r="AB83" s="85" t="str">
        <f>IF(A83="","",IF(AND(M83&gt;0,M83&gt;=p_DifMin),AA83,0))</f>
        <v/>
      </c>
      <c r="AC83" s="85" t="str">
        <f>IF(A83="","",IF(AND(AB83&gt;0,N(O83)&lt;=p_MaxAtivos),AB83,0))</f>
        <v/>
      </c>
      <c r="AD83" s="85" t="str">
        <f>IF(A83="","",IF(OR(Q83&lt;=0,Q83&lt;p_CompraMin,N(H83)&lt;=0,N(W83)&lt;=0),0,IF($W$3="Sim",TRUNC(ROUND(MAX(0,(Q83-p_CorrFixa)/(H83*W83*$W$6)),9),$W$4),TRUNC(ROUND(MAX(0,(Q83-p_CorrFixa)/(H83*W83*$W$6)),9)/$W$5)*$W$5)))</f>
        <v/>
      </c>
      <c r="AE83" s="85" t="str">
        <f>IF(A83="","",IF(N(AD83)&gt;0,AD83*H83*W83*$W$6+p_CorrFixa,0))</f>
        <v/>
      </c>
      <c r="AF83" s="85" t="str">
        <f>IF(A83="","",IF(OR($Y$1&lt;=0,N(H83)&lt;=0,N(W83)&lt;=0,N(AB83)&lt;=0),0,IF($W$3="Sim",TRUNC(ROUND(MAX(0,($Y$1-IF(N(AD83)&gt;0,0,p_CorrFixa))/(H83*W83*$W$6)),9),$W$4),TRUNC(ROUND(MAX(0,($Y$1-IF(N(AD83)&gt;0,0,p_CorrFixa))/(H83*W83*$W$6)),9)/$W$5)*$W$5)))</f>
        <v/>
      </c>
      <c r="AG83" s="85" t="str">
        <f>IF(A83="","",IF(AND(N(AD83)=0,N(AF83)*(H83*W83*$W$6)+p_CorrFixa&lt;p_CompraMin),0,AF83))</f>
        <v/>
      </c>
      <c r="AH83" s="85" t="str">
        <f>IF(A83="","",IF(N(AG83)&gt;0,AB83,0))</f>
        <v/>
      </c>
      <c r="AI83" s="85" t="str">
        <f>IF(A83="","",IF(AND(AH83&gt;0,AH83=$AH$6,COUNTIF($AH$9:AH83,AH83)=1),1,0))</f>
        <v/>
      </c>
    </row>
    <row r="84">
      <c r="A84" s="96" t="n"/>
      <c r="B84" s="96" t="n"/>
      <c r="C84" s="96" t="n"/>
      <c r="D84" s="97" t="n"/>
      <c r="E84" s="98" t="n"/>
      <c r="F84" s="99" t="n"/>
      <c r="G84" s="100" t="n"/>
      <c r="H84" s="104" t="str">
        <f>IF(A84="","",IF(AND(p_ModoCot="Automático",ISNUMBER(Z84)),Z84,IF(N(G84)&gt;0,G84,0)))</f>
        <v/>
      </c>
      <c r="I84" s="105" t="str">
        <f>IF(A84="","",IF(W84=0,"Sem câmbio",IF(AND(p_ModoCot="Automático",ISNUMBER(Z84)),"Auto",IF(N(G84)&gt;0,"Manual","Sem cotação"))))</f>
        <v/>
      </c>
      <c r="J84" s="106" t="str">
        <f>IF(A84="","",N(E84)*H84)</f>
        <v/>
      </c>
      <c r="K84" s="107" t="str">
        <f>IF(A84="","",J84*W84)</f>
        <v/>
      </c>
      <c r="L84" s="108" t="str">
        <f>IF(A84="","",IF($K$6&gt;0,K84/$K$6,0))</f>
        <v/>
      </c>
      <c r="M84" s="109" t="str">
        <f>IF(A84="","",N(F84)-L84)</f>
        <v/>
      </c>
      <c r="N84" s="108" t="str">
        <f>IF(A84="","",IF($AB$6&gt;0,AB84/$AB$6,0))</f>
        <v/>
      </c>
      <c r="O84" s="110" t="str">
        <f>IF(A84="","",IF(AB84&lt;=0,"",COUNTIF($AB$9:$AB$108,"&gt;"&amp;AB84)+COUNTIF($AB$9:AB84,AB84)))</f>
        <v/>
      </c>
      <c r="P84" s="105" t="str">
        <f>IF(A84="","",IF(Q84&gt;0,"BUY","HOLD"))</f>
        <v/>
      </c>
      <c r="Q84" s="107" t="str">
        <f>IF(A84="","",IF($W$7&lt;=0,0,IF($AC$6&gt;0,$W$7*AC84/$AC$6,IF($F$6&gt;0,$W$7*N(F84)/$F$6,0))))</f>
        <v/>
      </c>
      <c r="R84" s="111" t="str">
        <f>IF(A84="","",N(AD84)+IF(AI84=1,N(AG84),0))</f>
        <v/>
      </c>
      <c r="S84" s="111" t="str">
        <f>IF(A84="","",N(E84)+N(R84))</f>
        <v/>
      </c>
      <c r="T84" s="107" t="str">
        <f>IF(A84="","",IF(N(R84)&gt;0,R84*H84*W84*$W$6+p_CorrFixa,0))</f>
        <v/>
      </c>
      <c r="V84" s="85" t="str">
        <f>IF(A84="","",IF(D84="",$W$1,D84))</f>
        <v/>
      </c>
      <c r="W84" s="85" t="str">
        <f>IF(A84="","",IFERROR(INDEX(moeda_fx,MATCH(V84,moeda_cod,0)),0))</f>
        <v/>
      </c>
      <c r="X84" s="85" t="str">
        <f>IF(A84="","",IF($W$2="",UPPER(TRIM(A84)),IF(RIGHT(UPPER(TRIM(A84)),LEN($W$2))=$W$2,UPPER(TRIM(A84)),UPPER(TRIM(A84))&amp;$W$2)))</f>
        <v/>
      </c>
      <c r="Y84" s="85" t="str">
        <f>IF(OR(A84="",p_ModoCot&lt;&gt;"Automático"),"",IFERROR(_xlfn.WEBSERVICE("https://query1.finance.yahoo.com/v8/finance/chart/"&amp;X84&amp;"?range=1d&amp;interval=1d"),""))</f>
        <v/>
      </c>
      <c r="Z84" s="85" t="str">
        <f>IF(Y84="","",IFERROR(_xlfn.NUMBERVALUE(MID(Y84,SEARCH("""regularMarketPrice"":",Y84)+21,SEARCH(",",Y84&amp;",",SEARCH("""regularMarketPrice"":",Y84)+21)-SEARCH("""regularMarketPrice"":",Y84)-21),".",","),""))</f>
        <v/>
      </c>
      <c r="AA84" s="85" t="str">
        <f>IF(A84="","",ROUND(MAX(0,N(F84)*($K$6+$W$7)-K84),2))</f>
        <v/>
      </c>
      <c r="AB84" s="85" t="str">
        <f>IF(A84="","",IF(AND(M84&gt;0,M84&gt;=p_DifMin),AA84,0))</f>
        <v/>
      </c>
      <c r="AC84" s="85" t="str">
        <f>IF(A84="","",IF(AND(AB84&gt;0,N(O84)&lt;=p_MaxAtivos),AB84,0))</f>
        <v/>
      </c>
      <c r="AD84" s="85" t="str">
        <f>IF(A84="","",IF(OR(Q84&lt;=0,Q84&lt;p_CompraMin,N(H84)&lt;=0,N(W84)&lt;=0),0,IF($W$3="Sim",TRUNC(ROUND(MAX(0,(Q84-p_CorrFixa)/(H84*W84*$W$6)),9),$W$4),TRUNC(ROUND(MAX(0,(Q84-p_CorrFixa)/(H84*W84*$W$6)),9)/$W$5)*$W$5)))</f>
        <v/>
      </c>
      <c r="AE84" s="85" t="str">
        <f>IF(A84="","",IF(N(AD84)&gt;0,AD84*H84*W84*$W$6+p_CorrFixa,0))</f>
        <v/>
      </c>
      <c r="AF84" s="85" t="str">
        <f>IF(A84="","",IF(OR($Y$1&lt;=0,N(H84)&lt;=0,N(W84)&lt;=0,N(AB84)&lt;=0),0,IF($W$3="Sim",TRUNC(ROUND(MAX(0,($Y$1-IF(N(AD84)&gt;0,0,p_CorrFixa))/(H84*W84*$W$6)),9),$W$4),TRUNC(ROUND(MAX(0,($Y$1-IF(N(AD84)&gt;0,0,p_CorrFixa))/(H84*W84*$W$6)),9)/$W$5)*$W$5)))</f>
        <v/>
      </c>
      <c r="AG84" s="85" t="str">
        <f>IF(A84="","",IF(AND(N(AD84)=0,N(AF84)*(H84*W84*$W$6)+p_CorrFixa&lt;p_CompraMin),0,AF84))</f>
        <v/>
      </c>
      <c r="AH84" s="85" t="str">
        <f>IF(A84="","",IF(N(AG84)&gt;0,AB84,0))</f>
        <v/>
      </c>
      <c r="AI84" s="85" t="str">
        <f>IF(A84="","",IF(AND(AH84&gt;0,AH84=$AH$6,COUNTIF($AH$9:AH84,AH84)=1),1,0))</f>
        <v/>
      </c>
    </row>
    <row r="85">
      <c r="A85" s="96" t="n"/>
      <c r="B85" s="96" t="n"/>
      <c r="C85" s="96" t="n"/>
      <c r="D85" s="97" t="n"/>
      <c r="E85" s="98" t="n"/>
      <c r="F85" s="99" t="n"/>
      <c r="G85" s="100" t="n"/>
      <c r="H85" s="101" t="str">
        <f>IF(A85="","",IF(AND(p_ModoCot="Automático",ISNUMBER(Z85)),Z85,IF(N(G85)&gt;0,G85,0)))</f>
        <v/>
      </c>
      <c r="I85" s="73" t="str">
        <f>IF(A85="","",IF(W85=0,"Sem câmbio",IF(AND(p_ModoCot="Automático",ISNUMBER(Z85)),"Auto",IF(N(G85)&gt;0,"Manual","Sem cotação"))))</f>
        <v/>
      </c>
      <c r="J85" s="102" t="str">
        <f>IF(A85="","",N(E85)*H85)</f>
        <v/>
      </c>
      <c r="K85" s="70" t="str">
        <f>IF(A85="","",J85*W85)</f>
        <v/>
      </c>
      <c r="L85" s="30" t="str">
        <f>IF(A85="","",IF($K$6&gt;0,K85/$K$6,0))</f>
        <v/>
      </c>
      <c r="M85" s="72" t="str">
        <f>IF(A85="","",N(F85)-L85)</f>
        <v/>
      </c>
      <c r="N85" s="30" t="str">
        <f>IF(A85="","",IF($AB$6&gt;0,AB85/$AB$6,0))</f>
        <v/>
      </c>
      <c r="O85" s="74" t="str">
        <f>IF(A85="","",IF(AB85&lt;=0,"",COUNTIF($AB$9:$AB$108,"&gt;"&amp;AB85)+COUNTIF($AB$9:AB85,AB85)))</f>
        <v/>
      </c>
      <c r="P85" s="73" t="str">
        <f>IF(A85="","",IF(Q85&gt;0,"BUY","HOLD"))</f>
        <v/>
      </c>
      <c r="Q85" s="70" t="str">
        <f>IF(A85="","",IF($W$7&lt;=0,0,IF($AC$6&gt;0,$W$7*AC85/$AC$6,IF($F$6&gt;0,$W$7*N(F85)/$F$6,0))))</f>
        <v/>
      </c>
      <c r="R85" s="103" t="str">
        <f>IF(A85="","",N(AD85)+IF(AI85=1,N(AG85),0))</f>
        <v/>
      </c>
      <c r="S85" s="103" t="str">
        <f>IF(A85="","",N(E85)+N(R85))</f>
        <v/>
      </c>
      <c r="T85" s="70" t="str">
        <f>IF(A85="","",IF(N(R85)&gt;0,R85*H85*W85*$W$6+p_CorrFixa,0))</f>
        <v/>
      </c>
      <c r="V85" s="85" t="str">
        <f>IF(A85="","",IF(D85="",$W$1,D85))</f>
        <v/>
      </c>
      <c r="W85" s="85" t="str">
        <f>IF(A85="","",IFERROR(INDEX(moeda_fx,MATCH(V85,moeda_cod,0)),0))</f>
        <v/>
      </c>
      <c r="X85" s="85" t="str">
        <f>IF(A85="","",IF($W$2="",UPPER(TRIM(A85)),IF(RIGHT(UPPER(TRIM(A85)),LEN($W$2))=$W$2,UPPER(TRIM(A85)),UPPER(TRIM(A85))&amp;$W$2)))</f>
        <v/>
      </c>
      <c r="Y85" s="85" t="str">
        <f>IF(OR(A85="",p_ModoCot&lt;&gt;"Automático"),"",IFERROR(_xlfn.WEBSERVICE("https://query1.finance.yahoo.com/v8/finance/chart/"&amp;X85&amp;"?range=1d&amp;interval=1d"),""))</f>
        <v/>
      </c>
      <c r="Z85" s="85" t="str">
        <f>IF(Y85="","",IFERROR(_xlfn.NUMBERVALUE(MID(Y85,SEARCH("""regularMarketPrice"":",Y85)+21,SEARCH(",",Y85&amp;",",SEARCH("""regularMarketPrice"":",Y85)+21)-SEARCH("""regularMarketPrice"":",Y85)-21),".",","),""))</f>
        <v/>
      </c>
      <c r="AA85" s="85" t="str">
        <f>IF(A85="","",ROUND(MAX(0,N(F85)*($K$6+$W$7)-K85),2))</f>
        <v/>
      </c>
      <c r="AB85" s="85" t="str">
        <f>IF(A85="","",IF(AND(M85&gt;0,M85&gt;=p_DifMin),AA85,0))</f>
        <v/>
      </c>
      <c r="AC85" s="85" t="str">
        <f>IF(A85="","",IF(AND(AB85&gt;0,N(O85)&lt;=p_MaxAtivos),AB85,0))</f>
        <v/>
      </c>
      <c r="AD85" s="85" t="str">
        <f>IF(A85="","",IF(OR(Q85&lt;=0,Q85&lt;p_CompraMin,N(H85)&lt;=0,N(W85)&lt;=0),0,IF($W$3="Sim",TRUNC(ROUND(MAX(0,(Q85-p_CorrFixa)/(H85*W85*$W$6)),9),$W$4),TRUNC(ROUND(MAX(0,(Q85-p_CorrFixa)/(H85*W85*$W$6)),9)/$W$5)*$W$5)))</f>
        <v/>
      </c>
      <c r="AE85" s="85" t="str">
        <f>IF(A85="","",IF(N(AD85)&gt;0,AD85*H85*W85*$W$6+p_CorrFixa,0))</f>
        <v/>
      </c>
      <c r="AF85" s="85" t="str">
        <f>IF(A85="","",IF(OR($Y$1&lt;=0,N(H85)&lt;=0,N(W85)&lt;=0,N(AB85)&lt;=0),0,IF($W$3="Sim",TRUNC(ROUND(MAX(0,($Y$1-IF(N(AD85)&gt;0,0,p_CorrFixa))/(H85*W85*$W$6)),9),$W$4),TRUNC(ROUND(MAX(0,($Y$1-IF(N(AD85)&gt;0,0,p_CorrFixa))/(H85*W85*$W$6)),9)/$W$5)*$W$5)))</f>
        <v/>
      </c>
      <c r="AG85" s="85" t="str">
        <f>IF(A85="","",IF(AND(N(AD85)=0,N(AF85)*(H85*W85*$W$6)+p_CorrFixa&lt;p_CompraMin),0,AF85))</f>
        <v/>
      </c>
      <c r="AH85" s="85" t="str">
        <f>IF(A85="","",IF(N(AG85)&gt;0,AB85,0))</f>
        <v/>
      </c>
      <c r="AI85" s="85" t="str">
        <f>IF(A85="","",IF(AND(AH85&gt;0,AH85=$AH$6,COUNTIF($AH$9:AH85,AH85)=1),1,0))</f>
        <v/>
      </c>
    </row>
    <row r="86">
      <c r="A86" s="96" t="n"/>
      <c r="B86" s="96" t="n"/>
      <c r="C86" s="96" t="n"/>
      <c r="D86" s="97" t="n"/>
      <c r="E86" s="98" t="n"/>
      <c r="F86" s="99" t="n"/>
      <c r="G86" s="100" t="n"/>
      <c r="H86" s="104" t="str">
        <f>IF(A86="","",IF(AND(p_ModoCot="Automático",ISNUMBER(Z86)),Z86,IF(N(G86)&gt;0,G86,0)))</f>
        <v/>
      </c>
      <c r="I86" s="105" t="str">
        <f>IF(A86="","",IF(W86=0,"Sem câmbio",IF(AND(p_ModoCot="Automático",ISNUMBER(Z86)),"Auto",IF(N(G86)&gt;0,"Manual","Sem cotação"))))</f>
        <v/>
      </c>
      <c r="J86" s="106" t="str">
        <f>IF(A86="","",N(E86)*H86)</f>
        <v/>
      </c>
      <c r="K86" s="107" t="str">
        <f>IF(A86="","",J86*W86)</f>
        <v/>
      </c>
      <c r="L86" s="108" t="str">
        <f>IF(A86="","",IF($K$6&gt;0,K86/$K$6,0))</f>
        <v/>
      </c>
      <c r="M86" s="109" t="str">
        <f>IF(A86="","",N(F86)-L86)</f>
        <v/>
      </c>
      <c r="N86" s="108" t="str">
        <f>IF(A86="","",IF($AB$6&gt;0,AB86/$AB$6,0))</f>
        <v/>
      </c>
      <c r="O86" s="110" t="str">
        <f>IF(A86="","",IF(AB86&lt;=0,"",COUNTIF($AB$9:$AB$108,"&gt;"&amp;AB86)+COUNTIF($AB$9:AB86,AB86)))</f>
        <v/>
      </c>
      <c r="P86" s="105" t="str">
        <f>IF(A86="","",IF(Q86&gt;0,"BUY","HOLD"))</f>
        <v/>
      </c>
      <c r="Q86" s="107" t="str">
        <f>IF(A86="","",IF($W$7&lt;=0,0,IF($AC$6&gt;0,$W$7*AC86/$AC$6,IF($F$6&gt;0,$W$7*N(F86)/$F$6,0))))</f>
        <v/>
      </c>
      <c r="R86" s="111" t="str">
        <f>IF(A86="","",N(AD86)+IF(AI86=1,N(AG86),0))</f>
        <v/>
      </c>
      <c r="S86" s="111" t="str">
        <f>IF(A86="","",N(E86)+N(R86))</f>
        <v/>
      </c>
      <c r="T86" s="107" t="str">
        <f>IF(A86="","",IF(N(R86)&gt;0,R86*H86*W86*$W$6+p_CorrFixa,0))</f>
        <v/>
      </c>
      <c r="V86" s="85" t="str">
        <f>IF(A86="","",IF(D86="",$W$1,D86))</f>
        <v/>
      </c>
      <c r="W86" s="85" t="str">
        <f>IF(A86="","",IFERROR(INDEX(moeda_fx,MATCH(V86,moeda_cod,0)),0))</f>
        <v/>
      </c>
      <c r="X86" s="85" t="str">
        <f>IF(A86="","",IF($W$2="",UPPER(TRIM(A86)),IF(RIGHT(UPPER(TRIM(A86)),LEN($W$2))=$W$2,UPPER(TRIM(A86)),UPPER(TRIM(A86))&amp;$W$2)))</f>
        <v/>
      </c>
      <c r="Y86" s="85" t="str">
        <f>IF(OR(A86="",p_ModoCot&lt;&gt;"Automático"),"",IFERROR(_xlfn.WEBSERVICE("https://query1.finance.yahoo.com/v8/finance/chart/"&amp;X86&amp;"?range=1d&amp;interval=1d"),""))</f>
        <v/>
      </c>
      <c r="Z86" s="85" t="str">
        <f>IF(Y86="","",IFERROR(_xlfn.NUMBERVALUE(MID(Y86,SEARCH("""regularMarketPrice"":",Y86)+21,SEARCH(",",Y86&amp;",",SEARCH("""regularMarketPrice"":",Y86)+21)-SEARCH("""regularMarketPrice"":",Y86)-21),".",","),""))</f>
        <v/>
      </c>
      <c r="AA86" s="85" t="str">
        <f>IF(A86="","",ROUND(MAX(0,N(F86)*($K$6+$W$7)-K86),2))</f>
        <v/>
      </c>
      <c r="AB86" s="85" t="str">
        <f>IF(A86="","",IF(AND(M86&gt;0,M86&gt;=p_DifMin),AA86,0))</f>
        <v/>
      </c>
      <c r="AC86" s="85" t="str">
        <f>IF(A86="","",IF(AND(AB86&gt;0,N(O86)&lt;=p_MaxAtivos),AB86,0))</f>
        <v/>
      </c>
      <c r="AD86" s="85" t="str">
        <f>IF(A86="","",IF(OR(Q86&lt;=0,Q86&lt;p_CompraMin,N(H86)&lt;=0,N(W86)&lt;=0),0,IF($W$3="Sim",TRUNC(ROUND(MAX(0,(Q86-p_CorrFixa)/(H86*W86*$W$6)),9),$W$4),TRUNC(ROUND(MAX(0,(Q86-p_CorrFixa)/(H86*W86*$W$6)),9)/$W$5)*$W$5)))</f>
        <v/>
      </c>
      <c r="AE86" s="85" t="str">
        <f>IF(A86="","",IF(N(AD86)&gt;0,AD86*H86*W86*$W$6+p_CorrFixa,0))</f>
        <v/>
      </c>
      <c r="AF86" s="85" t="str">
        <f>IF(A86="","",IF(OR($Y$1&lt;=0,N(H86)&lt;=0,N(W86)&lt;=0,N(AB86)&lt;=0),0,IF($W$3="Sim",TRUNC(ROUND(MAX(0,($Y$1-IF(N(AD86)&gt;0,0,p_CorrFixa))/(H86*W86*$W$6)),9),$W$4),TRUNC(ROUND(MAX(0,($Y$1-IF(N(AD86)&gt;0,0,p_CorrFixa))/(H86*W86*$W$6)),9)/$W$5)*$W$5)))</f>
        <v/>
      </c>
      <c r="AG86" s="85" t="str">
        <f>IF(A86="","",IF(AND(N(AD86)=0,N(AF86)*(H86*W86*$W$6)+p_CorrFixa&lt;p_CompraMin),0,AF86))</f>
        <v/>
      </c>
      <c r="AH86" s="85" t="str">
        <f>IF(A86="","",IF(N(AG86)&gt;0,AB86,0))</f>
        <v/>
      </c>
      <c r="AI86" s="85" t="str">
        <f>IF(A86="","",IF(AND(AH86&gt;0,AH86=$AH$6,COUNTIF($AH$9:AH86,AH86)=1),1,0))</f>
        <v/>
      </c>
    </row>
    <row r="87">
      <c r="A87" s="96" t="n"/>
      <c r="B87" s="96" t="n"/>
      <c r="C87" s="96" t="n"/>
      <c r="D87" s="97" t="n"/>
      <c r="E87" s="98" t="n"/>
      <c r="F87" s="99" t="n"/>
      <c r="G87" s="100" t="n"/>
      <c r="H87" s="101" t="str">
        <f>IF(A87="","",IF(AND(p_ModoCot="Automático",ISNUMBER(Z87)),Z87,IF(N(G87)&gt;0,G87,0)))</f>
        <v/>
      </c>
      <c r="I87" s="73" t="str">
        <f>IF(A87="","",IF(W87=0,"Sem câmbio",IF(AND(p_ModoCot="Automático",ISNUMBER(Z87)),"Auto",IF(N(G87)&gt;0,"Manual","Sem cotação"))))</f>
        <v/>
      </c>
      <c r="J87" s="102" t="str">
        <f>IF(A87="","",N(E87)*H87)</f>
        <v/>
      </c>
      <c r="K87" s="70" t="str">
        <f>IF(A87="","",J87*W87)</f>
        <v/>
      </c>
      <c r="L87" s="30" t="str">
        <f>IF(A87="","",IF($K$6&gt;0,K87/$K$6,0))</f>
        <v/>
      </c>
      <c r="M87" s="72" t="str">
        <f>IF(A87="","",N(F87)-L87)</f>
        <v/>
      </c>
      <c r="N87" s="30" t="str">
        <f>IF(A87="","",IF($AB$6&gt;0,AB87/$AB$6,0))</f>
        <v/>
      </c>
      <c r="O87" s="74" t="str">
        <f>IF(A87="","",IF(AB87&lt;=0,"",COUNTIF($AB$9:$AB$108,"&gt;"&amp;AB87)+COUNTIF($AB$9:AB87,AB87)))</f>
        <v/>
      </c>
      <c r="P87" s="73" t="str">
        <f>IF(A87="","",IF(Q87&gt;0,"BUY","HOLD"))</f>
        <v/>
      </c>
      <c r="Q87" s="70" t="str">
        <f>IF(A87="","",IF($W$7&lt;=0,0,IF($AC$6&gt;0,$W$7*AC87/$AC$6,IF($F$6&gt;0,$W$7*N(F87)/$F$6,0))))</f>
        <v/>
      </c>
      <c r="R87" s="103" t="str">
        <f>IF(A87="","",N(AD87)+IF(AI87=1,N(AG87),0))</f>
        <v/>
      </c>
      <c r="S87" s="103" t="str">
        <f>IF(A87="","",N(E87)+N(R87))</f>
        <v/>
      </c>
      <c r="T87" s="70" t="str">
        <f>IF(A87="","",IF(N(R87)&gt;0,R87*H87*W87*$W$6+p_CorrFixa,0))</f>
        <v/>
      </c>
      <c r="V87" s="85" t="str">
        <f>IF(A87="","",IF(D87="",$W$1,D87))</f>
        <v/>
      </c>
      <c r="W87" s="85" t="str">
        <f>IF(A87="","",IFERROR(INDEX(moeda_fx,MATCH(V87,moeda_cod,0)),0))</f>
        <v/>
      </c>
      <c r="X87" s="85" t="str">
        <f>IF(A87="","",IF($W$2="",UPPER(TRIM(A87)),IF(RIGHT(UPPER(TRIM(A87)),LEN($W$2))=$W$2,UPPER(TRIM(A87)),UPPER(TRIM(A87))&amp;$W$2)))</f>
        <v/>
      </c>
      <c r="Y87" s="85" t="str">
        <f>IF(OR(A87="",p_ModoCot&lt;&gt;"Automático"),"",IFERROR(_xlfn.WEBSERVICE("https://query1.finance.yahoo.com/v8/finance/chart/"&amp;X87&amp;"?range=1d&amp;interval=1d"),""))</f>
        <v/>
      </c>
      <c r="Z87" s="85" t="str">
        <f>IF(Y87="","",IFERROR(_xlfn.NUMBERVALUE(MID(Y87,SEARCH("""regularMarketPrice"":",Y87)+21,SEARCH(",",Y87&amp;",",SEARCH("""regularMarketPrice"":",Y87)+21)-SEARCH("""regularMarketPrice"":",Y87)-21),".",","),""))</f>
        <v/>
      </c>
      <c r="AA87" s="85" t="str">
        <f>IF(A87="","",ROUND(MAX(0,N(F87)*($K$6+$W$7)-K87),2))</f>
        <v/>
      </c>
      <c r="AB87" s="85" t="str">
        <f>IF(A87="","",IF(AND(M87&gt;0,M87&gt;=p_DifMin),AA87,0))</f>
        <v/>
      </c>
      <c r="AC87" s="85" t="str">
        <f>IF(A87="","",IF(AND(AB87&gt;0,N(O87)&lt;=p_MaxAtivos),AB87,0))</f>
        <v/>
      </c>
      <c r="AD87" s="85" t="str">
        <f>IF(A87="","",IF(OR(Q87&lt;=0,Q87&lt;p_CompraMin,N(H87)&lt;=0,N(W87)&lt;=0),0,IF($W$3="Sim",TRUNC(ROUND(MAX(0,(Q87-p_CorrFixa)/(H87*W87*$W$6)),9),$W$4),TRUNC(ROUND(MAX(0,(Q87-p_CorrFixa)/(H87*W87*$W$6)),9)/$W$5)*$W$5)))</f>
        <v/>
      </c>
      <c r="AE87" s="85" t="str">
        <f>IF(A87="","",IF(N(AD87)&gt;0,AD87*H87*W87*$W$6+p_CorrFixa,0))</f>
        <v/>
      </c>
      <c r="AF87" s="85" t="str">
        <f>IF(A87="","",IF(OR($Y$1&lt;=0,N(H87)&lt;=0,N(W87)&lt;=0,N(AB87)&lt;=0),0,IF($W$3="Sim",TRUNC(ROUND(MAX(0,($Y$1-IF(N(AD87)&gt;0,0,p_CorrFixa))/(H87*W87*$W$6)),9),$W$4),TRUNC(ROUND(MAX(0,($Y$1-IF(N(AD87)&gt;0,0,p_CorrFixa))/(H87*W87*$W$6)),9)/$W$5)*$W$5)))</f>
        <v/>
      </c>
      <c r="AG87" s="85" t="str">
        <f>IF(A87="","",IF(AND(N(AD87)=0,N(AF87)*(H87*W87*$W$6)+p_CorrFixa&lt;p_CompraMin),0,AF87))</f>
        <v/>
      </c>
      <c r="AH87" s="85" t="str">
        <f>IF(A87="","",IF(N(AG87)&gt;0,AB87,0))</f>
        <v/>
      </c>
      <c r="AI87" s="85" t="str">
        <f>IF(A87="","",IF(AND(AH87&gt;0,AH87=$AH$6,COUNTIF($AH$9:AH87,AH87)=1),1,0))</f>
        <v/>
      </c>
    </row>
    <row r="88">
      <c r="A88" s="96" t="n"/>
      <c r="B88" s="96" t="n"/>
      <c r="C88" s="96" t="n"/>
      <c r="D88" s="97" t="n"/>
      <c r="E88" s="98" t="n"/>
      <c r="F88" s="99" t="n"/>
      <c r="G88" s="100" t="n"/>
      <c r="H88" s="104" t="str">
        <f>IF(A88="","",IF(AND(p_ModoCot="Automático",ISNUMBER(Z88)),Z88,IF(N(G88)&gt;0,G88,0)))</f>
        <v/>
      </c>
      <c r="I88" s="105" t="str">
        <f>IF(A88="","",IF(W88=0,"Sem câmbio",IF(AND(p_ModoCot="Automático",ISNUMBER(Z88)),"Auto",IF(N(G88)&gt;0,"Manual","Sem cotação"))))</f>
        <v/>
      </c>
      <c r="J88" s="106" t="str">
        <f>IF(A88="","",N(E88)*H88)</f>
        <v/>
      </c>
      <c r="K88" s="107" t="str">
        <f>IF(A88="","",J88*W88)</f>
        <v/>
      </c>
      <c r="L88" s="108" t="str">
        <f>IF(A88="","",IF($K$6&gt;0,K88/$K$6,0))</f>
        <v/>
      </c>
      <c r="M88" s="109" t="str">
        <f>IF(A88="","",N(F88)-L88)</f>
        <v/>
      </c>
      <c r="N88" s="108" t="str">
        <f>IF(A88="","",IF($AB$6&gt;0,AB88/$AB$6,0))</f>
        <v/>
      </c>
      <c r="O88" s="110" t="str">
        <f>IF(A88="","",IF(AB88&lt;=0,"",COUNTIF($AB$9:$AB$108,"&gt;"&amp;AB88)+COUNTIF($AB$9:AB88,AB88)))</f>
        <v/>
      </c>
      <c r="P88" s="105" t="str">
        <f>IF(A88="","",IF(Q88&gt;0,"BUY","HOLD"))</f>
        <v/>
      </c>
      <c r="Q88" s="107" t="str">
        <f>IF(A88="","",IF($W$7&lt;=0,0,IF($AC$6&gt;0,$W$7*AC88/$AC$6,IF($F$6&gt;0,$W$7*N(F88)/$F$6,0))))</f>
        <v/>
      </c>
      <c r="R88" s="111" t="str">
        <f>IF(A88="","",N(AD88)+IF(AI88=1,N(AG88),0))</f>
        <v/>
      </c>
      <c r="S88" s="111" t="str">
        <f>IF(A88="","",N(E88)+N(R88))</f>
        <v/>
      </c>
      <c r="T88" s="107" t="str">
        <f>IF(A88="","",IF(N(R88)&gt;0,R88*H88*W88*$W$6+p_CorrFixa,0))</f>
        <v/>
      </c>
      <c r="V88" s="85" t="str">
        <f>IF(A88="","",IF(D88="",$W$1,D88))</f>
        <v/>
      </c>
      <c r="W88" s="85" t="str">
        <f>IF(A88="","",IFERROR(INDEX(moeda_fx,MATCH(V88,moeda_cod,0)),0))</f>
        <v/>
      </c>
      <c r="X88" s="85" t="str">
        <f>IF(A88="","",IF($W$2="",UPPER(TRIM(A88)),IF(RIGHT(UPPER(TRIM(A88)),LEN($W$2))=$W$2,UPPER(TRIM(A88)),UPPER(TRIM(A88))&amp;$W$2)))</f>
        <v/>
      </c>
      <c r="Y88" s="85" t="str">
        <f>IF(OR(A88="",p_ModoCot&lt;&gt;"Automático"),"",IFERROR(_xlfn.WEBSERVICE("https://query1.finance.yahoo.com/v8/finance/chart/"&amp;X88&amp;"?range=1d&amp;interval=1d"),""))</f>
        <v/>
      </c>
      <c r="Z88" s="85" t="str">
        <f>IF(Y88="","",IFERROR(_xlfn.NUMBERVALUE(MID(Y88,SEARCH("""regularMarketPrice"":",Y88)+21,SEARCH(",",Y88&amp;",",SEARCH("""regularMarketPrice"":",Y88)+21)-SEARCH("""regularMarketPrice"":",Y88)-21),".",","),""))</f>
        <v/>
      </c>
      <c r="AA88" s="85" t="str">
        <f>IF(A88="","",ROUND(MAX(0,N(F88)*($K$6+$W$7)-K88),2))</f>
        <v/>
      </c>
      <c r="AB88" s="85" t="str">
        <f>IF(A88="","",IF(AND(M88&gt;0,M88&gt;=p_DifMin),AA88,0))</f>
        <v/>
      </c>
      <c r="AC88" s="85" t="str">
        <f>IF(A88="","",IF(AND(AB88&gt;0,N(O88)&lt;=p_MaxAtivos),AB88,0))</f>
        <v/>
      </c>
      <c r="AD88" s="85" t="str">
        <f>IF(A88="","",IF(OR(Q88&lt;=0,Q88&lt;p_CompraMin,N(H88)&lt;=0,N(W88)&lt;=0),0,IF($W$3="Sim",TRUNC(ROUND(MAX(0,(Q88-p_CorrFixa)/(H88*W88*$W$6)),9),$W$4),TRUNC(ROUND(MAX(0,(Q88-p_CorrFixa)/(H88*W88*$W$6)),9)/$W$5)*$W$5)))</f>
        <v/>
      </c>
      <c r="AE88" s="85" t="str">
        <f>IF(A88="","",IF(N(AD88)&gt;0,AD88*H88*W88*$W$6+p_CorrFixa,0))</f>
        <v/>
      </c>
      <c r="AF88" s="85" t="str">
        <f>IF(A88="","",IF(OR($Y$1&lt;=0,N(H88)&lt;=0,N(W88)&lt;=0,N(AB88)&lt;=0),0,IF($W$3="Sim",TRUNC(ROUND(MAX(0,($Y$1-IF(N(AD88)&gt;0,0,p_CorrFixa))/(H88*W88*$W$6)),9),$W$4),TRUNC(ROUND(MAX(0,($Y$1-IF(N(AD88)&gt;0,0,p_CorrFixa))/(H88*W88*$W$6)),9)/$W$5)*$W$5)))</f>
        <v/>
      </c>
      <c r="AG88" s="85" t="str">
        <f>IF(A88="","",IF(AND(N(AD88)=0,N(AF88)*(H88*W88*$W$6)+p_CorrFixa&lt;p_CompraMin),0,AF88))</f>
        <v/>
      </c>
      <c r="AH88" s="85" t="str">
        <f>IF(A88="","",IF(N(AG88)&gt;0,AB88,0))</f>
        <v/>
      </c>
      <c r="AI88" s="85" t="str">
        <f>IF(A88="","",IF(AND(AH88&gt;0,AH88=$AH$6,COUNTIF($AH$9:AH88,AH88)=1),1,0))</f>
        <v/>
      </c>
    </row>
    <row r="89">
      <c r="A89" s="96" t="n"/>
      <c r="B89" s="96" t="n"/>
      <c r="C89" s="96" t="n"/>
      <c r="D89" s="97" t="n"/>
      <c r="E89" s="98" t="n"/>
      <c r="F89" s="99" t="n"/>
      <c r="G89" s="100" t="n"/>
      <c r="H89" s="101" t="str">
        <f>IF(A89="","",IF(AND(p_ModoCot="Automático",ISNUMBER(Z89)),Z89,IF(N(G89)&gt;0,G89,0)))</f>
        <v/>
      </c>
      <c r="I89" s="73" t="str">
        <f>IF(A89="","",IF(W89=0,"Sem câmbio",IF(AND(p_ModoCot="Automático",ISNUMBER(Z89)),"Auto",IF(N(G89)&gt;0,"Manual","Sem cotação"))))</f>
        <v/>
      </c>
      <c r="J89" s="102" t="str">
        <f>IF(A89="","",N(E89)*H89)</f>
        <v/>
      </c>
      <c r="K89" s="70" t="str">
        <f>IF(A89="","",J89*W89)</f>
        <v/>
      </c>
      <c r="L89" s="30" t="str">
        <f>IF(A89="","",IF($K$6&gt;0,K89/$K$6,0))</f>
        <v/>
      </c>
      <c r="M89" s="72" t="str">
        <f>IF(A89="","",N(F89)-L89)</f>
        <v/>
      </c>
      <c r="N89" s="30" t="str">
        <f>IF(A89="","",IF($AB$6&gt;0,AB89/$AB$6,0))</f>
        <v/>
      </c>
      <c r="O89" s="74" t="str">
        <f>IF(A89="","",IF(AB89&lt;=0,"",COUNTIF($AB$9:$AB$108,"&gt;"&amp;AB89)+COUNTIF($AB$9:AB89,AB89)))</f>
        <v/>
      </c>
      <c r="P89" s="73" t="str">
        <f>IF(A89="","",IF(Q89&gt;0,"BUY","HOLD"))</f>
        <v/>
      </c>
      <c r="Q89" s="70" t="str">
        <f>IF(A89="","",IF($W$7&lt;=0,0,IF($AC$6&gt;0,$W$7*AC89/$AC$6,IF($F$6&gt;0,$W$7*N(F89)/$F$6,0))))</f>
        <v/>
      </c>
      <c r="R89" s="103" t="str">
        <f>IF(A89="","",N(AD89)+IF(AI89=1,N(AG89),0))</f>
        <v/>
      </c>
      <c r="S89" s="103" t="str">
        <f>IF(A89="","",N(E89)+N(R89))</f>
        <v/>
      </c>
      <c r="T89" s="70" t="str">
        <f>IF(A89="","",IF(N(R89)&gt;0,R89*H89*W89*$W$6+p_CorrFixa,0))</f>
        <v/>
      </c>
      <c r="V89" s="85" t="str">
        <f>IF(A89="","",IF(D89="",$W$1,D89))</f>
        <v/>
      </c>
      <c r="W89" s="85" t="str">
        <f>IF(A89="","",IFERROR(INDEX(moeda_fx,MATCH(V89,moeda_cod,0)),0))</f>
        <v/>
      </c>
      <c r="X89" s="85" t="str">
        <f>IF(A89="","",IF($W$2="",UPPER(TRIM(A89)),IF(RIGHT(UPPER(TRIM(A89)),LEN($W$2))=$W$2,UPPER(TRIM(A89)),UPPER(TRIM(A89))&amp;$W$2)))</f>
        <v/>
      </c>
      <c r="Y89" s="85" t="str">
        <f>IF(OR(A89="",p_ModoCot&lt;&gt;"Automático"),"",IFERROR(_xlfn.WEBSERVICE("https://query1.finance.yahoo.com/v8/finance/chart/"&amp;X89&amp;"?range=1d&amp;interval=1d"),""))</f>
        <v/>
      </c>
      <c r="Z89" s="85" t="str">
        <f>IF(Y89="","",IFERROR(_xlfn.NUMBERVALUE(MID(Y89,SEARCH("""regularMarketPrice"":",Y89)+21,SEARCH(",",Y89&amp;",",SEARCH("""regularMarketPrice"":",Y89)+21)-SEARCH("""regularMarketPrice"":",Y89)-21),".",","),""))</f>
        <v/>
      </c>
      <c r="AA89" s="85" t="str">
        <f>IF(A89="","",ROUND(MAX(0,N(F89)*($K$6+$W$7)-K89),2))</f>
        <v/>
      </c>
      <c r="AB89" s="85" t="str">
        <f>IF(A89="","",IF(AND(M89&gt;0,M89&gt;=p_DifMin),AA89,0))</f>
        <v/>
      </c>
      <c r="AC89" s="85" t="str">
        <f>IF(A89="","",IF(AND(AB89&gt;0,N(O89)&lt;=p_MaxAtivos),AB89,0))</f>
        <v/>
      </c>
      <c r="AD89" s="85" t="str">
        <f>IF(A89="","",IF(OR(Q89&lt;=0,Q89&lt;p_CompraMin,N(H89)&lt;=0,N(W89)&lt;=0),0,IF($W$3="Sim",TRUNC(ROUND(MAX(0,(Q89-p_CorrFixa)/(H89*W89*$W$6)),9),$W$4),TRUNC(ROUND(MAX(0,(Q89-p_CorrFixa)/(H89*W89*$W$6)),9)/$W$5)*$W$5)))</f>
        <v/>
      </c>
      <c r="AE89" s="85" t="str">
        <f>IF(A89="","",IF(N(AD89)&gt;0,AD89*H89*W89*$W$6+p_CorrFixa,0))</f>
        <v/>
      </c>
      <c r="AF89" s="85" t="str">
        <f>IF(A89="","",IF(OR($Y$1&lt;=0,N(H89)&lt;=0,N(W89)&lt;=0,N(AB89)&lt;=0),0,IF($W$3="Sim",TRUNC(ROUND(MAX(0,($Y$1-IF(N(AD89)&gt;0,0,p_CorrFixa))/(H89*W89*$W$6)),9),$W$4),TRUNC(ROUND(MAX(0,($Y$1-IF(N(AD89)&gt;0,0,p_CorrFixa))/(H89*W89*$W$6)),9)/$W$5)*$W$5)))</f>
        <v/>
      </c>
      <c r="AG89" s="85" t="str">
        <f>IF(A89="","",IF(AND(N(AD89)=0,N(AF89)*(H89*W89*$W$6)+p_CorrFixa&lt;p_CompraMin),0,AF89))</f>
        <v/>
      </c>
      <c r="AH89" s="85" t="str">
        <f>IF(A89="","",IF(N(AG89)&gt;0,AB89,0))</f>
        <v/>
      </c>
      <c r="AI89" s="85" t="str">
        <f>IF(A89="","",IF(AND(AH89&gt;0,AH89=$AH$6,COUNTIF($AH$9:AH89,AH89)=1),1,0))</f>
        <v/>
      </c>
    </row>
    <row r="90">
      <c r="A90" s="96" t="n"/>
      <c r="B90" s="96" t="n"/>
      <c r="C90" s="96" t="n"/>
      <c r="D90" s="97" t="n"/>
      <c r="E90" s="98" t="n"/>
      <c r="F90" s="99" t="n"/>
      <c r="G90" s="100" t="n"/>
      <c r="H90" s="104" t="str">
        <f>IF(A90="","",IF(AND(p_ModoCot="Automático",ISNUMBER(Z90)),Z90,IF(N(G90)&gt;0,G90,0)))</f>
        <v/>
      </c>
      <c r="I90" s="105" t="str">
        <f>IF(A90="","",IF(W90=0,"Sem câmbio",IF(AND(p_ModoCot="Automático",ISNUMBER(Z90)),"Auto",IF(N(G90)&gt;0,"Manual","Sem cotação"))))</f>
        <v/>
      </c>
      <c r="J90" s="106" t="str">
        <f>IF(A90="","",N(E90)*H90)</f>
        <v/>
      </c>
      <c r="K90" s="107" t="str">
        <f>IF(A90="","",J90*W90)</f>
        <v/>
      </c>
      <c r="L90" s="108" t="str">
        <f>IF(A90="","",IF($K$6&gt;0,K90/$K$6,0))</f>
        <v/>
      </c>
      <c r="M90" s="109" t="str">
        <f>IF(A90="","",N(F90)-L90)</f>
        <v/>
      </c>
      <c r="N90" s="108" t="str">
        <f>IF(A90="","",IF($AB$6&gt;0,AB90/$AB$6,0))</f>
        <v/>
      </c>
      <c r="O90" s="110" t="str">
        <f>IF(A90="","",IF(AB90&lt;=0,"",COUNTIF($AB$9:$AB$108,"&gt;"&amp;AB90)+COUNTIF($AB$9:AB90,AB90)))</f>
        <v/>
      </c>
      <c r="P90" s="105" t="str">
        <f>IF(A90="","",IF(Q90&gt;0,"BUY","HOLD"))</f>
        <v/>
      </c>
      <c r="Q90" s="107" t="str">
        <f>IF(A90="","",IF($W$7&lt;=0,0,IF($AC$6&gt;0,$W$7*AC90/$AC$6,IF($F$6&gt;0,$W$7*N(F90)/$F$6,0))))</f>
        <v/>
      </c>
      <c r="R90" s="111" t="str">
        <f>IF(A90="","",N(AD90)+IF(AI90=1,N(AG90),0))</f>
        <v/>
      </c>
      <c r="S90" s="111" t="str">
        <f>IF(A90="","",N(E90)+N(R90))</f>
        <v/>
      </c>
      <c r="T90" s="107" t="str">
        <f>IF(A90="","",IF(N(R90)&gt;0,R90*H90*W90*$W$6+p_CorrFixa,0))</f>
        <v/>
      </c>
      <c r="V90" s="85" t="str">
        <f>IF(A90="","",IF(D90="",$W$1,D90))</f>
        <v/>
      </c>
      <c r="W90" s="85" t="str">
        <f>IF(A90="","",IFERROR(INDEX(moeda_fx,MATCH(V90,moeda_cod,0)),0))</f>
        <v/>
      </c>
      <c r="X90" s="85" t="str">
        <f>IF(A90="","",IF($W$2="",UPPER(TRIM(A90)),IF(RIGHT(UPPER(TRIM(A90)),LEN($W$2))=$W$2,UPPER(TRIM(A90)),UPPER(TRIM(A90))&amp;$W$2)))</f>
        <v/>
      </c>
      <c r="Y90" s="85" t="str">
        <f>IF(OR(A90="",p_ModoCot&lt;&gt;"Automático"),"",IFERROR(_xlfn.WEBSERVICE("https://query1.finance.yahoo.com/v8/finance/chart/"&amp;X90&amp;"?range=1d&amp;interval=1d"),""))</f>
        <v/>
      </c>
      <c r="Z90" s="85" t="str">
        <f>IF(Y90="","",IFERROR(_xlfn.NUMBERVALUE(MID(Y90,SEARCH("""regularMarketPrice"":",Y90)+21,SEARCH(",",Y90&amp;",",SEARCH("""regularMarketPrice"":",Y90)+21)-SEARCH("""regularMarketPrice"":",Y90)-21),".",","),""))</f>
        <v/>
      </c>
      <c r="AA90" s="85" t="str">
        <f>IF(A90="","",ROUND(MAX(0,N(F90)*($K$6+$W$7)-K90),2))</f>
        <v/>
      </c>
      <c r="AB90" s="85" t="str">
        <f>IF(A90="","",IF(AND(M90&gt;0,M90&gt;=p_DifMin),AA90,0))</f>
        <v/>
      </c>
      <c r="AC90" s="85" t="str">
        <f>IF(A90="","",IF(AND(AB90&gt;0,N(O90)&lt;=p_MaxAtivos),AB90,0))</f>
        <v/>
      </c>
      <c r="AD90" s="85" t="str">
        <f>IF(A90="","",IF(OR(Q90&lt;=0,Q90&lt;p_CompraMin,N(H90)&lt;=0,N(W90)&lt;=0),0,IF($W$3="Sim",TRUNC(ROUND(MAX(0,(Q90-p_CorrFixa)/(H90*W90*$W$6)),9),$W$4),TRUNC(ROUND(MAX(0,(Q90-p_CorrFixa)/(H90*W90*$W$6)),9)/$W$5)*$W$5)))</f>
        <v/>
      </c>
      <c r="AE90" s="85" t="str">
        <f>IF(A90="","",IF(N(AD90)&gt;0,AD90*H90*W90*$W$6+p_CorrFixa,0))</f>
        <v/>
      </c>
      <c r="AF90" s="85" t="str">
        <f>IF(A90="","",IF(OR($Y$1&lt;=0,N(H90)&lt;=0,N(W90)&lt;=0,N(AB90)&lt;=0),0,IF($W$3="Sim",TRUNC(ROUND(MAX(0,($Y$1-IF(N(AD90)&gt;0,0,p_CorrFixa))/(H90*W90*$W$6)),9),$W$4),TRUNC(ROUND(MAX(0,($Y$1-IF(N(AD90)&gt;0,0,p_CorrFixa))/(H90*W90*$W$6)),9)/$W$5)*$W$5)))</f>
        <v/>
      </c>
      <c r="AG90" s="85" t="str">
        <f>IF(A90="","",IF(AND(N(AD90)=0,N(AF90)*(H90*W90*$W$6)+p_CorrFixa&lt;p_CompraMin),0,AF90))</f>
        <v/>
      </c>
      <c r="AH90" s="85" t="str">
        <f>IF(A90="","",IF(N(AG90)&gt;0,AB90,0))</f>
        <v/>
      </c>
      <c r="AI90" s="85" t="str">
        <f>IF(A90="","",IF(AND(AH90&gt;0,AH90=$AH$6,COUNTIF($AH$9:AH90,AH90)=1),1,0))</f>
        <v/>
      </c>
    </row>
    <row r="91">
      <c r="A91" s="96" t="n"/>
      <c r="B91" s="96" t="n"/>
      <c r="C91" s="96" t="n"/>
      <c r="D91" s="97" t="n"/>
      <c r="E91" s="98" t="n"/>
      <c r="F91" s="99" t="n"/>
      <c r="G91" s="100" t="n"/>
      <c r="H91" s="101" t="str">
        <f>IF(A91="","",IF(AND(p_ModoCot="Automático",ISNUMBER(Z91)),Z91,IF(N(G91)&gt;0,G91,0)))</f>
        <v/>
      </c>
      <c r="I91" s="73" t="str">
        <f>IF(A91="","",IF(W91=0,"Sem câmbio",IF(AND(p_ModoCot="Automático",ISNUMBER(Z91)),"Auto",IF(N(G91)&gt;0,"Manual","Sem cotação"))))</f>
        <v/>
      </c>
      <c r="J91" s="102" t="str">
        <f>IF(A91="","",N(E91)*H91)</f>
        <v/>
      </c>
      <c r="K91" s="70" t="str">
        <f>IF(A91="","",J91*W91)</f>
        <v/>
      </c>
      <c r="L91" s="30" t="str">
        <f>IF(A91="","",IF($K$6&gt;0,K91/$K$6,0))</f>
        <v/>
      </c>
      <c r="M91" s="72" t="str">
        <f>IF(A91="","",N(F91)-L91)</f>
        <v/>
      </c>
      <c r="N91" s="30" t="str">
        <f>IF(A91="","",IF($AB$6&gt;0,AB91/$AB$6,0))</f>
        <v/>
      </c>
      <c r="O91" s="74" t="str">
        <f>IF(A91="","",IF(AB91&lt;=0,"",COUNTIF($AB$9:$AB$108,"&gt;"&amp;AB91)+COUNTIF($AB$9:AB91,AB91)))</f>
        <v/>
      </c>
      <c r="P91" s="73" t="str">
        <f>IF(A91="","",IF(Q91&gt;0,"BUY","HOLD"))</f>
        <v/>
      </c>
      <c r="Q91" s="70" t="str">
        <f>IF(A91="","",IF($W$7&lt;=0,0,IF($AC$6&gt;0,$W$7*AC91/$AC$6,IF($F$6&gt;0,$W$7*N(F91)/$F$6,0))))</f>
        <v/>
      </c>
      <c r="R91" s="103" t="str">
        <f>IF(A91="","",N(AD91)+IF(AI91=1,N(AG91),0))</f>
        <v/>
      </c>
      <c r="S91" s="103" t="str">
        <f>IF(A91="","",N(E91)+N(R91))</f>
        <v/>
      </c>
      <c r="T91" s="70" t="str">
        <f>IF(A91="","",IF(N(R91)&gt;0,R91*H91*W91*$W$6+p_CorrFixa,0))</f>
        <v/>
      </c>
      <c r="V91" s="85" t="str">
        <f>IF(A91="","",IF(D91="",$W$1,D91))</f>
        <v/>
      </c>
      <c r="W91" s="85" t="str">
        <f>IF(A91="","",IFERROR(INDEX(moeda_fx,MATCH(V91,moeda_cod,0)),0))</f>
        <v/>
      </c>
      <c r="X91" s="85" t="str">
        <f>IF(A91="","",IF($W$2="",UPPER(TRIM(A91)),IF(RIGHT(UPPER(TRIM(A91)),LEN($W$2))=$W$2,UPPER(TRIM(A91)),UPPER(TRIM(A91))&amp;$W$2)))</f>
        <v/>
      </c>
      <c r="Y91" s="85" t="str">
        <f>IF(OR(A91="",p_ModoCot&lt;&gt;"Automático"),"",IFERROR(_xlfn.WEBSERVICE("https://query1.finance.yahoo.com/v8/finance/chart/"&amp;X91&amp;"?range=1d&amp;interval=1d"),""))</f>
        <v/>
      </c>
      <c r="Z91" s="85" t="str">
        <f>IF(Y91="","",IFERROR(_xlfn.NUMBERVALUE(MID(Y91,SEARCH("""regularMarketPrice"":",Y91)+21,SEARCH(",",Y91&amp;",",SEARCH("""regularMarketPrice"":",Y91)+21)-SEARCH("""regularMarketPrice"":",Y91)-21),".",","),""))</f>
        <v/>
      </c>
      <c r="AA91" s="85" t="str">
        <f>IF(A91="","",ROUND(MAX(0,N(F91)*($K$6+$W$7)-K91),2))</f>
        <v/>
      </c>
      <c r="AB91" s="85" t="str">
        <f>IF(A91="","",IF(AND(M91&gt;0,M91&gt;=p_DifMin),AA91,0))</f>
        <v/>
      </c>
      <c r="AC91" s="85" t="str">
        <f>IF(A91="","",IF(AND(AB91&gt;0,N(O91)&lt;=p_MaxAtivos),AB91,0))</f>
        <v/>
      </c>
      <c r="AD91" s="85" t="str">
        <f>IF(A91="","",IF(OR(Q91&lt;=0,Q91&lt;p_CompraMin,N(H91)&lt;=0,N(W91)&lt;=0),0,IF($W$3="Sim",TRUNC(ROUND(MAX(0,(Q91-p_CorrFixa)/(H91*W91*$W$6)),9),$W$4),TRUNC(ROUND(MAX(0,(Q91-p_CorrFixa)/(H91*W91*$W$6)),9)/$W$5)*$W$5)))</f>
        <v/>
      </c>
      <c r="AE91" s="85" t="str">
        <f>IF(A91="","",IF(N(AD91)&gt;0,AD91*H91*W91*$W$6+p_CorrFixa,0))</f>
        <v/>
      </c>
      <c r="AF91" s="85" t="str">
        <f>IF(A91="","",IF(OR($Y$1&lt;=0,N(H91)&lt;=0,N(W91)&lt;=0,N(AB91)&lt;=0),0,IF($W$3="Sim",TRUNC(ROUND(MAX(0,($Y$1-IF(N(AD91)&gt;0,0,p_CorrFixa))/(H91*W91*$W$6)),9),$W$4),TRUNC(ROUND(MAX(0,($Y$1-IF(N(AD91)&gt;0,0,p_CorrFixa))/(H91*W91*$W$6)),9)/$W$5)*$W$5)))</f>
        <v/>
      </c>
      <c r="AG91" s="85" t="str">
        <f>IF(A91="","",IF(AND(N(AD91)=0,N(AF91)*(H91*W91*$W$6)+p_CorrFixa&lt;p_CompraMin),0,AF91))</f>
        <v/>
      </c>
      <c r="AH91" s="85" t="str">
        <f>IF(A91="","",IF(N(AG91)&gt;0,AB91,0))</f>
        <v/>
      </c>
      <c r="AI91" s="85" t="str">
        <f>IF(A91="","",IF(AND(AH91&gt;0,AH91=$AH$6,COUNTIF($AH$9:AH91,AH91)=1),1,0))</f>
        <v/>
      </c>
    </row>
    <row r="92">
      <c r="A92" s="96" t="n"/>
      <c r="B92" s="96" t="n"/>
      <c r="C92" s="96" t="n"/>
      <c r="D92" s="97" t="n"/>
      <c r="E92" s="98" t="n"/>
      <c r="F92" s="99" t="n"/>
      <c r="G92" s="100" t="n"/>
      <c r="H92" s="104" t="str">
        <f>IF(A92="","",IF(AND(p_ModoCot="Automático",ISNUMBER(Z92)),Z92,IF(N(G92)&gt;0,G92,0)))</f>
        <v/>
      </c>
      <c r="I92" s="105" t="str">
        <f>IF(A92="","",IF(W92=0,"Sem câmbio",IF(AND(p_ModoCot="Automático",ISNUMBER(Z92)),"Auto",IF(N(G92)&gt;0,"Manual","Sem cotação"))))</f>
        <v/>
      </c>
      <c r="J92" s="106" t="str">
        <f>IF(A92="","",N(E92)*H92)</f>
        <v/>
      </c>
      <c r="K92" s="107" t="str">
        <f>IF(A92="","",J92*W92)</f>
        <v/>
      </c>
      <c r="L92" s="108" t="str">
        <f>IF(A92="","",IF($K$6&gt;0,K92/$K$6,0))</f>
        <v/>
      </c>
      <c r="M92" s="109" t="str">
        <f>IF(A92="","",N(F92)-L92)</f>
        <v/>
      </c>
      <c r="N92" s="108" t="str">
        <f>IF(A92="","",IF($AB$6&gt;0,AB92/$AB$6,0))</f>
        <v/>
      </c>
      <c r="O92" s="110" t="str">
        <f>IF(A92="","",IF(AB92&lt;=0,"",COUNTIF($AB$9:$AB$108,"&gt;"&amp;AB92)+COUNTIF($AB$9:AB92,AB92)))</f>
        <v/>
      </c>
      <c r="P92" s="105" t="str">
        <f>IF(A92="","",IF(Q92&gt;0,"BUY","HOLD"))</f>
        <v/>
      </c>
      <c r="Q92" s="107" t="str">
        <f>IF(A92="","",IF($W$7&lt;=0,0,IF($AC$6&gt;0,$W$7*AC92/$AC$6,IF($F$6&gt;0,$W$7*N(F92)/$F$6,0))))</f>
        <v/>
      </c>
      <c r="R92" s="111" t="str">
        <f>IF(A92="","",N(AD92)+IF(AI92=1,N(AG92),0))</f>
        <v/>
      </c>
      <c r="S92" s="111" t="str">
        <f>IF(A92="","",N(E92)+N(R92))</f>
        <v/>
      </c>
      <c r="T92" s="107" t="str">
        <f>IF(A92="","",IF(N(R92)&gt;0,R92*H92*W92*$W$6+p_CorrFixa,0))</f>
        <v/>
      </c>
      <c r="V92" s="85" t="str">
        <f>IF(A92="","",IF(D92="",$W$1,D92))</f>
        <v/>
      </c>
      <c r="W92" s="85" t="str">
        <f>IF(A92="","",IFERROR(INDEX(moeda_fx,MATCH(V92,moeda_cod,0)),0))</f>
        <v/>
      </c>
      <c r="X92" s="85" t="str">
        <f>IF(A92="","",IF($W$2="",UPPER(TRIM(A92)),IF(RIGHT(UPPER(TRIM(A92)),LEN($W$2))=$W$2,UPPER(TRIM(A92)),UPPER(TRIM(A92))&amp;$W$2)))</f>
        <v/>
      </c>
      <c r="Y92" s="85" t="str">
        <f>IF(OR(A92="",p_ModoCot&lt;&gt;"Automático"),"",IFERROR(_xlfn.WEBSERVICE("https://query1.finance.yahoo.com/v8/finance/chart/"&amp;X92&amp;"?range=1d&amp;interval=1d"),""))</f>
        <v/>
      </c>
      <c r="Z92" s="85" t="str">
        <f>IF(Y92="","",IFERROR(_xlfn.NUMBERVALUE(MID(Y92,SEARCH("""regularMarketPrice"":",Y92)+21,SEARCH(",",Y92&amp;",",SEARCH("""regularMarketPrice"":",Y92)+21)-SEARCH("""regularMarketPrice"":",Y92)-21),".",","),""))</f>
        <v/>
      </c>
      <c r="AA92" s="85" t="str">
        <f>IF(A92="","",ROUND(MAX(0,N(F92)*($K$6+$W$7)-K92),2))</f>
        <v/>
      </c>
      <c r="AB92" s="85" t="str">
        <f>IF(A92="","",IF(AND(M92&gt;0,M92&gt;=p_DifMin),AA92,0))</f>
        <v/>
      </c>
      <c r="AC92" s="85" t="str">
        <f>IF(A92="","",IF(AND(AB92&gt;0,N(O92)&lt;=p_MaxAtivos),AB92,0))</f>
        <v/>
      </c>
      <c r="AD92" s="85" t="str">
        <f>IF(A92="","",IF(OR(Q92&lt;=0,Q92&lt;p_CompraMin,N(H92)&lt;=0,N(W92)&lt;=0),0,IF($W$3="Sim",TRUNC(ROUND(MAX(0,(Q92-p_CorrFixa)/(H92*W92*$W$6)),9),$W$4),TRUNC(ROUND(MAX(0,(Q92-p_CorrFixa)/(H92*W92*$W$6)),9)/$W$5)*$W$5)))</f>
        <v/>
      </c>
      <c r="AE92" s="85" t="str">
        <f>IF(A92="","",IF(N(AD92)&gt;0,AD92*H92*W92*$W$6+p_CorrFixa,0))</f>
        <v/>
      </c>
      <c r="AF92" s="85" t="str">
        <f>IF(A92="","",IF(OR($Y$1&lt;=0,N(H92)&lt;=0,N(W92)&lt;=0,N(AB92)&lt;=0),0,IF($W$3="Sim",TRUNC(ROUND(MAX(0,($Y$1-IF(N(AD92)&gt;0,0,p_CorrFixa))/(H92*W92*$W$6)),9),$W$4),TRUNC(ROUND(MAX(0,($Y$1-IF(N(AD92)&gt;0,0,p_CorrFixa))/(H92*W92*$W$6)),9)/$W$5)*$W$5)))</f>
        <v/>
      </c>
      <c r="AG92" s="85" t="str">
        <f>IF(A92="","",IF(AND(N(AD92)=0,N(AF92)*(H92*W92*$W$6)+p_CorrFixa&lt;p_CompraMin),0,AF92))</f>
        <v/>
      </c>
      <c r="AH92" s="85" t="str">
        <f>IF(A92="","",IF(N(AG92)&gt;0,AB92,0))</f>
        <v/>
      </c>
      <c r="AI92" s="85" t="str">
        <f>IF(A92="","",IF(AND(AH92&gt;0,AH92=$AH$6,COUNTIF($AH$9:AH92,AH92)=1),1,0))</f>
        <v/>
      </c>
    </row>
    <row r="93">
      <c r="A93" s="96" t="n"/>
      <c r="B93" s="96" t="n"/>
      <c r="C93" s="96" t="n"/>
      <c r="D93" s="97" t="n"/>
      <c r="E93" s="98" t="n"/>
      <c r="F93" s="99" t="n"/>
      <c r="G93" s="100" t="n"/>
      <c r="H93" s="101" t="str">
        <f>IF(A93="","",IF(AND(p_ModoCot="Automático",ISNUMBER(Z93)),Z93,IF(N(G93)&gt;0,G93,0)))</f>
        <v/>
      </c>
      <c r="I93" s="73" t="str">
        <f>IF(A93="","",IF(W93=0,"Sem câmbio",IF(AND(p_ModoCot="Automático",ISNUMBER(Z93)),"Auto",IF(N(G93)&gt;0,"Manual","Sem cotação"))))</f>
        <v/>
      </c>
      <c r="J93" s="102" t="str">
        <f>IF(A93="","",N(E93)*H93)</f>
        <v/>
      </c>
      <c r="K93" s="70" t="str">
        <f>IF(A93="","",J93*W93)</f>
        <v/>
      </c>
      <c r="L93" s="30" t="str">
        <f>IF(A93="","",IF($K$6&gt;0,K93/$K$6,0))</f>
        <v/>
      </c>
      <c r="M93" s="72" t="str">
        <f>IF(A93="","",N(F93)-L93)</f>
        <v/>
      </c>
      <c r="N93" s="30" t="str">
        <f>IF(A93="","",IF($AB$6&gt;0,AB93/$AB$6,0))</f>
        <v/>
      </c>
      <c r="O93" s="74" t="str">
        <f>IF(A93="","",IF(AB93&lt;=0,"",COUNTIF($AB$9:$AB$108,"&gt;"&amp;AB93)+COUNTIF($AB$9:AB93,AB93)))</f>
        <v/>
      </c>
      <c r="P93" s="73" t="str">
        <f>IF(A93="","",IF(Q93&gt;0,"BUY","HOLD"))</f>
        <v/>
      </c>
      <c r="Q93" s="70" t="str">
        <f>IF(A93="","",IF($W$7&lt;=0,0,IF($AC$6&gt;0,$W$7*AC93/$AC$6,IF($F$6&gt;0,$W$7*N(F93)/$F$6,0))))</f>
        <v/>
      </c>
      <c r="R93" s="103" t="str">
        <f>IF(A93="","",N(AD93)+IF(AI93=1,N(AG93),0))</f>
        <v/>
      </c>
      <c r="S93" s="103" t="str">
        <f>IF(A93="","",N(E93)+N(R93))</f>
        <v/>
      </c>
      <c r="T93" s="70" t="str">
        <f>IF(A93="","",IF(N(R93)&gt;0,R93*H93*W93*$W$6+p_CorrFixa,0))</f>
        <v/>
      </c>
      <c r="V93" s="85" t="str">
        <f>IF(A93="","",IF(D93="",$W$1,D93))</f>
        <v/>
      </c>
      <c r="W93" s="85" t="str">
        <f>IF(A93="","",IFERROR(INDEX(moeda_fx,MATCH(V93,moeda_cod,0)),0))</f>
        <v/>
      </c>
      <c r="X93" s="85" t="str">
        <f>IF(A93="","",IF($W$2="",UPPER(TRIM(A93)),IF(RIGHT(UPPER(TRIM(A93)),LEN($W$2))=$W$2,UPPER(TRIM(A93)),UPPER(TRIM(A93))&amp;$W$2)))</f>
        <v/>
      </c>
      <c r="Y93" s="85" t="str">
        <f>IF(OR(A93="",p_ModoCot&lt;&gt;"Automático"),"",IFERROR(_xlfn.WEBSERVICE("https://query1.finance.yahoo.com/v8/finance/chart/"&amp;X93&amp;"?range=1d&amp;interval=1d"),""))</f>
        <v/>
      </c>
      <c r="Z93" s="85" t="str">
        <f>IF(Y93="","",IFERROR(_xlfn.NUMBERVALUE(MID(Y93,SEARCH("""regularMarketPrice"":",Y93)+21,SEARCH(",",Y93&amp;",",SEARCH("""regularMarketPrice"":",Y93)+21)-SEARCH("""regularMarketPrice"":",Y93)-21),".",","),""))</f>
        <v/>
      </c>
      <c r="AA93" s="85" t="str">
        <f>IF(A93="","",ROUND(MAX(0,N(F93)*($K$6+$W$7)-K93),2))</f>
        <v/>
      </c>
      <c r="AB93" s="85" t="str">
        <f>IF(A93="","",IF(AND(M93&gt;0,M93&gt;=p_DifMin),AA93,0))</f>
        <v/>
      </c>
      <c r="AC93" s="85" t="str">
        <f>IF(A93="","",IF(AND(AB93&gt;0,N(O93)&lt;=p_MaxAtivos),AB93,0))</f>
        <v/>
      </c>
      <c r="AD93" s="85" t="str">
        <f>IF(A93="","",IF(OR(Q93&lt;=0,Q93&lt;p_CompraMin,N(H93)&lt;=0,N(W93)&lt;=0),0,IF($W$3="Sim",TRUNC(ROUND(MAX(0,(Q93-p_CorrFixa)/(H93*W93*$W$6)),9),$W$4),TRUNC(ROUND(MAX(0,(Q93-p_CorrFixa)/(H93*W93*$W$6)),9)/$W$5)*$W$5)))</f>
        <v/>
      </c>
      <c r="AE93" s="85" t="str">
        <f>IF(A93="","",IF(N(AD93)&gt;0,AD93*H93*W93*$W$6+p_CorrFixa,0))</f>
        <v/>
      </c>
      <c r="AF93" s="85" t="str">
        <f>IF(A93="","",IF(OR($Y$1&lt;=0,N(H93)&lt;=0,N(W93)&lt;=0,N(AB93)&lt;=0),0,IF($W$3="Sim",TRUNC(ROUND(MAX(0,($Y$1-IF(N(AD93)&gt;0,0,p_CorrFixa))/(H93*W93*$W$6)),9),$W$4),TRUNC(ROUND(MAX(0,($Y$1-IF(N(AD93)&gt;0,0,p_CorrFixa))/(H93*W93*$W$6)),9)/$W$5)*$W$5)))</f>
        <v/>
      </c>
      <c r="AG93" s="85" t="str">
        <f>IF(A93="","",IF(AND(N(AD93)=0,N(AF93)*(H93*W93*$W$6)+p_CorrFixa&lt;p_CompraMin),0,AF93))</f>
        <v/>
      </c>
      <c r="AH93" s="85" t="str">
        <f>IF(A93="","",IF(N(AG93)&gt;0,AB93,0))</f>
        <v/>
      </c>
      <c r="AI93" s="85" t="str">
        <f>IF(A93="","",IF(AND(AH93&gt;0,AH93=$AH$6,COUNTIF($AH$9:AH93,AH93)=1),1,0))</f>
        <v/>
      </c>
    </row>
    <row r="94">
      <c r="A94" s="96" t="n"/>
      <c r="B94" s="96" t="n"/>
      <c r="C94" s="96" t="n"/>
      <c r="D94" s="97" t="n"/>
      <c r="E94" s="98" t="n"/>
      <c r="F94" s="99" t="n"/>
      <c r="G94" s="100" t="n"/>
      <c r="H94" s="104" t="str">
        <f>IF(A94="","",IF(AND(p_ModoCot="Automático",ISNUMBER(Z94)),Z94,IF(N(G94)&gt;0,G94,0)))</f>
        <v/>
      </c>
      <c r="I94" s="105" t="str">
        <f>IF(A94="","",IF(W94=0,"Sem câmbio",IF(AND(p_ModoCot="Automático",ISNUMBER(Z94)),"Auto",IF(N(G94)&gt;0,"Manual","Sem cotação"))))</f>
        <v/>
      </c>
      <c r="J94" s="106" t="str">
        <f>IF(A94="","",N(E94)*H94)</f>
        <v/>
      </c>
      <c r="K94" s="107" t="str">
        <f>IF(A94="","",J94*W94)</f>
        <v/>
      </c>
      <c r="L94" s="108" t="str">
        <f>IF(A94="","",IF($K$6&gt;0,K94/$K$6,0))</f>
        <v/>
      </c>
      <c r="M94" s="109" t="str">
        <f>IF(A94="","",N(F94)-L94)</f>
        <v/>
      </c>
      <c r="N94" s="108" t="str">
        <f>IF(A94="","",IF($AB$6&gt;0,AB94/$AB$6,0))</f>
        <v/>
      </c>
      <c r="O94" s="110" t="str">
        <f>IF(A94="","",IF(AB94&lt;=0,"",COUNTIF($AB$9:$AB$108,"&gt;"&amp;AB94)+COUNTIF($AB$9:AB94,AB94)))</f>
        <v/>
      </c>
      <c r="P94" s="105" t="str">
        <f>IF(A94="","",IF(Q94&gt;0,"BUY","HOLD"))</f>
        <v/>
      </c>
      <c r="Q94" s="107" t="str">
        <f>IF(A94="","",IF($W$7&lt;=0,0,IF($AC$6&gt;0,$W$7*AC94/$AC$6,IF($F$6&gt;0,$W$7*N(F94)/$F$6,0))))</f>
        <v/>
      </c>
      <c r="R94" s="111" t="str">
        <f>IF(A94="","",N(AD94)+IF(AI94=1,N(AG94),0))</f>
        <v/>
      </c>
      <c r="S94" s="111" t="str">
        <f>IF(A94="","",N(E94)+N(R94))</f>
        <v/>
      </c>
      <c r="T94" s="107" t="str">
        <f>IF(A94="","",IF(N(R94)&gt;0,R94*H94*W94*$W$6+p_CorrFixa,0))</f>
        <v/>
      </c>
      <c r="V94" s="85" t="str">
        <f>IF(A94="","",IF(D94="",$W$1,D94))</f>
        <v/>
      </c>
      <c r="W94" s="85" t="str">
        <f>IF(A94="","",IFERROR(INDEX(moeda_fx,MATCH(V94,moeda_cod,0)),0))</f>
        <v/>
      </c>
      <c r="X94" s="85" t="str">
        <f>IF(A94="","",IF($W$2="",UPPER(TRIM(A94)),IF(RIGHT(UPPER(TRIM(A94)),LEN($W$2))=$W$2,UPPER(TRIM(A94)),UPPER(TRIM(A94))&amp;$W$2)))</f>
        <v/>
      </c>
      <c r="Y94" s="85" t="str">
        <f>IF(OR(A94="",p_ModoCot&lt;&gt;"Automático"),"",IFERROR(_xlfn.WEBSERVICE("https://query1.finance.yahoo.com/v8/finance/chart/"&amp;X94&amp;"?range=1d&amp;interval=1d"),""))</f>
        <v/>
      </c>
      <c r="Z94" s="85" t="str">
        <f>IF(Y94="","",IFERROR(_xlfn.NUMBERVALUE(MID(Y94,SEARCH("""regularMarketPrice"":",Y94)+21,SEARCH(",",Y94&amp;",",SEARCH("""regularMarketPrice"":",Y94)+21)-SEARCH("""regularMarketPrice"":",Y94)-21),".",","),""))</f>
        <v/>
      </c>
      <c r="AA94" s="85" t="str">
        <f>IF(A94="","",ROUND(MAX(0,N(F94)*($K$6+$W$7)-K94),2))</f>
        <v/>
      </c>
      <c r="AB94" s="85" t="str">
        <f>IF(A94="","",IF(AND(M94&gt;0,M94&gt;=p_DifMin),AA94,0))</f>
        <v/>
      </c>
      <c r="AC94" s="85" t="str">
        <f>IF(A94="","",IF(AND(AB94&gt;0,N(O94)&lt;=p_MaxAtivos),AB94,0))</f>
        <v/>
      </c>
      <c r="AD94" s="85" t="str">
        <f>IF(A94="","",IF(OR(Q94&lt;=0,Q94&lt;p_CompraMin,N(H94)&lt;=0,N(W94)&lt;=0),0,IF($W$3="Sim",TRUNC(ROUND(MAX(0,(Q94-p_CorrFixa)/(H94*W94*$W$6)),9),$W$4),TRUNC(ROUND(MAX(0,(Q94-p_CorrFixa)/(H94*W94*$W$6)),9)/$W$5)*$W$5)))</f>
        <v/>
      </c>
      <c r="AE94" s="85" t="str">
        <f>IF(A94="","",IF(N(AD94)&gt;0,AD94*H94*W94*$W$6+p_CorrFixa,0))</f>
        <v/>
      </c>
      <c r="AF94" s="85" t="str">
        <f>IF(A94="","",IF(OR($Y$1&lt;=0,N(H94)&lt;=0,N(W94)&lt;=0,N(AB94)&lt;=0),0,IF($W$3="Sim",TRUNC(ROUND(MAX(0,($Y$1-IF(N(AD94)&gt;0,0,p_CorrFixa))/(H94*W94*$W$6)),9),$W$4),TRUNC(ROUND(MAX(0,($Y$1-IF(N(AD94)&gt;0,0,p_CorrFixa))/(H94*W94*$W$6)),9)/$W$5)*$W$5)))</f>
        <v/>
      </c>
      <c r="AG94" s="85" t="str">
        <f>IF(A94="","",IF(AND(N(AD94)=0,N(AF94)*(H94*W94*$W$6)+p_CorrFixa&lt;p_CompraMin),0,AF94))</f>
        <v/>
      </c>
      <c r="AH94" s="85" t="str">
        <f>IF(A94="","",IF(N(AG94)&gt;0,AB94,0))</f>
        <v/>
      </c>
      <c r="AI94" s="85" t="str">
        <f>IF(A94="","",IF(AND(AH94&gt;0,AH94=$AH$6,COUNTIF($AH$9:AH94,AH94)=1),1,0))</f>
        <v/>
      </c>
    </row>
    <row r="95">
      <c r="A95" s="96" t="n"/>
      <c r="B95" s="96" t="n"/>
      <c r="C95" s="96" t="n"/>
      <c r="D95" s="97" t="n"/>
      <c r="E95" s="98" t="n"/>
      <c r="F95" s="99" t="n"/>
      <c r="G95" s="100" t="n"/>
      <c r="H95" s="101" t="str">
        <f>IF(A95="","",IF(AND(p_ModoCot="Automático",ISNUMBER(Z95)),Z95,IF(N(G95)&gt;0,G95,0)))</f>
        <v/>
      </c>
      <c r="I95" s="73" t="str">
        <f>IF(A95="","",IF(W95=0,"Sem câmbio",IF(AND(p_ModoCot="Automático",ISNUMBER(Z95)),"Auto",IF(N(G95)&gt;0,"Manual","Sem cotação"))))</f>
        <v/>
      </c>
      <c r="J95" s="102" t="str">
        <f>IF(A95="","",N(E95)*H95)</f>
        <v/>
      </c>
      <c r="K95" s="70" t="str">
        <f>IF(A95="","",J95*W95)</f>
        <v/>
      </c>
      <c r="L95" s="30" t="str">
        <f>IF(A95="","",IF($K$6&gt;0,K95/$K$6,0))</f>
        <v/>
      </c>
      <c r="M95" s="72" t="str">
        <f>IF(A95="","",N(F95)-L95)</f>
        <v/>
      </c>
      <c r="N95" s="30" t="str">
        <f>IF(A95="","",IF($AB$6&gt;0,AB95/$AB$6,0))</f>
        <v/>
      </c>
      <c r="O95" s="74" t="str">
        <f>IF(A95="","",IF(AB95&lt;=0,"",COUNTIF($AB$9:$AB$108,"&gt;"&amp;AB95)+COUNTIF($AB$9:AB95,AB95)))</f>
        <v/>
      </c>
      <c r="P95" s="73" t="str">
        <f>IF(A95="","",IF(Q95&gt;0,"BUY","HOLD"))</f>
        <v/>
      </c>
      <c r="Q95" s="70" t="str">
        <f>IF(A95="","",IF($W$7&lt;=0,0,IF($AC$6&gt;0,$W$7*AC95/$AC$6,IF($F$6&gt;0,$W$7*N(F95)/$F$6,0))))</f>
        <v/>
      </c>
      <c r="R95" s="103" t="str">
        <f>IF(A95="","",N(AD95)+IF(AI95=1,N(AG95),0))</f>
        <v/>
      </c>
      <c r="S95" s="103" t="str">
        <f>IF(A95="","",N(E95)+N(R95))</f>
        <v/>
      </c>
      <c r="T95" s="70" t="str">
        <f>IF(A95="","",IF(N(R95)&gt;0,R95*H95*W95*$W$6+p_CorrFixa,0))</f>
        <v/>
      </c>
      <c r="V95" s="85" t="str">
        <f>IF(A95="","",IF(D95="",$W$1,D95))</f>
        <v/>
      </c>
      <c r="W95" s="85" t="str">
        <f>IF(A95="","",IFERROR(INDEX(moeda_fx,MATCH(V95,moeda_cod,0)),0))</f>
        <v/>
      </c>
      <c r="X95" s="85" t="str">
        <f>IF(A95="","",IF($W$2="",UPPER(TRIM(A95)),IF(RIGHT(UPPER(TRIM(A95)),LEN($W$2))=$W$2,UPPER(TRIM(A95)),UPPER(TRIM(A95))&amp;$W$2)))</f>
        <v/>
      </c>
      <c r="Y95" s="85" t="str">
        <f>IF(OR(A95="",p_ModoCot&lt;&gt;"Automático"),"",IFERROR(_xlfn.WEBSERVICE("https://query1.finance.yahoo.com/v8/finance/chart/"&amp;X95&amp;"?range=1d&amp;interval=1d"),""))</f>
        <v/>
      </c>
      <c r="Z95" s="85" t="str">
        <f>IF(Y95="","",IFERROR(_xlfn.NUMBERVALUE(MID(Y95,SEARCH("""regularMarketPrice"":",Y95)+21,SEARCH(",",Y95&amp;",",SEARCH("""regularMarketPrice"":",Y95)+21)-SEARCH("""regularMarketPrice"":",Y95)-21),".",","),""))</f>
        <v/>
      </c>
      <c r="AA95" s="85" t="str">
        <f>IF(A95="","",ROUND(MAX(0,N(F95)*($K$6+$W$7)-K95),2))</f>
        <v/>
      </c>
      <c r="AB95" s="85" t="str">
        <f>IF(A95="","",IF(AND(M95&gt;0,M95&gt;=p_DifMin),AA95,0))</f>
        <v/>
      </c>
      <c r="AC95" s="85" t="str">
        <f>IF(A95="","",IF(AND(AB95&gt;0,N(O95)&lt;=p_MaxAtivos),AB95,0))</f>
        <v/>
      </c>
      <c r="AD95" s="85" t="str">
        <f>IF(A95="","",IF(OR(Q95&lt;=0,Q95&lt;p_CompraMin,N(H95)&lt;=0,N(W95)&lt;=0),0,IF($W$3="Sim",TRUNC(ROUND(MAX(0,(Q95-p_CorrFixa)/(H95*W95*$W$6)),9),$W$4),TRUNC(ROUND(MAX(0,(Q95-p_CorrFixa)/(H95*W95*$W$6)),9)/$W$5)*$W$5)))</f>
        <v/>
      </c>
      <c r="AE95" s="85" t="str">
        <f>IF(A95="","",IF(N(AD95)&gt;0,AD95*H95*W95*$W$6+p_CorrFixa,0))</f>
        <v/>
      </c>
      <c r="AF95" s="85" t="str">
        <f>IF(A95="","",IF(OR($Y$1&lt;=0,N(H95)&lt;=0,N(W95)&lt;=0,N(AB95)&lt;=0),0,IF($W$3="Sim",TRUNC(ROUND(MAX(0,($Y$1-IF(N(AD95)&gt;0,0,p_CorrFixa))/(H95*W95*$W$6)),9),$W$4),TRUNC(ROUND(MAX(0,($Y$1-IF(N(AD95)&gt;0,0,p_CorrFixa))/(H95*W95*$W$6)),9)/$W$5)*$W$5)))</f>
        <v/>
      </c>
      <c r="AG95" s="85" t="str">
        <f>IF(A95="","",IF(AND(N(AD95)=0,N(AF95)*(H95*W95*$W$6)+p_CorrFixa&lt;p_CompraMin),0,AF95))</f>
        <v/>
      </c>
      <c r="AH95" s="85" t="str">
        <f>IF(A95="","",IF(N(AG95)&gt;0,AB95,0))</f>
        <v/>
      </c>
      <c r="AI95" s="85" t="str">
        <f>IF(A95="","",IF(AND(AH95&gt;0,AH95=$AH$6,COUNTIF($AH$9:AH95,AH95)=1),1,0))</f>
        <v/>
      </c>
    </row>
    <row r="96">
      <c r="A96" s="96" t="n"/>
      <c r="B96" s="96" t="n"/>
      <c r="C96" s="96" t="n"/>
      <c r="D96" s="97" t="n"/>
      <c r="E96" s="98" t="n"/>
      <c r="F96" s="99" t="n"/>
      <c r="G96" s="100" t="n"/>
      <c r="H96" s="104" t="str">
        <f>IF(A96="","",IF(AND(p_ModoCot="Automático",ISNUMBER(Z96)),Z96,IF(N(G96)&gt;0,G96,0)))</f>
        <v/>
      </c>
      <c r="I96" s="105" t="str">
        <f>IF(A96="","",IF(W96=0,"Sem câmbio",IF(AND(p_ModoCot="Automático",ISNUMBER(Z96)),"Auto",IF(N(G96)&gt;0,"Manual","Sem cotação"))))</f>
        <v/>
      </c>
      <c r="J96" s="106" t="str">
        <f>IF(A96="","",N(E96)*H96)</f>
        <v/>
      </c>
      <c r="K96" s="107" t="str">
        <f>IF(A96="","",J96*W96)</f>
        <v/>
      </c>
      <c r="L96" s="108" t="str">
        <f>IF(A96="","",IF($K$6&gt;0,K96/$K$6,0))</f>
        <v/>
      </c>
      <c r="M96" s="109" t="str">
        <f>IF(A96="","",N(F96)-L96)</f>
        <v/>
      </c>
      <c r="N96" s="108" t="str">
        <f>IF(A96="","",IF($AB$6&gt;0,AB96/$AB$6,0))</f>
        <v/>
      </c>
      <c r="O96" s="110" t="str">
        <f>IF(A96="","",IF(AB96&lt;=0,"",COUNTIF($AB$9:$AB$108,"&gt;"&amp;AB96)+COUNTIF($AB$9:AB96,AB96)))</f>
        <v/>
      </c>
      <c r="P96" s="105" t="str">
        <f>IF(A96="","",IF(Q96&gt;0,"BUY","HOLD"))</f>
        <v/>
      </c>
      <c r="Q96" s="107" t="str">
        <f>IF(A96="","",IF($W$7&lt;=0,0,IF($AC$6&gt;0,$W$7*AC96/$AC$6,IF($F$6&gt;0,$W$7*N(F96)/$F$6,0))))</f>
        <v/>
      </c>
      <c r="R96" s="111" t="str">
        <f>IF(A96="","",N(AD96)+IF(AI96=1,N(AG96),0))</f>
        <v/>
      </c>
      <c r="S96" s="111" t="str">
        <f>IF(A96="","",N(E96)+N(R96))</f>
        <v/>
      </c>
      <c r="T96" s="107" t="str">
        <f>IF(A96="","",IF(N(R96)&gt;0,R96*H96*W96*$W$6+p_CorrFixa,0))</f>
        <v/>
      </c>
      <c r="V96" s="85" t="str">
        <f>IF(A96="","",IF(D96="",$W$1,D96))</f>
        <v/>
      </c>
      <c r="W96" s="85" t="str">
        <f>IF(A96="","",IFERROR(INDEX(moeda_fx,MATCH(V96,moeda_cod,0)),0))</f>
        <v/>
      </c>
      <c r="X96" s="85" t="str">
        <f>IF(A96="","",IF($W$2="",UPPER(TRIM(A96)),IF(RIGHT(UPPER(TRIM(A96)),LEN($W$2))=$W$2,UPPER(TRIM(A96)),UPPER(TRIM(A96))&amp;$W$2)))</f>
        <v/>
      </c>
      <c r="Y96" s="85" t="str">
        <f>IF(OR(A96="",p_ModoCot&lt;&gt;"Automático"),"",IFERROR(_xlfn.WEBSERVICE("https://query1.finance.yahoo.com/v8/finance/chart/"&amp;X96&amp;"?range=1d&amp;interval=1d"),""))</f>
        <v/>
      </c>
      <c r="Z96" s="85" t="str">
        <f>IF(Y96="","",IFERROR(_xlfn.NUMBERVALUE(MID(Y96,SEARCH("""regularMarketPrice"":",Y96)+21,SEARCH(",",Y96&amp;",",SEARCH("""regularMarketPrice"":",Y96)+21)-SEARCH("""regularMarketPrice"":",Y96)-21),".",","),""))</f>
        <v/>
      </c>
      <c r="AA96" s="85" t="str">
        <f>IF(A96="","",ROUND(MAX(0,N(F96)*($K$6+$W$7)-K96),2))</f>
        <v/>
      </c>
      <c r="AB96" s="85" t="str">
        <f>IF(A96="","",IF(AND(M96&gt;0,M96&gt;=p_DifMin),AA96,0))</f>
        <v/>
      </c>
      <c r="AC96" s="85" t="str">
        <f>IF(A96="","",IF(AND(AB96&gt;0,N(O96)&lt;=p_MaxAtivos),AB96,0))</f>
        <v/>
      </c>
      <c r="AD96" s="85" t="str">
        <f>IF(A96="","",IF(OR(Q96&lt;=0,Q96&lt;p_CompraMin,N(H96)&lt;=0,N(W96)&lt;=0),0,IF($W$3="Sim",TRUNC(ROUND(MAX(0,(Q96-p_CorrFixa)/(H96*W96*$W$6)),9),$W$4),TRUNC(ROUND(MAX(0,(Q96-p_CorrFixa)/(H96*W96*$W$6)),9)/$W$5)*$W$5)))</f>
        <v/>
      </c>
      <c r="AE96" s="85" t="str">
        <f>IF(A96="","",IF(N(AD96)&gt;0,AD96*H96*W96*$W$6+p_CorrFixa,0))</f>
        <v/>
      </c>
      <c r="AF96" s="85" t="str">
        <f>IF(A96="","",IF(OR($Y$1&lt;=0,N(H96)&lt;=0,N(W96)&lt;=0,N(AB96)&lt;=0),0,IF($W$3="Sim",TRUNC(ROUND(MAX(0,($Y$1-IF(N(AD96)&gt;0,0,p_CorrFixa))/(H96*W96*$W$6)),9),$W$4),TRUNC(ROUND(MAX(0,($Y$1-IF(N(AD96)&gt;0,0,p_CorrFixa))/(H96*W96*$W$6)),9)/$W$5)*$W$5)))</f>
        <v/>
      </c>
      <c r="AG96" s="85" t="str">
        <f>IF(A96="","",IF(AND(N(AD96)=0,N(AF96)*(H96*W96*$W$6)+p_CorrFixa&lt;p_CompraMin),0,AF96))</f>
        <v/>
      </c>
      <c r="AH96" s="85" t="str">
        <f>IF(A96="","",IF(N(AG96)&gt;0,AB96,0))</f>
        <v/>
      </c>
      <c r="AI96" s="85" t="str">
        <f>IF(A96="","",IF(AND(AH96&gt;0,AH96=$AH$6,COUNTIF($AH$9:AH96,AH96)=1),1,0))</f>
        <v/>
      </c>
    </row>
    <row r="97">
      <c r="A97" s="96" t="n"/>
      <c r="B97" s="96" t="n"/>
      <c r="C97" s="96" t="n"/>
      <c r="D97" s="97" t="n"/>
      <c r="E97" s="98" t="n"/>
      <c r="F97" s="99" t="n"/>
      <c r="G97" s="100" t="n"/>
      <c r="H97" s="101" t="str">
        <f>IF(A97="","",IF(AND(p_ModoCot="Automático",ISNUMBER(Z97)),Z97,IF(N(G97)&gt;0,G97,0)))</f>
        <v/>
      </c>
      <c r="I97" s="73" t="str">
        <f>IF(A97="","",IF(W97=0,"Sem câmbio",IF(AND(p_ModoCot="Automático",ISNUMBER(Z97)),"Auto",IF(N(G97)&gt;0,"Manual","Sem cotação"))))</f>
        <v/>
      </c>
      <c r="J97" s="102" t="str">
        <f>IF(A97="","",N(E97)*H97)</f>
        <v/>
      </c>
      <c r="K97" s="70" t="str">
        <f>IF(A97="","",J97*W97)</f>
        <v/>
      </c>
      <c r="L97" s="30" t="str">
        <f>IF(A97="","",IF($K$6&gt;0,K97/$K$6,0))</f>
        <v/>
      </c>
      <c r="M97" s="72" t="str">
        <f>IF(A97="","",N(F97)-L97)</f>
        <v/>
      </c>
      <c r="N97" s="30" t="str">
        <f>IF(A97="","",IF($AB$6&gt;0,AB97/$AB$6,0))</f>
        <v/>
      </c>
      <c r="O97" s="74" t="str">
        <f>IF(A97="","",IF(AB97&lt;=0,"",COUNTIF($AB$9:$AB$108,"&gt;"&amp;AB97)+COUNTIF($AB$9:AB97,AB97)))</f>
        <v/>
      </c>
      <c r="P97" s="73" t="str">
        <f>IF(A97="","",IF(Q97&gt;0,"BUY","HOLD"))</f>
        <v/>
      </c>
      <c r="Q97" s="70" t="str">
        <f>IF(A97="","",IF($W$7&lt;=0,0,IF($AC$6&gt;0,$W$7*AC97/$AC$6,IF($F$6&gt;0,$W$7*N(F97)/$F$6,0))))</f>
        <v/>
      </c>
      <c r="R97" s="103" t="str">
        <f>IF(A97="","",N(AD97)+IF(AI97=1,N(AG97),0))</f>
        <v/>
      </c>
      <c r="S97" s="103" t="str">
        <f>IF(A97="","",N(E97)+N(R97))</f>
        <v/>
      </c>
      <c r="T97" s="70" t="str">
        <f>IF(A97="","",IF(N(R97)&gt;0,R97*H97*W97*$W$6+p_CorrFixa,0))</f>
        <v/>
      </c>
      <c r="V97" s="85" t="str">
        <f>IF(A97="","",IF(D97="",$W$1,D97))</f>
        <v/>
      </c>
      <c r="W97" s="85" t="str">
        <f>IF(A97="","",IFERROR(INDEX(moeda_fx,MATCH(V97,moeda_cod,0)),0))</f>
        <v/>
      </c>
      <c r="X97" s="85" t="str">
        <f>IF(A97="","",IF($W$2="",UPPER(TRIM(A97)),IF(RIGHT(UPPER(TRIM(A97)),LEN($W$2))=$W$2,UPPER(TRIM(A97)),UPPER(TRIM(A97))&amp;$W$2)))</f>
        <v/>
      </c>
      <c r="Y97" s="85" t="str">
        <f>IF(OR(A97="",p_ModoCot&lt;&gt;"Automático"),"",IFERROR(_xlfn.WEBSERVICE("https://query1.finance.yahoo.com/v8/finance/chart/"&amp;X97&amp;"?range=1d&amp;interval=1d"),""))</f>
        <v/>
      </c>
      <c r="Z97" s="85" t="str">
        <f>IF(Y97="","",IFERROR(_xlfn.NUMBERVALUE(MID(Y97,SEARCH("""regularMarketPrice"":",Y97)+21,SEARCH(",",Y97&amp;",",SEARCH("""regularMarketPrice"":",Y97)+21)-SEARCH("""regularMarketPrice"":",Y97)-21),".",","),""))</f>
        <v/>
      </c>
      <c r="AA97" s="85" t="str">
        <f>IF(A97="","",ROUND(MAX(0,N(F97)*($K$6+$W$7)-K97),2))</f>
        <v/>
      </c>
      <c r="AB97" s="85" t="str">
        <f>IF(A97="","",IF(AND(M97&gt;0,M97&gt;=p_DifMin),AA97,0))</f>
        <v/>
      </c>
      <c r="AC97" s="85" t="str">
        <f>IF(A97="","",IF(AND(AB97&gt;0,N(O97)&lt;=p_MaxAtivos),AB97,0))</f>
        <v/>
      </c>
      <c r="AD97" s="85" t="str">
        <f>IF(A97="","",IF(OR(Q97&lt;=0,Q97&lt;p_CompraMin,N(H97)&lt;=0,N(W97)&lt;=0),0,IF($W$3="Sim",TRUNC(ROUND(MAX(0,(Q97-p_CorrFixa)/(H97*W97*$W$6)),9),$W$4),TRUNC(ROUND(MAX(0,(Q97-p_CorrFixa)/(H97*W97*$W$6)),9)/$W$5)*$W$5)))</f>
        <v/>
      </c>
      <c r="AE97" s="85" t="str">
        <f>IF(A97="","",IF(N(AD97)&gt;0,AD97*H97*W97*$W$6+p_CorrFixa,0))</f>
        <v/>
      </c>
      <c r="AF97" s="85" t="str">
        <f>IF(A97="","",IF(OR($Y$1&lt;=0,N(H97)&lt;=0,N(W97)&lt;=0,N(AB97)&lt;=0),0,IF($W$3="Sim",TRUNC(ROUND(MAX(0,($Y$1-IF(N(AD97)&gt;0,0,p_CorrFixa))/(H97*W97*$W$6)),9),$W$4),TRUNC(ROUND(MAX(0,($Y$1-IF(N(AD97)&gt;0,0,p_CorrFixa))/(H97*W97*$W$6)),9)/$W$5)*$W$5)))</f>
        <v/>
      </c>
      <c r="AG97" s="85" t="str">
        <f>IF(A97="","",IF(AND(N(AD97)=0,N(AF97)*(H97*W97*$W$6)+p_CorrFixa&lt;p_CompraMin),0,AF97))</f>
        <v/>
      </c>
      <c r="AH97" s="85" t="str">
        <f>IF(A97="","",IF(N(AG97)&gt;0,AB97,0))</f>
        <v/>
      </c>
      <c r="AI97" s="85" t="str">
        <f>IF(A97="","",IF(AND(AH97&gt;0,AH97=$AH$6,COUNTIF($AH$9:AH97,AH97)=1),1,0))</f>
        <v/>
      </c>
    </row>
    <row r="98">
      <c r="A98" s="96" t="n"/>
      <c r="B98" s="96" t="n"/>
      <c r="C98" s="96" t="n"/>
      <c r="D98" s="97" t="n"/>
      <c r="E98" s="98" t="n"/>
      <c r="F98" s="99" t="n"/>
      <c r="G98" s="100" t="n"/>
      <c r="H98" s="104" t="str">
        <f>IF(A98="","",IF(AND(p_ModoCot="Automático",ISNUMBER(Z98)),Z98,IF(N(G98)&gt;0,G98,0)))</f>
        <v/>
      </c>
      <c r="I98" s="105" t="str">
        <f>IF(A98="","",IF(W98=0,"Sem câmbio",IF(AND(p_ModoCot="Automático",ISNUMBER(Z98)),"Auto",IF(N(G98)&gt;0,"Manual","Sem cotação"))))</f>
        <v/>
      </c>
      <c r="J98" s="106" t="str">
        <f>IF(A98="","",N(E98)*H98)</f>
        <v/>
      </c>
      <c r="K98" s="107" t="str">
        <f>IF(A98="","",J98*W98)</f>
        <v/>
      </c>
      <c r="L98" s="108" t="str">
        <f>IF(A98="","",IF($K$6&gt;0,K98/$K$6,0))</f>
        <v/>
      </c>
      <c r="M98" s="109" t="str">
        <f>IF(A98="","",N(F98)-L98)</f>
        <v/>
      </c>
      <c r="N98" s="108" t="str">
        <f>IF(A98="","",IF($AB$6&gt;0,AB98/$AB$6,0))</f>
        <v/>
      </c>
      <c r="O98" s="110" t="str">
        <f>IF(A98="","",IF(AB98&lt;=0,"",COUNTIF($AB$9:$AB$108,"&gt;"&amp;AB98)+COUNTIF($AB$9:AB98,AB98)))</f>
        <v/>
      </c>
      <c r="P98" s="105" t="str">
        <f>IF(A98="","",IF(Q98&gt;0,"BUY","HOLD"))</f>
        <v/>
      </c>
      <c r="Q98" s="107" t="str">
        <f>IF(A98="","",IF($W$7&lt;=0,0,IF($AC$6&gt;0,$W$7*AC98/$AC$6,IF($F$6&gt;0,$W$7*N(F98)/$F$6,0))))</f>
        <v/>
      </c>
      <c r="R98" s="111" t="str">
        <f>IF(A98="","",N(AD98)+IF(AI98=1,N(AG98),0))</f>
        <v/>
      </c>
      <c r="S98" s="111" t="str">
        <f>IF(A98="","",N(E98)+N(R98))</f>
        <v/>
      </c>
      <c r="T98" s="107" t="str">
        <f>IF(A98="","",IF(N(R98)&gt;0,R98*H98*W98*$W$6+p_CorrFixa,0))</f>
        <v/>
      </c>
      <c r="V98" s="85" t="str">
        <f>IF(A98="","",IF(D98="",$W$1,D98))</f>
        <v/>
      </c>
      <c r="W98" s="85" t="str">
        <f>IF(A98="","",IFERROR(INDEX(moeda_fx,MATCH(V98,moeda_cod,0)),0))</f>
        <v/>
      </c>
      <c r="X98" s="85" t="str">
        <f>IF(A98="","",IF($W$2="",UPPER(TRIM(A98)),IF(RIGHT(UPPER(TRIM(A98)),LEN($W$2))=$W$2,UPPER(TRIM(A98)),UPPER(TRIM(A98))&amp;$W$2)))</f>
        <v/>
      </c>
      <c r="Y98" s="85" t="str">
        <f>IF(OR(A98="",p_ModoCot&lt;&gt;"Automático"),"",IFERROR(_xlfn.WEBSERVICE("https://query1.finance.yahoo.com/v8/finance/chart/"&amp;X98&amp;"?range=1d&amp;interval=1d"),""))</f>
        <v/>
      </c>
      <c r="Z98" s="85" t="str">
        <f>IF(Y98="","",IFERROR(_xlfn.NUMBERVALUE(MID(Y98,SEARCH("""regularMarketPrice"":",Y98)+21,SEARCH(",",Y98&amp;",",SEARCH("""regularMarketPrice"":",Y98)+21)-SEARCH("""regularMarketPrice"":",Y98)-21),".",","),""))</f>
        <v/>
      </c>
      <c r="AA98" s="85" t="str">
        <f>IF(A98="","",ROUND(MAX(0,N(F98)*($K$6+$W$7)-K98),2))</f>
        <v/>
      </c>
      <c r="AB98" s="85" t="str">
        <f>IF(A98="","",IF(AND(M98&gt;0,M98&gt;=p_DifMin),AA98,0))</f>
        <v/>
      </c>
      <c r="AC98" s="85" t="str">
        <f>IF(A98="","",IF(AND(AB98&gt;0,N(O98)&lt;=p_MaxAtivos),AB98,0))</f>
        <v/>
      </c>
      <c r="AD98" s="85" t="str">
        <f>IF(A98="","",IF(OR(Q98&lt;=0,Q98&lt;p_CompraMin,N(H98)&lt;=0,N(W98)&lt;=0),0,IF($W$3="Sim",TRUNC(ROUND(MAX(0,(Q98-p_CorrFixa)/(H98*W98*$W$6)),9),$W$4),TRUNC(ROUND(MAX(0,(Q98-p_CorrFixa)/(H98*W98*$W$6)),9)/$W$5)*$W$5)))</f>
        <v/>
      </c>
      <c r="AE98" s="85" t="str">
        <f>IF(A98="","",IF(N(AD98)&gt;0,AD98*H98*W98*$W$6+p_CorrFixa,0))</f>
        <v/>
      </c>
      <c r="AF98" s="85" t="str">
        <f>IF(A98="","",IF(OR($Y$1&lt;=0,N(H98)&lt;=0,N(W98)&lt;=0,N(AB98)&lt;=0),0,IF($W$3="Sim",TRUNC(ROUND(MAX(0,($Y$1-IF(N(AD98)&gt;0,0,p_CorrFixa))/(H98*W98*$W$6)),9),$W$4),TRUNC(ROUND(MAX(0,($Y$1-IF(N(AD98)&gt;0,0,p_CorrFixa))/(H98*W98*$W$6)),9)/$W$5)*$W$5)))</f>
        <v/>
      </c>
      <c r="AG98" s="85" t="str">
        <f>IF(A98="","",IF(AND(N(AD98)=0,N(AF98)*(H98*W98*$W$6)+p_CorrFixa&lt;p_CompraMin),0,AF98))</f>
        <v/>
      </c>
      <c r="AH98" s="85" t="str">
        <f>IF(A98="","",IF(N(AG98)&gt;0,AB98,0))</f>
        <v/>
      </c>
      <c r="AI98" s="85" t="str">
        <f>IF(A98="","",IF(AND(AH98&gt;0,AH98=$AH$6,COUNTIF($AH$9:AH98,AH98)=1),1,0))</f>
        <v/>
      </c>
    </row>
    <row r="99">
      <c r="A99" s="96" t="n"/>
      <c r="B99" s="96" t="n"/>
      <c r="C99" s="96" t="n"/>
      <c r="D99" s="97" t="n"/>
      <c r="E99" s="98" t="n"/>
      <c r="F99" s="99" t="n"/>
      <c r="G99" s="100" t="n"/>
      <c r="H99" s="101" t="str">
        <f>IF(A99="","",IF(AND(p_ModoCot="Automático",ISNUMBER(Z99)),Z99,IF(N(G99)&gt;0,G99,0)))</f>
        <v/>
      </c>
      <c r="I99" s="73" t="str">
        <f>IF(A99="","",IF(W99=0,"Sem câmbio",IF(AND(p_ModoCot="Automático",ISNUMBER(Z99)),"Auto",IF(N(G99)&gt;0,"Manual","Sem cotação"))))</f>
        <v/>
      </c>
      <c r="J99" s="102" t="str">
        <f>IF(A99="","",N(E99)*H99)</f>
        <v/>
      </c>
      <c r="K99" s="70" t="str">
        <f>IF(A99="","",J99*W99)</f>
        <v/>
      </c>
      <c r="L99" s="30" t="str">
        <f>IF(A99="","",IF($K$6&gt;0,K99/$K$6,0))</f>
        <v/>
      </c>
      <c r="M99" s="72" t="str">
        <f>IF(A99="","",N(F99)-L99)</f>
        <v/>
      </c>
      <c r="N99" s="30" t="str">
        <f>IF(A99="","",IF($AB$6&gt;0,AB99/$AB$6,0))</f>
        <v/>
      </c>
      <c r="O99" s="74" t="str">
        <f>IF(A99="","",IF(AB99&lt;=0,"",COUNTIF($AB$9:$AB$108,"&gt;"&amp;AB99)+COUNTIF($AB$9:AB99,AB99)))</f>
        <v/>
      </c>
      <c r="P99" s="73" t="str">
        <f>IF(A99="","",IF(Q99&gt;0,"BUY","HOLD"))</f>
        <v/>
      </c>
      <c r="Q99" s="70" t="str">
        <f>IF(A99="","",IF($W$7&lt;=0,0,IF($AC$6&gt;0,$W$7*AC99/$AC$6,IF($F$6&gt;0,$W$7*N(F99)/$F$6,0))))</f>
        <v/>
      </c>
      <c r="R99" s="103" t="str">
        <f>IF(A99="","",N(AD99)+IF(AI99=1,N(AG99),0))</f>
        <v/>
      </c>
      <c r="S99" s="103" t="str">
        <f>IF(A99="","",N(E99)+N(R99))</f>
        <v/>
      </c>
      <c r="T99" s="70" t="str">
        <f>IF(A99="","",IF(N(R99)&gt;0,R99*H99*W99*$W$6+p_CorrFixa,0))</f>
        <v/>
      </c>
      <c r="V99" s="85" t="str">
        <f>IF(A99="","",IF(D99="",$W$1,D99))</f>
        <v/>
      </c>
      <c r="W99" s="85" t="str">
        <f>IF(A99="","",IFERROR(INDEX(moeda_fx,MATCH(V99,moeda_cod,0)),0))</f>
        <v/>
      </c>
      <c r="X99" s="85" t="str">
        <f>IF(A99="","",IF($W$2="",UPPER(TRIM(A99)),IF(RIGHT(UPPER(TRIM(A99)),LEN($W$2))=$W$2,UPPER(TRIM(A99)),UPPER(TRIM(A99))&amp;$W$2)))</f>
        <v/>
      </c>
      <c r="Y99" s="85" t="str">
        <f>IF(OR(A99="",p_ModoCot&lt;&gt;"Automático"),"",IFERROR(_xlfn.WEBSERVICE("https://query1.finance.yahoo.com/v8/finance/chart/"&amp;X99&amp;"?range=1d&amp;interval=1d"),""))</f>
        <v/>
      </c>
      <c r="Z99" s="85" t="str">
        <f>IF(Y99="","",IFERROR(_xlfn.NUMBERVALUE(MID(Y99,SEARCH("""regularMarketPrice"":",Y99)+21,SEARCH(",",Y99&amp;",",SEARCH("""regularMarketPrice"":",Y99)+21)-SEARCH("""regularMarketPrice"":",Y99)-21),".",","),""))</f>
        <v/>
      </c>
      <c r="AA99" s="85" t="str">
        <f>IF(A99="","",ROUND(MAX(0,N(F99)*($K$6+$W$7)-K99),2))</f>
        <v/>
      </c>
      <c r="AB99" s="85" t="str">
        <f>IF(A99="","",IF(AND(M99&gt;0,M99&gt;=p_DifMin),AA99,0))</f>
        <v/>
      </c>
      <c r="AC99" s="85" t="str">
        <f>IF(A99="","",IF(AND(AB99&gt;0,N(O99)&lt;=p_MaxAtivos),AB99,0))</f>
        <v/>
      </c>
      <c r="AD99" s="85" t="str">
        <f>IF(A99="","",IF(OR(Q99&lt;=0,Q99&lt;p_CompraMin,N(H99)&lt;=0,N(W99)&lt;=0),0,IF($W$3="Sim",TRUNC(ROUND(MAX(0,(Q99-p_CorrFixa)/(H99*W99*$W$6)),9),$W$4),TRUNC(ROUND(MAX(0,(Q99-p_CorrFixa)/(H99*W99*$W$6)),9)/$W$5)*$W$5)))</f>
        <v/>
      </c>
      <c r="AE99" s="85" t="str">
        <f>IF(A99="","",IF(N(AD99)&gt;0,AD99*H99*W99*$W$6+p_CorrFixa,0))</f>
        <v/>
      </c>
      <c r="AF99" s="85" t="str">
        <f>IF(A99="","",IF(OR($Y$1&lt;=0,N(H99)&lt;=0,N(W99)&lt;=0,N(AB99)&lt;=0),0,IF($W$3="Sim",TRUNC(ROUND(MAX(0,($Y$1-IF(N(AD99)&gt;0,0,p_CorrFixa))/(H99*W99*$W$6)),9),$W$4),TRUNC(ROUND(MAX(0,($Y$1-IF(N(AD99)&gt;0,0,p_CorrFixa))/(H99*W99*$W$6)),9)/$W$5)*$W$5)))</f>
        <v/>
      </c>
      <c r="AG99" s="85" t="str">
        <f>IF(A99="","",IF(AND(N(AD99)=0,N(AF99)*(H99*W99*$W$6)+p_CorrFixa&lt;p_CompraMin),0,AF99))</f>
        <v/>
      </c>
      <c r="AH99" s="85" t="str">
        <f>IF(A99="","",IF(N(AG99)&gt;0,AB99,0))</f>
        <v/>
      </c>
      <c r="AI99" s="85" t="str">
        <f>IF(A99="","",IF(AND(AH99&gt;0,AH99=$AH$6,COUNTIF($AH$9:AH99,AH99)=1),1,0))</f>
        <v/>
      </c>
    </row>
    <row r="100">
      <c r="A100" s="96" t="n"/>
      <c r="B100" s="96" t="n"/>
      <c r="C100" s="96" t="n"/>
      <c r="D100" s="97" t="n"/>
      <c r="E100" s="98" t="n"/>
      <c r="F100" s="99" t="n"/>
      <c r="G100" s="100" t="n"/>
      <c r="H100" s="104" t="str">
        <f>IF(A100="","",IF(AND(p_ModoCot="Automático",ISNUMBER(Z100)),Z100,IF(N(G100)&gt;0,G100,0)))</f>
        <v/>
      </c>
      <c r="I100" s="105" t="str">
        <f>IF(A100="","",IF(W100=0,"Sem câmbio",IF(AND(p_ModoCot="Automático",ISNUMBER(Z100)),"Auto",IF(N(G100)&gt;0,"Manual","Sem cotação"))))</f>
        <v/>
      </c>
      <c r="J100" s="106" t="str">
        <f>IF(A100="","",N(E100)*H100)</f>
        <v/>
      </c>
      <c r="K100" s="107" t="str">
        <f>IF(A100="","",J100*W100)</f>
        <v/>
      </c>
      <c r="L100" s="108" t="str">
        <f>IF(A100="","",IF($K$6&gt;0,K100/$K$6,0))</f>
        <v/>
      </c>
      <c r="M100" s="109" t="str">
        <f>IF(A100="","",N(F100)-L100)</f>
        <v/>
      </c>
      <c r="N100" s="108" t="str">
        <f>IF(A100="","",IF($AB$6&gt;0,AB100/$AB$6,0))</f>
        <v/>
      </c>
      <c r="O100" s="110" t="str">
        <f>IF(A100="","",IF(AB100&lt;=0,"",COUNTIF($AB$9:$AB$108,"&gt;"&amp;AB100)+COUNTIF($AB$9:AB100,AB100)))</f>
        <v/>
      </c>
      <c r="P100" s="105" t="str">
        <f>IF(A100="","",IF(Q100&gt;0,"BUY","HOLD"))</f>
        <v/>
      </c>
      <c r="Q100" s="107" t="str">
        <f>IF(A100="","",IF($W$7&lt;=0,0,IF($AC$6&gt;0,$W$7*AC100/$AC$6,IF($F$6&gt;0,$W$7*N(F100)/$F$6,0))))</f>
        <v/>
      </c>
      <c r="R100" s="111" t="str">
        <f>IF(A100="","",N(AD100)+IF(AI100=1,N(AG100),0))</f>
        <v/>
      </c>
      <c r="S100" s="111" t="str">
        <f>IF(A100="","",N(E100)+N(R100))</f>
        <v/>
      </c>
      <c r="T100" s="107" t="str">
        <f>IF(A100="","",IF(N(R100)&gt;0,R100*H100*W100*$W$6+p_CorrFixa,0))</f>
        <v/>
      </c>
      <c r="V100" s="85" t="str">
        <f>IF(A100="","",IF(D100="",$W$1,D100))</f>
        <v/>
      </c>
      <c r="W100" s="85" t="str">
        <f>IF(A100="","",IFERROR(INDEX(moeda_fx,MATCH(V100,moeda_cod,0)),0))</f>
        <v/>
      </c>
      <c r="X100" s="85" t="str">
        <f>IF(A100="","",IF($W$2="",UPPER(TRIM(A100)),IF(RIGHT(UPPER(TRIM(A100)),LEN($W$2))=$W$2,UPPER(TRIM(A100)),UPPER(TRIM(A100))&amp;$W$2)))</f>
        <v/>
      </c>
      <c r="Y100" s="85" t="str">
        <f>IF(OR(A100="",p_ModoCot&lt;&gt;"Automático"),"",IFERROR(_xlfn.WEBSERVICE("https://query1.finance.yahoo.com/v8/finance/chart/"&amp;X100&amp;"?range=1d&amp;interval=1d"),""))</f>
        <v/>
      </c>
      <c r="Z100" s="85" t="str">
        <f>IF(Y100="","",IFERROR(_xlfn.NUMBERVALUE(MID(Y100,SEARCH("""regularMarketPrice"":",Y100)+21,SEARCH(",",Y100&amp;",",SEARCH("""regularMarketPrice"":",Y100)+21)-SEARCH("""regularMarketPrice"":",Y100)-21),".",","),""))</f>
        <v/>
      </c>
      <c r="AA100" s="85" t="str">
        <f>IF(A100="","",ROUND(MAX(0,N(F100)*($K$6+$W$7)-K100),2))</f>
        <v/>
      </c>
      <c r="AB100" s="85" t="str">
        <f>IF(A100="","",IF(AND(M100&gt;0,M100&gt;=p_DifMin),AA100,0))</f>
        <v/>
      </c>
      <c r="AC100" s="85" t="str">
        <f>IF(A100="","",IF(AND(AB100&gt;0,N(O100)&lt;=p_MaxAtivos),AB100,0))</f>
        <v/>
      </c>
      <c r="AD100" s="85" t="str">
        <f>IF(A100="","",IF(OR(Q100&lt;=0,Q100&lt;p_CompraMin,N(H100)&lt;=0,N(W100)&lt;=0),0,IF($W$3="Sim",TRUNC(ROUND(MAX(0,(Q100-p_CorrFixa)/(H100*W100*$W$6)),9),$W$4),TRUNC(ROUND(MAX(0,(Q100-p_CorrFixa)/(H100*W100*$W$6)),9)/$W$5)*$W$5)))</f>
        <v/>
      </c>
      <c r="AE100" s="85" t="str">
        <f>IF(A100="","",IF(N(AD100)&gt;0,AD100*H100*W100*$W$6+p_CorrFixa,0))</f>
        <v/>
      </c>
      <c r="AF100" s="85" t="str">
        <f>IF(A100="","",IF(OR($Y$1&lt;=0,N(H100)&lt;=0,N(W100)&lt;=0,N(AB100)&lt;=0),0,IF($W$3="Sim",TRUNC(ROUND(MAX(0,($Y$1-IF(N(AD100)&gt;0,0,p_CorrFixa))/(H100*W100*$W$6)),9),$W$4),TRUNC(ROUND(MAX(0,($Y$1-IF(N(AD100)&gt;0,0,p_CorrFixa))/(H100*W100*$W$6)),9)/$W$5)*$W$5)))</f>
        <v/>
      </c>
      <c r="AG100" s="85" t="str">
        <f>IF(A100="","",IF(AND(N(AD100)=0,N(AF100)*(H100*W100*$W$6)+p_CorrFixa&lt;p_CompraMin),0,AF100))</f>
        <v/>
      </c>
      <c r="AH100" s="85" t="str">
        <f>IF(A100="","",IF(N(AG100)&gt;0,AB100,0))</f>
        <v/>
      </c>
      <c r="AI100" s="85" t="str">
        <f>IF(A100="","",IF(AND(AH100&gt;0,AH100=$AH$6,COUNTIF($AH$9:AH100,AH100)=1),1,0))</f>
        <v/>
      </c>
    </row>
    <row r="101">
      <c r="A101" s="96" t="n"/>
      <c r="B101" s="96" t="n"/>
      <c r="C101" s="96" t="n"/>
      <c r="D101" s="97" t="n"/>
      <c r="E101" s="98" t="n"/>
      <c r="F101" s="99" t="n"/>
      <c r="G101" s="100" t="n"/>
      <c r="H101" s="101" t="str">
        <f>IF(A101="","",IF(AND(p_ModoCot="Automático",ISNUMBER(Z101)),Z101,IF(N(G101)&gt;0,G101,0)))</f>
        <v/>
      </c>
      <c r="I101" s="73" t="str">
        <f>IF(A101="","",IF(W101=0,"Sem câmbio",IF(AND(p_ModoCot="Automático",ISNUMBER(Z101)),"Auto",IF(N(G101)&gt;0,"Manual","Sem cotação"))))</f>
        <v/>
      </c>
      <c r="J101" s="102" t="str">
        <f>IF(A101="","",N(E101)*H101)</f>
        <v/>
      </c>
      <c r="K101" s="70" t="str">
        <f>IF(A101="","",J101*W101)</f>
        <v/>
      </c>
      <c r="L101" s="30" t="str">
        <f>IF(A101="","",IF($K$6&gt;0,K101/$K$6,0))</f>
        <v/>
      </c>
      <c r="M101" s="72" t="str">
        <f>IF(A101="","",N(F101)-L101)</f>
        <v/>
      </c>
      <c r="N101" s="30" t="str">
        <f>IF(A101="","",IF($AB$6&gt;0,AB101/$AB$6,0))</f>
        <v/>
      </c>
      <c r="O101" s="74" t="str">
        <f>IF(A101="","",IF(AB101&lt;=0,"",COUNTIF($AB$9:$AB$108,"&gt;"&amp;AB101)+COUNTIF($AB$9:AB101,AB101)))</f>
        <v/>
      </c>
      <c r="P101" s="73" t="str">
        <f>IF(A101="","",IF(Q101&gt;0,"BUY","HOLD"))</f>
        <v/>
      </c>
      <c r="Q101" s="70" t="str">
        <f>IF(A101="","",IF($W$7&lt;=0,0,IF($AC$6&gt;0,$W$7*AC101/$AC$6,IF($F$6&gt;0,$W$7*N(F101)/$F$6,0))))</f>
        <v/>
      </c>
      <c r="R101" s="103" t="str">
        <f>IF(A101="","",N(AD101)+IF(AI101=1,N(AG101),0))</f>
        <v/>
      </c>
      <c r="S101" s="103" t="str">
        <f>IF(A101="","",N(E101)+N(R101))</f>
        <v/>
      </c>
      <c r="T101" s="70" t="str">
        <f>IF(A101="","",IF(N(R101)&gt;0,R101*H101*W101*$W$6+p_CorrFixa,0))</f>
        <v/>
      </c>
      <c r="V101" s="85" t="str">
        <f>IF(A101="","",IF(D101="",$W$1,D101))</f>
        <v/>
      </c>
      <c r="W101" s="85" t="str">
        <f>IF(A101="","",IFERROR(INDEX(moeda_fx,MATCH(V101,moeda_cod,0)),0))</f>
        <v/>
      </c>
      <c r="X101" s="85" t="str">
        <f>IF(A101="","",IF($W$2="",UPPER(TRIM(A101)),IF(RIGHT(UPPER(TRIM(A101)),LEN($W$2))=$W$2,UPPER(TRIM(A101)),UPPER(TRIM(A101))&amp;$W$2)))</f>
        <v/>
      </c>
      <c r="Y101" s="85" t="str">
        <f>IF(OR(A101="",p_ModoCot&lt;&gt;"Automático"),"",IFERROR(_xlfn.WEBSERVICE("https://query1.finance.yahoo.com/v8/finance/chart/"&amp;X101&amp;"?range=1d&amp;interval=1d"),""))</f>
        <v/>
      </c>
      <c r="Z101" s="85" t="str">
        <f>IF(Y101="","",IFERROR(_xlfn.NUMBERVALUE(MID(Y101,SEARCH("""regularMarketPrice"":",Y101)+21,SEARCH(",",Y101&amp;",",SEARCH("""regularMarketPrice"":",Y101)+21)-SEARCH("""regularMarketPrice"":",Y101)-21),".",","),""))</f>
        <v/>
      </c>
      <c r="AA101" s="85" t="str">
        <f>IF(A101="","",ROUND(MAX(0,N(F101)*($K$6+$W$7)-K101),2))</f>
        <v/>
      </c>
      <c r="AB101" s="85" t="str">
        <f>IF(A101="","",IF(AND(M101&gt;0,M101&gt;=p_DifMin),AA101,0))</f>
        <v/>
      </c>
      <c r="AC101" s="85" t="str">
        <f>IF(A101="","",IF(AND(AB101&gt;0,N(O101)&lt;=p_MaxAtivos),AB101,0))</f>
        <v/>
      </c>
      <c r="AD101" s="85" t="str">
        <f>IF(A101="","",IF(OR(Q101&lt;=0,Q101&lt;p_CompraMin,N(H101)&lt;=0,N(W101)&lt;=0),0,IF($W$3="Sim",TRUNC(ROUND(MAX(0,(Q101-p_CorrFixa)/(H101*W101*$W$6)),9),$W$4),TRUNC(ROUND(MAX(0,(Q101-p_CorrFixa)/(H101*W101*$W$6)),9)/$W$5)*$W$5)))</f>
        <v/>
      </c>
      <c r="AE101" s="85" t="str">
        <f>IF(A101="","",IF(N(AD101)&gt;0,AD101*H101*W101*$W$6+p_CorrFixa,0))</f>
        <v/>
      </c>
      <c r="AF101" s="85" t="str">
        <f>IF(A101="","",IF(OR($Y$1&lt;=0,N(H101)&lt;=0,N(W101)&lt;=0,N(AB101)&lt;=0),0,IF($W$3="Sim",TRUNC(ROUND(MAX(0,($Y$1-IF(N(AD101)&gt;0,0,p_CorrFixa))/(H101*W101*$W$6)),9),$W$4),TRUNC(ROUND(MAX(0,($Y$1-IF(N(AD101)&gt;0,0,p_CorrFixa))/(H101*W101*$W$6)),9)/$W$5)*$W$5)))</f>
        <v/>
      </c>
      <c r="AG101" s="85" t="str">
        <f>IF(A101="","",IF(AND(N(AD101)=0,N(AF101)*(H101*W101*$W$6)+p_CorrFixa&lt;p_CompraMin),0,AF101))</f>
        <v/>
      </c>
      <c r="AH101" s="85" t="str">
        <f>IF(A101="","",IF(N(AG101)&gt;0,AB101,0))</f>
        <v/>
      </c>
      <c r="AI101" s="85" t="str">
        <f>IF(A101="","",IF(AND(AH101&gt;0,AH101=$AH$6,COUNTIF($AH$9:AH101,AH101)=1),1,0))</f>
        <v/>
      </c>
    </row>
    <row r="102">
      <c r="A102" s="96" t="n"/>
      <c r="B102" s="96" t="n"/>
      <c r="C102" s="96" t="n"/>
      <c r="D102" s="97" t="n"/>
      <c r="E102" s="98" t="n"/>
      <c r="F102" s="99" t="n"/>
      <c r="G102" s="100" t="n"/>
      <c r="H102" s="104" t="str">
        <f>IF(A102="","",IF(AND(p_ModoCot="Automático",ISNUMBER(Z102)),Z102,IF(N(G102)&gt;0,G102,0)))</f>
        <v/>
      </c>
      <c r="I102" s="105" t="str">
        <f>IF(A102="","",IF(W102=0,"Sem câmbio",IF(AND(p_ModoCot="Automático",ISNUMBER(Z102)),"Auto",IF(N(G102)&gt;0,"Manual","Sem cotação"))))</f>
        <v/>
      </c>
      <c r="J102" s="106" t="str">
        <f>IF(A102="","",N(E102)*H102)</f>
        <v/>
      </c>
      <c r="K102" s="107" t="str">
        <f>IF(A102="","",J102*W102)</f>
        <v/>
      </c>
      <c r="L102" s="108" t="str">
        <f>IF(A102="","",IF($K$6&gt;0,K102/$K$6,0))</f>
        <v/>
      </c>
      <c r="M102" s="109" t="str">
        <f>IF(A102="","",N(F102)-L102)</f>
        <v/>
      </c>
      <c r="N102" s="108" t="str">
        <f>IF(A102="","",IF($AB$6&gt;0,AB102/$AB$6,0))</f>
        <v/>
      </c>
      <c r="O102" s="110" t="str">
        <f>IF(A102="","",IF(AB102&lt;=0,"",COUNTIF($AB$9:$AB$108,"&gt;"&amp;AB102)+COUNTIF($AB$9:AB102,AB102)))</f>
        <v/>
      </c>
      <c r="P102" s="105" t="str">
        <f>IF(A102="","",IF(Q102&gt;0,"BUY","HOLD"))</f>
        <v/>
      </c>
      <c r="Q102" s="107" t="str">
        <f>IF(A102="","",IF($W$7&lt;=0,0,IF($AC$6&gt;0,$W$7*AC102/$AC$6,IF($F$6&gt;0,$W$7*N(F102)/$F$6,0))))</f>
        <v/>
      </c>
      <c r="R102" s="111" t="str">
        <f>IF(A102="","",N(AD102)+IF(AI102=1,N(AG102),0))</f>
        <v/>
      </c>
      <c r="S102" s="111" t="str">
        <f>IF(A102="","",N(E102)+N(R102))</f>
        <v/>
      </c>
      <c r="T102" s="107" t="str">
        <f>IF(A102="","",IF(N(R102)&gt;0,R102*H102*W102*$W$6+p_CorrFixa,0))</f>
        <v/>
      </c>
      <c r="V102" s="85" t="str">
        <f>IF(A102="","",IF(D102="",$W$1,D102))</f>
        <v/>
      </c>
      <c r="W102" s="85" t="str">
        <f>IF(A102="","",IFERROR(INDEX(moeda_fx,MATCH(V102,moeda_cod,0)),0))</f>
        <v/>
      </c>
      <c r="X102" s="85" t="str">
        <f>IF(A102="","",IF($W$2="",UPPER(TRIM(A102)),IF(RIGHT(UPPER(TRIM(A102)),LEN($W$2))=$W$2,UPPER(TRIM(A102)),UPPER(TRIM(A102))&amp;$W$2)))</f>
        <v/>
      </c>
      <c r="Y102" s="85" t="str">
        <f>IF(OR(A102="",p_ModoCot&lt;&gt;"Automático"),"",IFERROR(_xlfn.WEBSERVICE("https://query1.finance.yahoo.com/v8/finance/chart/"&amp;X102&amp;"?range=1d&amp;interval=1d"),""))</f>
        <v/>
      </c>
      <c r="Z102" s="85" t="str">
        <f>IF(Y102="","",IFERROR(_xlfn.NUMBERVALUE(MID(Y102,SEARCH("""regularMarketPrice"":",Y102)+21,SEARCH(",",Y102&amp;",",SEARCH("""regularMarketPrice"":",Y102)+21)-SEARCH("""regularMarketPrice"":",Y102)-21),".",","),""))</f>
        <v/>
      </c>
      <c r="AA102" s="85" t="str">
        <f>IF(A102="","",ROUND(MAX(0,N(F102)*($K$6+$W$7)-K102),2))</f>
        <v/>
      </c>
      <c r="AB102" s="85" t="str">
        <f>IF(A102="","",IF(AND(M102&gt;0,M102&gt;=p_DifMin),AA102,0))</f>
        <v/>
      </c>
      <c r="AC102" s="85" t="str">
        <f>IF(A102="","",IF(AND(AB102&gt;0,N(O102)&lt;=p_MaxAtivos),AB102,0))</f>
        <v/>
      </c>
      <c r="AD102" s="85" t="str">
        <f>IF(A102="","",IF(OR(Q102&lt;=0,Q102&lt;p_CompraMin,N(H102)&lt;=0,N(W102)&lt;=0),0,IF($W$3="Sim",TRUNC(ROUND(MAX(0,(Q102-p_CorrFixa)/(H102*W102*$W$6)),9),$W$4),TRUNC(ROUND(MAX(0,(Q102-p_CorrFixa)/(H102*W102*$W$6)),9)/$W$5)*$W$5)))</f>
        <v/>
      </c>
      <c r="AE102" s="85" t="str">
        <f>IF(A102="","",IF(N(AD102)&gt;0,AD102*H102*W102*$W$6+p_CorrFixa,0))</f>
        <v/>
      </c>
      <c r="AF102" s="85" t="str">
        <f>IF(A102="","",IF(OR($Y$1&lt;=0,N(H102)&lt;=0,N(W102)&lt;=0,N(AB102)&lt;=0),0,IF($W$3="Sim",TRUNC(ROUND(MAX(0,($Y$1-IF(N(AD102)&gt;0,0,p_CorrFixa))/(H102*W102*$W$6)),9),$W$4),TRUNC(ROUND(MAX(0,($Y$1-IF(N(AD102)&gt;0,0,p_CorrFixa))/(H102*W102*$W$6)),9)/$W$5)*$W$5)))</f>
        <v/>
      </c>
      <c r="AG102" s="85" t="str">
        <f>IF(A102="","",IF(AND(N(AD102)=0,N(AF102)*(H102*W102*$W$6)+p_CorrFixa&lt;p_CompraMin),0,AF102))</f>
        <v/>
      </c>
      <c r="AH102" s="85" t="str">
        <f>IF(A102="","",IF(N(AG102)&gt;0,AB102,0))</f>
        <v/>
      </c>
      <c r="AI102" s="85" t="str">
        <f>IF(A102="","",IF(AND(AH102&gt;0,AH102=$AH$6,COUNTIF($AH$9:AH102,AH102)=1),1,0))</f>
        <v/>
      </c>
    </row>
    <row r="103">
      <c r="A103" s="96" t="n"/>
      <c r="B103" s="96" t="n"/>
      <c r="C103" s="96" t="n"/>
      <c r="D103" s="97" t="n"/>
      <c r="E103" s="98" t="n"/>
      <c r="F103" s="99" t="n"/>
      <c r="G103" s="100" t="n"/>
      <c r="H103" s="101" t="str">
        <f>IF(A103="","",IF(AND(p_ModoCot="Automático",ISNUMBER(Z103)),Z103,IF(N(G103)&gt;0,G103,0)))</f>
        <v/>
      </c>
      <c r="I103" s="73" t="str">
        <f>IF(A103="","",IF(W103=0,"Sem câmbio",IF(AND(p_ModoCot="Automático",ISNUMBER(Z103)),"Auto",IF(N(G103)&gt;0,"Manual","Sem cotação"))))</f>
        <v/>
      </c>
      <c r="J103" s="102" t="str">
        <f>IF(A103="","",N(E103)*H103)</f>
        <v/>
      </c>
      <c r="K103" s="70" t="str">
        <f>IF(A103="","",J103*W103)</f>
        <v/>
      </c>
      <c r="L103" s="30" t="str">
        <f>IF(A103="","",IF($K$6&gt;0,K103/$K$6,0))</f>
        <v/>
      </c>
      <c r="M103" s="72" t="str">
        <f>IF(A103="","",N(F103)-L103)</f>
        <v/>
      </c>
      <c r="N103" s="30" t="str">
        <f>IF(A103="","",IF($AB$6&gt;0,AB103/$AB$6,0))</f>
        <v/>
      </c>
      <c r="O103" s="74" t="str">
        <f>IF(A103="","",IF(AB103&lt;=0,"",COUNTIF($AB$9:$AB$108,"&gt;"&amp;AB103)+COUNTIF($AB$9:AB103,AB103)))</f>
        <v/>
      </c>
      <c r="P103" s="73" t="str">
        <f>IF(A103="","",IF(Q103&gt;0,"BUY","HOLD"))</f>
        <v/>
      </c>
      <c r="Q103" s="70" t="str">
        <f>IF(A103="","",IF($W$7&lt;=0,0,IF($AC$6&gt;0,$W$7*AC103/$AC$6,IF($F$6&gt;0,$W$7*N(F103)/$F$6,0))))</f>
        <v/>
      </c>
      <c r="R103" s="103" t="str">
        <f>IF(A103="","",N(AD103)+IF(AI103=1,N(AG103),0))</f>
        <v/>
      </c>
      <c r="S103" s="103" t="str">
        <f>IF(A103="","",N(E103)+N(R103))</f>
        <v/>
      </c>
      <c r="T103" s="70" t="str">
        <f>IF(A103="","",IF(N(R103)&gt;0,R103*H103*W103*$W$6+p_CorrFixa,0))</f>
        <v/>
      </c>
      <c r="V103" s="85" t="str">
        <f>IF(A103="","",IF(D103="",$W$1,D103))</f>
        <v/>
      </c>
      <c r="W103" s="85" t="str">
        <f>IF(A103="","",IFERROR(INDEX(moeda_fx,MATCH(V103,moeda_cod,0)),0))</f>
        <v/>
      </c>
      <c r="X103" s="85" t="str">
        <f>IF(A103="","",IF($W$2="",UPPER(TRIM(A103)),IF(RIGHT(UPPER(TRIM(A103)),LEN($W$2))=$W$2,UPPER(TRIM(A103)),UPPER(TRIM(A103))&amp;$W$2)))</f>
        <v/>
      </c>
      <c r="Y103" s="85" t="str">
        <f>IF(OR(A103="",p_ModoCot&lt;&gt;"Automático"),"",IFERROR(_xlfn.WEBSERVICE("https://query1.finance.yahoo.com/v8/finance/chart/"&amp;X103&amp;"?range=1d&amp;interval=1d"),""))</f>
        <v/>
      </c>
      <c r="Z103" s="85" t="str">
        <f>IF(Y103="","",IFERROR(_xlfn.NUMBERVALUE(MID(Y103,SEARCH("""regularMarketPrice"":",Y103)+21,SEARCH(",",Y103&amp;",",SEARCH("""regularMarketPrice"":",Y103)+21)-SEARCH("""regularMarketPrice"":",Y103)-21),".",","),""))</f>
        <v/>
      </c>
      <c r="AA103" s="85" t="str">
        <f>IF(A103="","",ROUND(MAX(0,N(F103)*($K$6+$W$7)-K103),2))</f>
        <v/>
      </c>
      <c r="AB103" s="85" t="str">
        <f>IF(A103="","",IF(AND(M103&gt;0,M103&gt;=p_DifMin),AA103,0))</f>
        <v/>
      </c>
      <c r="AC103" s="85" t="str">
        <f>IF(A103="","",IF(AND(AB103&gt;0,N(O103)&lt;=p_MaxAtivos),AB103,0))</f>
        <v/>
      </c>
      <c r="AD103" s="85" t="str">
        <f>IF(A103="","",IF(OR(Q103&lt;=0,Q103&lt;p_CompraMin,N(H103)&lt;=0,N(W103)&lt;=0),0,IF($W$3="Sim",TRUNC(ROUND(MAX(0,(Q103-p_CorrFixa)/(H103*W103*$W$6)),9),$W$4),TRUNC(ROUND(MAX(0,(Q103-p_CorrFixa)/(H103*W103*$W$6)),9)/$W$5)*$W$5)))</f>
        <v/>
      </c>
      <c r="AE103" s="85" t="str">
        <f>IF(A103="","",IF(N(AD103)&gt;0,AD103*H103*W103*$W$6+p_CorrFixa,0))</f>
        <v/>
      </c>
      <c r="AF103" s="85" t="str">
        <f>IF(A103="","",IF(OR($Y$1&lt;=0,N(H103)&lt;=0,N(W103)&lt;=0,N(AB103)&lt;=0),0,IF($W$3="Sim",TRUNC(ROUND(MAX(0,($Y$1-IF(N(AD103)&gt;0,0,p_CorrFixa))/(H103*W103*$W$6)),9),$W$4),TRUNC(ROUND(MAX(0,($Y$1-IF(N(AD103)&gt;0,0,p_CorrFixa))/(H103*W103*$W$6)),9)/$W$5)*$W$5)))</f>
        <v/>
      </c>
      <c r="AG103" s="85" t="str">
        <f>IF(A103="","",IF(AND(N(AD103)=0,N(AF103)*(H103*W103*$W$6)+p_CorrFixa&lt;p_CompraMin),0,AF103))</f>
        <v/>
      </c>
      <c r="AH103" s="85" t="str">
        <f>IF(A103="","",IF(N(AG103)&gt;0,AB103,0))</f>
        <v/>
      </c>
      <c r="AI103" s="85" t="str">
        <f>IF(A103="","",IF(AND(AH103&gt;0,AH103=$AH$6,COUNTIF($AH$9:AH103,AH103)=1),1,0))</f>
        <v/>
      </c>
    </row>
    <row r="104">
      <c r="A104" s="96" t="n"/>
      <c r="B104" s="96" t="n"/>
      <c r="C104" s="96" t="n"/>
      <c r="D104" s="97" t="n"/>
      <c r="E104" s="98" t="n"/>
      <c r="F104" s="99" t="n"/>
      <c r="G104" s="100" t="n"/>
      <c r="H104" s="104" t="str">
        <f>IF(A104="","",IF(AND(p_ModoCot="Automático",ISNUMBER(Z104)),Z104,IF(N(G104)&gt;0,G104,0)))</f>
        <v/>
      </c>
      <c r="I104" s="105" t="str">
        <f>IF(A104="","",IF(W104=0,"Sem câmbio",IF(AND(p_ModoCot="Automático",ISNUMBER(Z104)),"Auto",IF(N(G104)&gt;0,"Manual","Sem cotação"))))</f>
        <v/>
      </c>
      <c r="J104" s="106" t="str">
        <f>IF(A104="","",N(E104)*H104)</f>
        <v/>
      </c>
      <c r="K104" s="107" t="str">
        <f>IF(A104="","",J104*W104)</f>
        <v/>
      </c>
      <c r="L104" s="108" t="str">
        <f>IF(A104="","",IF($K$6&gt;0,K104/$K$6,0))</f>
        <v/>
      </c>
      <c r="M104" s="109" t="str">
        <f>IF(A104="","",N(F104)-L104)</f>
        <v/>
      </c>
      <c r="N104" s="108" t="str">
        <f>IF(A104="","",IF($AB$6&gt;0,AB104/$AB$6,0))</f>
        <v/>
      </c>
      <c r="O104" s="110" t="str">
        <f>IF(A104="","",IF(AB104&lt;=0,"",COUNTIF($AB$9:$AB$108,"&gt;"&amp;AB104)+COUNTIF($AB$9:AB104,AB104)))</f>
        <v/>
      </c>
      <c r="P104" s="105" t="str">
        <f>IF(A104="","",IF(Q104&gt;0,"BUY","HOLD"))</f>
        <v/>
      </c>
      <c r="Q104" s="107" t="str">
        <f>IF(A104="","",IF($W$7&lt;=0,0,IF($AC$6&gt;0,$W$7*AC104/$AC$6,IF($F$6&gt;0,$W$7*N(F104)/$F$6,0))))</f>
        <v/>
      </c>
      <c r="R104" s="111" t="str">
        <f>IF(A104="","",N(AD104)+IF(AI104=1,N(AG104),0))</f>
        <v/>
      </c>
      <c r="S104" s="111" t="str">
        <f>IF(A104="","",N(E104)+N(R104))</f>
        <v/>
      </c>
      <c r="T104" s="107" t="str">
        <f>IF(A104="","",IF(N(R104)&gt;0,R104*H104*W104*$W$6+p_CorrFixa,0))</f>
        <v/>
      </c>
      <c r="V104" s="85" t="str">
        <f>IF(A104="","",IF(D104="",$W$1,D104))</f>
        <v/>
      </c>
      <c r="W104" s="85" t="str">
        <f>IF(A104="","",IFERROR(INDEX(moeda_fx,MATCH(V104,moeda_cod,0)),0))</f>
        <v/>
      </c>
      <c r="X104" s="85" t="str">
        <f>IF(A104="","",IF($W$2="",UPPER(TRIM(A104)),IF(RIGHT(UPPER(TRIM(A104)),LEN($W$2))=$W$2,UPPER(TRIM(A104)),UPPER(TRIM(A104))&amp;$W$2)))</f>
        <v/>
      </c>
      <c r="Y104" s="85" t="str">
        <f>IF(OR(A104="",p_ModoCot&lt;&gt;"Automático"),"",IFERROR(_xlfn.WEBSERVICE("https://query1.finance.yahoo.com/v8/finance/chart/"&amp;X104&amp;"?range=1d&amp;interval=1d"),""))</f>
        <v/>
      </c>
      <c r="Z104" s="85" t="str">
        <f>IF(Y104="","",IFERROR(_xlfn.NUMBERVALUE(MID(Y104,SEARCH("""regularMarketPrice"":",Y104)+21,SEARCH(",",Y104&amp;",",SEARCH("""regularMarketPrice"":",Y104)+21)-SEARCH("""regularMarketPrice"":",Y104)-21),".",","),""))</f>
        <v/>
      </c>
      <c r="AA104" s="85" t="str">
        <f>IF(A104="","",ROUND(MAX(0,N(F104)*($K$6+$W$7)-K104),2))</f>
        <v/>
      </c>
      <c r="AB104" s="85" t="str">
        <f>IF(A104="","",IF(AND(M104&gt;0,M104&gt;=p_DifMin),AA104,0))</f>
        <v/>
      </c>
      <c r="AC104" s="85" t="str">
        <f>IF(A104="","",IF(AND(AB104&gt;0,N(O104)&lt;=p_MaxAtivos),AB104,0))</f>
        <v/>
      </c>
      <c r="AD104" s="85" t="str">
        <f>IF(A104="","",IF(OR(Q104&lt;=0,Q104&lt;p_CompraMin,N(H104)&lt;=0,N(W104)&lt;=0),0,IF($W$3="Sim",TRUNC(ROUND(MAX(0,(Q104-p_CorrFixa)/(H104*W104*$W$6)),9),$W$4),TRUNC(ROUND(MAX(0,(Q104-p_CorrFixa)/(H104*W104*$W$6)),9)/$W$5)*$W$5)))</f>
        <v/>
      </c>
      <c r="AE104" s="85" t="str">
        <f>IF(A104="","",IF(N(AD104)&gt;0,AD104*H104*W104*$W$6+p_CorrFixa,0))</f>
        <v/>
      </c>
      <c r="AF104" s="85" t="str">
        <f>IF(A104="","",IF(OR($Y$1&lt;=0,N(H104)&lt;=0,N(W104)&lt;=0,N(AB104)&lt;=0),0,IF($W$3="Sim",TRUNC(ROUND(MAX(0,($Y$1-IF(N(AD104)&gt;0,0,p_CorrFixa))/(H104*W104*$W$6)),9),$W$4),TRUNC(ROUND(MAX(0,($Y$1-IF(N(AD104)&gt;0,0,p_CorrFixa))/(H104*W104*$W$6)),9)/$W$5)*$W$5)))</f>
        <v/>
      </c>
      <c r="AG104" s="85" t="str">
        <f>IF(A104="","",IF(AND(N(AD104)=0,N(AF104)*(H104*W104*$W$6)+p_CorrFixa&lt;p_CompraMin),0,AF104))</f>
        <v/>
      </c>
      <c r="AH104" s="85" t="str">
        <f>IF(A104="","",IF(N(AG104)&gt;0,AB104,0))</f>
        <v/>
      </c>
      <c r="AI104" s="85" t="str">
        <f>IF(A104="","",IF(AND(AH104&gt;0,AH104=$AH$6,COUNTIF($AH$9:AH104,AH104)=1),1,0))</f>
        <v/>
      </c>
    </row>
    <row r="105">
      <c r="A105" s="96" t="n"/>
      <c r="B105" s="96" t="n"/>
      <c r="C105" s="96" t="n"/>
      <c r="D105" s="97" t="n"/>
      <c r="E105" s="98" t="n"/>
      <c r="F105" s="99" t="n"/>
      <c r="G105" s="100" t="n"/>
      <c r="H105" s="101" t="str">
        <f>IF(A105="","",IF(AND(p_ModoCot="Automático",ISNUMBER(Z105)),Z105,IF(N(G105)&gt;0,G105,0)))</f>
        <v/>
      </c>
      <c r="I105" s="73" t="str">
        <f>IF(A105="","",IF(W105=0,"Sem câmbio",IF(AND(p_ModoCot="Automático",ISNUMBER(Z105)),"Auto",IF(N(G105)&gt;0,"Manual","Sem cotação"))))</f>
        <v/>
      </c>
      <c r="J105" s="102" t="str">
        <f>IF(A105="","",N(E105)*H105)</f>
        <v/>
      </c>
      <c r="K105" s="70" t="str">
        <f>IF(A105="","",J105*W105)</f>
        <v/>
      </c>
      <c r="L105" s="30" t="str">
        <f>IF(A105="","",IF($K$6&gt;0,K105/$K$6,0))</f>
        <v/>
      </c>
      <c r="M105" s="72" t="str">
        <f>IF(A105="","",N(F105)-L105)</f>
        <v/>
      </c>
      <c r="N105" s="30" t="str">
        <f>IF(A105="","",IF($AB$6&gt;0,AB105/$AB$6,0))</f>
        <v/>
      </c>
      <c r="O105" s="74" t="str">
        <f>IF(A105="","",IF(AB105&lt;=0,"",COUNTIF($AB$9:$AB$108,"&gt;"&amp;AB105)+COUNTIF($AB$9:AB105,AB105)))</f>
        <v/>
      </c>
      <c r="P105" s="73" t="str">
        <f>IF(A105="","",IF(Q105&gt;0,"BUY","HOLD"))</f>
        <v/>
      </c>
      <c r="Q105" s="70" t="str">
        <f>IF(A105="","",IF($W$7&lt;=0,0,IF($AC$6&gt;0,$W$7*AC105/$AC$6,IF($F$6&gt;0,$W$7*N(F105)/$F$6,0))))</f>
        <v/>
      </c>
      <c r="R105" s="103" t="str">
        <f>IF(A105="","",N(AD105)+IF(AI105=1,N(AG105),0))</f>
        <v/>
      </c>
      <c r="S105" s="103" t="str">
        <f>IF(A105="","",N(E105)+N(R105))</f>
        <v/>
      </c>
      <c r="T105" s="70" t="str">
        <f>IF(A105="","",IF(N(R105)&gt;0,R105*H105*W105*$W$6+p_CorrFixa,0))</f>
        <v/>
      </c>
      <c r="V105" s="85" t="str">
        <f>IF(A105="","",IF(D105="",$W$1,D105))</f>
        <v/>
      </c>
      <c r="W105" s="85" t="str">
        <f>IF(A105="","",IFERROR(INDEX(moeda_fx,MATCH(V105,moeda_cod,0)),0))</f>
        <v/>
      </c>
      <c r="X105" s="85" t="str">
        <f>IF(A105="","",IF($W$2="",UPPER(TRIM(A105)),IF(RIGHT(UPPER(TRIM(A105)),LEN($W$2))=$W$2,UPPER(TRIM(A105)),UPPER(TRIM(A105))&amp;$W$2)))</f>
        <v/>
      </c>
      <c r="Y105" s="85" t="str">
        <f>IF(OR(A105="",p_ModoCot&lt;&gt;"Automático"),"",IFERROR(_xlfn.WEBSERVICE("https://query1.finance.yahoo.com/v8/finance/chart/"&amp;X105&amp;"?range=1d&amp;interval=1d"),""))</f>
        <v/>
      </c>
      <c r="Z105" s="85" t="str">
        <f>IF(Y105="","",IFERROR(_xlfn.NUMBERVALUE(MID(Y105,SEARCH("""regularMarketPrice"":",Y105)+21,SEARCH(",",Y105&amp;",",SEARCH("""regularMarketPrice"":",Y105)+21)-SEARCH("""regularMarketPrice"":",Y105)-21),".",","),""))</f>
        <v/>
      </c>
      <c r="AA105" s="85" t="str">
        <f>IF(A105="","",ROUND(MAX(0,N(F105)*($K$6+$W$7)-K105),2))</f>
        <v/>
      </c>
      <c r="AB105" s="85" t="str">
        <f>IF(A105="","",IF(AND(M105&gt;0,M105&gt;=p_DifMin),AA105,0))</f>
        <v/>
      </c>
      <c r="AC105" s="85" t="str">
        <f>IF(A105="","",IF(AND(AB105&gt;0,N(O105)&lt;=p_MaxAtivos),AB105,0))</f>
        <v/>
      </c>
      <c r="AD105" s="85" t="str">
        <f>IF(A105="","",IF(OR(Q105&lt;=0,Q105&lt;p_CompraMin,N(H105)&lt;=0,N(W105)&lt;=0),0,IF($W$3="Sim",TRUNC(ROUND(MAX(0,(Q105-p_CorrFixa)/(H105*W105*$W$6)),9),$W$4),TRUNC(ROUND(MAX(0,(Q105-p_CorrFixa)/(H105*W105*$W$6)),9)/$W$5)*$W$5)))</f>
        <v/>
      </c>
      <c r="AE105" s="85" t="str">
        <f>IF(A105="","",IF(N(AD105)&gt;0,AD105*H105*W105*$W$6+p_CorrFixa,0))</f>
        <v/>
      </c>
      <c r="AF105" s="85" t="str">
        <f>IF(A105="","",IF(OR($Y$1&lt;=0,N(H105)&lt;=0,N(W105)&lt;=0,N(AB105)&lt;=0),0,IF($W$3="Sim",TRUNC(ROUND(MAX(0,($Y$1-IF(N(AD105)&gt;0,0,p_CorrFixa))/(H105*W105*$W$6)),9),$W$4),TRUNC(ROUND(MAX(0,($Y$1-IF(N(AD105)&gt;0,0,p_CorrFixa))/(H105*W105*$W$6)),9)/$W$5)*$W$5)))</f>
        <v/>
      </c>
      <c r="AG105" s="85" t="str">
        <f>IF(A105="","",IF(AND(N(AD105)=0,N(AF105)*(H105*W105*$W$6)+p_CorrFixa&lt;p_CompraMin),0,AF105))</f>
        <v/>
      </c>
      <c r="AH105" s="85" t="str">
        <f>IF(A105="","",IF(N(AG105)&gt;0,AB105,0))</f>
        <v/>
      </c>
      <c r="AI105" s="85" t="str">
        <f>IF(A105="","",IF(AND(AH105&gt;0,AH105=$AH$6,COUNTIF($AH$9:AH105,AH105)=1),1,0))</f>
        <v/>
      </c>
    </row>
    <row r="106">
      <c r="A106" s="96" t="n"/>
      <c r="B106" s="96" t="n"/>
      <c r="C106" s="96" t="n"/>
      <c r="D106" s="97" t="n"/>
      <c r="E106" s="98" t="n"/>
      <c r="F106" s="99" t="n"/>
      <c r="G106" s="100" t="n"/>
      <c r="H106" s="104" t="str">
        <f>IF(A106="","",IF(AND(p_ModoCot="Automático",ISNUMBER(Z106)),Z106,IF(N(G106)&gt;0,G106,0)))</f>
        <v/>
      </c>
      <c r="I106" s="105" t="str">
        <f>IF(A106="","",IF(W106=0,"Sem câmbio",IF(AND(p_ModoCot="Automático",ISNUMBER(Z106)),"Auto",IF(N(G106)&gt;0,"Manual","Sem cotação"))))</f>
        <v/>
      </c>
      <c r="J106" s="106" t="str">
        <f>IF(A106="","",N(E106)*H106)</f>
        <v/>
      </c>
      <c r="K106" s="107" t="str">
        <f>IF(A106="","",J106*W106)</f>
        <v/>
      </c>
      <c r="L106" s="108" t="str">
        <f>IF(A106="","",IF($K$6&gt;0,K106/$K$6,0))</f>
        <v/>
      </c>
      <c r="M106" s="109" t="str">
        <f>IF(A106="","",N(F106)-L106)</f>
        <v/>
      </c>
      <c r="N106" s="108" t="str">
        <f>IF(A106="","",IF($AB$6&gt;0,AB106/$AB$6,0))</f>
        <v/>
      </c>
      <c r="O106" s="110" t="str">
        <f>IF(A106="","",IF(AB106&lt;=0,"",COUNTIF($AB$9:$AB$108,"&gt;"&amp;AB106)+COUNTIF($AB$9:AB106,AB106)))</f>
        <v/>
      </c>
      <c r="P106" s="105" t="str">
        <f>IF(A106="","",IF(Q106&gt;0,"BUY","HOLD"))</f>
        <v/>
      </c>
      <c r="Q106" s="107" t="str">
        <f>IF(A106="","",IF($W$7&lt;=0,0,IF($AC$6&gt;0,$W$7*AC106/$AC$6,IF($F$6&gt;0,$W$7*N(F106)/$F$6,0))))</f>
        <v/>
      </c>
      <c r="R106" s="111" t="str">
        <f>IF(A106="","",N(AD106)+IF(AI106=1,N(AG106),0))</f>
        <v/>
      </c>
      <c r="S106" s="111" t="str">
        <f>IF(A106="","",N(E106)+N(R106))</f>
        <v/>
      </c>
      <c r="T106" s="107" t="str">
        <f>IF(A106="","",IF(N(R106)&gt;0,R106*H106*W106*$W$6+p_CorrFixa,0))</f>
        <v/>
      </c>
      <c r="V106" s="85" t="str">
        <f>IF(A106="","",IF(D106="",$W$1,D106))</f>
        <v/>
      </c>
      <c r="W106" s="85" t="str">
        <f>IF(A106="","",IFERROR(INDEX(moeda_fx,MATCH(V106,moeda_cod,0)),0))</f>
        <v/>
      </c>
      <c r="X106" s="85" t="str">
        <f>IF(A106="","",IF($W$2="",UPPER(TRIM(A106)),IF(RIGHT(UPPER(TRIM(A106)),LEN($W$2))=$W$2,UPPER(TRIM(A106)),UPPER(TRIM(A106))&amp;$W$2)))</f>
        <v/>
      </c>
      <c r="Y106" s="85" t="str">
        <f>IF(OR(A106="",p_ModoCot&lt;&gt;"Automático"),"",IFERROR(_xlfn.WEBSERVICE("https://query1.finance.yahoo.com/v8/finance/chart/"&amp;X106&amp;"?range=1d&amp;interval=1d"),""))</f>
        <v/>
      </c>
      <c r="Z106" s="85" t="str">
        <f>IF(Y106="","",IFERROR(_xlfn.NUMBERVALUE(MID(Y106,SEARCH("""regularMarketPrice"":",Y106)+21,SEARCH(",",Y106&amp;",",SEARCH("""regularMarketPrice"":",Y106)+21)-SEARCH("""regularMarketPrice"":",Y106)-21),".",","),""))</f>
        <v/>
      </c>
      <c r="AA106" s="85" t="str">
        <f>IF(A106="","",ROUND(MAX(0,N(F106)*($K$6+$W$7)-K106),2))</f>
        <v/>
      </c>
      <c r="AB106" s="85" t="str">
        <f>IF(A106="","",IF(AND(M106&gt;0,M106&gt;=p_DifMin),AA106,0))</f>
        <v/>
      </c>
      <c r="AC106" s="85" t="str">
        <f>IF(A106="","",IF(AND(AB106&gt;0,N(O106)&lt;=p_MaxAtivos),AB106,0))</f>
        <v/>
      </c>
      <c r="AD106" s="85" t="str">
        <f>IF(A106="","",IF(OR(Q106&lt;=0,Q106&lt;p_CompraMin,N(H106)&lt;=0,N(W106)&lt;=0),0,IF($W$3="Sim",TRUNC(ROUND(MAX(0,(Q106-p_CorrFixa)/(H106*W106*$W$6)),9),$W$4),TRUNC(ROUND(MAX(0,(Q106-p_CorrFixa)/(H106*W106*$W$6)),9)/$W$5)*$W$5)))</f>
        <v/>
      </c>
      <c r="AE106" s="85" t="str">
        <f>IF(A106="","",IF(N(AD106)&gt;0,AD106*H106*W106*$W$6+p_CorrFixa,0))</f>
        <v/>
      </c>
      <c r="AF106" s="85" t="str">
        <f>IF(A106="","",IF(OR($Y$1&lt;=0,N(H106)&lt;=0,N(W106)&lt;=0,N(AB106)&lt;=0),0,IF($W$3="Sim",TRUNC(ROUND(MAX(0,($Y$1-IF(N(AD106)&gt;0,0,p_CorrFixa))/(H106*W106*$W$6)),9),$W$4),TRUNC(ROUND(MAX(0,($Y$1-IF(N(AD106)&gt;0,0,p_CorrFixa))/(H106*W106*$W$6)),9)/$W$5)*$W$5)))</f>
        <v/>
      </c>
      <c r="AG106" s="85" t="str">
        <f>IF(A106="","",IF(AND(N(AD106)=0,N(AF106)*(H106*W106*$W$6)+p_CorrFixa&lt;p_CompraMin),0,AF106))</f>
        <v/>
      </c>
      <c r="AH106" s="85" t="str">
        <f>IF(A106="","",IF(N(AG106)&gt;0,AB106,0))</f>
        <v/>
      </c>
      <c r="AI106" s="85" t="str">
        <f>IF(A106="","",IF(AND(AH106&gt;0,AH106=$AH$6,COUNTIF($AH$9:AH106,AH106)=1),1,0))</f>
        <v/>
      </c>
    </row>
    <row r="107">
      <c r="A107" s="96" t="n"/>
      <c r="B107" s="96" t="n"/>
      <c r="C107" s="96" t="n"/>
      <c r="D107" s="97" t="n"/>
      <c r="E107" s="98" t="n"/>
      <c r="F107" s="99" t="n"/>
      <c r="G107" s="100" t="n"/>
      <c r="H107" s="101" t="str">
        <f>IF(A107="","",IF(AND(p_ModoCot="Automático",ISNUMBER(Z107)),Z107,IF(N(G107)&gt;0,G107,0)))</f>
        <v/>
      </c>
      <c r="I107" s="73" t="str">
        <f>IF(A107="","",IF(W107=0,"Sem câmbio",IF(AND(p_ModoCot="Automático",ISNUMBER(Z107)),"Auto",IF(N(G107)&gt;0,"Manual","Sem cotação"))))</f>
        <v/>
      </c>
      <c r="J107" s="102" t="str">
        <f>IF(A107="","",N(E107)*H107)</f>
        <v/>
      </c>
      <c r="K107" s="70" t="str">
        <f>IF(A107="","",J107*W107)</f>
        <v/>
      </c>
      <c r="L107" s="30" t="str">
        <f>IF(A107="","",IF($K$6&gt;0,K107/$K$6,0))</f>
        <v/>
      </c>
      <c r="M107" s="72" t="str">
        <f>IF(A107="","",N(F107)-L107)</f>
        <v/>
      </c>
      <c r="N107" s="30" t="str">
        <f>IF(A107="","",IF($AB$6&gt;0,AB107/$AB$6,0))</f>
        <v/>
      </c>
      <c r="O107" s="74" t="str">
        <f>IF(A107="","",IF(AB107&lt;=0,"",COUNTIF($AB$9:$AB$108,"&gt;"&amp;AB107)+COUNTIF($AB$9:AB107,AB107)))</f>
        <v/>
      </c>
      <c r="P107" s="73" t="str">
        <f>IF(A107="","",IF(Q107&gt;0,"BUY","HOLD"))</f>
        <v/>
      </c>
      <c r="Q107" s="70" t="str">
        <f>IF(A107="","",IF($W$7&lt;=0,0,IF($AC$6&gt;0,$W$7*AC107/$AC$6,IF($F$6&gt;0,$W$7*N(F107)/$F$6,0))))</f>
        <v/>
      </c>
      <c r="R107" s="103" t="str">
        <f>IF(A107="","",N(AD107)+IF(AI107=1,N(AG107),0))</f>
        <v/>
      </c>
      <c r="S107" s="103" t="str">
        <f>IF(A107="","",N(E107)+N(R107))</f>
        <v/>
      </c>
      <c r="T107" s="70" t="str">
        <f>IF(A107="","",IF(N(R107)&gt;0,R107*H107*W107*$W$6+p_CorrFixa,0))</f>
        <v/>
      </c>
      <c r="V107" s="85" t="str">
        <f>IF(A107="","",IF(D107="",$W$1,D107))</f>
        <v/>
      </c>
      <c r="W107" s="85" t="str">
        <f>IF(A107="","",IFERROR(INDEX(moeda_fx,MATCH(V107,moeda_cod,0)),0))</f>
        <v/>
      </c>
      <c r="X107" s="85" t="str">
        <f>IF(A107="","",IF($W$2="",UPPER(TRIM(A107)),IF(RIGHT(UPPER(TRIM(A107)),LEN($W$2))=$W$2,UPPER(TRIM(A107)),UPPER(TRIM(A107))&amp;$W$2)))</f>
        <v/>
      </c>
      <c r="Y107" s="85" t="str">
        <f>IF(OR(A107="",p_ModoCot&lt;&gt;"Automático"),"",IFERROR(_xlfn.WEBSERVICE("https://query1.finance.yahoo.com/v8/finance/chart/"&amp;X107&amp;"?range=1d&amp;interval=1d"),""))</f>
        <v/>
      </c>
      <c r="Z107" s="85" t="str">
        <f>IF(Y107="","",IFERROR(_xlfn.NUMBERVALUE(MID(Y107,SEARCH("""regularMarketPrice"":",Y107)+21,SEARCH(",",Y107&amp;",",SEARCH("""regularMarketPrice"":",Y107)+21)-SEARCH("""regularMarketPrice"":",Y107)-21),".",","),""))</f>
        <v/>
      </c>
      <c r="AA107" s="85" t="str">
        <f>IF(A107="","",ROUND(MAX(0,N(F107)*($K$6+$W$7)-K107),2))</f>
        <v/>
      </c>
      <c r="AB107" s="85" t="str">
        <f>IF(A107="","",IF(AND(M107&gt;0,M107&gt;=p_DifMin),AA107,0))</f>
        <v/>
      </c>
      <c r="AC107" s="85" t="str">
        <f>IF(A107="","",IF(AND(AB107&gt;0,N(O107)&lt;=p_MaxAtivos),AB107,0))</f>
        <v/>
      </c>
      <c r="AD107" s="85" t="str">
        <f>IF(A107="","",IF(OR(Q107&lt;=0,Q107&lt;p_CompraMin,N(H107)&lt;=0,N(W107)&lt;=0),0,IF($W$3="Sim",TRUNC(ROUND(MAX(0,(Q107-p_CorrFixa)/(H107*W107*$W$6)),9),$W$4),TRUNC(ROUND(MAX(0,(Q107-p_CorrFixa)/(H107*W107*$W$6)),9)/$W$5)*$W$5)))</f>
        <v/>
      </c>
      <c r="AE107" s="85" t="str">
        <f>IF(A107="","",IF(N(AD107)&gt;0,AD107*H107*W107*$W$6+p_CorrFixa,0))</f>
        <v/>
      </c>
      <c r="AF107" s="85" t="str">
        <f>IF(A107="","",IF(OR($Y$1&lt;=0,N(H107)&lt;=0,N(W107)&lt;=0,N(AB107)&lt;=0),0,IF($W$3="Sim",TRUNC(ROUND(MAX(0,($Y$1-IF(N(AD107)&gt;0,0,p_CorrFixa))/(H107*W107*$W$6)),9),$W$4),TRUNC(ROUND(MAX(0,($Y$1-IF(N(AD107)&gt;0,0,p_CorrFixa))/(H107*W107*$W$6)),9)/$W$5)*$W$5)))</f>
        <v/>
      </c>
      <c r="AG107" s="85" t="str">
        <f>IF(A107="","",IF(AND(N(AD107)=0,N(AF107)*(H107*W107*$W$6)+p_CorrFixa&lt;p_CompraMin),0,AF107))</f>
        <v/>
      </c>
      <c r="AH107" s="85" t="str">
        <f>IF(A107="","",IF(N(AG107)&gt;0,AB107,0))</f>
        <v/>
      </c>
      <c r="AI107" s="85" t="str">
        <f>IF(A107="","",IF(AND(AH107&gt;0,AH107=$AH$6,COUNTIF($AH$9:AH107,AH107)=1),1,0))</f>
        <v/>
      </c>
    </row>
    <row r="108">
      <c r="A108" s="96" t="n"/>
      <c r="B108" s="96" t="n"/>
      <c r="C108" s="96" t="n"/>
      <c r="D108" s="97" t="n"/>
      <c r="E108" s="98" t="n"/>
      <c r="F108" s="99" t="n"/>
      <c r="G108" s="100" t="n"/>
      <c r="H108" s="104" t="str">
        <f>IF(A108="","",IF(AND(p_ModoCot="Automático",ISNUMBER(Z108)),Z108,IF(N(G108)&gt;0,G108,0)))</f>
        <v/>
      </c>
      <c r="I108" s="105" t="str">
        <f>IF(A108="","",IF(W108=0,"Sem câmbio",IF(AND(p_ModoCot="Automático",ISNUMBER(Z108)),"Auto",IF(N(G108)&gt;0,"Manual","Sem cotação"))))</f>
        <v/>
      </c>
      <c r="J108" s="106" t="str">
        <f>IF(A108="","",N(E108)*H108)</f>
        <v/>
      </c>
      <c r="K108" s="107" t="str">
        <f>IF(A108="","",J108*W108)</f>
        <v/>
      </c>
      <c r="L108" s="108" t="str">
        <f>IF(A108="","",IF($K$6&gt;0,K108/$K$6,0))</f>
        <v/>
      </c>
      <c r="M108" s="109" t="str">
        <f>IF(A108="","",N(F108)-L108)</f>
        <v/>
      </c>
      <c r="N108" s="108" t="str">
        <f>IF(A108="","",IF($AB$6&gt;0,AB108/$AB$6,0))</f>
        <v/>
      </c>
      <c r="O108" s="110" t="str">
        <f>IF(A108="","",IF(AB108&lt;=0,"",COUNTIF($AB$9:$AB$108,"&gt;"&amp;AB108)+COUNTIF($AB$9:AB108,AB108)))</f>
        <v/>
      </c>
      <c r="P108" s="105" t="str">
        <f>IF(A108="","",IF(Q108&gt;0,"BUY","HOLD"))</f>
        <v/>
      </c>
      <c r="Q108" s="107" t="str">
        <f>IF(A108="","",IF($W$7&lt;=0,0,IF($AC$6&gt;0,$W$7*AC108/$AC$6,IF($F$6&gt;0,$W$7*N(F108)/$F$6,0))))</f>
        <v/>
      </c>
      <c r="R108" s="111" t="str">
        <f>IF(A108="","",N(AD108)+IF(AI108=1,N(AG108),0))</f>
        <v/>
      </c>
      <c r="S108" s="111" t="str">
        <f>IF(A108="","",N(E108)+N(R108))</f>
        <v/>
      </c>
      <c r="T108" s="107" t="str">
        <f>IF(A108="","",IF(N(R108)&gt;0,R108*H108*W108*$W$6+p_CorrFixa,0))</f>
        <v/>
      </c>
      <c r="V108" s="85" t="str">
        <f>IF(A108="","",IF(D108="",$W$1,D108))</f>
        <v/>
      </c>
      <c r="W108" s="85" t="str">
        <f>IF(A108="","",IFERROR(INDEX(moeda_fx,MATCH(V108,moeda_cod,0)),0))</f>
        <v/>
      </c>
      <c r="X108" s="85" t="str">
        <f>IF(A108="","",IF($W$2="",UPPER(TRIM(A108)),IF(RIGHT(UPPER(TRIM(A108)),LEN($W$2))=$W$2,UPPER(TRIM(A108)),UPPER(TRIM(A108))&amp;$W$2)))</f>
        <v/>
      </c>
      <c r="Y108" s="85" t="str">
        <f>IF(OR(A108="",p_ModoCot&lt;&gt;"Automático"),"",IFERROR(_xlfn.WEBSERVICE("https://query1.finance.yahoo.com/v8/finance/chart/"&amp;X108&amp;"?range=1d&amp;interval=1d"),""))</f>
        <v/>
      </c>
      <c r="Z108" s="85" t="str">
        <f>IF(Y108="","",IFERROR(_xlfn.NUMBERVALUE(MID(Y108,SEARCH("""regularMarketPrice"":",Y108)+21,SEARCH(",",Y108&amp;",",SEARCH("""regularMarketPrice"":",Y108)+21)-SEARCH("""regularMarketPrice"":",Y108)-21),".",","),""))</f>
        <v/>
      </c>
      <c r="AA108" s="85" t="str">
        <f>IF(A108="","",ROUND(MAX(0,N(F108)*($K$6+$W$7)-K108),2))</f>
        <v/>
      </c>
      <c r="AB108" s="85" t="str">
        <f>IF(A108="","",IF(AND(M108&gt;0,M108&gt;=p_DifMin),AA108,0))</f>
        <v/>
      </c>
      <c r="AC108" s="85" t="str">
        <f>IF(A108="","",IF(AND(AB108&gt;0,N(O108)&lt;=p_MaxAtivos),AB108,0))</f>
        <v/>
      </c>
      <c r="AD108" s="85" t="str">
        <f>IF(A108="","",IF(OR(Q108&lt;=0,Q108&lt;p_CompraMin,N(H108)&lt;=0,N(W108)&lt;=0),0,IF($W$3="Sim",TRUNC(ROUND(MAX(0,(Q108-p_CorrFixa)/(H108*W108*$W$6)),9),$W$4),TRUNC(ROUND(MAX(0,(Q108-p_CorrFixa)/(H108*W108*$W$6)),9)/$W$5)*$W$5)))</f>
        <v/>
      </c>
      <c r="AE108" s="85" t="str">
        <f>IF(A108="","",IF(N(AD108)&gt;0,AD108*H108*W108*$W$6+p_CorrFixa,0))</f>
        <v/>
      </c>
      <c r="AF108" s="85" t="str">
        <f>IF(A108="","",IF(OR($Y$1&lt;=0,N(H108)&lt;=0,N(W108)&lt;=0,N(AB108)&lt;=0),0,IF($W$3="Sim",TRUNC(ROUND(MAX(0,($Y$1-IF(N(AD108)&gt;0,0,p_CorrFixa))/(H108*W108*$W$6)),9),$W$4),TRUNC(ROUND(MAX(0,($Y$1-IF(N(AD108)&gt;0,0,p_CorrFixa))/(H108*W108*$W$6)),9)/$W$5)*$W$5)))</f>
        <v/>
      </c>
      <c r="AG108" s="85" t="str">
        <f>IF(A108="","",IF(AND(N(AD108)=0,N(AF108)*(H108*W108*$W$6)+p_CorrFixa&lt;p_CompraMin),0,AF108))</f>
        <v/>
      </c>
      <c r="AH108" s="85" t="str">
        <f>IF(A108="","",IF(N(AG108)&gt;0,AB108,0))</f>
        <v/>
      </c>
      <c r="AI108" s="85" t="str">
        <f>IF(A108="","",IF(AND(AH108&gt;0,AH108=$AH$6,COUNTIF($AH$9:AH108,AH108)=1),1,0))</f>
        <v/>
      </c>
    </row>
  </sheetData>
  <mergeCells count="10">
    <mergeCell ref="A4:B4"/>
    <mergeCell ref="K4:N4"/>
    <mergeCell ref="C3:F3"/>
    <mergeCell ref="G3:J3"/>
    <mergeCell ref="O3:S3"/>
    <mergeCell ref="K3:N3"/>
    <mergeCell ref="C4:F4"/>
    <mergeCell ref="G4:J4"/>
    <mergeCell ref="A3:B3"/>
    <mergeCell ref="O4:S4"/>
  </mergeCells>
  <conditionalFormatting sqref="T4">
    <cfRule type="expression" priority="1" dxfId="5">
      <formula>ABS(T4-1)&gt;0.0001</formula>
    </cfRule>
    <cfRule type="expression" priority="2" dxfId="6">
      <formula>ABS(T4-1)&lt;=0.0001</formula>
    </cfRule>
  </conditionalFormatting>
  <conditionalFormatting sqref="P9:P108">
    <cfRule type="cellIs" priority="3" operator="equal" dxfId="1">
      <formula>"BUY"</formula>
    </cfRule>
    <cfRule type="cellIs" priority="4" operator="equal" dxfId="2">
      <formula>"HOLD"</formula>
    </cfRule>
  </conditionalFormatting>
  <conditionalFormatting sqref="M9:M108">
    <cfRule type="expression" priority="5" dxfId="8">
      <formula>AND(ISNUMBER(M9),M9&lt;0)</formula>
    </cfRule>
    <cfRule type="expression" priority="6" dxfId="9">
      <formula>AND(ISNUMBER(M9),M9&gt;0)</formula>
    </cfRule>
  </conditionalFormatting>
  <conditionalFormatting sqref="I9:I108">
    <cfRule type="expression" priority="7" dxfId="3">
      <formula>OR(I9="Sem cotação",I9="Sem câmbio")</formula>
    </cfRule>
    <cfRule type="expression" priority="8" dxfId="9">
      <formula>I9="Auto"</formula>
    </cfRule>
  </conditionalFormatting>
  <conditionalFormatting sqref="R9:R108">
    <cfRule type="expression" priority="9" dxfId="4">
      <formula>AND(ISNUMBER(R9),R9&gt;0)</formula>
    </cfRule>
  </conditionalFormatting>
  <dataValidations count="5">
    <dataValidation sqref="D9:D108" showDropDown="0" showInputMessage="0" showErrorMessage="0" allowBlank="1" errorTitle="Moeda inválida" error="Moeda não cadastrada em Configurações &gt; Câmbio e Moedas." type="list">
      <formula1>='10 Configurações'!$B$21:$B$30</formula1>
    </dataValidation>
    <dataValidation sqref="C9:C108" showDropDown="0" showInputMessage="0" showErrorMessage="0" allowBlank="1" errorTitle="Valor fora da lista" error="Esse valor não está na lista da aba Auxiliar. Deseja manter?" type="list" errorStyle="warning">
      <formula1>='11 Auxiliar'!$I$5:$I$44</formula1>
    </dataValidation>
    <dataValidation sqref="F9:F10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E9:E1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G9:G10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T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A1:X108"/>
  <sheetViews>
    <sheetView showGridLines="0" tabSelected="0" zoomScale="9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6" customWidth="1" style="1" min="1" max="1"/>
    <col width="24" customWidth="1" style="1" min="2" max="2"/>
    <col width="18" customWidth="1" style="1" min="3" max="3"/>
    <col width="12" customWidth="1" style="1" min="4" max="4"/>
    <col width="12" customWidth="1" style="1" min="5" max="5"/>
    <col width="12" customWidth="1" style="1" min="6" max="6"/>
    <col width="8" customWidth="1" style="1" min="7" max="7"/>
    <col width="15" customWidth="1" style="1" min="8" max="8"/>
    <col width="12" customWidth="1" style="1" min="9" max="9"/>
    <col width="15" customWidth="1" style="1" min="10" max="10"/>
    <col width="10" customWidth="1" style="1" min="11" max="11"/>
    <col width="10" customWidth="1" style="1" min="12" max="12"/>
    <col width="11" customWidth="1" style="1" min="13" max="13"/>
    <col width="7" customWidth="1" style="1" min="14" max="14"/>
    <col width="9" customWidth="1" style="1" min="15" max="15"/>
    <col width="14" customWidth="1" style="1" min="16" max="16"/>
    <col width="14" customWidth="1" style="1" min="17" max="17"/>
    <col width="10" customWidth="1" style="1" min="18" max="18"/>
    <col width="3" customWidth="1" style="1" min="19" max="19"/>
    <col hidden="1" outlineLevel="1" width="16" customWidth="1" style="1" min="20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RENDA FIXA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2" t="inlineStr">
        <is>
          <t>◄ Dashboard</t>
        </is>
      </c>
      <c r="T1" s="85" t="inlineStr">
        <is>
          <t>Moeda padrão da classe</t>
        </is>
      </c>
      <c r="U1" s="86" t="str">
        <f>INDEX('10 Configurações'!$D$35:$D$41,MATCH("Renda Fixa",'10 Configurações'!$B$35:$B$41,0))&amp;""</f>
        <v>BRL</v>
      </c>
    </row>
    <row r="2" ht="18" customHeight="1">
      <c r="A2" s="63" t="str">
        <f>"Moeda padrão: "&amp;$U$1&amp;"   ·   Valores atualizados manualmente (Valor Atual)   ·   Compra mínima: R$ "&amp;FIXED(p_CompraMin,2)</f>
        <v>Moeda padrão: BRL   ·   Valores atualizados manualmente (Valor Atual)   ·   Compra mínima: R$ 10.00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T2" s="85" t="inlineStr">
        <is>
          <t>Sufixo Yahoo</t>
        </is>
      </c>
      <c r="U2" s="86" t="str">
        <f>INDEX('10 Configurações'!$E$35:$E$41,MATCH("Renda Fixa",'10 Configurações'!$B$35:$B$41,0))&amp;""</f>
        <v/>
      </c>
    </row>
    <row r="3" ht="16" customHeight="1">
      <c r="A3" s="11" t="inlineStr">
        <is>
          <t>VALOR DA CLASSE (R$)</t>
        </is>
      </c>
      <c r="B3" s="12" t="n"/>
      <c r="C3" s="11" t="inlineStr">
        <is>
          <t>Nº DE ATIVOS</t>
        </is>
      </c>
      <c r="D3" s="12" t="n"/>
      <c r="E3" s="12" t="n"/>
      <c r="F3" s="13" t="inlineStr">
        <is>
          <t>APORTE DESTINADO (R$)</t>
        </is>
      </c>
      <c r="G3" s="14" t="n"/>
      <c r="H3" s="14" t="n"/>
      <c r="I3" s="14" t="n"/>
      <c r="J3" s="13" t="inlineStr">
        <is>
          <t>COMPRA EFETIVA (R$)</t>
        </is>
      </c>
      <c r="K3" s="14" t="n"/>
      <c r="L3" s="14" t="n"/>
      <c r="M3" s="14" t="n"/>
      <c r="N3" s="15" t="inlineStr">
        <is>
          <t>SOBRA DA CLASSE (R$)</t>
        </is>
      </c>
      <c r="O3" s="16" t="n"/>
      <c r="P3" s="16" t="n"/>
      <c r="Q3" s="16" t="n"/>
      <c r="R3" s="15" t="inlineStr">
        <is>
          <t>SOMA DOS OBJETIVOS</t>
        </is>
      </c>
      <c r="T3" s="85" t="inlineStr">
        <is>
          <t>Permite fração?</t>
        </is>
      </c>
      <c r="U3" s="86" t="str">
        <f>INDEX('10 Configurações'!$G$35:$G$41,MATCH("Renda Fixa",'10 Configurações'!$B$35:$B$41,0))&amp;""</f>
        <v>Não</v>
      </c>
    </row>
    <row r="4" ht="26" customHeight="1">
      <c r="A4" s="64">
        <f>$J$6</f>
        <v>0</v>
      </c>
      <c r="B4" s="1" t="n"/>
      <c r="C4" s="65">
        <f>SUMPRODUCT(--($A$9:$A$108&lt;&gt;""))</f>
        <v>0</v>
      </c>
      <c r="D4" s="1" t="n"/>
      <c r="E4" s="1" t="n"/>
      <c r="F4" s="64">
        <f>$U$7</f>
        <v>25</v>
      </c>
      <c r="G4" s="1" t="n"/>
      <c r="H4" s="1" t="n"/>
      <c r="I4" s="1" t="n"/>
      <c r="J4" s="64">
        <f>$Q$6</f>
        <v>0</v>
      </c>
      <c r="K4" s="1" t="n"/>
      <c r="L4" s="1" t="n"/>
      <c r="M4" s="1" t="n"/>
      <c r="N4" s="64">
        <f>$U$7-$Q$6</f>
        <v>25</v>
      </c>
      <c r="O4" s="1" t="n"/>
      <c r="P4" s="1" t="n"/>
      <c r="Q4" s="1" t="n"/>
      <c r="R4" s="66">
        <f>$I$6</f>
        <v>0</v>
      </c>
      <c r="T4" s="85" t="inlineStr">
        <is>
          <t>Casas decimais</t>
        </is>
      </c>
      <c r="U4" s="86">
        <f>N(INDEX('10 Configurações'!$H$35:$H$41,MATCH("Renda Fixa",'10 Configurações'!$B$35:$B$41,0)))</f>
        <v>0</v>
      </c>
    </row>
    <row r="5" ht="14" customHeight="1">
      <c r="A5" s="87" t="inlineStr">
        <is>
          <t>■ Azul = entrada de dados (você só altera Quantidade, Objetivo e, se quiser, Cotação Manual)     ■ Demais células = fórmulas     ■ Depois de comprar: some o valor investido ao 'Valor Atual'</t>
        </is>
      </c>
      <c r="T5" s="85" t="inlineStr">
        <is>
          <t>Lote efetivo</t>
        </is>
      </c>
      <c r="U5" s="86">
        <f>IF(INDEX('10 Configurações'!$I$35:$I$41,MATCH("Renda Fixa",'10 Configurações'!$B$35:$B$41,0))="Sim",MAX(1,N(INDEX('10 Configurações'!$J$35:$J$41,MATCH("Renda Fixa",'10 Configurações'!$B$35:$B$41,0)))),1)</f>
        <v>1</v>
      </c>
    </row>
    <row r="6" ht="24" customHeight="1">
      <c r="A6" s="88" t="inlineStr">
        <is>
          <t>TOTAL</t>
        </is>
      </c>
      <c r="B6" s="31" t="n"/>
      <c r="C6" s="31" t="n"/>
      <c r="D6" s="31" t="n"/>
      <c r="E6" s="31" t="n"/>
      <c r="F6" s="31" t="n"/>
      <c r="G6" s="31" t="n"/>
      <c r="H6" s="31" t="n"/>
      <c r="I6" s="55">
        <f>SUM($I$9:$I$108)</f>
        <v>0</v>
      </c>
      <c r="J6" s="75">
        <f>SUM($J$9:$J$108)</f>
        <v>0</v>
      </c>
      <c r="K6" s="55">
        <f>SUM($K$9:$K$108)</f>
        <v>0</v>
      </c>
      <c r="L6" s="31" t="n"/>
      <c r="M6" s="55">
        <f>SUM($M$9:$M$108)</f>
        <v>0</v>
      </c>
      <c r="N6" s="31" t="n"/>
      <c r="O6" s="31" t="n"/>
      <c r="P6" s="75">
        <f>SUM($P$9:$P$108)</f>
        <v>0</v>
      </c>
      <c r="Q6" s="75">
        <f>SUM($Q$9:$Q$108)</f>
        <v>0</v>
      </c>
      <c r="R6" s="31" t="n"/>
      <c r="T6" s="85" t="inlineStr">
        <is>
          <t>Fator de custo (1 + custos)</t>
        </is>
      </c>
      <c r="U6" s="86">
        <f>1+N(INDEX('10 Configurações'!$K$35:$K$41,MATCH("Renda Fixa",'10 Configurações'!$B$35:$B$41,0)))</f>
        <v>1</v>
      </c>
      <c r="W6" s="89">
        <f>SUM($W$9:$W$108)</f>
        <v>0</v>
      </c>
      <c r="X6" s="89">
        <f>SUM($X$9:$X$108)</f>
        <v>0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0" t="n"/>
      <c r="F7" s="90" t="n"/>
      <c r="G7" s="90" t="n"/>
      <c r="H7" s="91" t="inlineStr">
        <is>
          <t>POSIÇÃO E OBJETIVO</t>
        </is>
      </c>
      <c r="I7" s="91" t="n"/>
      <c r="J7" s="93" t="inlineStr">
        <is>
          <t>VALOR</t>
        </is>
      </c>
      <c r="K7" s="93" t="n"/>
      <c r="L7" s="94" t="inlineStr">
        <is>
          <t>REBALANCEAMENTO</t>
        </is>
      </c>
      <c r="M7" s="94" t="n"/>
      <c r="N7" s="94" t="n"/>
      <c r="O7" s="94" t="n"/>
      <c r="P7" s="94" t="n"/>
      <c r="Q7" s="94" t="n"/>
      <c r="R7" s="94" t="n"/>
      <c r="T7" s="85" t="inlineStr">
        <is>
          <t>Aporte destinado à classe (R$)</t>
        </is>
      </c>
      <c r="U7" s="86">
        <f>'02 Macro Alocação'!$M$11</f>
        <v>25</v>
      </c>
    </row>
    <row r="8" ht="34" customHeight="1">
      <c r="A8" s="68" t="inlineStr">
        <is>
          <t>Título / Ativo</t>
        </is>
      </c>
      <c r="B8" s="68" t="inlineStr">
        <is>
          <t>Emissor / Instituição</t>
        </is>
      </c>
      <c r="C8" s="68" t="inlineStr">
        <is>
          <t>Tipo</t>
        </is>
      </c>
      <c r="D8" s="68" t="inlineStr">
        <is>
          <t>Indexador</t>
        </is>
      </c>
      <c r="E8" s="68" t="inlineStr">
        <is>
          <t>Taxa contratada</t>
        </is>
      </c>
      <c r="F8" s="68" t="inlineStr">
        <is>
          <t>Vencimento</t>
        </is>
      </c>
      <c r="G8" s="68" t="inlineStr">
        <is>
          <t>Moeda</t>
        </is>
      </c>
      <c r="H8" s="68" t="inlineStr">
        <is>
          <t>Valor Atual (Moeda)</t>
        </is>
      </c>
      <c r="I8" s="68" t="inlineStr">
        <is>
          <t>Objetivo (% da classe)</t>
        </is>
      </c>
      <c r="J8" s="67" t="inlineStr">
        <is>
          <t>Valor Atual (R$)</t>
        </is>
      </c>
      <c r="K8" s="67" t="inlineStr">
        <is>
          <t>Part. na Classe</t>
        </is>
      </c>
      <c r="L8" s="67" t="inlineStr">
        <is>
          <t>Diferença</t>
        </is>
      </c>
      <c r="M8" s="67" t="inlineStr">
        <is>
          <t>Rebalance Score</t>
        </is>
      </c>
      <c r="N8" s="67" t="inlineStr">
        <is>
          <t>Prior.</t>
        </is>
      </c>
      <c r="O8" s="67" t="inlineStr">
        <is>
          <t>Ação</t>
        </is>
      </c>
      <c r="P8" s="67" t="inlineStr">
        <is>
          <t>Valor Sugerido (R$)</t>
        </is>
      </c>
      <c r="Q8" s="67" t="inlineStr">
        <is>
          <t>Valor Efetivo (R$)</t>
        </is>
      </c>
      <c r="R8" s="67" t="inlineStr">
        <is>
          <t>Dias p/ Vencer</t>
        </is>
      </c>
      <c r="T8" s="95" t="inlineStr">
        <is>
          <t>Moeda efetiva</t>
        </is>
      </c>
      <c r="U8" s="95" t="inlineStr">
        <is>
          <t>Câmbio (R$)</t>
        </is>
      </c>
      <c r="V8" s="95" t="inlineStr">
        <is>
          <t>Déficit (R$)</t>
        </is>
      </c>
      <c r="W8" s="95" t="inlineStr">
        <is>
          <t>Déficit elegível</t>
        </is>
      </c>
      <c r="X8" s="95" t="inlineStr">
        <is>
          <t>Déficit final</t>
        </is>
      </c>
    </row>
    <row r="9">
      <c r="A9" s="96" t="n"/>
      <c r="B9" s="96" t="n"/>
      <c r="C9" s="96" t="n"/>
      <c r="D9" s="96" t="n"/>
      <c r="E9" s="96" t="n"/>
      <c r="F9" s="112" t="n"/>
      <c r="G9" s="97" t="n"/>
      <c r="H9" s="113" t="n"/>
      <c r="I9" s="99" t="n"/>
      <c r="J9" s="70" t="str">
        <f>IF(A9="","",N(H9)*U9)</f>
        <v/>
      </c>
      <c r="K9" s="30" t="str">
        <f>IF(A9="","",IF($J$6&gt;0,J9/$J$6,0))</f>
        <v/>
      </c>
      <c r="L9" s="72" t="str">
        <f>IF(A9="","",N(I9)-K9)</f>
        <v/>
      </c>
      <c r="M9" s="30" t="str">
        <f>IF(A9="","",IF($W$6&gt;0,W9/$W$6,0))</f>
        <v/>
      </c>
      <c r="N9" s="74" t="str">
        <f>IF(A9="","",IF(W9&lt;=0,"",COUNTIF($W$9:$W$108,"&gt;"&amp;W9)+COUNTIF($W$9:W9,W9)))</f>
        <v/>
      </c>
      <c r="O9" s="73" t="str">
        <f>IF(A9="","",IF(P9&gt;0,"BUY","HOLD"))</f>
        <v/>
      </c>
      <c r="P9" s="70" t="str">
        <f>IF(A9="","",IF($U$7&lt;=0,0,IF($X$6&gt;0,$U$7*X9/$X$6,IF($I$6&gt;0,$U$7*N(I9)/$I$6,0))))</f>
        <v/>
      </c>
      <c r="Q9" s="70" t="str">
        <f>IF(A9="","",IF(AND(P9&gt;0,P9&gt;=p_CompraMin),P9,0))</f>
        <v/>
      </c>
      <c r="R9" s="114" t="str">
        <f>IF(OR(A9="",F9=""),"",MAX(0,F9-TODAY()))</f>
        <v/>
      </c>
      <c r="T9" s="85" t="str">
        <f>IF(A9="","",IF(G9="",$U$1,G9))</f>
        <v/>
      </c>
      <c r="U9" s="85" t="str">
        <f>IF(A9="","",IFERROR(INDEX(moeda_fx,MATCH(T9,moeda_cod,0)),0))</f>
        <v/>
      </c>
      <c r="V9" s="85" t="str">
        <f>IF(A9="","",ROUND(MAX(0,N(I9)*($J$6+$U$7)-J9),2))</f>
        <v/>
      </c>
      <c r="W9" s="85" t="str">
        <f>IF(A9="","",IF(AND(L9&gt;0,L9&gt;=p_DifMin),V9,0))</f>
        <v/>
      </c>
      <c r="X9" s="85" t="str">
        <f>IF(A9="","",IF(AND(W9&gt;0,N(N9)&lt;=p_MaxAtivos),W9,0))</f>
        <v/>
      </c>
    </row>
    <row r="10">
      <c r="A10" s="96" t="n"/>
      <c r="B10" s="96" t="n"/>
      <c r="C10" s="96" t="n"/>
      <c r="D10" s="96" t="n"/>
      <c r="E10" s="96" t="n"/>
      <c r="F10" s="112" t="n"/>
      <c r="G10" s="97" t="n"/>
      <c r="H10" s="113" t="n"/>
      <c r="I10" s="99" t="n"/>
      <c r="J10" s="107" t="str">
        <f>IF(A10="","",N(H10)*U10)</f>
        <v/>
      </c>
      <c r="K10" s="108" t="str">
        <f>IF(A10="","",IF($J$6&gt;0,J10/$J$6,0))</f>
        <v/>
      </c>
      <c r="L10" s="109" t="str">
        <f>IF(A10="","",N(I10)-K10)</f>
        <v/>
      </c>
      <c r="M10" s="108" t="str">
        <f>IF(A10="","",IF($W$6&gt;0,W10/$W$6,0))</f>
        <v/>
      </c>
      <c r="N10" s="110" t="str">
        <f>IF(A10="","",IF(W10&lt;=0,"",COUNTIF($W$9:$W$108,"&gt;"&amp;W10)+COUNTIF($W$9:W10,W10)))</f>
        <v/>
      </c>
      <c r="O10" s="105" t="str">
        <f>IF(A10="","",IF(P10&gt;0,"BUY","HOLD"))</f>
        <v/>
      </c>
      <c r="P10" s="107" t="str">
        <f>IF(A10="","",IF($U$7&lt;=0,0,IF($X$6&gt;0,$U$7*X10/$X$6,IF($I$6&gt;0,$U$7*N(I10)/$I$6,0))))</f>
        <v/>
      </c>
      <c r="Q10" s="107" t="str">
        <f>IF(A10="","",IF(AND(P10&gt;0,P10&gt;=p_CompraMin),P10,0))</f>
        <v/>
      </c>
      <c r="R10" s="115" t="str">
        <f>IF(OR(A10="",F10=""),"",MAX(0,F10-TODAY()))</f>
        <v/>
      </c>
      <c r="T10" s="85" t="str">
        <f>IF(A10="","",IF(G10="",$U$1,G10))</f>
        <v/>
      </c>
      <c r="U10" s="85" t="str">
        <f>IF(A10="","",IFERROR(INDEX(moeda_fx,MATCH(T10,moeda_cod,0)),0))</f>
        <v/>
      </c>
      <c r="V10" s="85" t="str">
        <f>IF(A10="","",ROUND(MAX(0,N(I10)*($J$6+$U$7)-J10),2))</f>
        <v/>
      </c>
      <c r="W10" s="85" t="str">
        <f>IF(A10="","",IF(AND(L10&gt;0,L10&gt;=p_DifMin),V10,0))</f>
        <v/>
      </c>
      <c r="X10" s="85" t="str">
        <f>IF(A10="","",IF(AND(W10&gt;0,N(N10)&lt;=p_MaxAtivos),W10,0))</f>
        <v/>
      </c>
    </row>
    <row r="11">
      <c r="A11" s="96" t="n"/>
      <c r="B11" s="96" t="n"/>
      <c r="C11" s="96" t="n"/>
      <c r="D11" s="96" t="n"/>
      <c r="E11" s="96" t="n"/>
      <c r="F11" s="112" t="n"/>
      <c r="G11" s="97" t="n"/>
      <c r="H11" s="113" t="n"/>
      <c r="I11" s="99" t="n"/>
      <c r="J11" s="70" t="str">
        <f>IF(A11="","",N(H11)*U11)</f>
        <v/>
      </c>
      <c r="K11" s="30" t="str">
        <f>IF(A11="","",IF($J$6&gt;0,J11/$J$6,0))</f>
        <v/>
      </c>
      <c r="L11" s="72" t="str">
        <f>IF(A11="","",N(I11)-K11)</f>
        <v/>
      </c>
      <c r="M11" s="30" t="str">
        <f>IF(A11="","",IF($W$6&gt;0,W11/$W$6,0))</f>
        <v/>
      </c>
      <c r="N11" s="74" t="str">
        <f>IF(A11="","",IF(W11&lt;=0,"",COUNTIF($W$9:$W$108,"&gt;"&amp;W11)+COUNTIF($W$9:W11,W11)))</f>
        <v/>
      </c>
      <c r="O11" s="73" t="str">
        <f>IF(A11="","",IF(P11&gt;0,"BUY","HOLD"))</f>
        <v/>
      </c>
      <c r="P11" s="70" t="str">
        <f>IF(A11="","",IF($U$7&lt;=0,0,IF($X$6&gt;0,$U$7*X11/$X$6,IF($I$6&gt;0,$U$7*N(I11)/$I$6,0))))</f>
        <v/>
      </c>
      <c r="Q11" s="70" t="str">
        <f>IF(A11="","",IF(AND(P11&gt;0,P11&gt;=p_CompraMin),P11,0))</f>
        <v/>
      </c>
      <c r="R11" s="114" t="str">
        <f>IF(OR(A11="",F11=""),"",MAX(0,F11-TODAY()))</f>
        <v/>
      </c>
      <c r="T11" s="85" t="str">
        <f>IF(A11="","",IF(G11="",$U$1,G11))</f>
        <v/>
      </c>
      <c r="U11" s="85" t="str">
        <f>IF(A11="","",IFERROR(INDEX(moeda_fx,MATCH(T11,moeda_cod,0)),0))</f>
        <v/>
      </c>
      <c r="V11" s="85" t="str">
        <f>IF(A11="","",ROUND(MAX(0,N(I11)*($J$6+$U$7)-J11),2))</f>
        <v/>
      </c>
      <c r="W11" s="85" t="str">
        <f>IF(A11="","",IF(AND(L11&gt;0,L11&gt;=p_DifMin),V11,0))</f>
        <v/>
      </c>
      <c r="X11" s="85" t="str">
        <f>IF(A11="","",IF(AND(W11&gt;0,N(N11)&lt;=p_MaxAtivos),W11,0))</f>
        <v/>
      </c>
    </row>
    <row r="12">
      <c r="A12" s="96" t="n"/>
      <c r="B12" s="96" t="n"/>
      <c r="C12" s="96" t="n"/>
      <c r="D12" s="96" t="n"/>
      <c r="E12" s="96" t="n"/>
      <c r="F12" s="112" t="n"/>
      <c r="G12" s="97" t="n"/>
      <c r="H12" s="113" t="n"/>
      <c r="I12" s="99" t="n"/>
      <c r="J12" s="107" t="str">
        <f>IF(A12="","",N(H12)*U12)</f>
        <v/>
      </c>
      <c r="K12" s="108" t="str">
        <f>IF(A12="","",IF($J$6&gt;0,J12/$J$6,0))</f>
        <v/>
      </c>
      <c r="L12" s="109" t="str">
        <f>IF(A12="","",N(I12)-K12)</f>
        <v/>
      </c>
      <c r="M12" s="108" t="str">
        <f>IF(A12="","",IF($W$6&gt;0,W12/$W$6,0))</f>
        <v/>
      </c>
      <c r="N12" s="110" t="str">
        <f>IF(A12="","",IF(W12&lt;=0,"",COUNTIF($W$9:$W$108,"&gt;"&amp;W12)+COUNTIF($W$9:W12,W12)))</f>
        <v/>
      </c>
      <c r="O12" s="105" t="str">
        <f>IF(A12="","",IF(P12&gt;0,"BUY","HOLD"))</f>
        <v/>
      </c>
      <c r="P12" s="107" t="str">
        <f>IF(A12="","",IF($U$7&lt;=0,0,IF($X$6&gt;0,$U$7*X12/$X$6,IF($I$6&gt;0,$U$7*N(I12)/$I$6,0))))</f>
        <v/>
      </c>
      <c r="Q12" s="107" t="str">
        <f>IF(A12="","",IF(AND(P12&gt;0,P12&gt;=p_CompraMin),P12,0))</f>
        <v/>
      </c>
      <c r="R12" s="115" t="str">
        <f>IF(OR(A12="",F12=""),"",MAX(0,F12-TODAY()))</f>
        <v/>
      </c>
      <c r="T12" s="85" t="str">
        <f>IF(A12="","",IF(G12="",$U$1,G12))</f>
        <v/>
      </c>
      <c r="U12" s="85" t="str">
        <f>IF(A12="","",IFERROR(INDEX(moeda_fx,MATCH(T12,moeda_cod,0)),0))</f>
        <v/>
      </c>
      <c r="V12" s="85" t="str">
        <f>IF(A12="","",ROUND(MAX(0,N(I12)*($J$6+$U$7)-J12),2))</f>
        <v/>
      </c>
      <c r="W12" s="85" t="str">
        <f>IF(A12="","",IF(AND(L12&gt;0,L12&gt;=p_DifMin),V12,0))</f>
        <v/>
      </c>
      <c r="X12" s="85" t="str">
        <f>IF(A12="","",IF(AND(W12&gt;0,N(N12)&lt;=p_MaxAtivos),W12,0))</f>
        <v/>
      </c>
    </row>
    <row r="13">
      <c r="A13" s="96" t="n"/>
      <c r="B13" s="96" t="n"/>
      <c r="C13" s="96" t="n"/>
      <c r="D13" s="96" t="n"/>
      <c r="E13" s="96" t="n"/>
      <c r="F13" s="112" t="n"/>
      <c r="G13" s="97" t="n"/>
      <c r="H13" s="113" t="n"/>
      <c r="I13" s="99" t="n"/>
      <c r="J13" s="70" t="str">
        <f>IF(A13="","",N(H13)*U13)</f>
        <v/>
      </c>
      <c r="K13" s="30" t="str">
        <f>IF(A13="","",IF($J$6&gt;0,J13/$J$6,0))</f>
        <v/>
      </c>
      <c r="L13" s="72" t="str">
        <f>IF(A13="","",N(I13)-K13)</f>
        <v/>
      </c>
      <c r="M13" s="30" t="str">
        <f>IF(A13="","",IF($W$6&gt;0,W13/$W$6,0))</f>
        <v/>
      </c>
      <c r="N13" s="74" t="str">
        <f>IF(A13="","",IF(W13&lt;=0,"",COUNTIF($W$9:$W$108,"&gt;"&amp;W13)+COUNTIF($W$9:W13,W13)))</f>
        <v/>
      </c>
      <c r="O13" s="73" t="str">
        <f>IF(A13="","",IF(P13&gt;0,"BUY","HOLD"))</f>
        <v/>
      </c>
      <c r="P13" s="70" t="str">
        <f>IF(A13="","",IF($U$7&lt;=0,0,IF($X$6&gt;0,$U$7*X13/$X$6,IF($I$6&gt;0,$U$7*N(I13)/$I$6,0))))</f>
        <v/>
      </c>
      <c r="Q13" s="70" t="str">
        <f>IF(A13="","",IF(AND(P13&gt;0,P13&gt;=p_CompraMin),P13,0))</f>
        <v/>
      </c>
      <c r="R13" s="114" t="str">
        <f>IF(OR(A13="",F13=""),"",MAX(0,F13-TODAY()))</f>
        <v/>
      </c>
      <c r="T13" s="85" t="str">
        <f>IF(A13="","",IF(G13="",$U$1,G13))</f>
        <v/>
      </c>
      <c r="U13" s="85" t="str">
        <f>IF(A13="","",IFERROR(INDEX(moeda_fx,MATCH(T13,moeda_cod,0)),0))</f>
        <v/>
      </c>
      <c r="V13" s="85" t="str">
        <f>IF(A13="","",ROUND(MAX(0,N(I13)*($J$6+$U$7)-J13),2))</f>
        <v/>
      </c>
      <c r="W13" s="85" t="str">
        <f>IF(A13="","",IF(AND(L13&gt;0,L13&gt;=p_DifMin),V13,0))</f>
        <v/>
      </c>
      <c r="X13" s="85" t="str">
        <f>IF(A13="","",IF(AND(W13&gt;0,N(N13)&lt;=p_MaxAtivos),W13,0))</f>
        <v/>
      </c>
    </row>
    <row r="14">
      <c r="A14" s="96" t="n"/>
      <c r="B14" s="96" t="n"/>
      <c r="C14" s="96" t="n"/>
      <c r="D14" s="96" t="n"/>
      <c r="E14" s="96" t="n"/>
      <c r="F14" s="112" t="n"/>
      <c r="G14" s="97" t="n"/>
      <c r="H14" s="113" t="n"/>
      <c r="I14" s="99" t="n"/>
      <c r="J14" s="107" t="str">
        <f>IF(A14="","",N(H14)*U14)</f>
        <v/>
      </c>
      <c r="K14" s="108" t="str">
        <f>IF(A14="","",IF($J$6&gt;0,J14/$J$6,0))</f>
        <v/>
      </c>
      <c r="L14" s="109" t="str">
        <f>IF(A14="","",N(I14)-K14)</f>
        <v/>
      </c>
      <c r="M14" s="108" t="str">
        <f>IF(A14="","",IF($W$6&gt;0,W14/$W$6,0))</f>
        <v/>
      </c>
      <c r="N14" s="110" t="str">
        <f>IF(A14="","",IF(W14&lt;=0,"",COUNTIF($W$9:$W$108,"&gt;"&amp;W14)+COUNTIF($W$9:W14,W14)))</f>
        <v/>
      </c>
      <c r="O14" s="105" t="str">
        <f>IF(A14="","",IF(P14&gt;0,"BUY","HOLD"))</f>
        <v/>
      </c>
      <c r="P14" s="107" t="str">
        <f>IF(A14="","",IF($U$7&lt;=0,0,IF($X$6&gt;0,$U$7*X14/$X$6,IF($I$6&gt;0,$U$7*N(I14)/$I$6,0))))</f>
        <v/>
      </c>
      <c r="Q14" s="107" t="str">
        <f>IF(A14="","",IF(AND(P14&gt;0,P14&gt;=p_CompraMin),P14,0))</f>
        <v/>
      </c>
      <c r="R14" s="115" t="str">
        <f>IF(OR(A14="",F14=""),"",MAX(0,F14-TODAY()))</f>
        <v/>
      </c>
      <c r="T14" s="85" t="str">
        <f>IF(A14="","",IF(G14="",$U$1,G14))</f>
        <v/>
      </c>
      <c r="U14" s="85" t="str">
        <f>IF(A14="","",IFERROR(INDEX(moeda_fx,MATCH(T14,moeda_cod,0)),0))</f>
        <v/>
      </c>
      <c r="V14" s="85" t="str">
        <f>IF(A14="","",ROUND(MAX(0,N(I14)*($J$6+$U$7)-J14),2))</f>
        <v/>
      </c>
      <c r="W14" s="85" t="str">
        <f>IF(A14="","",IF(AND(L14&gt;0,L14&gt;=p_DifMin),V14,0))</f>
        <v/>
      </c>
      <c r="X14" s="85" t="str">
        <f>IF(A14="","",IF(AND(W14&gt;0,N(N14)&lt;=p_MaxAtivos),W14,0))</f>
        <v/>
      </c>
    </row>
    <row r="15">
      <c r="A15" s="96" t="n"/>
      <c r="B15" s="96" t="n"/>
      <c r="C15" s="96" t="n"/>
      <c r="D15" s="96" t="n"/>
      <c r="E15" s="96" t="n"/>
      <c r="F15" s="112" t="n"/>
      <c r="G15" s="97" t="n"/>
      <c r="H15" s="113" t="n"/>
      <c r="I15" s="99" t="n"/>
      <c r="J15" s="70" t="str">
        <f>IF(A15="","",N(H15)*U15)</f>
        <v/>
      </c>
      <c r="K15" s="30" t="str">
        <f>IF(A15="","",IF($J$6&gt;0,J15/$J$6,0))</f>
        <v/>
      </c>
      <c r="L15" s="72" t="str">
        <f>IF(A15="","",N(I15)-K15)</f>
        <v/>
      </c>
      <c r="M15" s="30" t="str">
        <f>IF(A15="","",IF($W$6&gt;0,W15/$W$6,0))</f>
        <v/>
      </c>
      <c r="N15" s="74" t="str">
        <f>IF(A15="","",IF(W15&lt;=0,"",COUNTIF($W$9:$W$108,"&gt;"&amp;W15)+COUNTIF($W$9:W15,W15)))</f>
        <v/>
      </c>
      <c r="O15" s="73" t="str">
        <f>IF(A15="","",IF(P15&gt;0,"BUY","HOLD"))</f>
        <v/>
      </c>
      <c r="P15" s="70" t="str">
        <f>IF(A15="","",IF($U$7&lt;=0,0,IF($X$6&gt;0,$U$7*X15/$X$6,IF($I$6&gt;0,$U$7*N(I15)/$I$6,0))))</f>
        <v/>
      </c>
      <c r="Q15" s="70" t="str">
        <f>IF(A15="","",IF(AND(P15&gt;0,P15&gt;=p_CompraMin),P15,0))</f>
        <v/>
      </c>
      <c r="R15" s="114" t="str">
        <f>IF(OR(A15="",F15=""),"",MAX(0,F15-TODAY()))</f>
        <v/>
      </c>
      <c r="T15" s="85" t="str">
        <f>IF(A15="","",IF(G15="",$U$1,G15))</f>
        <v/>
      </c>
      <c r="U15" s="85" t="str">
        <f>IF(A15="","",IFERROR(INDEX(moeda_fx,MATCH(T15,moeda_cod,0)),0))</f>
        <v/>
      </c>
      <c r="V15" s="85" t="str">
        <f>IF(A15="","",ROUND(MAX(0,N(I15)*($J$6+$U$7)-J15),2))</f>
        <v/>
      </c>
      <c r="W15" s="85" t="str">
        <f>IF(A15="","",IF(AND(L15&gt;0,L15&gt;=p_DifMin),V15,0))</f>
        <v/>
      </c>
      <c r="X15" s="85" t="str">
        <f>IF(A15="","",IF(AND(W15&gt;0,N(N15)&lt;=p_MaxAtivos),W15,0))</f>
        <v/>
      </c>
    </row>
    <row r="16">
      <c r="A16" s="96" t="n"/>
      <c r="B16" s="96" t="n"/>
      <c r="C16" s="96" t="n"/>
      <c r="D16" s="96" t="n"/>
      <c r="E16" s="96" t="n"/>
      <c r="F16" s="112" t="n"/>
      <c r="G16" s="97" t="n"/>
      <c r="H16" s="113" t="n"/>
      <c r="I16" s="99" t="n"/>
      <c r="J16" s="107" t="str">
        <f>IF(A16="","",N(H16)*U16)</f>
        <v/>
      </c>
      <c r="K16" s="108" t="str">
        <f>IF(A16="","",IF($J$6&gt;0,J16/$J$6,0))</f>
        <v/>
      </c>
      <c r="L16" s="109" t="str">
        <f>IF(A16="","",N(I16)-K16)</f>
        <v/>
      </c>
      <c r="M16" s="108" t="str">
        <f>IF(A16="","",IF($W$6&gt;0,W16/$W$6,0))</f>
        <v/>
      </c>
      <c r="N16" s="110" t="str">
        <f>IF(A16="","",IF(W16&lt;=0,"",COUNTIF($W$9:$W$108,"&gt;"&amp;W16)+COUNTIF($W$9:W16,W16)))</f>
        <v/>
      </c>
      <c r="O16" s="105" t="str">
        <f>IF(A16="","",IF(P16&gt;0,"BUY","HOLD"))</f>
        <v/>
      </c>
      <c r="P16" s="107" t="str">
        <f>IF(A16="","",IF($U$7&lt;=0,0,IF($X$6&gt;0,$U$7*X16/$X$6,IF($I$6&gt;0,$U$7*N(I16)/$I$6,0))))</f>
        <v/>
      </c>
      <c r="Q16" s="107" t="str">
        <f>IF(A16="","",IF(AND(P16&gt;0,P16&gt;=p_CompraMin),P16,0))</f>
        <v/>
      </c>
      <c r="R16" s="115" t="str">
        <f>IF(OR(A16="",F16=""),"",MAX(0,F16-TODAY()))</f>
        <v/>
      </c>
      <c r="T16" s="85" t="str">
        <f>IF(A16="","",IF(G16="",$U$1,G16))</f>
        <v/>
      </c>
      <c r="U16" s="85" t="str">
        <f>IF(A16="","",IFERROR(INDEX(moeda_fx,MATCH(T16,moeda_cod,0)),0))</f>
        <v/>
      </c>
      <c r="V16" s="85" t="str">
        <f>IF(A16="","",ROUND(MAX(0,N(I16)*($J$6+$U$7)-J16),2))</f>
        <v/>
      </c>
      <c r="W16" s="85" t="str">
        <f>IF(A16="","",IF(AND(L16&gt;0,L16&gt;=p_DifMin),V16,0))</f>
        <v/>
      </c>
      <c r="X16" s="85" t="str">
        <f>IF(A16="","",IF(AND(W16&gt;0,N(N16)&lt;=p_MaxAtivos),W16,0))</f>
        <v/>
      </c>
    </row>
    <row r="17">
      <c r="A17" s="96" t="n"/>
      <c r="B17" s="96" t="n"/>
      <c r="C17" s="96" t="n"/>
      <c r="D17" s="96" t="n"/>
      <c r="E17" s="96" t="n"/>
      <c r="F17" s="112" t="n"/>
      <c r="G17" s="97" t="n"/>
      <c r="H17" s="113" t="n"/>
      <c r="I17" s="99" t="n"/>
      <c r="J17" s="70" t="str">
        <f>IF(A17="","",N(H17)*U17)</f>
        <v/>
      </c>
      <c r="K17" s="30" t="str">
        <f>IF(A17="","",IF($J$6&gt;0,J17/$J$6,0))</f>
        <v/>
      </c>
      <c r="L17" s="72" t="str">
        <f>IF(A17="","",N(I17)-K17)</f>
        <v/>
      </c>
      <c r="M17" s="30" t="str">
        <f>IF(A17="","",IF($W$6&gt;0,W17/$W$6,0))</f>
        <v/>
      </c>
      <c r="N17" s="74" t="str">
        <f>IF(A17="","",IF(W17&lt;=0,"",COUNTIF($W$9:$W$108,"&gt;"&amp;W17)+COUNTIF($W$9:W17,W17)))</f>
        <v/>
      </c>
      <c r="O17" s="73" t="str">
        <f>IF(A17="","",IF(P17&gt;0,"BUY","HOLD"))</f>
        <v/>
      </c>
      <c r="P17" s="70" t="str">
        <f>IF(A17="","",IF($U$7&lt;=0,0,IF($X$6&gt;0,$U$7*X17/$X$6,IF($I$6&gt;0,$U$7*N(I17)/$I$6,0))))</f>
        <v/>
      </c>
      <c r="Q17" s="70" t="str">
        <f>IF(A17="","",IF(AND(P17&gt;0,P17&gt;=p_CompraMin),P17,0))</f>
        <v/>
      </c>
      <c r="R17" s="114" t="str">
        <f>IF(OR(A17="",F17=""),"",MAX(0,F17-TODAY()))</f>
        <v/>
      </c>
      <c r="T17" s="85" t="str">
        <f>IF(A17="","",IF(G17="",$U$1,G17))</f>
        <v/>
      </c>
      <c r="U17" s="85" t="str">
        <f>IF(A17="","",IFERROR(INDEX(moeda_fx,MATCH(T17,moeda_cod,0)),0))</f>
        <v/>
      </c>
      <c r="V17" s="85" t="str">
        <f>IF(A17="","",ROUND(MAX(0,N(I17)*($J$6+$U$7)-J17),2))</f>
        <v/>
      </c>
      <c r="W17" s="85" t="str">
        <f>IF(A17="","",IF(AND(L17&gt;0,L17&gt;=p_DifMin),V17,0))</f>
        <v/>
      </c>
      <c r="X17" s="85" t="str">
        <f>IF(A17="","",IF(AND(W17&gt;0,N(N17)&lt;=p_MaxAtivos),W17,0))</f>
        <v/>
      </c>
    </row>
    <row r="18">
      <c r="A18" s="96" t="n"/>
      <c r="B18" s="96" t="n"/>
      <c r="C18" s="96" t="n"/>
      <c r="D18" s="96" t="n"/>
      <c r="E18" s="96" t="n"/>
      <c r="F18" s="112" t="n"/>
      <c r="G18" s="97" t="n"/>
      <c r="H18" s="113" t="n"/>
      <c r="I18" s="99" t="n"/>
      <c r="J18" s="107" t="str">
        <f>IF(A18="","",N(H18)*U18)</f>
        <v/>
      </c>
      <c r="K18" s="108" t="str">
        <f>IF(A18="","",IF($J$6&gt;0,J18/$J$6,0))</f>
        <v/>
      </c>
      <c r="L18" s="109" t="str">
        <f>IF(A18="","",N(I18)-K18)</f>
        <v/>
      </c>
      <c r="M18" s="108" t="str">
        <f>IF(A18="","",IF($W$6&gt;0,W18/$W$6,0))</f>
        <v/>
      </c>
      <c r="N18" s="110" t="str">
        <f>IF(A18="","",IF(W18&lt;=0,"",COUNTIF($W$9:$W$108,"&gt;"&amp;W18)+COUNTIF($W$9:W18,W18)))</f>
        <v/>
      </c>
      <c r="O18" s="105" t="str">
        <f>IF(A18="","",IF(P18&gt;0,"BUY","HOLD"))</f>
        <v/>
      </c>
      <c r="P18" s="107" t="str">
        <f>IF(A18="","",IF($U$7&lt;=0,0,IF($X$6&gt;0,$U$7*X18/$X$6,IF($I$6&gt;0,$U$7*N(I18)/$I$6,0))))</f>
        <v/>
      </c>
      <c r="Q18" s="107" t="str">
        <f>IF(A18="","",IF(AND(P18&gt;0,P18&gt;=p_CompraMin),P18,0))</f>
        <v/>
      </c>
      <c r="R18" s="115" t="str">
        <f>IF(OR(A18="",F18=""),"",MAX(0,F18-TODAY()))</f>
        <v/>
      </c>
      <c r="T18" s="85" t="str">
        <f>IF(A18="","",IF(G18="",$U$1,G18))</f>
        <v/>
      </c>
      <c r="U18" s="85" t="str">
        <f>IF(A18="","",IFERROR(INDEX(moeda_fx,MATCH(T18,moeda_cod,0)),0))</f>
        <v/>
      </c>
      <c r="V18" s="85" t="str">
        <f>IF(A18="","",ROUND(MAX(0,N(I18)*($J$6+$U$7)-J18),2))</f>
        <v/>
      </c>
      <c r="W18" s="85" t="str">
        <f>IF(A18="","",IF(AND(L18&gt;0,L18&gt;=p_DifMin),V18,0))</f>
        <v/>
      </c>
      <c r="X18" s="85" t="str">
        <f>IF(A18="","",IF(AND(W18&gt;0,N(N18)&lt;=p_MaxAtivos),W18,0))</f>
        <v/>
      </c>
    </row>
    <row r="19">
      <c r="A19" s="96" t="n"/>
      <c r="B19" s="96" t="n"/>
      <c r="C19" s="96" t="n"/>
      <c r="D19" s="96" t="n"/>
      <c r="E19" s="96" t="n"/>
      <c r="F19" s="112" t="n"/>
      <c r="G19" s="97" t="n"/>
      <c r="H19" s="113" t="n"/>
      <c r="I19" s="99" t="n"/>
      <c r="J19" s="70" t="str">
        <f>IF(A19="","",N(H19)*U19)</f>
        <v/>
      </c>
      <c r="K19" s="30" t="str">
        <f>IF(A19="","",IF($J$6&gt;0,J19/$J$6,0))</f>
        <v/>
      </c>
      <c r="L19" s="72" t="str">
        <f>IF(A19="","",N(I19)-K19)</f>
        <v/>
      </c>
      <c r="M19" s="30" t="str">
        <f>IF(A19="","",IF($W$6&gt;0,W19/$W$6,0))</f>
        <v/>
      </c>
      <c r="N19" s="74" t="str">
        <f>IF(A19="","",IF(W19&lt;=0,"",COUNTIF($W$9:$W$108,"&gt;"&amp;W19)+COUNTIF($W$9:W19,W19)))</f>
        <v/>
      </c>
      <c r="O19" s="73" t="str">
        <f>IF(A19="","",IF(P19&gt;0,"BUY","HOLD"))</f>
        <v/>
      </c>
      <c r="P19" s="70" t="str">
        <f>IF(A19="","",IF($U$7&lt;=0,0,IF($X$6&gt;0,$U$7*X19/$X$6,IF($I$6&gt;0,$U$7*N(I19)/$I$6,0))))</f>
        <v/>
      </c>
      <c r="Q19" s="70" t="str">
        <f>IF(A19="","",IF(AND(P19&gt;0,P19&gt;=p_CompraMin),P19,0))</f>
        <v/>
      </c>
      <c r="R19" s="114" t="str">
        <f>IF(OR(A19="",F19=""),"",MAX(0,F19-TODAY()))</f>
        <v/>
      </c>
      <c r="T19" s="85" t="str">
        <f>IF(A19="","",IF(G19="",$U$1,G19))</f>
        <v/>
      </c>
      <c r="U19" s="85" t="str">
        <f>IF(A19="","",IFERROR(INDEX(moeda_fx,MATCH(T19,moeda_cod,0)),0))</f>
        <v/>
      </c>
      <c r="V19" s="85" t="str">
        <f>IF(A19="","",ROUND(MAX(0,N(I19)*($J$6+$U$7)-J19),2))</f>
        <v/>
      </c>
      <c r="W19" s="85" t="str">
        <f>IF(A19="","",IF(AND(L19&gt;0,L19&gt;=p_DifMin),V19,0))</f>
        <v/>
      </c>
      <c r="X19" s="85" t="str">
        <f>IF(A19="","",IF(AND(W19&gt;0,N(N19)&lt;=p_MaxAtivos),W19,0))</f>
        <v/>
      </c>
    </row>
    <row r="20">
      <c r="A20" s="96" t="n"/>
      <c r="B20" s="96" t="n"/>
      <c r="C20" s="96" t="n"/>
      <c r="D20" s="96" t="n"/>
      <c r="E20" s="96" t="n"/>
      <c r="F20" s="112" t="n"/>
      <c r="G20" s="97" t="n"/>
      <c r="H20" s="113" t="n"/>
      <c r="I20" s="99" t="n"/>
      <c r="J20" s="107" t="str">
        <f>IF(A20="","",N(H20)*U20)</f>
        <v/>
      </c>
      <c r="K20" s="108" t="str">
        <f>IF(A20="","",IF($J$6&gt;0,J20/$J$6,0))</f>
        <v/>
      </c>
      <c r="L20" s="109" t="str">
        <f>IF(A20="","",N(I20)-K20)</f>
        <v/>
      </c>
      <c r="M20" s="108" t="str">
        <f>IF(A20="","",IF($W$6&gt;0,W20/$W$6,0))</f>
        <v/>
      </c>
      <c r="N20" s="110" t="str">
        <f>IF(A20="","",IF(W20&lt;=0,"",COUNTIF($W$9:$W$108,"&gt;"&amp;W20)+COUNTIF($W$9:W20,W20)))</f>
        <v/>
      </c>
      <c r="O20" s="105" t="str">
        <f>IF(A20="","",IF(P20&gt;0,"BUY","HOLD"))</f>
        <v/>
      </c>
      <c r="P20" s="107" t="str">
        <f>IF(A20="","",IF($U$7&lt;=0,0,IF($X$6&gt;0,$U$7*X20/$X$6,IF($I$6&gt;0,$U$7*N(I20)/$I$6,0))))</f>
        <v/>
      </c>
      <c r="Q20" s="107" t="str">
        <f>IF(A20="","",IF(AND(P20&gt;0,P20&gt;=p_CompraMin),P20,0))</f>
        <v/>
      </c>
      <c r="R20" s="115" t="str">
        <f>IF(OR(A20="",F20=""),"",MAX(0,F20-TODAY()))</f>
        <v/>
      </c>
      <c r="T20" s="85" t="str">
        <f>IF(A20="","",IF(G20="",$U$1,G20))</f>
        <v/>
      </c>
      <c r="U20" s="85" t="str">
        <f>IF(A20="","",IFERROR(INDEX(moeda_fx,MATCH(T20,moeda_cod,0)),0))</f>
        <v/>
      </c>
      <c r="V20" s="85" t="str">
        <f>IF(A20="","",ROUND(MAX(0,N(I20)*($J$6+$U$7)-J20),2))</f>
        <v/>
      </c>
      <c r="W20" s="85" t="str">
        <f>IF(A20="","",IF(AND(L20&gt;0,L20&gt;=p_DifMin),V20,0))</f>
        <v/>
      </c>
      <c r="X20" s="85" t="str">
        <f>IF(A20="","",IF(AND(W20&gt;0,N(N20)&lt;=p_MaxAtivos),W20,0))</f>
        <v/>
      </c>
    </row>
    <row r="21">
      <c r="A21" s="96" t="n"/>
      <c r="B21" s="96" t="n"/>
      <c r="C21" s="96" t="n"/>
      <c r="D21" s="96" t="n"/>
      <c r="E21" s="96" t="n"/>
      <c r="F21" s="112" t="n"/>
      <c r="G21" s="97" t="n"/>
      <c r="H21" s="113" t="n"/>
      <c r="I21" s="99" t="n"/>
      <c r="J21" s="70" t="str">
        <f>IF(A21="","",N(H21)*U21)</f>
        <v/>
      </c>
      <c r="K21" s="30" t="str">
        <f>IF(A21="","",IF($J$6&gt;0,J21/$J$6,0))</f>
        <v/>
      </c>
      <c r="L21" s="72" t="str">
        <f>IF(A21="","",N(I21)-K21)</f>
        <v/>
      </c>
      <c r="M21" s="30" t="str">
        <f>IF(A21="","",IF($W$6&gt;0,W21/$W$6,0))</f>
        <v/>
      </c>
      <c r="N21" s="74" t="str">
        <f>IF(A21="","",IF(W21&lt;=0,"",COUNTIF($W$9:$W$108,"&gt;"&amp;W21)+COUNTIF($W$9:W21,W21)))</f>
        <v/>
      </c>
      <c r="O21" s="73" t="str">
        <f>IF(A21="","",IF(P21&gt;0,"BUY","HOLD"))</f>
        <v/>
      </c>
      <c r="P21" s="70" t="str">
        <f>IF(A21="","",IF($U$7&lt;=0,0,IF($X$6&gt;0,$U$7*X21/$X$6,IF($I$6&gt;0,$U$7*N(I21)/$I$6,0))))</f>
        <v/>
      </c>
      <c r="Q21" s="70" t="str">
        <f>IF(A21="","",IF(AND(P21&gt;0,P21&gt;=p_CompraMin),P21,0))</f>
        <v/>
      </c>
      <c r="R21" s="114" t="str">
        <f>IF(OR(A21="",F21=""),"",MAX(0,F21-TODAY()))</f>
        <v/>
      </c>
      <c r="T21" s="85" t="str">
        <f>IF(A21="","",IF(G21="",$U$1,G21))</f>
        <v/>
      </c>
      <c r="U21" s="85" t="str">
        <f>IF(A21="","",IFERROR(INDEX(moeda_fx,MATCH(T21,moeda_cod,0)),0))</f>
        <v/>
      </c>
      <c r="V21" s="85" t="str">
        <f>IF(A21="","",ROUND(MAX(0,N(I21)*($J$6+$U$7)-J21),2))</f>
        <v/>
      </c>
      <c r="W21" s="85" t="str">
        <f>IF(A21="","",IF(AND(L21&gt;0,L21&gt;=p_DifMin),V21,0))</f>
        <v/>
      </c>
      <c r="X21" s="85" t="str">
        <f>IF(A21="","",IF(AND(W21&gt;0,N(N21)&lt;=p_MaxAtivos),W21,0))</f>
        <v/>
      </c>
    </row>
    <row r="22">
      <c r="A22" s="96" t="n"/>
      <c r="B22" s="96" t="n"/>
      <c r="C22" s="96" t="n"/>
      <c r="D22" s="96" t="n"/>
      <c r="E22" s="96" t="n"/>
      <c r="F22" s="112" t="n"/>
      <c r="G22" s="97" t="n"/>
      <c r="H22" s="113" t="n"/>
      <c r="I22" s="99" t="n"/>
      <c r="J22" s="107" t="str">
        <f>IF(A22="","",N(H22)*U22)</f>
        <v/>
      </c>
      <c r="K22" s="108" t="str">
        <f>IF(A22="","",IF($J$6&gt;0,J22/$J$6,0))</f>
        <v/>
      </c>
      <c r="L22" s="109" t="str">
        <f>IF(A22="","",N(I22)-K22)</f>
        <v/>
      </c>
      <c r="M22" s="108" t="str">
        <f>IF(A22="","",IF($W$6&gt;0,W22/$W$6,0))</f>
        <v/>
      </c>
      <c r="N22" s="110" t="str">
        <f>IF(A22="","",IF(W22&lt;=0,"",COUNTIF($W$9:$W$108,"&gt;"&amp;W22)+COUNTIF($W$9:W22,W22)))</f>
        <v/>
      </c>
      <c r="O22" s="105" t="str">
        <f>IF(A22="","",IF(P22&gt;0,"BUY","HOLD"))</f>
        <v/>
      </c>
      <c r="P22" s="107" t="str">
        <f>IF(A22="","",IF($U$7&lt;=0,0,IF($X$6&gt;0,$U$7*X22/$X$6,IF($I$6&gt;0,$U$7*N(I22)/$I$6,0))))</f>
        <v/>
      </c>
      <c r="Q22" s="107" t="str">
        <f>IF(A22="","",IF(AND(P22&gt;0,P22&gt;=p_CompraMin),P22,0))</f>
        <v/>
      </c>
      <c r="R22" s="115" t="str">
        <f>IF(OR(A22="",F22=""),"",MAX(0,F22-TODAY()))</f>
        <v/>
      </c>
      <c r="T22" s="85" t="str">
        <f>IF(A22="","",IF(G22="",$U$1,G22))</f>
        <v/>
      </c>
      <c r="U22" s="85" t="str">
        <f>IF(A22="","",IFERROR(INDEX(moeda_fx,MATCH(T22,moeda_cod,0)),0))</f>
        <v/>
      </c>
      <c r="V22" s="85" t="str">
        <f>IF(A22="","",ROUND(MAX(0,N(I22)*($J$6+$U$7)-J22),2))</f>
        <v/>
      </c>
      <c r="W22" s="85" t="str">
        <f>IF(A22="","",IF(AND(L22&gt;0,L22&gt;=p_DifMin),V22,0))</f>
        <v/>
      </c>
      <c r="X22" s="85" t="str">
        <f>IF(A22="","",IF(AND(W22&gt;0,N(N22)&lt;=p_MaxAtivos),W22,0))</f>
        <v/>
      </c>
    </row>
    <row r="23">
      <c r="A23" s="96" t="n"/>
      <c r="B23" s="96" t="n"/>
      <c r="C23" s="96" t="n"/>
      <c r="D23" s="96" t="n"/>
      <c r="E23" s="96" t="n"/>
      <c r="F23" s="112" t="n"/>
      <c r="G23" s="97" t="n"/>
      <c r="H23" s="113" t="n"/>
      <c r="I23" s="99" t="n"/>
      <c r="J23" s="70" t="str">
        <f>IF(A23="","",N(H23)*U23)</f>
        <v/>
      </c>
      <c r="K23" s="30" t="str">
        <f>IF(A23="","",IF($J$6&gt;0,J23/$J$6,0))</f>
        <v/>
      </c>
      <c r="L23" s="72" t="str">
        <f>IF(A23="","",N(I23)-K23)</f>
        <v/>
      </c>
      <c r="M23" s="30" t="str">
        <f>IF(A23="","",IF($W$6&gt;0,W23/$W$6,0))</f>
        <v/>
      </c>
      <c r="N23" s="74" t="str">
        <f>IF(A23="","",IF(W23&lt;=0,"",COUNTIF($W$9:$W$108,"&gt;"&amp;W23)+COUNTIF($W$9:W23,W23)))</f>
        <v/>
      </c>
      <c r="O23" s="73" t="str">
        <f>IF(A23="","",IF(P23&gt;0,"BUY","HOLD"))</f>
        <v/>
      </c>
      <c r="P23" s="70" t="str">
        <f>IF(A23="","",IF($U$7&lt;=0,0,IF($X$6&gt;0,$U$7*X23/$X$6,IF($I$6&gt;0,$U$7*N(I23)/$I$6,0))))</f>
        <v/>
      </c>
      <c r="Q23" s="70" t="str">
        <f>IF(A23="","",IF(AND(P23&gt;0,P23&gt;=p_CompraMin),P23,0))</f>
        <v/>
      </c>
      <c r="R23" s="114" t="str">
        <f>IF(OR(A23="",F23=""),"",MAX(0,F23-TODAY()))</f>
        <v/>
      </c>
      <c r="T23" s="85" t="str">
        <f>IF(A23="","",IF(G23="",$U$1,G23))</f>
        <v/>
      </c>
      <c r="U23" s="85" t="str">
        <f>IF(A23="","",IFERROR(INDEX(moeda_fx,MATCH(T23,moeda_cod,0)),0))</f>
        <v/>
      </c>
      <c r="V23" s="85" t="str">
        <f>IF(A23="","",ROUND(MAX(0,N(I23)*($J$6+$U$7)-J23),2))</f>
        <v/>
      </c>
      <c r="W23" s="85" t="str">
        <f>IF(A23="","",IF(AND(L23&gt;0,L23&gt;=p_DifMin),V23,0))</f>
        <v/>
      </c>
      <c r="X23" s="85" t="str">
        <f>IF(A23="","",IF(AND(W23&gt;0,N(N23)&lt;=p_MaxAtivos),W23,0))</f>
        <v/>
      </c>
    </row>
    <row r="24">
      <c r="A24" s="96" t="n"/>
      <c r="B24" s="96" t="n"/>
      <c r="C24" s="96" t="n"/>
      <c r="D24" s="96" t="n"/>
      <c r="E24" s="96" t="n"/>
      <c r="F24" s="112" t="n"/>
      <c r="G24" s="97" t="n"/>
      <c r="H24" s="113" t="n"/>
      <c r="I24" s="99" t="n"/>
      <c r="J24" s="107" t="str">
        <f>IF(A24="","",N(H24)*U24)</f>
        <v/>
      </c>
      <c r="K24" s="108" t="str">
        <f>IF(A24="","",IF($J$6&gt;0,J24/$J$6,0))</f>
        <v/>
      </c>
      <c r="L24" s="109" t="str">
        <f>IF(A24="","",N(I24)-K24)</f>
        <v/>
      </c>
      <c r="M24" s="108" t="str">
        <f>IF(A24="","",IF($W$6&gt;0,W24/$W$6,0))</f>
        <v/>
      </c>
      <c r="N24" s="110" t="str">
        <f>IF(A24="","",IF(W24&lt;=0,"",COUNTIF($W$9:$W$108,"&gt;"&amp;W24)+COUNTIF($W$9:W24,W24)))</f>
        <v/>
      </c>
      <c r="O24" s="105" t="str">
        <f>IF(A24="","",IF(P24&gt;0,"BUY","HOLD"))</f>
        <v/>
      </c>
      <c r="P24" s="107" t="str">
        <f>IF(A24="","",IF($U$7&lt;=0,0,IF($X$6&gt;0,$U$7*X24/$X$6,IF($I$6&gt;0,$U$7*N(I24)/$I$6,0))))</f>
        <v/>
      </c>
      <c r="Q24" s="107" t="str">
        <f>IF(A24="","",IF(AND(P24&gt;0,P24&gt;=p_CompraMin),P24,0))</f>
        <v/>
      </c>
      <c r="R24" s="115" t="str">
        <f>IF(OR(A24="",F24=""),"",MAX(0,F24-TODAY()))</f>
        <v/>
      </c>
      <c r="T24" s="85" t="str">
        <f>IF(A24="","",IF(G24="",$U$1,G24))</f>
        <v/>
      </c>
      <c r="U24" s="85" t="str">
        <f>IF(A24="","",IFERROR(INDEX(moeda_fx,MATCH(T24,moeda_cod,0)),0))</f>
        <v/>
      </c>
      <c r="V24" s="85" t="str">
        <f>IF(A24="","",ROUND(MAX(0,N(I24)*($J$6+$U$7)-J24),2))</f>
        <v/>
      </c>
      <c r="W24" s="85" t="str">
        <f>IF(A24="","",IF(AND(L24&gt;0,L24&gt;=p_DifMin),V24,0))</f>
        <v/>
      </c>
      <c r="X24" s="85" t="str">
        <f>IF(A24="","",IF(AND(W24&gt;0,N(N24)&lt;=p_MaxAtivos),W24,0))</f>
        <v/>
      </c>
    </row>
    <row r="25">
      <c r="A25" s="96" t="n"/>
      <c r="B25" s="96" t="n"/>
      <c r="C25" s="96" t="n"/>
      <c r="D25" s="96" t="n"/>
      <c r="E25" s="96" t="n"/>
      <c r="F25" s="112" t="n"/>
      <c r="G25" s="97" t="n"/>
      <c r="H25" s="113" t="n"/>
      <c r="I25" s="99" t="n"/>
      <c r="J25" s="70" t="str">
        <f>IF(A25="","",N(H25)*U25)</f>
        <v/>
      </c>
      <c r="K25" s="30" t="str">
        <f>IF(A25="","",IF($J$6&gt;0,J25/$J$6,0))</f>
        <v/>
      </c>
      <c r="L25" s="72" t="str">
        <f>IF(A25="","",N(I25)-K25)</f>
        <v/>
      </c>
      <c r="M25" s="30" t="str">
        <f>IF(A25="","",IF($W$6&gt;0,W25/$W$6,0))</f>
        <v/>
      </c>
      <c r="N25" s="74" t="str">
        <f>IF(A25="","",IF(W25&lt;=0,"",COUNTIF($W$9:$W$108,"&gt;"&amp;W25)+COUNTIF($W$9:W25,W25)))</f>
        <v/>
      </c>
      <c r="O25" s="73" t="str">
        <f>IF(A25="","",IF(P25&gt;0,"BUY","HOLD"))</f>
        <v/>
      </c>
      <c r="P25" s="70" t="str">
        <f>IF(A25="","",IF($U$7&lt;=0,0,IF($X$6&gt;0,$U$7*X25/$X$6,IF($I$6&gt;0,$U$7*N(I25)/$I$6,0))))</f>
        <v/>
      </c>
      <c r="Q25" s="70" t="str">
        <f>IF(A25="","",IF(AND(P25&gt;0,P25&gt;=p_CompraMin),P25,0))</f>
        <v/>
      </c>
      <c r="R25" s="114" t="str">
        <f>IF(OR(A25="",F25=""),"",MAX(0,F25-TODAY()))</f>
        <v/>
      </c>
      <c r="T25" s="85" t="str">
        <f>IF(A25="","",IF(G25="",$U$1,G25))</f>
        <v/>
      </c>
      <c r="U25" s="85" t="str">
        <f>IF(A25="","",IFERROR(INDEX(moeda_fx,MATCH(T25,moeda_cod,0)),0))</f>
        <v/>
      </c>
      <c r="V25" s="85" t="str">
        <f>IF(A25="","",ROUND(MAX(0,N(I25)*($J$6+$U$7)-J25),2))</f>
        <v/>
      </c>
      <c r="W25" s="85" t="str">
        <f>IF(A25="","",IF(AND(L25&gt;0,L25&gt;=p_DifMin),V25,0))</f>
        <v/>
      </c>
      <c r="X25" s="85" t="str">
        <f>IF(A25="","",IF(AND(W25&gt;0,N(N25)&lt;=p_MaxAtivos),W25,0))</f>
        <v/>
      </c>
    </row>
    <row r="26">
      <c r="A26" s="96" t="n"/>
      <c r="B26" s="96" t="n"/>
      <c r="C26" s="96" t="n"/>
      <c r="D26" s="96" t="n"/>
      <c r="E26" s="96" t="n"/>
      <c r="F26" s="112" t="n"/>
      <c r="G26" s="97" t="n"/>
      <c r="H26" s="113" t="n"/>
      <c r="I26" s="99" t="n"/>
      <c r="J26" s="107" t="str">
        <f>IF(A26="","",N(H26)*U26)</f>
        <v/>
      </c>
      <c r="K26" s="108" t="str">
        <f>IF(A26="","",IF($J$6&gt;0,J26/$J$6,0))</f>
        <v/>
      </c>
      <c r="L26" s="109" t="str">
        <f>IF(A26="","",N(I26)-K26)</f>
        <v/>
      </c>
      <c r="M26" s="108" t="str">
        <f>IF(A26="","",IF($W$6&gt;0,W26/$W$6,0))</f>
        <v/>
      </c>
      <c r="N26" s="110" t="str">
        <f>IF(A26="","",IF(W26&lt;=0,"",COUNTIF($W$9:$W$108,"&gt;"&amp;W26)+COUNTIF($W$9:W26,W26)))</f>
        <v/>
      </c>
      <c r="O26" s="105" t="str">
        <f>IF(A26="","",IF(P26&gt;0,"BUY","HOLD"))</f>
        <v/>
      </c>
      <c r="P26" s="107" t="str">
        <f>IF(A26="","",IF($U$7&lt;=0,0,IF($X$6&gt;0,$U$7*X26/$X$6,IF($I$6&gt;0,$U$7*N(I26)/$I$6,0))))</f>
        <v/>
      </c>
      <c r="Q26" s="107" t="str">
        <f>IF(A26="","",IF(AND(P26&gt;0,P26&gt;=p_CompraMin),P26,0))</f>
        <v/>
      </c>
      <c r="R26" s="115" t="str">
        <f>IF(OR(A26="",F26=""),"",MAX(0,F26-TODAY()))</f>
        <v/>
      </c>
      <c r="T26" s="85" t="str">
        <f>IF(A26="","",IF(G26="",$U$1,G26))</f>
        <v/>
      </c>
      <c r="U26" s="85" t="str">
        <f>IF(A26="","",IFERROR(INDEX(moeda_fx,MATCH(T26,moeda_cod,0)),0))</f>
        <v/>
      </c>
      <c r="V26" s="85" t="str">
        <f>IF(A26="","",ROUND(MAX(0,N(I26)*($J$6+$U$7)-J26),2))</f>
        <v/>
      </c>
      <c r="W26" s="85" t="str">
        <f>IF(A26="","",IF(AND(L26&gt;0,L26&gt;=p_DifMin),V26,0))</f>
        <v/>
      </c>
      <c r="X26" s="85" t="str">
        <f>IF(A26="","",IF(AND(W26&gt;0,N(N26)&lt;=p_MaxAtivos),W26,0))</f>
        <v/>
      </c>
    </row>
    <row r="27">
      <c r="A27" s="96" t="n"/>
      <c r="B27" s="96" t="n"/>
      <c r="C27" s="96" t="n"/>
      <c r="D27" s="96" t="n"/>
      <c r="E27" s="96" t="n"/>
      <c r="F27" s="112" t="n"/>
      <c r="G27" s="97" t="n"/>
      <c r="H27" s="113" t="n"/>
      <c r="I27" s="99" t="n"/>
      <c r="J27" s="70" t="str">
        <f>IF(A27="","",N(H27)*U27)</f>
        <v/>
      </c>
      <c r="K27" s="30" t="str">
        <f>IF(A27="","",IF($J$6&gt;0,J27/$J$6,0))</f>
        <v/>
      </c>
      <c r="L27" s="72" t="str">
        <f>IF(A27="","",N(I27)-K27)</f>
        <v/>
      </c>
      <c r="M27" s="30" t="str">
        <f>IF(A27="","",IF($W$6&gt;0,W27/$W$6,0))</f>
        <v/>
      </c>
      <c r="N27" s="74" t="str">
        <f>IF(A27="","",IF(W27&lt;=0,"",COUNTIF($W$9:$W$108,"&gt;"&amp;W27)+COUNTIF($W$9:W27,W27)))</f>
        <v/>
      </c>
      <c r="O27" s="73" t="str">
        <f>IF(A27="","",IF(P27&gt;0,"BUY","HOLD"))</f>
        <v/>
      </c>
      <c r="P27" s="70" t="str">
        <f>IF(A27="","",IF($U$7&lt;=0,0,IF($X$6&gt;0,$U$7*X27/$X$6,IF($I$6&gt;0,$U$7*N(I27)/$I$6,0))))</f>
        <v/>
      </c>
      <c r="Q27" s="70" t="str">
        <f>IF(A27="","",IF(AND(P27&gt;0,P27&gt;=p_CompraMin),P27,0))</f>
        <v/>
      </c>
      <c r="R27" s="114" t="str">
        <f>IF(OR(A27="",F27=""),"",MAX(0,F27-TODAY()))</f>
        <v/>
      </c>
      <c r="T27" s="85" t="str">
        <f>IF(A27="","",IF(G27="",$U$1,G27))</f>
        <v/>
      </c>
      <c r="U27" s="85" t="str">
        <f>IF(A27="","",IFERROR(INDEX(moeda_fx,MATCH(T27,moeda_cod,0)),0))</f>
        <v/>
      </c>
      <c r="V27" s="85" t="str">
        <f>IF(A27="","",ROUND(MAX(0,N(I27)*($J$6+$U$7)-J27),2))</f>
        <v/>
      </c>
      <c r="W27" s="85" t="str">
        <f>IF(A27="","",IF(AND(L27&gt;0,L27&gt;=p_DifMin),V27,0))</f>
        <v/>
      </c>
      <c r="X27" s="85" t="str">
        <f>IF(A27="","",IF(AND(W27&gt;0,N(N27)&lt;=p_MaxAtivos),W27,0))</f>
        <v/>
      </c>
    </row>
    <row r="28">
      <c r="A28" s="96" t="n"/>
      <c r="B28" s="96" t="n"/>
      <c r="C28" s="96" t="n"/>
      <c r="D28" s="96" t="n"/>
      <c r="E28" s="96" t="n"/>
      <c r="F28" s="112" t="n"/>
      <c r="G28" s="97" t="n"/>
      <c r="H28" s="113" t="n"/>
      <c r="I28" s="99" t="n"/>
      <c r="J28" s="107" t="str">
        <f>IF(A28="","",N(H28)*U28)</f>
        <v/>
      </c>
      <c r="K28" s="108" t="str">
        <f>IF(A28="","",IF($J$6&gt;0,J28/$J$6,0))</f>
        <v/>
      </c>
      <c r="L28" s="109" t="str">
        <f>IF(A28="","",N(I28)-K28)</f>
        <v/>
      </c>
      <c r="M28" s="108" t="str">
        <f>IF(A28="","",IF($W$6&gt;0,W28/$W$6,0))</f>
        <v/>
      </c>
      <c r="N28" s="110" t="str">
        <f>IF(A28="","",IF(W28&lt;=0,"",COUNTIF($W$9:$W$108,"&gt;"&amp;W28)+COUNTIF($W$9:W28,W28)))</f>
        <v/>
      </c>
      <c r="O28" s="105" t="str">
        <f>IF(A28="","",IF(P28&gt;0,"BUY","HOLD"))</f>
        <v/>
      </c>
      <c r="P28" s="107" t="str">
        <f>IF(A28="","",IF($U$7&lt;=0,0,IF($X$6&gt;0,$U$7*X28/$X$6,IF($I$6&gt;0,$U$7*N(I28)/$I$6,0))))</f>
        <v/>
      </c>
      <c r="Q28" s="107" t="str">
        <f>IF(A28="","",IF(AND(P28&gt;0,P28&gt;=p_CompraMin),P28,0))</f>
        <v/>
      </c>
      <c r="R28" s="115" t="str">
        <f>IF(OR(A28="",F28=""),"",MAX(0,F28-TODAY()))</f>
        <v/>
      </c>
      <c r="T28" s="85" t="str">
        <f>IF(A28="","",IF(G28="",$U$1,G28))</f>
        <v/>
      </c>
      <c r="U28" s="85" t="str">
        <f>IF(A28="","",IFERROR(INDEX(moeda_fx,MATCH(T28,moeda_cod,0)),0))</f>
        <v/>
      </c>
      <c r="V28" s="85" t="str">
        <f>IF(A28="","",ROUND(MAX(0,N(I28)*($J$6+$U$7)-J28),2))</f>
        <v/>
      </c>
      <c r="W28" s="85" t="str">
        <f>IF(A28="","",IF(AND(L28&gt;0,L28&gt;=p_DifMin),V28,0))</f>
        <v/>
      </c>
      <c r="X28" s="85" t="str">
        <f>IF(A28="","",IF(AND(W28&gt;0,N(N28)&lt;=p_MaxAtivos),W28,0))</f>
        <v/>
      </c>
    </row>
    <row r="29">
      <c r="A29" s="96" t="n"/>
      <c r="B29" s="96" t="n"/>
      <c r="C29" s="96" t="n"/>
      <c r="D29" s="96" t="n"/>
      <c r="E29" s="96" t="n"/>
      <c r="F29" s="112" t="n"/>
      <c r="G29" s="97" t="n"/>
      <c r="H29" s="113" t="n"/>
      <c r="I29" s="99" t="n"/>
      <c r="J29" s="70" t="str">
        <f>IF(A29="","",N(H29)*U29)</f>
        <v/>
      </c>
      <c r="K29" s="30" t="str">
        <f>IF(A29="","",IF($J$6&gt;0,J29/$J$6,0))</f>
        <v/>
      </c>
      <c r="L29" s="72" t="str">
        <f>IF(A29="","",N(I29)-K29)</f>
        <v/>
      </c>
      <c r="M29" s="30" t="str">
        <f>IF(A29="","",IF($W$6&gt;0,W29/$W$6,0))</f>
        <v/>
      </c>
      <c r="N29" s="74" t="str">
        <f>IF(A29="","",IF(W29&lt;=0,"",COUNTIF($W$9:$W$108,"&gt;"&amp;W29)+COUNTIF($W$9:W29,W29)))</f>
        <v/>
      </c>
      <c r="O29" s="73" t="str">
        <f>IF(A29="","",IF(P29&gt;0,"BUY","HOLD"))</f>
        <v/>
      </c>
      <c r="P29" s="70" t="str">
        <f>IF(A29="","",IF($U$7&lt;=0,0,IF($X$6&gt;0,$U$7*X29/$X$6,IF($I$6&gt;0,$U$7*N(I29)/$I$6,0))))</f>
        <v/>
      </c>
      <c r="Q29" s="70" t="str">
        <f>IF(A29="","",IF(AND(P29&gt;0,P29&gt;=p_CompraMin),P29,0))</f>
        <v/>
      </c>
      <c r="R29" s="114" t="str">
        <f>IF(OR(A29="",F29=""),"",MAX(0,F29-TODAY()))</f>
        <v/>
      </c>
      <c r="T29" s="85" t="str">
        <f>IF(A29="","",IF(G29="",$U$1,G29))</f>
        <v/>
      </c>
      <c r="U29" s="85" t="str">
        <f>IF(A29="","",IFERROR(INDEX(moeda_fx,MATCH(T29,moeda_cod,0)),0))</f>
        <v/>
      </c>
      <c r="V29" s="85" t="str">
        <f>IF(A29="","",ROUND(MAX(0,N(I29)*($J$6+$U$7)-J29),2))</f>
        <v/>
      </c>
      <c r="W29" s="85" t="str">
        <f>IF(A29="","",IF(AND(L29&gt;0,L29&gt;=p_DifMin),V29,0))</f>
        <v/>
      </c>
      <c r="X29" s="85" t="str">
        <f>IF(A29="","",IF(AND(W29&gt;0,N(N29)&lt;=p_MaxAtivos),W29,0))</f>
        <v/>
      </c>
    </row>
    <row r="30">
      <c r="A30" s="96" t="n"/>
      <c r="B30" s="96" t="n"/>
      <c r="C30" s="96" t="n"/>
      <c r="D30" s="96" t="n"/>
      <c r="E30" s="96" t="n"/>
      <c r="F30" s="112" t="n"/>
      <c r="G30" s="97" t="n"/>
      <c r="H30" s="113" t="n"/>
      <c r="I30" s="99" t="n"/>
      <c r="J30" s="107" t="str">
        <f>IF(A30="","",N(H30)*U30)</f>
        <v/>
      </c>
      <c r="K30" s="108" t="str">
        <f>IF(A30="","",IF($J$6&gt;0,J30/$J$6,0))</f>
        <v/>
      </c>
      <c r="L30" s="109" t="str">
        <f>IF(A30="","",N(I30)-K30)</f>
        <v/>
      </c>
      <c r="M30" s="108" t="str">
        <f>IF(A30="","",IF($W$6&gt;0,W30/$W$6,0))</f>
        <v/>
      </c>
      <c r="N30" s="110" t="str">
        <f>IF(A30="","",IF(W30&lt;=0,"",COUNTIF($W$9:$W$108,"&gt;"&amp;W30)+COUNTIF($W$9:W30,W30)))</f>
        <v/>
      </c>
      <c r="O30" s="105" t="str">
        <f>IF(A30="","",IF(P30&gt;0,"BUY","HOLD"))</f>
        <v/>
      </c>
      <c r="P30" s="107" t="str">
        <f>IF(A30="","",IF($U$7&lt;=0,0,IF($X$6&gt;0,$U$7*X30/$X$6,IF($I$6&gt;0,$U$7*N(I30)/$I$6,0))))</f>
        <v/>
      </c>
      <c r="Q30" s="107" t="str">
        <f>IF(A30="","",IF(AND(P30&gt;0,P30&gt;=p_CompraMin),P30,0))</f>
        <v/>
      </c>
      <c r="R30" s="115" t="str">
        <f>IF(OR(A30="",F30=""),"",MAX(0,F30-TODAY()))</f>
        <v/>
      </c>
      <c r="T30" s="85" t="str">
        <f>IF(A30="","",IF(G30="",$U$1,G30))</f>
        <v/>
      </c>
      <c r="U30" s="85" t="str">
        <f>IF(A30="","",IFERROR(INDEX(moeda_fx,MATCH(T30,moeda_cod,0)),0))</f>
        <v/>
      </c>
      <c r="V30" s="85" t="str">
        <f>IF(A30="","",ROUND(MAX(0,N(I30)*($J$6+$U$7)-J30),2))</f>
        <v/>
      </c>
      <c r="W30" s="85" t="str">
        <f>IF(A30="","",IF(AND(L30&gt;0,L30&gt;=p_DifMin),V30,0))</f>
        <v/>
      </c>
      <c r="X30" s="85" t="str">
        <f>IF(A30="","",IF(AND(W30&gt;0,N(N30)&lt;=p_MaxAtivos),W30,0))</f>
        <v/>
      </c>
    </row>
    <row r="31">
      <c r="A31" s="96" t="n"/>
      <c r="B31" s="96" t="n"/>
      <c r="C31" s="96" t="n"/>
      <c r="D31" s="96" t="n"/>
      <c r="E31" s="96" t="n"/>
      <c r="F31" s="112" t="n"/>
      <c r="G31" s="97" t="n"/>
      <c r="H31" s="113" t="n"/>
      <c r="I31" s="99" t="n"/>
      <c r="J31" s="70" t="str">
        <f>IF(A31="","",N(H31)*U31)</f>
        <v/>
      </c>
      <c r="K31" s="30" t="str">
        <f>IF(A31="","",IF($J$6&gt;0,J31/$J$6,0))</f>
        <v/>
      </c>
      <c r="L31" s="72" t="str">
        <f>IF(A31="","",N(I31)-K31)</f>
        <v/>
      </c>
      <c r="M31" s="30" t="str">
        <f>IF(A31="","",IF($W$6&gt;0,W31/$W$6,0))</f>
        <v/>
      </c>
      <c r="N31" s="74" t="str">
        <f>IF(A31="","",IF(W31&lt;=0,"",COUNTIF($W$9:$W$108,"&gt;"&amp;W31)+COUNTIF($W$9:W31,W31)))</f>
        <v/>
      </c>
      <c r="O31" s="73" t="str">
        <f>IF(A31="","",IF(P31&gt;0,"BUY","HOLD"))</f>
        <v/>
      </c>
      <c r="P31" s="70" t="str">
        <f>IF(A31="","",IF($U$7&lt;=0,0,IF($X$6&gt;0,$U$7*X31/$X$6,IF($I$6&gt;0,$U$7*N(I31)/$I$6,0))))</f>
        <v/>
      </c>
      <c r="Q31" s="70" t="str">
        <f>IF(A31="","",IF(AND(P31&gt;0,P31&gt;=p_CompraMin),P31,0))</f>
        <v/>
      </c>
      <c r="R31" s="114" t="str">
        <f>IF(OR(A31="",F31=""),"",MAX(0,F31-TODAY()))</f>
        <v/>
      </c>
      <c r="T31" s="85" t="str">
        <f>IF(A31="","",IF(G31="",$U$1,G31))</f>
        <v/>
      </c>
      <c r="U31" s="85" t="str">
        <f>IF(A31="","",IFERROR(INDEX(moeda_fx,MATCH(T31,moeda_cod,0)),0))</f>
        <v/>
      </c>
      <c r="V31" s="85" t="str">
        <f>IF(A31="","",ROUND(MAX(0,N(I31)*($J$6+$U$7)-J31),2))</f>
        <v/>
      </c>
      <c r="W31" s="85" t="str">
        <f>IF(A31="","",IF(AND(L31&gt;0,L31&gt;=p_DifMin),V31,0))</f>
        <v/>
      </c>
      <c r="X31" s="85" t="str">
        <f>IF(A31="","",IF(AND(W31&gt;0,N(N31)&lt;=p_MaxAtivos),W31,0))</f>
        <v/>
      </c>
    </row>
    <row r="32">
      <c r="A32" s="96" t="n"/>
      <c r="B32" s="96" t="n"/>
      <c r="C32" s="96" t="n"/>
      <c r="D32" s="96" t="n"/>
      <c r="E32" s="96" t="n"/>
      <c r="F32" s="112" t="n"/>
      <c r="G32" s="97" t="n"/>
      <c r="H32" s="113" t="n"/>
      <c r="I32" s="99" t="n"/>
      <c r="J32" s="107" t="str">
        <f>IF(A32="","",N(H32)*U32)</f>
        <v/>
      </c>
      <c r="K32" s="108" t="str">
        <f>IF(A32="","",IF($J$6&gt;0,J32/$J$6,0))</f>
        <v/>
      </c>
      <c r="L32" s="109" t="str">
        <f>IF(A32="","",N(I32)-K32)</f>
        <v/>
      </c>
      <c r="M32" s="108" t="str">
        <f>IF(A32="","",IF($W$6&gt;0,W32/$W$6,0))</f>
        <v/>
      </c>
      <c r="N32" s="110" t="str">
        <f>IF(A32="","",IF(W32&lt;=0,"",COUNTIF($W$9:$W$108,"&gt;"&amp;W32)+COUNTIF($W$9:W32,W32)))</f>
        <v/>
      </c>
      <c r="O32" s="105" t="str">
        <f>IF(A32="","",IF(P32&gt;0,"BUY","HOLD"))</f>
        <v/>
      </c>
      <c r="P32" s="107" t="str">
        <f>IF(A32="","",IF($U$7&lt;=0,0,IF($X$6&gt;0,$U$7*X32/$X$6,IF($I$6&gt;0,$U$7*N(I32)/$I$6,0))))</f>
        <v/>
      </c>
      <c r="Q32" s="107" t="str">
        <f>IF(A32="","",IF(AND(P32&gt;0,P32&gt;=p_CompraMin),P32,0))</f>
        <v/>
      </c>
      <c r="R32" s="115" t="str">
        <f>IF(OR(A32="",F32=""),"",MAX(0,F32-TODAY()))</f>
        <v/>
      </c>
      <c r="T32" s="85" t="str">
        <f>IF(A32="","",IF(G32="",$U$1,G32))</f>
        <v/>
      </c>
      <c r="U32" s="85" t="str">
        <f>IF(A32="","",IFERROR(INDEX(moeda_fx,MATCH(T32,moeda_cod,0)),0))</f>
        <v/>
      </c>
      <c r="V32" s="85" t="str">
        <f>IF(A32="","",ROUND(MAX(0,N(I32)*($J$6+$U$7)-J32),2))</f>
        <v/>
      </c>
      <c r="W32" s="85" t="str">
        <f>IF(A32="","",IF(AND(L32&gt;0,L32&gt;=p_DifMin),V32,0))</f>
        <v/>
      </c>
      <c r="X32" s="85" t="str">
        <f>IF(A32="","",IF(AND(W32&gt;0,N(N32)&lt;=p_MaxAtivos),W32,0))</f>
        <v/>
      </c>
    </row>
    <row r="33">
      <c r="A33" s="96" t="n"/>
      <c r="B33" s="96" t="n"/>
      <c r="C33" s="96" t="n"/>
      <c r="D33" s="96" t="n"/>
      <c r="E33" s="96" t="n"/>
      <c r="F33" s="112" t="n"/>
      <c r="G33" s="97" t="n"/>
      <c r="H33" s="113" t="n"/>
      <c r="I33" s="99" t="n"/>
      <c r="J33" s="70" t="str">
        <f>IF(A33="","",N(H33)*U33)</f>
        <v/>
      </c>
      <c r="K33" s="30" t="str">
        <f>IF(A33="","",IF($J$6&gt;0,J33/$J$6,0))</f>
        <v/>
      </c>
      <c r="L33" s="72" t="str">
        <f>IF(A33="","",N(I33)-K33)</f>
        <v/>
      </c>
      <c r="M33" s="30" t="str">
        <f>IF(A33="","",IF($W$6&gt;0,W33/$W$6,0))</f>
        <v/>
      </c>
      <c r="N33" s="74" t="str">
        <f>IF(A33="","",IF(W33&lt;=0,"",COUNTIF($W$9:$W$108,"&gt;"&amp;W33)+COUNTIF($W$9:W33,W33)))</f>
        <v/>
      </c>
      <c r="O33" s="73" t="str">
        <f>IF(A33="","",IF(P33&gt;0,"BUY","HOLD"))</f>
        <v/>
      </c>
      <c r="P33" s="70" t="str">
        <f>IF(A33="","",IF($U$7&lt;=0,0,IF($X$6&gt;0,$U$7*X33/$X$6,IF($I$6&gt;0,$U$7*N(I33)/$I$6,0))))</f>
        <v/>
      </c>
      <c r="Q33" s="70" t="str">
        <f>IF(A33="","",IF(AND(P33&gt;0,P33&gt;=p_CompraMin),P33,0))</f>
        <v/>
      </c>
      <c r="R33" s="114" t="str">
        <f>IF(OR(A33="",F33=""),"",MAX(0,F33-TODAY()))</f>
        <v/>
      </c>
      <c r="T33" s="85" t="str">
        <f>IF(A33="","",IF(G33="",$U$1,G33))</f>
        <v/>
      </c>
      <c r="U33" s="85" t="str">
        <f>IF(A33="","",IFERROR(INDEX(moeda_fx,MATCH(T33,moeda_cod,0)),0))</f>
        <v/>
      </c>
      <c r="V33" s="85" t="str">
        <f>IF(A33="","",ROUND(MAX(0,N(I33)*($J$6+$U$7)-J33),2))</f>
        <v/>
      </c>
      <c r="W33" s="85" t="str">
        <f>IF(A33="","",IF(AND(L33&gt;0,L33&gt;=p_DifMin),V33,0))</f>
        <v/>
      </c>
      <c r="X33" s="85" t="str">
        <f>IF(A33="","",IF(AND(W33&gt;0,N(N33)&lt;=p_MaxAtivos),W33,0))</f>
        <v/>
      </c>
    </row>
    <row r="34">
      <c r="A34" s="96" t="n"/>
      <c r="B34" s="96" t="n"/>
      <c r="C34" s="96" t="n"/>
      <c r="D34" s="96" t="n"/>
      <c r="E34" s="96" t="n"/>
      <c r="F34" s="112" t="n"/>
      <c r="G34" s="97" t="n"/>
      <c r="H34" s="113" t="n"/>
      <c r="I34" s="99" t="n"/>
      <c r="J34" s="107" t="str">
        <f>IF(A34="","",N(H34)*U34)</f>
        <v/>
      </c>
      <c r="K34" s="108" t="str">
        <f>IF(A34="","",IF($J$6&gt;0,J34/$J$6,0))</f>
        <v/>
      </c>
      <c r="L34" s="109" t="str">
        <f>IF(A34="","",N(I34)-K34)</f>
        <v/>
      </c>
      <c r="M34" s="108" t="str">
        <f>IF(A34="","",IF($W$6&gt;0,W34/$W$6,0))</f>
        <v/>
      </c>
      <c r="N34" s="110" t="str">
        <f>IF(A34="","",IF(W34&lt;=0,"",COUNTIF($W$9:$W$108,"&gt;"&amp;W34)+COUNTIF($W$9:W34,W34)))</f>
        <v/>
      </c>
      <c r="O34" s="105" t="str">
        <f>IF(A34="","",IF(P34&gt;0,"BUY","HOLD"))</f>
        <v/>
      </c>
      <c r="P34" s="107" t="str">
        <f>IF(A34="","",IF($U$7&lt;=0,0,IF($X$6&gt;0,$U$7*X34/$X$6,IF($I$6&gt;0,$U$7*N(I34)/$I$6,0))))</f>
        <v/>
      </c>
      <c r="Q34" s="107" t="str">
        <f>IF(A34="","",IF(AND(P34&gt;0,P34&gt;=p_CompraMin),P34,0))</f>
        <v/>
      </c>
      <c r="R34" s="115" t="str">
        <f>IF(OR(A34="",F34=""),"",MAX(0,F34-TODAY()))</f>
        <v/>
      </c>
      <c r="T34" s="85" t="str">
        <f>IF(A34="","",IF(G34="",$U$1,G34))</f>
        <v/>
      </c>
      <c r="U34" s="85" t="str">
        <f>IF(A34="","",IFERROR(INDEX(moeda_fx,MATCH(T34,moeda_cod,0)),0))</f>
        <v/>
      </c>
      <c r="V34" s="85" t="str">
        <f>IF(A34="","",ROUND(MAX(0,N(I34)*($J$6+$U$7)-J34),2))</f>
        <v/>
      </c>
      <c r="W34" s="85" t="str">
        <f>IF(A34="","",IF(AND(L34&gt;0,L34&gt;=p_DifMin),V34,0))</f>
        <v/>
      </c>
      <c r="X34" s="85" t="str">
        <f>IF(A34="","",IF(AND(W34&gt;0,N(N34)&lt;=p_MaxAtivos),W34,0))</f>
        <v/>
      </c>
    </row>
    <row r="35">
      <c r="A35" s="96" t="n"/>
      <c r="B35" s="96" t="n"/>
      <c r="C35" s="96" t="n"/>
      <c r="D35" s="96" t="n"/>
      <c r="E35" s="96" t="n"/>
      <c r="F35" s="112" t="n"/>
      <c r="G35" s="97" t="n"/>
      <c r="H35" s="113" t="n"/>
      <c r="I35" s="99" t="n"/>
      <c r="J35" s="70" t="str">
        <f>IF(A35="","",N(H35)*U35)</f>
        <v/>
      </c>
      <c r="K35" s="30" t="str">
        <f>IF(A35="","",IF($J$6&gt;0,J35/$J$6,0))</f>
        <v/>
      </c>
      <c r="L35" s="72" t="str">
        <f>IF(A35="","",N(I35)-K35)</f>
        <v/>
      </c>
      <c r="M35" s="30" t="str">
        <f>IF(A35="","",IF($W$6&gt;0,W35/$W$6,0))</f>
        <v/>
      </c>
      <c r="N35" s="74" t="str">
        <f>IF(A35="","",IF(W35&lt;=0,"",COUNTIF($W$9:$W$108,"&gt;"&amp;W35)+COUNTIF($W$9:W35,W35)))</f>
        <v/>
      </c>
      <c r="O35" s="73" t="str">
        <f>IF(A35="","",IF(P35&gt;0,"BUY","HOLD"))</f>
        <v/>
      </c>
      <c r="P35" s="70" t="str">
        <f>IF(A35="","",IF($U$7&lt;=0,0,IF($X$6&gt;0,$U$7*X35/$X$6,IF($I$6&gt;0,$U$7*N(I35)/$I$6,0))))</f>
        <v/>
      </c>
      <c r="Q35" s="70" t="str">
        <f>IF(A35="","",IF(AND(P35&gt;0,P35&gt;=p_CompraMin),P35,0))</f>
        <v/>
      </c>
      <c r="R35" s="114" t="str">
        <f>IF(OR(A35="",F35=""),"",MAX(0,F35-TODAY()))</f>
        <v/>
      </c>
      <c r="T35" s="85" t="str">
        <f>IF(A35="","",IF(G35="",$U$1,G35))</f>
        <v/>
      </c>
      <c r="U35" s="85" t="str">
        <f>IF(A35="","",IFERROR(INDEX(moeda_fx,MATCH(T35,moeda_cod,0)),0))</f>
        <v/>
      </c>
      <c r="V35" s="85" t="str">
        <f>IF(A35="","",ROUND(MAX(0,N(I35)*($J$6+$U$7)-J35),2))</f>
        <v/>
      </c>
      <c r="W35" s="85" t="str">
        <f>IF(A35="","",IF(AND(L35&gt;0,L35&gt;=p_DifMin),V35,0))</f>
        <v/>
      </c>
      <c r="X35" s="85" t="str">
        <f>IF(A35="","",IF(AND(W35&gt;0,N(N35)&lt;=p_MaxAtivos),W35,0))</f>
        <v/>
      </c>
    </row>
    <row r="36">
      <c r="A36" s="96" t="n"/>
      <c r="B36" s="96" t="n"/>
      <c r="C36" s="96" t="n"/>
      <c r="D36" s="96" t="n"/>
      <c r="E36" s="96" t="n"/>
      <c r="F36" s="112" t="n"/>
      <c r="G36" s="97" t="n"/>
      <c r="H36" s="113" t="n"/>
      <c r="I36" s="99" t="n"/>
      <c r="J36" s="107" t="str">
        <f>IF(A36="","",N(H36)*U36)</f>
        <v/>
      </c>
      <c r="K36" s="108" t="str">
        <f>IF(A36="","",IF($J$6&gt;0,J36/$J$6,0))</f>
        <v/>
      </c>
      <c r="L36" s="109" t="str">
        <f>IF(A36="","",N(I36)-K36)</f>
        <v/>
      </c>
      <c r="M36" s="108" t="str">
        <f>IF(A36="","",IF($W$6&gt;0,W36/$W$6,0))</f>
        <v/>
      </c>
      <c r="N36" s="110" t="str">
        <f>IF(A36="","",IF(W36&lt;=0,"",COUNTIF($W$9:$W$108,"&gt;"&amp;W36)+COUNTIF($W$9:W36,W36)))</f>
        <v/>
      </c>
      <c r="O36" s="105" t="str">
        <f>IF(A36="","",IF(P36&gt;0,"BUY","HOLD"))</f>
        <v/>
      </c>
      <c r="P36" s="107" t="str">
        <f>IF(A36="","",IF($U$7&lt;=0,0,IF($X$6&gt;0,$U$7*X36/$X$6,IF($I$6&gt;0,$U$7*N(I36)/$I$6,0))))</f>
        <v/>
      </c>
      <c r="Q36" s="107" t="str">
        <f>IF(A36="","",IF(AND(P36&gt;0,P36&gt;=p_CompraMin),P36,0))</f>
        <v/>
      </c>
      <c r="R36" s="115" t="str">
        <f>IF(OR(A36="",F36=""),"",MAX(0,F36-TODAY()))</f>
        <v/>
      </c>
      <c r="T36" s="85" t="str">
        <f>IF(A36="","",IF(G36="",$U$1,G36))</f>
        <v/>
      </c>
      <c r="U36" s="85" t="str">
        <f>IF(A36="","",IFERROR(INDEX(moeda_fx,MATCH(T36,moeda_cod,0)),0))</f>
        <v/>
      </c>
      <c r="V36" s="85" t="str">
        <f>IF(A36="","",ROUND(MAX(0,N(I36)*($J$6+$U$7)-J36),2))</f>
        <v/>
      </c>
      <c r="W36" s="85" t="str">
        <f>IF(A36="","",IF(AND(L36&gt;0,L36&gt;=p_DifMin),V36,0))</f>
        <v/>
      </c>
      <c r="X36" s="85" t="str">
        <f>IF(A36="","",IF(AND(W36&gt;0,N(N36)&lt;=p_MaxAtivos),W36,0))</f>
        <v/>
      </c>
    </row>
    <row r="37">
      <c r="A37" s="96" t="n"/>
      <c r="B37" s="96" t="n"/>
      <c r="C37" s="96" t="n"/>
      <c r="D37" s="96" t="n"/>
      <c r="E37" s="96" t="n"/>
      <c r="F37" s="112" t="n"/>
      <c r="G37" s="97" t="n"/>
      <c r="H37" s="113" t="n"/>
      <c r="I37" s="99" t="n"/>
      <c r="J37" s="70" t="str">
        <f>IF(A37="","",N(H37)*U37)</f>
        <v/>
      </c>
      <c r="K37" s="30" t="str">
        <f>IF(A37="","",IF($J$6&gt;0,J37/$J$6,0))</f>
        <v/>
      </c>
      <c r="L37" s="72" t="str">
        <f>IF(A37="","",N(I37)-K37)</f>
        <v/>
      </c>
      <c r="M37" s="30" t="str">
        <f>IF(A37="","",IF($W$6&gt;0,W37/$W$6,0))</f>
        <v/>
      </c>
      <c r="N37" s="74" t="str">
        <f>IF(A37="","",IF(W37&lt;=0,"",COUNTIF($W$9:$W$108,"&gt;"&amp;W37)+COUNTIF($W$9:W37,W37)))</f>
        <v/>
      </c>
      <c r="O37" s="73" t="str">
        <f>IF(A37="","",IF(P37&gt;0,"BUY","HOLD"))</f>
        <v/>
      </c>
      <c r="P37" s="70" t="str">
        <f>IF(A37="","",IF($U$7&lt;=0,0,IF($X$6&gt;0,$U$7*X37/$X$6,IF($I$6&gt;0,$U$7*N(I37)/$I$6,0))))</f>
        <v/>
      </c>
      <c r="Q37" s="70" t="str">
        <f>IF(A37="","",IF(AND(P37&gt;0,P37&gt;=p_CompraMin),P37,0))</f>
        <v/>
      </c>
      <c r="R37" s="114" t="str">
        <f>IF(OR(A37="",F37=""),"",MAX(0,F37-TODAY()))</f>
        <v/>
      </c>
      <c r="T37" s="85" t="str">
        <f>IF(A37="","",IF(G37="",$U$1,G37))</f>
        <v/>
      </c>
      <c r="U37" s="85" t="str">
        <f>IF(A37="","",IFERROR(INDEX(moeda_fx,MATCH(T37,moeda_cod,0)),0))</f>
        <v/>
      </c>
      <c r="V37" s="85" t="str">
        <f>IF(A37="","",ROUND(MAX(0,N(I37)*($J$6+$U$7)-J37),2))</f>
        <v/>
      </c>
      <c r="W37" s="85" t="str">
        <f>IF(A37="","",IF(AND(L37&gt;0,L37&gt;=p_DifMin),V37,0))</f>
        <v/>
      </c>
      <c r="X37" s="85" t="str">
        <f>IF(A37="","",IF(AND(W37&gt;0,N(N37)&lt;=p_MaxAtivos),W37,0))</f>
        <v/>
      </c>
    </row>
    <row r="38">
      <c r="A38" s="96" t="n"/>
      <c r="B38" s="96" t="n"/>
      <c r="C38" s="96" t="n"/>
      <c r="D38" s="96" t="n"/>
      <c r="E38" s="96" t="n"/>
      <c r="F38" s="112" t="n"/>
      <c r="G38" s="97" t="n"/>
      <c r="H38" s="113" t="n"/>
      <c r="I38" s="99" t="n"/>
      <c r="J38" s="107" t="str">
        <f>IF(A38="","",N(H38)*U38)</f>
        <v/>
      </c>
      <c r="K38" s="108" t="str">
        <f>IF(A38="","",IF($J$6&gt;0,J38/$J$6,0))</f>
        <v/>
      </c>
      <c r="L38" s="109" t="str">
        <f>IF(A38="","",N(I38)-K38)</f>
        <v/>
      </c>
      <c r="M38" s="108" t="str">
        <f>IF(A38="","",IF($W$6&gt;0,W38/$W$6,0))</f>
        <v/>
      </c>
      <c r="N38" s="110" t="str">
        <f>IF(A38="","",IF(W38&lt;=0,"",COUNTIF($W$9:$W$108,"&gt;"&amp;W38)+COUNTIF($W$9:W38,W38)))</f>
        <v/>
      </c>
      <c r="O38" s="105" t="str">
        <f>IF(A38="","",IF(P38&gt;0,"BUY","HOLD"))</f>
        <v/>
      </c>
      <c r="P38" s="107" t="str">
        <f>IF(A38="","",IF($U$7&lt;=0,0,IF($X$6&gt;0,$U$7*X38/$X$6,IF($I$6&gt;0,$U$7*N(I38)/$I$6,0))))</f>
        <v/>
      </c>
      <c r="Q38" s="107" t="str">
        <f>IF(A38="","",IF(AND(P38&gt;0,P38&gt;=p_CompraMin),P38,0))</f>
        <v/>
      </c>
      <c r="R38" s="115" t="str">
        <f>IF(OR(A38="",F38=""),"",MAX(0,F38-TODAY()))</f>
        <v/>
      </c>
      <c r="T38" s="85" t="str">
        <f>IF(A38="","",IF(G38="",$U$1,G38))</f>
        <v/>
      </c>
      <c r="U38" s="85" t="str">
        <f>IF(A38="","",IFERROR(INDEX(moeda_fx,MATCH(T38,moeda_cod,0)),0))</f>
        <v/>
      </c>
      <c r="V38" s="85" t="str">
        <f>IF(A38="","",ROUND(MAX(0,N(I38)*($J$6+$U$7)-J38),2))</f>
        <v/>
      </c>
      <c r="W38" s="85" t="str">
        <f>IF(A38="","",IF(AND(L38&gt;0,L38&gt;=p_DifMin),V38,0))</f>
        <v/>
      </c>
      <c r="X38" s="85" t="str">
        <f>IF(A38="","",IF(AND(W38&gt;0,N(N38)&lt;=p_MaxAtivos),W38,0))</f>
        <v/>
      </c>
    </row>
    <row r="39">
      <c r="A39" s="96" t="n"/>
      <c r="B39" s="96" t="n"/>
      <c r="C39" s="96" t="n"/>
      <c r="D39" s="96" t="n"/>
      <c r="E39" s="96" t="n"/>
      <c r="F39" s="112" t="n"/>
      <c r="G39" s="97" t="n"/>
      <c r="H39" s="113" t="n"/>
      <c r="I39" s="99" t="n"/>
      <c r="J39" s="70" t="str">
        <f>IF(A39="","",N(H39)*U39)</f>
        <v/>
      </c>
      <c r="K39" s="30" t="str">
        <f>IF(A39="","",IF($J$6&gt;0,J39/$J$6,0))</f>
        <v/>
      </c>
      <c r="L39" s="72" t="str">
        <f>IF(A39="","",N(I39)-K39)</f>
        <v/>
      </c>
      <c r="M39" s="30" t="str">
        <f>IF(A39="","",IF($W$6&gt;0,W39/$W$6,0))</f>
        <v/>
      </c>
      <c r="N39" s="74" t="str">
        <f>IF(A39="","",IF(W39&lt;=0,"",COUNTIF($W$9:$W$108,"&gt;"&amp;W39)+COUNTIF($W$9:W39,W39)))</f>
        <v/>
      </c>
      <c r="O39" s="73" t="str">
        <f>IF(A39="","",IF(P39&gt;0,"BUY","HOLD"))</f>
        <v/>
      </c>
      <c r="P39" s="70" t="str">
        <f>IF(A39="","",IF($U$7&lt;=0,0,IF($X$6&gt;0,$U$7*X39/$X$6,IF($I$6&gt;0,$U$7*N(I39)/$I$6,0))))</f>
        <v/>
      </c>
      <c r="Q39" s="70" t="str">
        <f>IF(A39="","",IF(AND(P39&gt;0,P39&gt;=p_CompraMin),P39,0))</f>
        <v/>
      </c>
      <c r="R39" s="114" t="str">
        <f>IF(OR(A39="",F39=""),"",MAX(0,F39-TODAY()))</f>
        <v/>
      </c>
      <c r="T39" s="85" t="str">
        <f>IF(A39="","",IF(G39="",$U$1,G39))</f>
        <v/>
      </c>
      <c r="U39" s="85" t="str">
        <f>IF(A39="","",IFERROR(INDEX(moeda_fx,MATCH(T39,moeda_cod,0)),0))</f>
        <v/>
      </c>
      <c r="V39" s="85" t="str">
        <f>IF(A39="","",ROUND(MAX(0,N(I39)*($J$6+$U$7)-J39),2))</f>
        <v/>
      </c>
      <c r="W39" s="85" t="str">
        <f>IF(A39="","",IF(AND(L39&gt;0,L39&gt;=p_DifMin),V39,0))</f>
        <v/>
      </c>
      <c r="X39" s="85" t="str">
        <f>IF(A39="","",IF(AND(W39&gt;0,N(N39)&lt;=p_MaxAtivos),W39,0))</f>
        <v/>
      </c>
    </row>
    <row r="40">
      <c r="A40" s="96" t="n"/>
      <c r="B40" s="96" t="n"/>
      <c r="C40" s="96" t="n"/>
      <c r="D40" s="96" t="n"/>
      <c r="E40" s="96" t="n"/>
      <c r="F40" s="112" t="n"/>
      <c r="G40" s="97" t="n"/>
      <c r="H40" s="113" t="n"/>
      <c r="I40" s="99" t="n"/>
      <c r="J40" s="107" t="str">
        <f>IF(A40="","",N(H40)*U40)</f>
        <v/>
      </c>
      <c r="K40" s="108" t="str">
        <f>IF(A40="","",IF($J$6&gt;0,J40/$J$6,0))</f>
        <v/>
      </c>
      <c r="L40" s="109" t="str">
        <f>IF(A40="","",N(I40)-K40)</f>
        <v/>
      </c>
      <c r="M40" s="108" t="str">
        <f>IF(A40="","",IF($W$6&gt;0,W40/$W$6,0))</f>
        <v/>
      </c>
      <c r="N40" s="110" t="str">
        <f>IF(A40="","",IF(W40&lt;=0,"",COUNTIF($W$9:$W$108,"&gt;"&amp;W40)+COUNTIF($W$9:W40,W40)))</f>
        <v/>
      </c>
      <c r="O40" s="105" t="str">
        <f>IF(A40="","",IF(P40&gt;0,"BUY","HOLD"))</f>
        <v/>
      </c>
      <c r="P40" s="107" t="str">
        <f>IF(A40="","",IF($U$7&lt;=0,0,IF($X$6&gt;0,$U$7*X40/$X$6,IF($I$6&gt;0,$U$7*N(I40)/$I$6,0))))</f>
        <v/>
      </c>
      <c r="Q40" s="107" t="str">
        <f>IF(A40="","",IF(AND(P40&gt;0,P40&gt;=p_CompraMin),P40,0))</f>
        <v/>
      </c>
      <c r="R40" s="115" t="str">
        <f>IF(OR(A40="",F40=""),"",MAX(0,F40-TODAY()))</f>
        <v/>
      </c>
      <c r="T40" s="85" t="str">
        <f>IF(A40="","",IF(G40="",$U$1,G40))</f>
        <v/>
      </c>
      <c r="U40" s="85" t="str">
        <f>IF(A40="","",IFERROR(INDEX(moeda_fx,MATCH(T40,moeda_cod,0)),0))</f>
        <v/>
      </c>
      <c r="V40" s="85" t="str">
        <f>IF(A40="","",ROUND(MAX(0,N(I40)*($J$6+$U$7)-J40),2))</f>
        <v/>
      </c>
      <c r="W40" s="85" t="str">
        <f>IF(A40="","",IF(AND(L40&gt;0,L40&gt;=p_DifMin),V40,0))</f>
        <v/>
      </c>
      <c r="X40" s="85" t="str">
        <f>IF(A40="","",IF(AND(W40&gt;0,N(N40)&lt;=p_MaxAtivos),W40,0))</f>
        <v/>
      </c>
    </row>
    <row r="41">
      <c r="A41" s="96" t="n"/>
      <c r="B41" s="96" t="n"/>
      <c r="C41" s="96" t="n"/>
      <c r="D41" s="96" t="n"/>
      <c r="E41" s="96" t="n"/>
      <c r="F41" s="112" t="n"/>
      <c r="G41" s="97" t="n"/>
      <c r="H41" s="113" t="n"/>
      <c r="I41" s="99" t="n"/>
      <c r="J41" s="70" t="str">
        <f>IF(A41="","",N(H41)*U41)</f>
        <v/>
      </c>
      <c r="K41" s="30" t="str">
        <f>IF(A41="","",IF($J$6&gt;0,J41/$J$6,0))</f>
        <v/>
      </c>
      <c r="L41" s="72" t="str">
        <f>IF(A41="","",N(I41)-K41)</f>
        <v/>
      </c>
      <c r="M41" s="30" t="str">
        <f>IF(A41="","",IF($W$6&gt;0,W41/$W$6,0))</f>
        <v/>
      </c>
      <c r="N41" s="74" t="str">
        <f>IF(A41="","",IF(W41&lt;=0,"",COUNTIF($W$9:$W$108,"&gt;"&amp;W41)+COUNTIF($W$9:W41,W41)))</f>
        <v/>
      </c>
      <c r="O41" s="73" t="str">
        <f>IF(A41="","",IF(P41&gt;0,"BUY","HOLD"))</f>
        <v/>
      </c>
      <c r="P41" s="70" t="str">
        <f>IF(A41="","",IF($U$7&lt;=0,0,IF($X$6&gt;0,$U$7*X41/$X$6,IF($I$6&gt;0,$U$7*N(I41)/$I$6,0))))</f>
        <v/>
      </c>
      <c r="Q41" s="70" t="str">
        <f>IF(A41="","",IF(AND(P41&gt;0,P41&gt;=p_CompraMin),P41,0))</f>
        <v/>
      </c>
      <c r="R41" s="114" t="str">
        <f>IF(OR(A41="",F41=""),"",MAX(0,F41-TODAY()))</f>
        <v/>
      </c>
      <c r="T41" s="85" t="str">
        <f>IF(A41="","",IF(G41="",$U$1,G41))</f>
        <v/>
      </c>
      <c r="U41" s="85" t="str">
        <f>IF(A41="","",IFERROR(INDEX(moeda_fx,MATCH(T41,moeda_cod,0)),0))</f>
        <v/>
      </c>
      <c r="V41" s="85" t="str">
        <f>IF(A41="","",ROUND(MAX(0,N(I41)*($J$6+$U$7)-J41),2))</f>
        <v/>
      </c>
      <c r="W41" s="85" t="str">
        <f>IF(A41="","",IF(AND(L41&gt;0,L41&gt;=p_DifMin),V41,0))</f>
        <v/>
      </c>
      <c r="X41" s="85" t="str">
        <f>IF(A41="","",IF(AND(W41&gt;0,N(N41)&lt;=p_MaxAtivos),W41,0))</f>
        <v/>
      </c>
    </row>
    <row r="42">
      <c r="A42" s="96" t="n"/>
      <c r="B42" s="96" t="n"/>
      <c r="C42" s="96" t="n"/>
      <c r="D42" s="96" t="n"/>
      <c r="E42" s="96" t="n"/>
      <c r="F42" s="112" t="n"/>
      <c r="G42" s="97" t="n"/>
      <c r="H42" s="113" t="n"/>
      <c r="I42" s="99" t="n"/>
      <c r="J42" s="107" t="str">
        <f>IF(A42="","",N(H42)*U42)</f>
        <v/>
      </c>
      <c r="K42" s="108" t="str">
        <f>IF(A42="","",IF($J$6&gt;0,J42/$J$6,0))</f>
        <v/>
      </c>
      <c r="L42" s="109" t="str">
        <f>IF(A42="","",N(I42)-K42)</f>
        <v/>
      </c>
      <c r="M42" s="108" t="str">
        <f>IF(A42="","",IF($W$6&gt;0,W42/$W$6,0))</f>
        <v/>
      </c>
      <c r="N42" s="110" t="str">
        <f>IF(A42="","",IF(W42&lt;=0,"",COUNTIF($W$9:$W$108,"&gt;"&amp;W42)+COUNTIF($W$9:W42,W42)))</f>
        <v/>
      </c>
      <c r="O42" s="105" t="str">
        <f>IF(A42="","",IF(P42&gt;0,"BUY","HOLD"))</f>
        <v/>
      </c>
      <c r="P42" s="107" t="str">
        <f>IF(A42="","",IF($U$7&lt;=0,0,IF($X$6&gt;0,$U$7*X42/$X$6,IF($I$6&gt;0,$U$7*N(I42)/$I$6,0))))</f>
        <v/>
      </c>
      <c r="Q42" s="107" t="str">
        <f>IF(A42="","",IF(AND(P42&gt;0,P42&gt;=p_CompraMin),P42,0))</f>
        <v/>
      </c>
      <c r="R42" s="115" t="str">
        <f>IF(OR(A42="",F42=""),"",MAX(0,F42-TODAY()))</f>
        <v/>
      </c>
      <c r="T42" s="85" t="str">
        <f>IF(A42="","",IF(G42="",$U$1,G42))</f>
        <v/>
      </c>
      <c r="U42" s="85" t="str">
        <f>IF(A42="","",IFERROR(INDEX(moeda_fx,MATCH(T42,moeda_cod,0)),0))</f>
        <v/>
      </c>
      <c r="V42" s="85" t="str">
        <f>IF(A42="","",ROUND(MAX(0,N(I42)*($J$6+$U$7)-J42),2))</f>
        <v/>
      </c>
      <c r="W42" s="85" t="str">
        <f>IF(A42="","",IF(AND(L42&gt;0,L42&gt;=p_DifMin),V42,0))</f>
        <v/>
      </c>
      <c r="X42" s="85" t="str">
        <f>IF(A42="","",IF(AND(W42&gt;0,N(N42)&lt;=p_MaxAtivos),W42,0))</f>
        <v/>
      </c>
    </row>
    <row r="43">
      <c r="A43" s="96" t="n"/>
      <c r="B43" s="96" t="n"/>
      <c r="C43" s="96" t="n"/>
      <c r="D43" s="96" t="n"/>
      <c r="E43" s="96" t="n"/>
      <c r="F43" s="112" t="n"/>
      <c r="G43" s="97" t="n"/>
      <c r="H43" s="113" t="n"/>
      <c r="I43" s="99" t="n"/>
      <c r="J43" s="70" t="str">
        <f>IF(A43="","",N(H43)*U43)</f>
        <v/>
      </c>
      <c r="K43" s="30" t="str">
        <f>IF(A43="","",IF($J$6&gt;0,J43/$J$6,0))</f>
        <v/>
      </c>
      <c r="L43" s="72" t="str">
        <f>IF(A43="","",N(I43)-K43)</f>
        <v/>
      </c>
      <c r="M43" s="30" t="str">
        <f>IF(A43="","",IF($W$6&gt;0,W43/$W$6,0))</f>
        <v/>
      </c>
      <c r="N43" s="74" t="str">
        <f>IF(A43="","",IF(W43&lt;=0,"",COUNTIF($W$9:$W$108,"&gt;"&amp;W43)+COUNTIF($W$9:W43,W43)))</f>
        <v/>
      </c>
      <c r="O43" s="73" t="str">
        <f>IF(A43="","",IF(P43&gt;0,"BUY","HOLD"))</f>
        <v/>
      </c>
      <c r="P43" s="70" t="str">
        <f>IF(A43="","",IF($U$7&lt;=0,0,IF($X$6&gt;0,$U$7*X43/$X$6,IF($I$6&gt;0,$U$7*N(I43)/$I$6,0))))</f>
        <v/>
      </c>
      <c r="Q43" s="70" t="str">
        <f>IF(A43="","",IF(AND(P43&gt;0,P43&gt;=p_CompraMin),P43,0))</f>
        <v/>
      </c>
      <c r="R43" s="114" t="str">
        <f>IF(OR(A43="",F43=""),"",MAX(0,F43-TODAY()))</f>
        <v/>
      </c>
      <c r="T43" s="85" t="str">
        <f>IF(A43="","",IF(G43="",$U$1,G43))</f>
        <v/>
      </c>
      <c r="U43" s="85" t="str">
        <f>IF(A43="","",IFERROR(INDEX(moeda_fx,MATCH(T43,moeda_cod,0)),0))</f>
        <v/>
      </c>
      <c r="V43" s="85" t="str">
        <f>IF(A43="","",ROUND(MAX(0,N(I43)*($J$6+$U$7)-J43),2))</f>
        <v/>
      </c>
      <c r="W43" s="85" t="str">
        <f>IF(A43="","",IF(AND(L43&gt;0,L43&gt;=p_DifMin),V43,0))</f>
        <v/>
      </c>
      <c r="X43" s="85" t="str">
        <f>IF(A43="","",IF(AND(W43&gt;0,N(N43)&lt;=p_MaxAtivos),W43,0))</f>
        <v/>
      </c>
    </row>
    <row r="44">
      <c r="A44" s="96" t="n"/>
      <c r="B44" s="96" t="n"/>
      <c r="C44" s="96" t="n"/>
      <c r="D44" s="96" t="n"/>
      <c r="E44" s="96" t="n"/>
      <c r="F44" s="112" t="n"/>
      <c r="G44" s="97" t="n"/>
      <c r="H44" s="113" t="n"/>
      <c r="I44" s="99" t="n"/>
      <c r="J44" s="107" t="str">
        <f>IF(A44="","",N(H44)*U44)</f>
        <v/>
      </c>
      <c r="K44" s="108" t="str">
        <f>IF(A44="","",IF($J$6&gt;0,J44/$J$6,0))</f>
        <v/>
      </c>
      <c r="L44" s="109" t="str">
        <f>IF(A44="","",N(I44)-K44)</f>
        <v/>
      </c>
      <c r="M44" s="108" t="str">
        <f>IF(A44="","",IF($W$6&gt;0,W44/$W$6,0))</f>
        <v/>
      </c>
      <c r="N44" s="110" t="str">
        <f>IF(A44="","",IF(W44&lt;=0,"",COUNTIF($W$9:$W$108,"&gt;"&amp;W44)+COUNTIF($W$9:W44,W44)))</f>
        <v/>
      </c>
      <c r="O44" s="105" t="str">
        <f>IF(A44="","",IF(P44&gt;0,"BUY","HOLD"))</f>
        <v/>
      </c>
      <c r="P44" s="107" t="str">
        <f>IF(A44="","",IF($U$7&lt;=0,0,IF($X$6&gt;0,$U$7*X44/$X$6,IF($I$6&gt;0,$U$7*N(I44)/$I$6,0))))</f>
        <v/>
      </c>
      <c r="Q44" s="107" t="str">
        <f>IF(A44="","",IF(AND(P44&gt;0,P44&gt;=p_CompraMin),P44,0))</f>
        <v/>
      </c>
      <c r="R44" s="115" t="str">
        <f>IF(OR(A44="",F44=""),"",MAX(0,F44-TODAY()))</f>
        <v/>
      </c>
      <c r="T44" s="85" t="str">
        <f>IF(A44="","",IF(G44="",$U$1,G44))</f>
        <v/>
      </c>
      <c r="U44" s="85" t="str">
        <f>IF(A44="","",IFERROR(INDEX(moeda_fx,MATCH(T44,moeda_cod,0)),0))</f>
        <v/>
      </c>
      <c r="V44" s="85" t="str">
        <f>IF(A44="","",ROUND(MAX(0,N(I44)*($J$6+$U$7)-J44),2))</f>
        <v/>
      </c>
      <c r="W44" s="85" t="str">
        <f>IF(A44="","",IF(AND(L44&gt;0,L44&gt;=p_DifMin),V44,0))</f>
        <v/>
      </c>
      <c r="X44" s="85" t="str">
        <f>IF(A44="","",IF(AND(W44&gt;0,N(N44)&lt;=p_MaxAtivos),W44,0))</f>
        <v/>
      </c>
    </row>
    <row r="45">
      <c r="A45" s="96" t="n"/>
      <c r="B45" s="96" t="n"/>
      <c r="C45" s="96" t="n"/>
      <c r="D45" s="96" t="n"/>
      <c r="E45" s="96" t="n"/>
      <c r="F45" s="112" t="n"/>
      <c r="G45" s="97" t="n"/>
      <c r="H45" s="113" t="n"/>
      <c r="I45" s="99" t="n"/>
      <c r="J45" s="70" t="str">
        <f>IF(A45="","",N(H45)*U45)</f>
        <v/>
      </c>
      <c r="K45" s="30" t="str">
        <f>IF(A45="","",IF($J$6&gt;0,J45/$J$6,0))</f>
        <v/>
      </c>
      <c r="L45" s="72" t="str">
        <f>IF(A45="","",N(I45)-K45)</f>
        <v/>
      </c>
      <c r="M45" s="30" t="str">
        <f>IF(A45="","",IF($W$6&gt;0,W45/$W$6,0))</f>
        <v/>
      </c>
      <c r="N45" s="74" t="str">
        <f>IF(A45="","",IF(W45&lt;=0,"",COUNTIF($W$9:$W$108,"&gt;"&amp;W45)+COUNTIF($W$9:W45,W45)))</f>
        <v/>
      </c>
      <c r="O45" s="73" t="str">
        <f>IF(A45="","",IF(P45&gt;0,"BUY","HOLD"))</f>
        <v/>
      </c>
      <c r="P45" s="70" t="str">
        <f>IF(A45="","",IF($U$7&lt;=0,0,IF($X$6&gt;0,$U$7*X45/$X$6,IF($I$6&gt;0,$U$7*N(I45)/$I$6,0))))</f>
        <v/>
      </c>
      <c r="Q45" s="70" t="str">
        <f>IF(A45="","",IF(AND(P45&gt;0,P45&gt;=p_CompraMin),P45,0))</f>
        <v/>
      </c>
      <c r="R45" s="114" t="str">
        <f>IF(OR(A45="",F45=""),"",MAX(0,F45-TODAY()))</f>
        <v/>
      </c>
      <c r="T45" s="85" t="str">
        <f>IF(A45="","",IF(G45="",$U$1,G45))</f>
        <v/>
      </c>
      <c r="U45" s="85" t="str">
        <f>IF(A45="","",IFERROR(INDEX(moeda_fx,MATCH(T45,moeda_cod,0)),0))</f>
        <v/>
      </c>
      <c r="V45" s="85" t="str">
        <f>IF(A45="","",ROUND(MAX(0,N(I45)*($J$6+$U$7)-J45),2))</f>
        <v/>
      </c>
      <c r="W45" s="85" t="str">
        <f>IF(A45="","",IF(AND(L45&gt;0,L45&gt;=p_DifMin),V45,0))</f>
        <v/>
      </c>
      <c r="X45" s="85" t="str">
        <f>IF(A45="","",IF(AND(W45&gt;0,N(N45)&lt;=p_MaxAtivos),W45,0))</f>
        <v/>
      </c>
    </row>
    <row r="46">
      <c r="A46" s="96" t="n"/>
      <c r="B46" s="96" t="n"/>
      <c r="C46" s="96" t="n"/>
      <c r="D46" s="96" t="n"/>
      <c r="E46" s="96" t="n"/>
      <c r="F46" s="112" t="n"/>
      <c r="G46" s="97" t="n"/>
      <c r="H46" s="113" t="n"/>
      <c r="I46" s="99" t="n"/>
      <c r="J46" s="107" t="str">
        <f>IF(A46="","",N(H46)*U46)</f>
        <v/>
      </c>
      <c r="K46" s="108" t="str">
        <f>IF(A46="","",IF($J$6&gt;0,J46/$J$6,0))</f>
        <v/>
      </c>
      <c r="L46" s="109" t="str">
        <f>IF(A46="","",N(I46)-K46)</f>
        <v/>
      </c>
      <c r="M46" s="108" t="str">
        <f>IF(A46="","",IF($W$6&gt;0,W46/$W$6,0))</f>
        <v/>
      </c>
      <c r="N46" s="110" t="str">
        <f>IF(A46="","",IF(W46&lt;=0,"",COUNTIF($W$9:$W$108,"&gt;"&amp;W46)+COUNTIF($W$9:W46,W46)))</f>
        <v/>
      </c>
      <c r="O46" s="105" t="str">
        <f>IF(A46="","",IF(P46&gt;0,"BUY","HOLD"))</f>
        <v/>
      </c>
      <c r="P46" s="107" t="str">
        <f>IF(A46="","",IF($U$7&lt;=0,0,IF($X$6&gt;0,$U$7*X46/$X$6,IF($I$6&gt;0,$U$7*N(I46)/$I$6,0))))</f>
        <v/>
      </c>
      <c r="Q46" s="107" t="str">
        <f>IF(A46="","",IF(AND(P46&gt;0,P46&gt;=p_CompraMin),P46,0))</f>
        <v/>
      </c>
      <c r="R46" s="115" t="str">
        <f>IF(OR(A46="",F46=""),"",MAX(0,F46-TODAY()))</f>
        <v/>
      </c>
      <c r="T46" s="85" t="str">
        <f>IF(A46="","",IF(G46="",$U$1,G46))</f>
        <v/>
      </c>
      <c r="U46" s="85" t="str">
        <f>IF(A46="","",IFERROR(INDEX(moeda_fx,MATCH(T46,moeda_cod,0)),0))</f>
        <v/>
      </c>
      <c r="V46" s="85" t="str">
        <f>IF(A46="","",ROUND(MAX(0,N(I46)*($J$6+$U$7)-J46),2))</f>
        <v/>
      </c>
      <c r="W46" s="85" t="str">
        <f>IF(A46="","",IF(AND(L46&gt;0,L46&gt;=p_DifMin),V46,0))</f>
        <v/>
      </c>
      <c r="X46" s="85" t="str">
        <f>IF(A46="","",IF(AND(W46&gt;0,N(N46)&lt;=p_MaxAtivos),W46,0))</f>
        <v/>
      </c>
    </row>
    <row r="47">
      <c r="A47" s="96" t="n"/>
      <c r="B47" s="96" t="n"/>
      <c r="C47" s="96" t="n"/>
      <c r="D47" s="96" t="n"/>
      <c r="E47" s="96" t="n"/>
      <c r="F47" s="112" t="n"/>
      <c r="G47" s="97" t="n"/>
      <c r="H47" s="113" t="n"/>
      <c r="I47" s="99" t="n"/>
      <c r="J47" s="70" t="str">
        <f>IF(A47="","",N(H47)*U47)</f>
        <v/>
      </c>
      <c r="K47" s="30" t="str">
        <f>IF(A47="","",IF($J$6&gt;0,J47/$J$6,0))</f>
        <v/>
      </c>
      <c r="L47" s="72" t="str">
        <f>IF(A47="","",N(I47)-K47)</f>
        <v/>
      </c>
      <c r="M47" s="30" t="str">
        <f>IF(A47="","",IF($W$6&gt;0,W47/$W$6,0))</f>
        <v/>
      </c>
      <c r="N47" s="74" t="str">
        <f>IF(A47="","",IF(W47&lt;=0,"",COUNTIF($W$9:$W$108,"&gt;"&amp;W47)+COUNTIF($W$9:W47,W47)))</f>
        <v/>
      </c>
      <c r="O47" s="73" t="str">
        <f>IF(A47="","",IF(P47&gt;0,"BUY","HOLD"))</f>
        <v/>
      </c>
      <c r="P47" s="70" t="str">
        <f>IF(A47="","",IF($U$7&lt;=0,0,IF($X$6&gt;0,$U$7*X47/$X$6,IF($I$6&gt;0,$U$7*N(I47)/$I$6,0))))</f>
        <v/>
      </c>
      <c r="Q47" s="70" t="str">
        <f>IF(A47="","",IF(AND(P47&gt;0,P47&gt;=p_CompraMin),P47,0))</f>
        <v/>
      </c>
      <c r="R47" s="114" t="str">
        <f>IF(OR(A47="",F47=""),"",MAX(0,F47-TODAY()))</f>
        <v/>
      </c>
      <c r="T47" s="85" t="str">
        <f>IF(A47="","",IF(G47="",$U$1,G47))</f>
        <v/>
      </c>
      <c r="U47" s="85" t="str">
        <f>IF(A47="","",IFERROR(INDEX(moeda_fx,MATCH(T47,moeda_cod,0)),0))</f>
        <v/>
      </c>
      <c r="V47" s="85" t="str">
        <f>IF(A47="","",ROUND(MAX(0,N(I47)*($J$6+$U$7)-J47),2))</f>
        <v/>
      </c>
      <c r="W47" s="85" t="str">
        <f>IF(A47="","",IF(AND(L47&gt;0,L47&gt;=p_DifMin),V47,0))</f>
        <v/>
      </c>
      <c r="X47" s="85" t="str">
        <f>IF(A47="","",IF(AND(W47&gt;0,N(N47)&lt;=p_MaxAtivos),W47,0))</f>
        <v/>
      </c>
    </row>
    <row r="48">
      <c r="A48" s="96" t="n"/>
      <c r="B48" s="96" t="n"/>
      <c r="C48" s="96" t="n"/>
      <c r="D48" s="96" t="n"/>
      <c r="E48" s="96" t="n"/>
      <c r="F48" s="112" t="n"/>
      <c r="G48" s="97" t="n"/>
      <c r="H48" s="113" t="n"/>
      <c r="I48" s="99" t="n"/>
      <c r="J48" s="107" t="str">
        <f>IF(A48="","",N(H48)*U48)</f>
        <v/>
      </c>
      <c r="K48" s="108" t="str">
        <f>IF(A48="","",IF($J$6&gt;0,J48/$J$6,0))</f>
        <v/>
      </c>
      <c r="L48" s="109" t="str">
        <f>IF(A48="","",N(I48)-K48)</f>
        <v/>
      </c>
      <c r="M48" s="108" t="str">
        <f>IF(A48="","",IF($W$6&gt;0,W48/$W$6,0))</f>
        <v/>
      </c>
      <c r="N48" s="110" t="str">
        <f>IF(A48="","",IF(W48&lt;=0,"",COUNTIF($W$9:$W$108,"&gt;"&amp;W48)+COUNTIF($W$9:W48,W48)))</f>
        <v/>
      </c>
      <c r="O48" s="105" t="str">
        <f>IF(A48="","",IF(P48&gt;0,"BUY","HOLD"))</f>
        <v/>
      </c>
      <c r="P48" s="107" t="str">
        <f>IF(A48="","",IF($U$7&lt;=0,0,IF($X$6&gt;0,$U$7*X48/$X$6,IF($I$6&gt;0,$U$7*N(I48)/$I$6,0))))</f>
        <v/>
      </c>
      <c r="Q48" s="107" t="str">
        <f>IF(A48="","",IF(AND(P48&gt;0,P48&gt;=p_CompraMin),P48,0))</f>
        <v/>
      </c>
      <c r="R48" s="115" t="str">
        <f>IF(OR(A48="",F48=""),"",MAX(0,F48-TODAY()))</f>
        <v/>
      </c>
      <c r="T48" s="85" t="str">
        <f>IF(A48="","",IF(G48="",$U$1,G48))</f>
        <v/>
      </c>
      <c r="U48" s="85" t="str">
        <f>IF(A48="","",IFERROR(INDEX(moeda_fx,MATCH(T48,moeda_cod,0)),0))</f>
        <v/>
      </c>
      <c r="V48" s="85" t="str">
        <f>IF(A48="","",ROUND(MAX(0,N(I48)*($J$6+$U$7)-J48),2))</f>
        <v/>
      </c>
      <c r="W48" s="85" t="str">
        <f>IF(A48="","",IF(AND(L48&gt;0,L48&gt;=p_DifMin),V48,0))</f>
        <v/>
      </c>
      <c r="X48" s="85" t="str">
        <f>IF(A48="","",IF(AND(W48&gt;0,N(N48)&lt;=p_MaxAtivos),W48,0))</f>
        <v/>
      </c>
    </row>
    <row r="49">
      <c r="A49" s="96" t="n"/>
      <c r="B49" s="96" t="n"/>
      <c r="C49" s="96" t="n"/>
      <c r="D49" s="96" t="n"/>
      <c r="E49" s="96" t="n"/>
      <c r="F49" s="112" t="n"/>
      <c r="G49" s="97" t="n"/>
      <c r="H49" s="113" t="n"/>
      <c r="I49" s="99" t="n"/>
      <c r="J49" s="70" t="str">
        <f>IF(A49="","",N(H49)*U49)</f>
        <v/>
      </c>
      <c r="K49" s="30" t="str">
        <f>IF(A49="","",IF($J$6&gt;0,J49/$J$6,0))</f>
        <v/>
      </c>
      <c r="L49" s="72" t="str">
        <f>IF(A49="","",N(I49)-K49)</f>
        <v/>
      </c>
      <c r="M49" s="30" t="str">
        <f>IF(A49="","",IF($W$6&gt;0,W49/$W$6,0))</f>
        <v/>
      </c>
      <c r="N49" s="74" t="str">
        <f>IF(A49="","",IF(W49&lt;=0,"",COUNTIF($W$9:$W$108,"&gt;"&amp;W49)+COUNTIF($W$9:W49,W49)))</f>
        <v/>
      </c>
      <c r="O49" s="73" t="str">
        <f>IF(A49="","",IF(P49&gt;0,"BUY","HOLD"))</f>
        <v/>
      </c>
      <c r="P49" s="70" t="str">
        <f>IF(A49="","",IF($U$7&lt;=0,0,IF($X$6&gt;0,$U$7*X49/$X$6,IF($I$6&gt;0,$U$7*N(I49)/$I$6,0))))</f>
        <v/>
      </c>
      <c r="Q49" s="70" t="str">
        <f>IF(A49="","",IF(AND(P49&gt;0,P49&gt;=p_CompraMin),P49,0))</f>
        <v/>
      </c>
      <c r="R49" s="114" t="str">
        <f>IF(OR(A49="",F49=""),"",MAX(0,F49-TODAY()))</f>
        <v/>
      </c>
      <c r="T49" s="85" t="str">
        <f>IF(A49="","",IF(G49="",$U$1,G49))</f>
        <v/>
      </c>
      <c r="U49" s="85" t="str">
        <f>IF(A49="","",IFERROR(INDEX(moeda_fx,MATCH(T49,moeda_cod,0)),0))</f>
        <v/>
      </c>
      <c r="V49" s="85" t="str">
        <f>IF(A49="","",ROUND(MAX(0,N(I49)*($J$6+$U$7)-J49),2))</f>
        <v/>
      </c>
      <c r="W49" s="85" t="str">
        <f>IF(A49="","",IF(AND(L49&gt;0,L49&gt;=p_DifMin),V49,0))</f>
        <v/>
      </c>
      <c r="X49" s="85" t="str">
        <f>IF(A49="","",IF(AND(W49&gt;0,N(N49)&lt;=p_MaxAtivos),W49,0))</f>
        <v/>
      </c>
    </row>
    <row r="50">
      <c r="A50" s="96" t="n"/>
      <c r="B50" s="96" t="n"/>
      <c r="C50" s="96" t="n"/>
      <c r="D50" s="96" t="n"/>
      <c r="E50" s="96" t="n"/>
      <c r="F50" s="112" t="n"/>
      <c r="G50" s="97" t="n"/>
      <c r="H50" s="113" t="n"/>
      <c r="I50" s="99" t="n"/>
      <c r="J50" s="107" t="str">
        <f>IF(A50="","",N(H50)*U50)</f>
        <v/>
      </c>
      <c r="K50" s="108" t="str">
        <f>IF(A50="","",IF($J$6&gt;0,J50/$J$6,0))</f>
        <v/>
      </c>
      <c r="L50" s="109" t="str">
        <f>IF(A50="","",N(I50)-K50)</f>
        <v/>
      </c>
      <c r="M50" s="108" t="str">
        <f>IF(A50="","",IF($W$6&gt;0,W50/$W$6,0))</f>
        <v/>
      </c>
      <c r="N50" s="110" t="str">
        <f>IF(A50="","",IF(W50&lt;=0,"",COUNTIF($W$9:$W$108,"&gt;"&amp;W50)+COUNTIF($W$9:W50,W50)))</f>
        <v/>
      </c>
      <c r="O50" s="105" t="str">
        <f>IF(A50="","",IF(P50&gt;0,"BUY","HOLD"))</f>
        <v/>
      </c>
      <c r="P50" s="107" t="str">
        <f>IF(A50="","",IF($U$7&lt;=0,0,IF($X$6&gt;0,$U$7*X50/$X$6,IF($I$6&gt;0,$U$7*N(I50)/$I$6,0))))</f>
        <v/>
      </c>
      <c r="Q50" s="107" t="str">
        <f>IF(A50="","",IF(AND(P50&gt;0,P50&gt;=p_CompraMin),P50,0))</f>
        <v/>
      </c>
      <c r="R50" s="115" t="str">
        <f>IF(OR(A50="",F50=""),"",MAX(0,F50-TODAY()))</f>
        <v/>
      </c>
      <c r="T50" s="85" t="str">
        <f>IF(A50="","",IF(G50="",$U$1,G50))</f>
        <v/>
      </c>
      <c r="U50" s="85" t="str">
        <f>IF(A50="","",IFERROR(INDEX(moeda_fx,MATCH(T50,moeda_cod,0)),0))</f>
        <v/>
      </c>
      <c r="V50" s="85" t="str">
        <f>IF(A50="","",ROUND(MAX(0,N(I50)*($J$6+$U$7)-J50),2))</f>
        <v/>
      </c>
      <c r="W50" s="85" t="str">
        <f>IF(A50="","",IF(AND(L50&gt;0,L50&gt;=p_DifMin),V50,0))</f>
        <v/>
      </c>
      <c r="X50" s="85" t="str">
        <f>IF(A50="","",IF(AND(W50&gt;0,N(N50)&lt;=p_MaxAtivos),W50,0))</f>
        <v/>
      </c>
    </row>
    <row r="51">
      <c r="A51" s="96" t="n"/>
      <c r="B51" s="96" t="n"/>
      <c r="C51" s="96" t="n"/>
      <c r="D51" s="96" t="n"/>
      <c r="E51" s="96" t="n"/>
      <c r="F51" s="112" t="n"/>
      <c r="G51" s="97" t="n"/>
      <c r="H51" s="113" t="n"/>
      <c r="I51" s="99" t="n"/>
      <c r="J51" s="70" t="str">
        <f>IF(A51="","",N(H51)*U51)</f>
        <v/>
      </c>
      <c r="K51" s="30" t="str">
        <f>IF(A51="","",IF($J$6&gt;0,J51/$J$6,0))</f>
        <v/>
      </c>
      <c r="L51" s="72" t="str">
        <f>IF(A51="","",N(I51)-K51)</f>
        <v/>
      </c>
      <c r="M51" s="30" t="str">
        <f>IF(A51="","",IF($W$6&gt;0,W51/$W$6,0))</f>
        <v/>
      </c>
      <c r="N51" s="74" t="str">
        <f>IF(A51="","",IF(W51&lt;=0,"",COUNTIF($W$9:$W$108,"&gt;"&amp;W51)+COUNTIF($W$9:W51,W51)))</f>
        <v/>
      </c>
      <c r="O51" s="73" t="str">
        <f>IF(A51="","",IF(P51&gt;0,"BUY","HOLD"))</f>
        <v/>
      </c>
      <c r="P51" s="70" t="str">
        <f>IF(A51="","",IF($U$7&lt;=0,0,IF($X$6&gt;0,$U$7*X51/$X$6,IF($I$6&gt;0,$U$7*N(I51)/$I$6,0))))</f>
        <v/>
      </c>
      <c r="Q51" s="70" t="str">
        <f>IF(A51="","",IF(AND(P51&gt;0,P51&gt;=p_CompraMin),P51,0))</f>
        <v/>
      </c>
      <c r="R51" s="114" t="str">
        <f>IF(OR(A51="",F51=""),"",MAX(0,F51-TODAY()))</f>
        <v/>
      </c>
      <c r="T51" s="85" t="str">
        <f>IF(A51="","",IF(G51="",$U$1,G51))</f>
        <v/>
      </c>
      <c r="U51" s="85" t="str">
        <f>IF(A51="","",IFERROR(INDEX(moeda_fx,MATCH(T51,moeda_cod,0)),0))</f>
        <v/>
      </c>
      <c r="V51" s="85" t="str">
        <f>IF(A51="","",ROUND(MAX(0,N(I51)*($J$6+$U$7)-J51),2))</f>
        <v/>
      </c>
      <c r="W51" s="85" t="str">
        <f>IF(A51="","",IF(AND(L51&gt;0,L51&gt;=p_DifMin),V51,0))</f>
        <v/>
      </c>
      <c r="X51" s="85" t="str">
        <f>IF(A51="","",IF(AND(W51&gt;0,N(N51)&lt;=p_MaxAtivos),W51,0))</f>
        <v/>
      </c>
    </row>
    <row r="52">
      <c r="A52" s="96" t="n"/>
      <c r="B52" s="96" t="n"/>
      <c r="C52" s="96" t="n"/>
      <c r="D52" s="96" t="n"/>
      <c r="E52" s="96" t="n"/>
      <c r="F52" s="112" t="n"/>
      <c r="G52" s="97" t="n"/>
      <c r="H52" s="113" t="n"/>
      <c r="I52" s="99" t="n"/>
      <c r="J52" s="107" t="str">
        <f>IF(A52="","",N(H52)*U52)</f>
        <v/>
      </c>
      <c r="K52" s="108" t="str">
        <f>IF(A52="","",IF($J$6&gt;0,J52/$J$6,0))</f>
        <v/>
      </c>
      <c r="L52" s="109" t="str">
        <f>IF(A52="","",N(I52)-K52)</f>
        <v/>
      </c>
      <c r="M52" s="108" t="str">
        <f>IF(A52="","",IF($W$6&gt;0,W52/$W$6,0))</f>
        <v/>
      </c>
      <c r="N52" s="110" t="str">
        <f>IF(A52="","",IF(W52&lt;=0,"",COUNTIF($W$9:$W$108,"&gt;"&amp;W52)+COUNTIF($W$9:W52,W52)))</f>
        <v/>
      </c>
      <c r="O52" s="105" t="str">
        <f>IF(A52="","",IF(P52&gt;0,"BUY","HOLD"))</f>
        <v/>
      </c>
      <c r="P52" s="107" t="str">
        <f>IF(A52="","",IF($U$7&lt;=0,0,IF($X$6&gt;0,$U$7*X52/$X$6,IF($I$6&gt;0,$U$7*N(I52)/$I$6,0))))</f>
        <v/>
      </c>
      <c r="Q52" s="107" t="str">
        <f>IF(A52="","",IF(AND(P52&gt;0,P52&gt;=p_CompraMin),P52,0))</f>
        <v/>
      </c>
      <c r="R52" s="115" t="str">
        <f>IF(OR(A52="",F52=""),"",MAX(0,F52-TODAY()))</f>
        <v/>
      </c>
      <c r="T52" s="85" t="str">
        <f>IF(A52="","",IF(G52="",$U$1,G52))</f>
        <v/>
      </c>
      <c r="U52" s="85" t="str">
        <f>IF(A52="","",IFERROR(INDEX(moeda_fx,MATCH(T52,moeda_cod,0)),0))</f>
        <v/>
      </c>
      <c r="V52" s="85" t="str">
        <f>IF(A52="","",ROUND(MAX(0,N(I52)*($J$6+$U$7)-J52),2))</f>
        <v/>
      </c>
      <c r="W52" s="85" t="str">
        <f>IF(A52="","",IF(AND(L52&gt;0,L52&gt;=p_DifMin),V52,0))</f>
        <v/>
      </c>
      <c r="X52" s="85" t="str">
        <f>IF(A52="","",IF(AND(W52&gt;0,N(N52)&lt;=p_MaxAtivos),W52,0))</f>
        <v/>
      </c>
    </row>
    <row r="53">
      <c r="A53" s="96" t="n"/>
      <c r="B53" s="96" t="n"/>
      <c r="C53" s="96" t="n"/>
      <c r="D53" s="96" t="n"/>
      <c r="E53" s="96" t="n"/>
      <c r="F53" s="112" t="n"/>
      <c r="G53" s="97" t="n"/>
      <c r="H53" s="113" t="n"/>
      <c r="I53" s="99" t="n"/>
      <c r="J53" s="70" t="str">
        <f>IF(A53="","",N(H53)*U53)</f>
        <v/>
      </c>
      <c r="K53" s="30" t="str">
        <f>IF(A53="","",IF($J$6&gt;0,J53/$J$6,0))</f>
        <v/>
      </c>
      <c r="L53" s="72" t="str">
        <f>IF(A53="","",N(I53)-K53)</f>
        <v/>
      </c>
      <c r="M53" s="30" t="str">
        <f>IF(A53="","",IF($W$6&gt;0,W53/$W$6,0))</f>
        <v/>
      </c>
      <c r="N53" s="74" t="str">
        <f>IF(A53="","",IF(W53&lt;=0,"",COUNTIF($W$9:$W$108,"&gt;"&amp;W53)+COUNTIF($W$9:W53,W53)))</f>
        <v/>
      </c>
      <c r="O53" s="73" t="str">
        <f>IF(A53="","",IF(P53&gt;0,"BUY","HOLD"))</f>
        <v/>
      </c>
      <c r="P53" s="70" t="str">
        <f>IF(A53="","",IF($U$7&lt;=0,0,IF($X$6&gt;0,$U$7*X53/$X$6,IF($I$6&gt;0,$U$7*N(I53)/$I$6,0))))</f>
        <v/>
      </c>
      <c r="Q53" s="70" t="str">
        <f>IF(A53="","",IF(AND(P53&gt;0,P53&gt;=p_CompraMin),P53,0))</f>
        <v/>
      </c>
      <c r="R53" s="114" t="str">
        <f>IF(OR(A53="",F53=""),"",MAX(0,F53-TODAY()))</f>
        <v/>
      </c>
      <c r="T53" s="85" t="str">
        <f>IF(A53="","",IF(G53="",$U$1,G53))</f>
        <v/>
      </c>
      <c r="U53" s="85" t="str">
        <f>IF(A53="","",IFERROR(INDEX(moeda_fx,MATCH(T53,moeda_cod,0)),0))</f>
        <v/>
      </c>
      <c r="V53" s="85" t="str">
        <f>IF(A53="","",ROUND(MAX(0,N(I53)*($J$6+$U$7)-J53),2))</f>
        <v/>
      </c>
      <c r="W53" s="85" t="str">
        <f>IF(A53="","",IF(AND(L53&gt;0,L53&gt;=p_DifMin),V53,0))</f>
        <v/>
      </c>
      <c r="X53" s="85" t="str">
        <f>IF(A53="","",IF(AND(W53&gt;0,N(N53)&lt;=p_MaxAtivos),W53,0))</f>
        <v/>
      </c>
    </row>
    <row r="54">
      <c r="A54" s="96" t="n"/>
      <c r="B54" s="96" t="n"/>
      <c r="C54" s="96" t="n"/>
      <c r="D54" s="96" t="n"/>
      <c r="E54" s="96" t="n"/>
      <c r="F54" s="112" t="n"/>
      <c r="G54" s="97" t="n"/>
      <c r="H54" s="113" t="n"/>
      <c r="I54" s="99" t="n"/>
      <c r="J54" s="107" t="str">
        <f>IF(A54="","",N(H54)*U54)</f>
        <v/>
      </c>
      <c r="K54" s="108" t="str">
        <f>IF(A54="","",IF($J$6&gt;0,J54/$J$6,0))</f>
        <v/>
      </c>
      <c r="L54" s="109" t="str">
        <f>IF(A54="","",N(I54)-K54)</f>
        <v/>
      </c>
      <c r="M54" s="108" t="str">
        <f>IF(A54="","",IF($W$6&gt;0,W54/$W$6,0))</f>
        <v/>
      </c>
      <c r="N54" s="110" t="str">
        <f>IF(A54="","",IF(W54&lt;=0,"",COUNTIF($W$9:$W$108,"&gt;"&amp;W54)+COUNTIF($W$9:W54,W54)))</f>
        <v/>
      </c>
      <c r="O54" s="105" t="str">
        <f>IF(A54="","",IF(P54&gt;0,"BUY","HOLD"))</f>
        <v/>
      </c>
      <c r="P54" s="107" t="str">
        <f>IF(A54="","",IF($U$7&lt;=0,0,IF($X$6&gt;0,$U$7*X54/$X$6,IF($I$6&gt;0,$U$7*N(I54)/$I$6,0))))</f>
        <v/>
      </c>
      <c r="Q54" s="107" t="str">
        <f>IF(A54="","",IF(AND(P54&gt;0,P54&gt;=p_CompraMin),P54,0))</f>
        <v/>
      </c>
      <c r="R54" s="115" t="str">
        <f>IF(OR(A54="",F54=""),"",MAX(0,F54-TODAY()))</f>
        <v/>
      </c>
      <c r="T54" s="85" t="str">
        <f>IF(A54="","",IF(G54="",$U$1,G54))</f>
        <v/>
      </c>
      <c r="U54" s="85" t="str">
        <f>IF(A54="","",IFERROR(INDEX(moeda_fx,MATCH(T54,moeda_cod,0)),0))</f>
        <v/>
      </c>
      <c r="V54" s="85" t="str">
        <f>IF(A54="","",ROUND(MAX(0,N(I54)*($J$6+$U$7)-J54),2))</f>
        <v/>
      </c>
      <c r="W54" s="85" t="str">
        <f>IF(A54="","",IF(AND(L54&gt;0,L54&gt;=p_DifMin),V54,0))</f>
        <v/>
      </c>
      <c r="X54" s="85" t="str">
        <f>IF(A54="","",IF(AND(W54&gt;0,N(N54)&lt;=p_MaxAtivos),W54,0))</f>
        <v/>
      </c>
    </row>
    <row r="55">
      <c r="A55" s="96" t="n"/>
      <c r="B55" s="96" t="n"/>
      <c r="C55" s="96" t="n"/>
      <c r="D55" s="96" t="n"/>
      <c r="E55" s="96" t="n"/>
      <c r="F55" s="112" t="n"/>
      <c r="G55" s="97" t="n"/>
      <c r="H55" s="113" t="n"/>
      <c r="I55" s="99" t="n"/>
      <c r="J55" s="70" t="str">
        <f>IF(A55="","",N(H55)*U55)</f>
        <v/>
      </c>
      <c r="K55" s="30" t="str">
        <f>IF(A55="","",IF($J$6&gt;0,J55/$J$6,0))</f>
        <v/>
      </c>
      <c r="L55" s="72" t="str">
        <f>IF(A55="","",N(I55)-K55)</f>
        <v/>
      </c>
      <c r="M55" s="30" t="str">
        <f>IF(A55="","",IF($W$6&gt;0,W55/$W$6,0))</f>
        <v/>
      </c>
      <c r="N55" s="74" t="str">
        <f>IF(A55="","",IF(W55&lt;=0,"",COUNTIF($W$9:$W$108,"&gt;"&amp;W55)+COUNTIF($W$9:W55,W55)))</f>
        <v/>
      </c>
      <c r="O55" s="73" t="str">
        <f>IF(A55="","",IF(P55&gt;0,"BUY","HOLD"))</f>
        <v/>
      </c>
      <c r="P55" s="70" t="str">
        <f>IF(A55="","",IF($U$7&lt;=0,0,IF($X$6&gt;0,$U$7*X55/$X$6,IF($I$6&gt;0,$U$7*N(I55)/$I$6,0))))</f>
        <v/>
      </c>
      <c r="Q55" s="70" t="str">
        <f>IF(A55="","",IF(AND(P55&gt;0,P55&gt;=p_CompraMin),P55,0))</f>
        <v/>
      </c>
      <c r="R55" s="114" t="str">
        <f>IF(OR(A55="",F55=""),"",MAX(0,F55-TODAY()))</f>
        <v/>
      </c>
      <c r="T55" s="85" t="str">
        <f>IF(A55="","",IF(G55="",$U$1,G55))</f>
        <v/>
      </c>
      <c r="U55" s="85" t="str">
        <f>IF(A55="","",IFERROR(INDEX(moeda_fx,MATCH(T55,moeda_cod,0)),0))</f>
        <v/>
      </c>
      <c r="V55" s="85" t="str">
        <f>IF(A55="","",ROUND(MAX(0,N(I55)*($J$6+$U$7)-J55),2))</f>
        <v/>
      </c>
      <c r="W55" s="85" t="str">
        <f>IF(A55="","",IF(AND(L55&gt;0,L55&gt;=p_DifMin),V55,0))</f>
        <v/>
      </c>
      <c r="X55" s="85" t="str">
        <f>IF(A55="","",IF(AND(W55&gt;0,N(N55)&lt;=p_MaxAtivos),W55,0))</f>
        <v/>
      </c>
    </row>
    <row r="56">
      <c r="A56" s="96" t="n"/>
      <c r="B56" s="96" t="n"/>
      <c r="C56" s="96" t="n"/>
      <c r="D56" s="96" t="n"/>
      <c r="E56" s="96" t="n"/>
      <c r="F56" s="112" t="n"/>
      <c r="G56" s="97" t="n"/>
      <c r="H56" s="113" t="n"/>
      <c r="I56" s="99" t="n"/>
      <c r="J56" s="107" t="str">
        <f>IF(A56="","",N(H56)*U56)</f>
        <v/>
      </c>
      <c r="K56" s="108" t="str">
        <f>IF(A56="","",IF($J$6&gt;0,J56/$J$6,0))</f>
        <v/>
      </c>
      <c r="L56" s="109" t="str">
        <f>IF(A56="","",N(I56)-K56)</f>
        <v/>
      </c>
      <c r="M56" s="108" t="str">
        <f>IF(A56="","",IF($W$6&gt;0,W56/$W$6,0))</f>
        <v/>
      </c>
      <c r="N56" s="110" t="str">
        <f>IF(A56="","",IF(W56&lt;=0,"",COUNTIF($W$9:$W$108,"&gt;"&amp;W56)+COUNTIF($W$9:W56,W56)))</f>
        <v/>
      </c>
      <c r="O56" s="105" t="str">
        <f>IF(A56="","",IF(P56&gt;0,"BUY","HOLD"))</f>
        <v/>
      </c>
      <c r="P56" s="107" t="str">
        <f>IF(A56="","",IF($U$7&lt;=0,0,IF($X$6&gt;0,$U$7*X56/$X$6,IF($I$6&gt;0,$U$7*N(I56)/$I$6,0))))</f>
        <v/>
      </c>
      <c r="Q56" s="107" t="str">
        <f>IF(A56="","",IF(AND(P56&gt;0,P56&gt;=p_CompraMin),P56,0))</f>
        <v/>
      </c>
      <c r="R56" s="115" t="str">
        <f>IF(OR(A56="",F56=""),"",MAX(0,F56-TODAY()))</f>
        <v/>
      </c>
      <c r="T56" s="85" t="str">
        <f>IF(A56="","",IF(G56="",$U$1,G56))</f>
        <v/>
      </c>
      <c r="U56" s="85" t="str">
        <f>IF(A56="","",IFERROR(INDEX(moeda_fx,MATCH(T56,moeda_cod,0)),0))</f>
        <v/>
      </c>
      <c r="V56" s="85" t="str">
        <f>IF(A56="","",ROUND(MAX(0,N(I56)*($J$6+$U$7)-J56),2))</f>
        <v/>
      </c>
      <c r="W56" s="85" t="str">
        <f>IF(A56="","",IF(AND(L56&gt;0,L56&gt;=p_DifMin),V56,0))</f>
        <v/>
      </c>
      <c r="X56" s="85" t="str">
        <f>IF(A56="","",IF(AND(W56&gt;0,N(N56)&lt;=p_MaxAtivos),W56,0))</f>
        <v/>
      </c>
    </row>
    <row r="57">
      <c r="A57" s="96" t="n"/>
      <c r="B57" s="96" t="n"/>
      <c r="C57" s="96" t="n"/>
      <c r="D57" s="96" t="n"/>
      <c r="E57" s="96" t="n"/>
      <c r="F57" s="112" t="n"/>
      <c r="G57" s="97" t="n"/>
      <c r="H57" s="113" t="n"/>
      <c r="I57" s="99" t="n"/>
      <c r="J57" s="70" t="str">
        <f>IF(A57="","",N(H57)*U57)</f>
        <v/>
      </c>
      <c r="K57" s="30" t="str">
        <f>IF(A57="","",IF($J$6&gt;0,J57/$J$6,0))</f>
        <v/>
      </c>
      <c r="L57" s="72" t="str">
        <f>IF(A57="","",N(I57)-K57)</f>
        <v/>
      </c>
      <c r="M57" s="30" t="str">
        <f>IF(A57="","",IF($W$6&gt;0,W57/$W$6,0))</f>
        <v/>
      </c>
      <c r="N57" s="74" t="str">
        <f>IF(A57="","",IF(W57&lt;=0,"",COUNTIF($W$9:$W$108,"&gt;"&amp;W57)+COUNTIF($W$9:W57,W57)))</f>
        <v/>
      </c>
      <c r="O57" s="73" t="str">
        <f>IF(A57="","",IF(P57&gt;0,"BUY","HOLD"))</f>
        <v/>
      </c>
      <c r="P57" s="70" t="str">
        <f>IF(A57="","",IF($U$7&lt;=0,0,IF($X$6&gt;0,$U$7*X57/$X$6,IF($I$6&gt;0,$U$7*N(I57)/$I$6,0))))</f>
        <v/>
      </c>
      <c r="Q57" s="70" t="str">
        <f>IF(A57="","",IF(AND(P57&gt;0,P57&gt;=p_CompraMin),P57,0))</f>
        <v/>
      </c>
      <c r="R57" s="114" t="str">
        <f>IF(OR(A57="",F57=""),"",MAX(0,F57-TODAY()))</f>
        <v/>
      </c>
      <c r="T57" s="85" t="str">
        <f>IF(A57="","",IF(G57="",$U$1,G57))</f>
        <v/>
      </c>
      <c r="U57" s="85" t="str">
        <f>IF(A57="","",IFERROR(INDEX(moeda_fx,MATCH(T57,moeda_cod,0)),0))</f>
        <v/>
      </c>
      <c r="V57" s="85" t="str">
        <f>IF(A57="","",ROUND(MAX(0,N(I57)*($J$6+$U$7)-J57),2))</f>
        <v/>
      </c>
      <c r="W57" s="85" t="str">
        <f>IF(A57="","",IF(AND(L57&gt;0,L57&gt;=p_DifMin),V57,0))</f>
        <v/>
      </c>
      <c r="X57" s="85" t="str">
        <f>IF(A57="","",IF(AND(W57&gt;0,N(N57)&lt;=p_MaxAtivos),W57,0))</f>
        <v/>
      </c>
    </row>
    <row r="58">
      <c r="A58" s="96" t="n"/>
      <c r="B58" s="96" t="n"/>
      <c r="C58" s="96" t="n"/>
      <c r="D58" s="96" t="n"/>
      <c r="E58" s="96" t="n"/>
      <c r="F58" s="112" t="n"/>
      <c r="G58" s="97" t="n"/>
      <c r="H58" s="113" t="n"/>
      <c r="I58" s="99" t="n"/>
      <c r="J58" s="107" t="str">
        <f>IF(A58="","",N(H58)*U58)</f>
        <v/>
      </c>
      <c r="K58" s="108" t="str">
        <f>IF(A58="","",IF($J$6&gt;0,J58/$J$6,0))</f>
        <v/>
      </c>
      <c r="L58" s="109" t="str">
        <f>IF(A58="","",N(I58)-K58)</f>
        <v/>
      </c>
      <c r="M58" s="108" t="str">
        <f>IF(A58="","",IF($W$6&gt;0,W58/$W$6,0))</f>
        <v/>
      </c>
      <c r="N58" s="110" t="str">
        <f>IF(A58="","",IF(W58&lt;=0,"",COUNTIF($W$9:$W$108,"&gt;"&amp;W58)+COUNTIF($W$9:W58,W58)))</f>
        <v/>
      </c>
      <c r="O58" s="105" t="str">
        <f>IF(A58="","",IF(P58&gt;0,"BUY","HOLD"))</f>
        <v/>
      </c>
      <c r="P58" s="107" t="str">
        <f>IF(A58="","",IF($U$7&lt;=0,0,IF($X$6&gt;0,$U$7*X58/$X$6,IF($I$6&gt;0,$U$7*N(I58)/$I$6,0))))</f>
        <v/>
      </c>
      <c r="Q58" s="107" t="str">
        <f>IF(A58="","",IF(AND(P58&gt;0,P58&gt;=p_CompraMin),P58,0))</f>
        <v/>
      </c>
      <c r="R58" s="115" t="str">
        <f>IF(OR(A58="",F58=""),"",MAX(0,F58-TODAY()))</f>
        <v/>
      </c>
      <c r="T58" s="85" t="str">
        <f>IF(A58="","",IF(G58="",$U$1,G58))</f>
        <v/>
      </c>
      <c r="U58" s="85" t="str">
        <f>IF(A58="","",IFERROR(INDEX(moeda_fx,MATCH(T58,moeda_cod,0)),0))</f>
        <v/>
      </c>
      <c r="V58" s="85" t="str">
        <f>IF(A58="","",ROUND(MAX(0,N(I58)*($J$6+$U$7)-J58),2))</f>
        <v/>
      </c>
      <c r="W58" s="85" t="str">
        <f>IF(A58="","",IF(AND(L58&gt;0,L58&gt;=p_DifMin),V58,0))</f>
        <v/>
      </c>
      <c r="X58" s="85" t="str">
        <f>IF(A58="","",IF(AND(W58&gt;0,N(N58)&lt;=p_MaxAtivos),W58,0))</f>
        <v/>
      </c>
    </row>
    <row r="59">
      <c r="A59" s="96" t="n"/>
      <c r="B59" s="96" t="n"/>
      <c r="C59" s="96" t="n"/>
      <c r="D59" s="96" t="n"/>
      <c r="E59" s="96" t="n"/>
      <c r="F59" s="112" t="n"/>
      <c r="G59" s="97" t="n"/>
      <c r="H59" s="113" t="n"/>
      <c r="I59" s="99" t="n"/>
      <c r="J59" s="70" t="str">
        <f>IF(A59="","",N(H59)*U59)</f>
        <v/>
      </c>
      <c r="K59" s="30" t="str">
        <f>IF(A59="","",IF($J$6&gt;0,J59/$J$6,0))</f>
        <v/>
      </c>
      <c r="L59" s="72" t="str">
        <f>IF(A59="","",N(I59)-K59)</f>
        <v/>
      </c>
      <c r="M59" s="30" t="str">
        <f>IF(A59="","",IF($W$6&gt;0,W59/$W$6,0))</f>
        <v/>
      </c>
      <c r="N59" s="74" t="str">
        <f>IF(A59="","",IF(W59&lt;=0,"",COUNTIF($W$9:$W$108,"&gt;"&amp;W59)+COUNTIF($W$9:W59,W59)))</f>
        <v/>
      </c>
      <c r="O59" s="73" t="str">
        <f>IF(A59="","",IF(P59&gt;0,"BUY","HOLD"))</f>
        <v/>
      </c>
      <c r="P59" s="70" t="str">
        <f>IF(A59="","",IF($U$7&lt;=0,0,IF($X$6&gt;0,$U$7*X59/$X$6,IF($I$6&gt;0,$U$7*N(I59)/$I$6,0))))</f>
        <v/>
      </c>
      <c r="Q59" s="70" t="str">
        <f>IF(A59="","",IF(AND(P59&gt;0,P59&gt;=p_CompraMin),P59,0))</f>
        <v/>
      </c>
      <c r="R59" s="114" t="str">
        <f>IF(OR(A59="",F59=""),"",MAX(0,F59-TODAY()))</f>
        <v/>
      </c>
      <c r="T59" s="85" t="str">
        <f>IF(A59="","",IF(G59="",$U$1,G59))</f>
        <v/>
      </c>
      <c r="U59" s="85" t="str">
        <f>IF(A59="","",IFERROR(INDEX(moeda_fx,MATCH(T59,moeda_cod,0)),0))</f>
        <v/>
      </c>
      <c r="V59" s="85" t="str">
        <f>IF(A59="","",ROUND(MAX(0,N(I59)*($J$6+$U$7)-J59),2))</f>
        <v/>
      </c>
      <c r="W59" s="85" t="str">
        <f>IF(A59="","",IF(AND(L59&gt;0,L59&gt;=p_DifMin),V59,0))</f>
        <v/>
      </c>
      <c r="X59" s="85" t="str">
        <f>IF(A59="","",IF(AND(W59&gt;0,N(N59)&lt;=p_MaxAtivos),W59,0))</f>
        <v/>
      </c>
    </row>
    <row r="60">
      <c r="A60" s="96" t="n"/>
      <c r="B60" s="96" t="n"/>
      <c r="C60" s="96" t="n"/>
      <c r="D60" s="96" t="n"/>
      <c r="E60" s="96" t="n"/>
      <c r="F60" s="112" t="n"/>
      <c r="G60" s="97" t="n"/>
      <c r="H60" s="113" t="n"/>
      <c r="I60" s="99" t="n"/>
      <c r="J60" s="107" t="str">
        <f>IF(A60="","",N(H60)*U60)</f>
        <v/>
      </c>
      <c r="K60" s="108" t="str">
        <f>IF(A60="","",IF($J$6&gt;0,J60/$J$6,0))</f>
        <v/>
      </c>
      <c r="L60" s="109" t="str">
        <f>IF(A60="","",N(I60)-K60)</f>
        <v/>
      </c>
      <c r="M60" s="108" t="str">
        <f>IF(A60="","",IF($W$6&gt;0,W60/$W$6,0))</f>
        <v/>
      </c>
      <c r="N60" s="110" t="str">
        <f>IF(A60="","",IF(W60&lt;=0,"",COUNTIF($W$9:$W$108,"&gt;"&amp;W60)+COUNTIF($W$9:W60,W60)))</f>
        <v/>
      </c>
      <c r="O60" s="105" t="str">
        <f>IF(A60="","",IF(P60&gt;0,"BUY","HOLD"))</f>
        <v/>
      </c>
      <c r="P60" s="107" t="str">
        <f>IF(A60="","",IF($U$7&lt;=0,0,IF($X$6&gt;0,$U$7*X60/$X$6,IF($I$6&gt;0,$U$7*N(I60)/$I$6,0))))</f>
        <v/>
      </c>
      <c r="Q60" s="107" t="str">
        <f>IF(A60="","",IF(AND(P60&gt;0,P60&gt;=p_CompraMin),P60,0))</f>
        <v/>
      </c>
      <c r="R60" s="115" t="str">
        <f>IF(OR(A60="",F60=""),"",MAX(0,F60-TODAY()))</f>
        <v/>
      </c>
      <c r="T60" s="85" t="str">
        <f>IF(A60="","",IF(G60="",$U$1,G60))</f>
        <v/>
      </c>
      <c r="U60" s="85" t="str">
        <f>IF(A60="","",IFERROR(INDEX(moeda_fx,MATCH(T60,moeda_cod,0)),0))</f>
        <v/>
      </c>
      <c r="V60" s="85" t="str">
        <f>IF(A60="","",ROUND(MAX(0,N(I60)*($J$6+$U$7)-J60),2))</f>
        <v/>
      </c>
      <c r="W60" s="85" t="str">
        <f>IF(A60="","",IF(AND(L60&gt;0,L60&gt;=p_DifMin),V60,0))</f>
        <v/>
      </c>
      <c r="X60" s="85" t="str">
        <f>IF(A60="","",IF(AND(W60&gt;0,N(N60)&lt;=p_MaxAtivos),W60,0))</f>
        <v/>
      </c>
    </row>
    <row r="61">
      <c r="A61" s="96" t="n"/>
      <c r="B61" s="96" t="n"/>
      <c r="C61" s="96" t="n"/>
      <c r="D61" s="96" t="n"/>
      <c r="E61" s="96" t="n"/>
      <c r="F61" s="112" t="n"/>
      <c r="G61" s="97" t="n"/>
      <c r="H61" s="113" t="n"/>
      <c r="I61" s="99" t="n"/>
      <c r="J61" s="70" t="str">
        <f>IF(A61="","",N(H61)*U61)</f>
        <v/>
      </c>
      <c r="K61" s="30" t="str">
        <f>IF(A61="","",IF($J$6&gt;0,J61/$J$6,0))</f>
        <v/>
      </c>
      <c r="L61" s="72" t="str">
        <f>IF(A61="","",N(I61)-K61)</f>
        <v/>
      </c>
      <c r="M61" s="30" t="str">
        <f>IF(A61="","",IF($W$6&gt;0,W61/$W$6,0))</f>
        <v/>
      </c>
      <c r="N61" s="74" t="str">
        <f>IF(A61="","",IF(W61&lt;=0,"",COUNTIF($W$9:$W$108,"&gt;"&amp;W61)+COUNTIF($W$9:W61,W61)))</f>
        <v/>
      </c>
      <c r="O61" s="73" t="str">
        <f>IF(A61="","",IF(P61&gt;0,"BUY","HOLD"))</f>
        <v/>
      </c>
      <c r="P61" s="70" t="str">
        <f>IF(A61="","",IF($U$7&lt;=0,0,IF($X$6&gt;0,$U$7*X61/$X$6,IF($I$6&gt;0,$U$7*N(I61)/$I$6,0))))</f>
        <v/>
      </c>
      <c r="Q61" s="70" t="str">
        <f>IF(A61="","",IF(AND(P61&gt;0,P61&gt;=p_CompraMin),P61,0))</f>
        <v/>
      </c>
      <c r="R61" s="114" t="str">
        <f>IF(OR(A61="",F61=""),"",MAX(0,F61-TODAY()))</f>
        <v/>
      </c>
      <c r="T61" s="85" t="str">
        <f>IF(A61="","",IF(G61="",$U$1,G61))</f>
        <v/>
      </c>
      <c r="U61" s="85" t="str">
        <f>IF(A61="","",IFERROR(INDEX(moeda_fx,MATCH(T61,moeda_cod,0)),0))</f>
        <v/>
      </c>
      <c r="V61" s="85" t="str">
        <f>IF(A61="","",ROUND(MAX(0,N(I61)*($J$6+$U$7)-J61),2))</f>
        <v/>
      </c>
      <c r="W61" s="85" t="str">
        <f>IF(A61="","",IF(AND(L61&gt;0,L61&gt;=p_DifMin),V61,0))</f>
        <v/>
      </c>
      <c r="X61" s="85" t="str">
        <f>IF(A61="","",IF(AND(W61&gt;0,N(N61)&lt;=p_MaxAtivos),W61,0))</f>
        <v/>
      </c>
    </row>
    <row r="62">
      <c r="A62" s="96" t="n"/>
      <c r="B62" s="96" t="n"/>
      <c r="C62" s="96" t="n"/>
      <c r="D62" s="96" t="n"/>
      <c r="E62" s="96" t="n"/>
      <c r="F62" s="112" t="n"/>
      <c r="G62" s="97" t="n"/>
      <c r="H62" s="113" t="n"/>
      <c r="I62" s="99" t="n"/>
      <c r="J62" s="107" t="str">
        <f>IF(A62="","",N(H62)*U62)</f>
        <v/>
      </c>
      <c r="K62" s="108" t="str">
        <f>IF(A62="","",IF($J$6&gt;0,J62/$J$6,0))</f>
        <v/>
      </c>
      <c r="L62" s="109" t="str">
        <f>IF(A62="","",N(I62)-K62)</f>
        <v/>
      </c>
      <c r="M62" s="108" t="str">
        <f>IF(A62="","",IF($W$6&gt;0,W62/$W$6,0))</f>
        <v/>
      </c>
      <c r="N62" s="110" t="str">
        <f>IF(A62="","",IF(W62&lt;=0,"",COUNTIF($W$9:$W$108,"&gt;"&amp;W62)+COUNTIF($W$9:W62,W62)))</f>
        <v/>
      </c>
      <c r="O62" s="105" t="str">
        <f>IF(A62="","",IF(P62&gt;0,"BUY","HOLD"))</f>
        <v/>
      </c>
      <c r="P62" s="107" t="str">
        <f>IF(A62="","",IF($U$7&lt;=0,0,IF($X$6&gt;0,$U$7*X62/$X$6,IF($I$6&gt;0,$U$7*N(I62)/$I$6,0))))</f>
        <v/>
      </c>
      <c r="Q62" s="107" t="str">
        <f>IF(A62="","",IF(AND(P62&gt;0,P62&gt;=p_CompraMin),P62,0))</f>
        <v/>
      </c>
      <c r="R62" s="115" t="str">
        <f>IF(OR(A62="",F62=""),"",MAX(0,F62-TODAY()))</f>
        <v/>
      </c>
      <c r="T62" s="85" t="str">
        <f>IF(A62="","",IF(G62="",$U$1,G62))</f>
        <v/>
      </c>
      <c r="U62" s="85" t="str">
        <f>IF(A62="","",IFERROR(INDEX(moeda_fx,MATCH(T62,moeda_cod,0)),0))</f>
        <v/>
      </c>
      <c r="V62" s="85" t="str">
        <f>IF(A62="","",ROUND(MAX(0,N(I62)*($J$6+$U$7)-J62),2))</f>
        <v/>
      </c>
      <c r="W62" s="85" t="str">
        <f>IF(A62="","",IF(AND(L62&gt;0,L62&gt;=p_DifMin),V62,0))</f>
        <v/>
      </c>
      <c r="X62" s="85" t="str">
        <f>IF(A62="","",IF(AND(W62&gt;0,N(N62)&lt;=p_MaxAtivos),W62,0))</f>
        <v/>
      </c>
    </row>
    <row r="63">
      <c r="A63" s="96" t="n"/>
      <c r="B63" s="96" t="n"/>
      <c r="C63" s="96" t="n"/>
      <c r="D63" s="96" t="n"/>
      <c r="E63" s="96" t="n"/>
      <c r="F63" s="112" t="n"/>
      <c r="G63" s="97" t="n"/>
      <c r="H63" s="113" t="n"/>
      <c r="I63" s="99" t="n"/>
      <c r="J63" s="70" t="str">
        <f>IF(A63="","",N(H63)*U63)</f>
        <v/>
      </c>
      <c r="K63" s="30" t="str">
        <f>IF(A63="","",IF($J$6&gt;0,J63/$J$6,0))</f>
        <v/>
      </c>
      <c r="L63" s="72" t="str">
        <f>IF(A63="","",N(I63)-K63)</f>
        <v/>
      </c>
      <c r="M63" s="30" t="str">
        <f>IF(A63="","",IF($W$6&gt;0,W63/$W$6,0))</f>
        <v/>
      </c>
      <c r="N63" s="74" t="str">
        <f>IF(A63="","",IF(W63&lt;=0,"",COUNTIF($W$9:$W$108,"&gt;"&amp;W63)+COUNTIF($W$9:W63,W63)))</f>
        <v/>
      </c>
      <c r="O63" s="73" t="str">
        <f>IF(A63="","",IF(P63&gt;0,"BUY","HOLD"))</f>
        <v/>
      </c>
      <c r="P63" s="70" t="str">
        <f>IF(A63="","",IF($U$7&lt;=0,0,IF($X$6&gt;0,$U$7*X63/$X$6,IF($I$6&gt;0,$U$7*N(I63)/$I$6,0))))</f>
        <v/>
      </c>
      <c r="Q63" s="70" t="str">
        <f>IF(A63="","",IF(AND(P63&gt;0,P63&gt;=p_CompraMin),P63,0))</f>
        <v/>
      </c>
      <c r="R63" s="114" t="str">
        <f>IF(OR(A63="",F63=""),"",MAX(0,F63-TODAY()))</f>
        <v/>
      </c>
      <c r="T63" s="85" t="str">
        <f>IF(A63="","",IF(G63="",$U$1,G63))</f>
        <v/>
      </c>
      <c r="U63" s="85" t="str">
        <f>IF(A63="","",IFERROR(INDEX(moeda_fx,MATCH(T63,moeda_cod,0)),0))</f>
        <v/>
      </c>
      <c r="V63" s="85" t="str">
        <f>IF(A63="","",ROUND(MAX(0,N(I63)*($J$6+$U$7)-J63),2))</f>
        <v/>
      </c>
      <c r="W63" s="85" t="str">
        <f>IF(A63="","",IF(AND(L63&gt;0,L63&gt;=p_DifMin),V63,0))</f>
        <v/>
      </c>
      <c r="X63" s="85" t="str">
        <f>IF(A63="","",IF(AND(W63&gt;0,N(N63)&lt;=p_MaxAtivos),W63,0))</f>
        <v/>
      </c>
    </row>
    <row r="64">
      <c r="A64" s="96" t="n"/>
      <c r="B64" s="96" t="n"/>
      <c r="C64" s="96" t="n"/>
      <c r="D64" s="96" t="n"/>
      <c r="E64" s="96" t="n"/>
      <c r="F64" s="112" t="n"/>
      <c r="G64" s="97" t="n"/>
      <c r="H64" s="113" t="n"/>
      <c r="I64" s="99" t="n"/>
      <c r="J64" s="107" t="str">
        <f>IF(A64="","",N(H64)*U64)</f>
        <v/>
      </c>
      <c r="K64" s="108" t="str">
        <f>IF(A64="","",IF($J$6&gt;0,J64/$J$6,0))</f>
        <v/>
      </c>
      <c r="L64" s="109" t="str">
        <f>IF(A64="","",N(I64)-K64)</f>
        <v/>
      </c>
      <c r="M64" s="108" t="str">
        <f>IF(A64="","",IF($W$6&gt;0,W64/$W$6,0))</f>
        <v/>
      </c>
      <c r="N64" s="110" t="str">
        <f>IF(A64="","",IF(W64&lt;=0,"",COUNTIF($W$9:$W$108,"&gt;"&amp;W64)+COUNTIF($W$9:W64,W64)))</f>
        <v/>
      </c>
      <c r="O64" s="105" t="str">
        <f>IF(A64="","",IF(P64&gt;0,"BUY","HOLD"))</f>
        <v/>
      </c>
      <c r="P64" s="107" t="str">
        <f>IF(A64="","",IF($U$7&lt;=0,0,IF($X$6&gt;0,$U$7*X64/$X$6,IF($I$6&gt;0,$U$7*N(I64)/$I$6,0))))</f>
        <v/>
      </c>
      <c r="Q64" s="107" t="str">
        <f>IF(A64="","",IF(AND(P64&gt;0,P64&gt;=p_CompraMin),P64,0))</f>
        <v/>
      </c>
      <c r="R64" s="115" t="str">
        <f>IF(OR(A64="",F64=""),"",MAX(0,F64-TODAY()))</f>
        <v/>
      </c>
      <c r="T64" s="85" t="str">
        <f>IF(A64="","",IF(G64="",$U$1,G64))</f>
        <v/>
      </c>
      <c r="U64" s="85" t="str">
        <f>IF(A64="","",IFERROR(INDEX(moeda_fx,MATCH(T64,moeda_cod,0)),0))</f>
        <v/>
      </c>
      <c r="V64" s="85" t="str">
        <f>IF(A64="","",ROUND(MAX(0,N(I64)*($J$6+$U$7)-J64),2))</f>
        <v/>
      </c>
      <c r="W64" s="85" t="str">
        <f>IF(A64="","",IF(AND(L64&gt;0,L64&gt;=p_DifMin),V64,0))</f>
        <v/>
      </c>
      <c r="X64" s="85" t="str">
        <f>IF(A64="","",IF(AND(W64&gt;0,N(N64)&lt;=p_MaxAtivos),W64,0))</f>
        <v/>
      </c>
    </row>
    <row r="65">
      <c r="A65" s="96" t="n"/>
      <c r="B65" s="96" t="n"/>
      <c r="C65" s="96" t="n"/>
      <c r="D65" s="96" t="n"/>
      <c r="E65" s="96" t="n"/>
      <c r="F65" s="112" t="n"/>
      <c r="G65" s="97" t="n"/>
      <c r="H65" s="113" t="n"/>
      <c r="I65" s="99" t="n"/>
      <c r="J65" s="70" t="str">
        <f>IF(A65="","",N(H65)*U65)</f>
        <v/>
      </c>
      <c r="K65" s="30" t="str">
        <f>IF(A65="","",IF($J$6&gt;0,J65/$J$6,0))</f>
        <v/>
      </c>
      <c r="L65" s="72" t="str">
        <f>IF(A65="","",N(I65)-K65)</f>
        <v/>
      </c>
      <c r="M65" s="30" t="str">
        <f>IF(A65="","",IF($W$6&gt;0,W65/$W$6,0))</f>
        <v/>
      </c>
      <c r="N65" s="74" t="str">
        <f>IF(A65="","",IF(W65&lt;=0,"",COUNTIF($W$9:$W$108,"&gt;"&amp;W65)+COUNTIF($W$9:W65,W65)))</f>
        <v/>
      </c>
      <c r="O65" s="73" t="str">
        <f>IF(A65="","",IF(P65&gt;0,"BUY","HOLD"))</f>
        <v/>
      </c>
      <c r="P65" s="70" t="str">
        <f>IF(A65="","",IF($U$7&lt;=0,0,IF($X$6&gt;0,$U$7*X65/$X$6,IF($I$6&gt;0,$U$7*N(I65)/$I$6,0))))</f>
        <v/>
      </c>
      <c r="Q65" s="70" t="str">
        <f>IF(A65="","",IF(AND(P65&gt;0,P65&gt;=p_CompraMin),P65,0))</f>
        <v/>
      </c>
      <c r="R65" s="114" t="str">
        <f>IF(OR(A65="",F65=""),"",MAX(0,F65-TODAY()))</f>
        <v/>
      </c>
      <c r="T65" s="85" t="str">
        <f>IF(A65="","",IF(G65="",$U$1,G65))</f>
        <v/>
      </c>
      <c r="U65" s="85" t="str">
        <f>IF(A65="","",IFERROR(INDEX(moeda_fx,MATCH(T65,moeda_cod,0)),0))</f>
        <v/>
      </c>
      <c r="V65" s="85" t="str">
        <f>IF(A65="","",ROUND(MAX(0,N(I65)*($J$6+$U$7)-J65),2))</f>
        <v/>
      </c>
      <c r="W65" s="85" t="str">
        <f>IF(A65="","",IF(AND(L65&gt;0,L65&gt;=p_DifMin),V65,0))</f>
        <v/>
      </c>
      <c r="X65" s="85" t="str">
        <f>IF(A65="","",IF(AND(W65&gt;0,N(N65)&lt;=p_MaxAtivos),W65,0))</f>
        <v/>
      </c>
    </row>
    <row r="66">
      <c r="A66" s="96" t="n"/>
      <c r="B66" s="96" t="n"/>
      <c r="C66" s="96" t="n"/>
      <c r="D66" s="96" t="n"/>
      <c r="E66" s="96" t="n"/>
      <c r="F66" s="112" t="n"/>
      <c r="G66" s="97" t="n"/>
      <c r="H66" s="113" t="n"/>
      <c r="I66" s="99" t="n"/>
      <c r="J66" s="107" t="str">
        <f>IF(A66="","",N(H66)*U66)</f>
        <v/>
      </c>
      <c r="K66" s="108" t="str">
        <f>IF(A66="","",IF($J$6&gt;0,J66/$J$6,0))</f>
        <v/>
      </c>
      <c r="L66" s="109" t="str">
        <f>IF(A66="","",N(I66)-K66)</f>
        <v/>
      </c>
      <c r="M66" s="108" t="str">
        <f>IF(A66="","",IF($W$6&gt;0,W66/$W$6,0))</f>
        <v/>
      </c>
      <c r="N66" s="110" t="str">
        <f>IF(A66="","",IF(W66&lt;=0,"",COUNTIF($W$9:$W$108,"&gt;"&amp;W66)+COUNTIF($W$9:W66,W66)))</f>
        <v/>
      </c>
      <c r="O66" s="105" t="str">
        <f>IF(A66="","",IF(P66&gt;0,"BUY","HOLD"))</f>
        <v/>
      </c>
      <c r="P66" s="107" t="str">
        <f>IF(A66="","",IF($U$7&lt;=0,0,IF($X$6&gt;0,$U$7*X66/$X$6,IF($I$6&gt;0,$U$7*N(I66)/$I$6,0))))</f>
        <v/>
      </c>
      <c r="Q66" s="107" t="str">
        <f>IF(A66="","",IF(AND(P66&gt;0,P66&gt;=p_CompraMin),P66,0))</f>
        <v/>
      </c>
      <c r="R66" s="115" t="str">
        <f>IF(OR(A66="",F66=""),"",MAX(0,F66-TODAY()))</f>
        <v/>
      </c>
      <c r="T66" s="85" t="str">
        <f>IF(A66="","",IF(G66="",$U$1,G66))</f>
        <v/>
      </c>
      <c r="U66" s="85" t="str">
        <f>IF(A66="","",IFERROR(INDEX(moeda_fx,MATCH(T66,moeda_cod,0)),0))</f>
        <v/>
      </c>
      <c r="V66" s="85" t="str">
        <f>IF(A66="","",ROUND(MAX(0,N(I66)*($J$6+$U$7)-J66),2))</f>
        <v/>
      </c>
      <c r="W66" s="85" t="str">
        <f>IF(A66="","",IF(AND(L66&gt;0,L66&gt;=p_DifMin),V66,0))</f>
        <v/>
      </c>
      <c r="X66" s="85" t="str">
        <f>IF(A66="","",IF(AND(W66&gt;0,N(N66)&lt;=p_MaxAtivos),W66,0))</f>
        <v/>
      </c>
    </row>
    <row r="67">
      <c r="A67" s="96" t="n"/>
      <c r="B67" s="96" t="n"/>
      <c r="C67" s="96" t="n"/>
      <c r="D67" s="96" t="n"/>
      <c r="E67" s="96" t="n"/>
      <c r="F67" s="112" t="n"/>
      <c r="G67" s="97" t="n"/>
      <c r="H67" s="113" t="n"/>
      <c r="I67" s="99" t="n"/>
      <c r="J67" s="70" t="str">
        <f>IF(A67="","",N(H67)*U67)</f>
        <v/>
      </c>
      <c r="K67" s="30" t="str">
        <f>IF(A67="","",IF($J$6&gt;0,J67/$J$6,0))</f>
        <v/>
      </c>
      <c r="L67" s="72" t="str">
        <f>IF(A67="","",N(I67)-K67)</f>
        <v/>
      </c>
      <c r="M67" s="30" t="str">
        <f>IF(A67="","",IF($W$6&gt;0,W67/$W$6,0))</f>
        <v/>
      </c>
      <c r="N67" s="74" t="str">
        <f>IF(A67="","",IF(W67&lt;=0,"",COUNTIF($W$9:$W$108,"&gt;"&amp;W67)+COUNTIF($W$9:W67,W67)))</f>
        <v/>
      </c>
      <c r="O67" s="73" t="str">
        <f>IF(A67="","",IF(P67&gt;0,"BUY","HOLD"))</f>
        <v/>
      </c>
      <c r="P67" s="70" t="str">
        <f>IF(A67="","",IF($U$7&lt;=0,0,IF($X$6&gt;0,$U$7*X67/$X$6,IF($I$6&gt;0,$U$7*N(I67)/$I$6,0))))</f>
        <v/>
      </c>
      <c r="Q67" s="70" t="str">
        <f>IF(A67="","",IF(AND(P67&gt;0,P67&gt;=p_CompraMin),P67,0))</f>
        <v/>
      </c>
      <c r="R67" s="114" t="str">
        <f>IF(OR(A67="",F67=""),"",MAX(0,F67-TODAY()))</f>
        <v/>
      </c>
      <c r="T67" s="85" t="str">
        <f>IF(A67="","",IF(G67="",$U$1,G67))</f>
        <v/>
      </c>
      <c r="U67" s="85" t="str">
        <f>IF(A67="","",IFERROR(INDEX(moeda_fx,MATCH(T67,moeda_cod,0)),0))</f>
        <v/>
      </c>
      <c r="V67" s="85" t="str">
        <f>IF(A67="","",ROUND(MAX(0,N(I67)*($J$6+$U$7)-J67),2))</f>
        <v/>
      </c>
      <c r="W67" s="85" t="str">
        <f>IF(A67="","",IF(AND(L67&gt;0,L67&gt;=p_DifMin),V67,0))</f>
        <v/>
      </c>
      <c r="X67" s="85" t="str">
        <f>IF(A67="","",IF(AND(W67&gt;0,N(N67)&lt;=p_MaxAtivos),W67,0))</f>
        <v/>
      </c>
    </row>
    <row r="68">
      <c r="A68" s="96" t="n"/>
      <c r="B68" s="96" t="n"/>
      <c r="C68" s="96" t="n"/>
      <c r="D68" s="96" t="n"/>
      <c r="E68" s="96" t="n"/>
      <c r="F68" s="112" t="n"/>
      <c r="G68" s="97" t="n"/>
      <c r="H68" s="113" t="n"/>
      <c r="I68" s="99" t="n"/>
      <c r="J68" s="107" t="str">
        <f>IF(A68="","",N(H68)*U68)</f>
        <v/>
      </c>
      <c r="K68" s="108" t="str">
        <f>IF(A68="","",IF($J$6&gt;0,J68/$J$6,0))</f>
        <v/>
      </c>
      <c r="L68" s="109" t="str">
        <f>IF(A68="","",N(I68)-K68)</f>
        <v/>
      </c>
      <c r="M68" s="108" t="str">
        <f>IF(A68="","",IF($W$6&gt;0,W68/$W$6,0))</f>
        <v/>
      </c>
      <c r="N68" s="110" t="str">
        <f>IF(A68="","",IF(W68&lt;=0,"",COUNTIF($W$9:$W$108,"&gt;"&amp;W68)+COUNTIF($W$9:W68,W68)))</f>
        <v/>
      </c>
      <c r="O68" s="105" t="str">
        <f>IF(A68="","",IF(P68&gt;0,"BUY","HOLD"))</f>
        <v/>
      </c>
      <c r="P68" s="107" t="str">
        <f>IF(A68="","",IF($U$7&lt;=0,0,IF($X$6&gt;0,$U$7*X68/$X$6,IF($I$6&gt;0,$U$7*N(I68)/$I$6,0))))</f>
        <v/>
      </c>
      <c r="Q68" s="107" t="str">
        <f>IF(A68="","",IF(AND(P68&gt;0,P68&gt;=p_CompraMin),P68,0))</f>
        <v/>
      </c>
      <c r="R68" s="115" t="str">
        <f>IF(OR(A68="",F68=""),"",MAX(0,F68-TODAY()))</f>
        <v/>
      </c>
      <c r="T68" s="85" t="str">
        <f>IF(A68="","",IF(G68="",$U$1,G68))</f>
        <v/>
      </c>
      <c r="U68" s="85" t="str">
        <f>IF(A68="","",IFERROR(INDEX(moeda_fx,MATCH(T68,moeda_cod,0)),0))</f>
        <v/>
      </c>
      <c r="V68" s="85" t="str">
        <f>IF(A68="","",ROUND(MAX(0,N(I68)*($J$6+$U$7)-J68),2))</f>
        <v/>
      </c>
      <c r="W68" s="85" t="str">
        <f>IF(A68="","",IF(AND(L68&gt;0,L68&gt;=p_DifMin),V68,0))</f>
        <v/>
      </c>
      <c r="X68" s="85" t="str">
        <f>IF(A68="","",IF(AND(W68&gt;0,N(N68)&lt;=p_MaxAtivos),W68,0))</f>
        <v/>
      </c>
    </row>
    <row r="69">
      <c r="A69" s="96" t="n"/>
      <c r="B69" s="96" t="n"/>
      <c r="C69" s="96" t="n"/>
      <c r="D69" s="96" t="n"/>
      <c r="E69" s="96" t="n"/>
      <c r="F69" s="112" t="n"/>
      <c r="G69" s="97" t="n"/>
      <c r="H69" s="113" t="n"/>
      <c r="I69" s="99" t="n"/>
      <c r="J69" s="70" t="str">
        <f>IF(A69="","",N(H69)*U69)</f>
        <v/>
      </c>
      <c r="K69" s="30" t="str">
        <f>IF(A69="","",IF($J$6&gt;0,J69/$J$6,0))</f>
        <v/>
      </c>
      <c r="L69" s="72" t="str">
        <f>IF(A69="","",N(I69)-K69)</f>
        <v/>
      </c>
      <c r="M69" s="30" t="str">
        <f>IF(A69="","",IF($W$6&gt;0,W69/$W$6,0))</f>
        <v/>
      </c>
      <c r="N69" s="74" t="str">
        <f>IF(A69="","",IF(W69&lt;=0,"",COUNTIF($W$9:$W$108,"&gt;"&amp;W69)+COUNTIF($W$9:W69,W69)))</f>
        <v/>
      </c>
      <c r="O69" s="73" t="str">
        <f>IF(A69="","",IF(P69&gt;0,"BUY","HOLD"))</f>
        <v/>
      </c>
      <c r="P69" s="70" t="str">
        <f>IF(A69="","",IF($U$7&lt;=0,0,IF($X$6&gt;0,$U$7*X69/$X$6,IF($I$6&gt;0,$U$7*N(I69)/$I$6,0))))</f>
        <v/>
      </c>
      <c r="Q69" s="70" t="str">
        <f>IF(A69="","",IF(AND(P69&gt;0,P69&gt;=p_CompraMin),P69,0))</f>
        <v/>
      </c>
      <c r="R69" s="114" t="str">
        <f>IF(OR(A69="",F69=""),"",MAX(0,F69-TODAY()))</f>
        <v/>
      </c>
      <c r="T69" s="85" t="str">
        <f>IF(A69="","",IF(G69="",$U$1,G69))</f>
        <v/>
      </c>
      <c r="U69" s="85" t="str">
        <f>IF(A69="","",IFERROR(INDEX(moeda_fx,MATCH(T69,moeda_cod,0)),0))</f>
        <v/>
      </c>
      <c r="V69" s="85" t="str">
        <f>IF(A69="","",ROUND(MAX(0,N(I69)*($J$6+$U$7)-J69),2))</f>
        <v/>
      </c>
      <c r="W69" s="85" t="str">
        <f>IF(A69="","",IF(AND(L69&gt;0,L69&gt;=p_DifMin),V69,0))</f>
        <v/>
      </c>
      <c r="X69" s="85" t="str">
        <f>IF(A69="","",IF(AND(W69&gt;0,N(N69)&lt;=p_MaxAtivos),W69,0))</f>
        <v/>
      </c>
    </row>
    <row r="70">
      <c r="A70" s="96" t="n"/>
      <c r="B70" s="96" t="n"/>
      <c r="C70" s="96" t="n"/>
      <c r="D70" s="96" t="n"/>
      <c r="E70" s="96" t="n"/>
      <c r="F70" s="112" t="n"/>
      <c r="G70" s="97" t="n"/>
      <c r="H70" s="113" t="n"/>
      <c r="I70" s="99" t="n"/>
      <c r="J70" s="107" t="str">
        <f>IF(A70="","",N(H70)*U70)</f>
        <v/>
      </c>
      <c r="K70" s="108" t="str">
        <f>IF(A70="","",IF($J$6&gt;0,J70/$J$6,0))</f>
        <v/>
      </c>
      <c r="L70" s="109" t="str">
        <f>IF(A70="","",N(I70)-K70)</f>
        <v/>
      </c>
      <c r="M70" s="108" t="str">
        <f>IF(A70="","",IF($W$6&gt;0,W70/$W$6,0))</f>
        <v/>
      </c>
      <c r="N70" s="110" t="str">
        <f>IF(A70="","",IF(W70&lt;=0,"",COUNTIF($W$9:$W$108,"&gt;"&amp;W70)+COUNTIF($W$9:W70,W70)))</f>
        <v/>
      </c>
      <c r="O70" s="105" t="str">
        <f>IF(A70="","",IF(P70&gt;0,"BUY","HOLD"))</f>
        <v/>
      </c>
      <c r="P70" s="107" t="str">
        <f>IF(A70="","",IF($U$7&lt;=0,0,IF($X$6&gt;0,$U$7*X70/$X$6,IF($I$6&gt;0,$U$7*N(I70)/$I$6,0))))</f>
        <v/>
      </c>
      <c r="Q70" s="107" t="str">
        <f>IF(A70="","",IF(AND(P70&gt;0,P70&gt;=p_CompraMin),P70,0))</f>
        <v/>
      </c>
      <c r="R70" s="115" t="str">
        <f>IF(OR(A70="",F70=""),"",MAX(0,F70-TODAY()))</f>
        <v/>
      </c>
      <c r="T70" s="85" t="str">
        <f>IF(A70="","",IF(G70="",$U$1,G70))</f>
        <v/>
      </c>
      <c r="U70" s="85" t="str">
        <f>IF(A70="","",IFERROR(INDEX(moeda_fx,MATCH(T70,moeda_cod,0)),0))</f>
        <v/>
      </c>
      <c r="V70" s="85" t="str">
        <f>IF(A70="","",ROUND(MAX(0,N(I70)*($J$6+$U$7)-J70),2))</f>
        <v/>
      </c>
      <c r="W70" s="85" t="str">
        <f>IF(A70="","",IF(AND(L70&gt;0,L70&gt;=p_DifMin),V70,0))</f>
        <v/>
      </c>
      <c r="X70" s="85" t="str">
        <f>IF(A70="","",IF(AND(W70&gt;0,N(N70)&lt;=p_MaxAtivos),W70,0))</f>
        <v/>
      </c>
    </row>
    <row r="71">
      <c r="A71" s="96" t="n"/>
      <c r="B71" s="96" t="n"/>
      <c r="C71" s="96" t="n"/>
      <c r="D71" s="96" t="n"/>
      <c r="E71" s="96" t="n"/>
      <c r="F71" s="112" t="n"/>
      <c r="G71" s="97" t="n"/>
      <c r="H71" s="113" t="n"/>
      <c r="I71" s="99" t="n"/>
      <c r="J71" s="70" t="str">
        <f>IF(A71="","",N(H71)*U71)</f>
        <v/>
      </c>
      <c r="K71" s="30" t="str">
        <f>IF(A71="","",IF($J$6&gt;0,J71/$J$6,0))</f>
        <v/>
      </c>
      <c r="L71" s="72" t="str">
        <f>IF(A71="","",N(I71)-K71)</f>
        <v/>
      </c>
      <c r="M71" s="30" t="str">
        <f>IF(A71="","",IF($W$6&gt;0,W71/$W$6,0))</f>
        <v/>
      </c>
      <c r="N71" s="74" t="str">
        <f>IF(A71="","",IF(W71&lt;=0,"",COUNTIF($W$9:$W$108,"&gt;"&amp;W71)+COUNTIF($W$9:W71,W71)))</f>
        <v/>
      </c>
      <c r="O71" s="73" t="str">
        <f>IF(A71="","",IF(P71&gt;0,"BUY","HOLD"))</f>
        <v/>
      </c>
      <c r="P71" s="70" t="str">
        <f>IF(A71="","",IF($U$7&lt;=0,0,IF($X$6&gt;0,$U$7*X71/$X$6,IF($I$6&gt;0,$U$7*N(I71)/$I$6,0))))</f>
        <v/>
      </c>
      <c r="Q71" s="70" t="str">
        <f>IF(A71="","",IF(AND(P71&gt;0,P71&gt;=p_CompraMin),P71,0))</f>
        <v/>
      </c>
      <c r="R71" s="114" t="str">
        <f>IF(OR(A71="",F71=""),"",MAX(0,F71-TODAY()))</f>
        <v/>
      </c>
      <c r="T71" s="85" t="str">
        <f>IF(A71="","",IF(G71="",$U$1,G71))</f>
        <v/>
      </c>
      <c r="U71" s="85" t="str">
        <f>IF(A71="","",IFERROR(INDEX(moeda_fx,MATCH(T71,moeda_cod,0)),0))</f>
        <v/>
      </c>
      <c r="V71" s="85" t="str">
        <f>IF(A71="","",ROUND(MAX(0,N(I71)*($J$6+$U$7)-J71),2))</f>
        <v/>
      </c>
      <c r="W71" s="85" t="str">
        <f>IF(A71="","",IF(AND(L71&gt;0,L71&gt;=p_DifMin),V71,0))</f>
        <v/>
      </c>
      <c r="X71" s="85" t="str">
        <f>IF(A71="","",IF(AND(W71&gt;0,N(N71)&lt;=p_MaxAtivos),W71,0))</f>
        <v/>
      </c>
    </row>
    <row r="72">
      <c r="A72" s="96" t="n"/>
      <c r="B72" s="96" t="n"/>
      <c r="C72" s="96" t="n"/>
      <c r="D72" s="96" t="n"/>
      <c r="E72" s="96" t="n"/>
      <c r="F72" s="112" t="n"/>
      <c r="G72" s="97" t="n"/>
      <c r="H72" s="113" t="n"/>
      <c r="I72" s="99" t="n"/>
      <c r="J72" s="107" t="str">
        <f>IF(A72="","",N(H72)*U72)</f>
        <v/>
      </c>
      <c r="K72" s="108" t="str">
        <f>IF(A72="","",IF($J$6&gt;0,J72/$J$6,0))</f>
        <v/>
      </c>
      <c r="L72" s="109" t="str">
        <f>IF(A72="","",N(I72)-K72)</f>
        <v/>
      </c>
      <c r="M72" s="108" t="str">
        <f>IF(A72="","",IF($W$6&gt;0,W72/$W$6,0))</f>
        <v/>
      </c>
      <c r="N72" s="110" t="str">
        <f>IF(A72="","",IF(W72&lt;=0,"",COUNTIF($W$9:$W$108,"&gt;"&amp;W72)+COUNTIF($W$9:W72,W72)))</f>
        <v/>
      </c>
      <c r="O72" s="105" t="str">
        <f>IF(A72="","",IF(P72&gt;0,"BUY","HOLD"))</f>
        <v/>
      </c>
      <c r="P72" s="107" t="str">
        <f>IF(A72="","",IF($U$7&lt;=0,0,IF($X$6&gt;0,$U$7*X72/$X$6,IF($I$6&gt;0,$U$7*N(I72)/$I$6,0))))</f>
        <v/>
      </c>
      <c r="Q72" s="107" t="str">
        <f>IF(A72="","",IF(AND(P72&gt;0,P72&gt;=p_CompraMin),P72,0))</f>
        <v/>
      </c>
      <c r="R72" s="115" t="str">
        <f>IF(OR(A72="",F72=""),"",MAX(0,F72-TODAY()))</f>
        <v/>
      </c>
      <c r="T72" s="85" t="str">
        <f>IF(A72="","",IF(G72="",$U$1,G72))</f>
        <v/>
      </c>
      <c r="U72" s="85" t="str">
        <f>IF(A72="","",IFERROR(INDEX(moeda_fx,MATCH(T72,moeda_cod,0)),0))</f>
        <v/>
      </c>
      <c r="V72" s="85" t="str">
        <f>IF(A72="","",ROUND(MAX(0,N(I72)*($J$6+$U$7)-J72),2))</f>
        <v/>
      </c>
      <c r="W72" s="85" t="str">
        <f>IF(A72="","",IF(AND(L72&gt;0,L72&gt;=p_DifMin),V72,0))</f>
        <v/>
      </c>
      <c r="X72" s="85" t="str">
        <f>IF(A72="","",IF(AND(W72&gt;0,N(N72)&lt;=p_MaxAtivos),W72,0))</f>
        <v/>
      </c>
    </row>
    <row r="73">
      <c r="A73" s="96" t="n"/>
      <c r="B73" s="96" t="n"/>
      <c r="C73" s="96" t="n"/>
      <c r="D73" s="96" t="n"/>
      <c r="E73" s="96" t="n"/>
      <c r="F73" s="112" t="n"/>
      <c r="G73" s="97" t="n"/>
      <c r="H73" s="113" t="n"/>
      <c r="I73" s="99" t="n"/>
      <c r="J73" s="70" t="str">
        <f>IF(A73="","",N(H73)*U73)</f>
        <v/>
      </c>
      <c r="K73" s="30" t="str">
        <f>IF(A73="","",IF($J$6&gt;0,J73/$J$6,0))</f>
        <v/>
      </c>
      <c r="L73" s="72" t="str">
        <f>IF(A73="","",N(I73)-K73)</f>
        <v/>
      </c>
      <c r="M73" s="30" t="str">
        <f>IF(A73="","",IF($W$6&gt;0,W73/$W$6,0))</f>
        <v/>
      </c>
      <c r="N73" s="74" t="str">
        <f>IF(A73="","",IF(W73&lt;=0,"",COUNTIF($W$9:$W$108,"&gt;"&amp;W73)+COUNTIF($W$9:W73,W73)))</f>
        <v/>
      </c>
      <c r="O73" s="73" t="str">
        <f>IF(A73="","",IF(P73&gt;0,"BUY","HOLD"))</f>
        <v/>
      </c>
      <c r="P73" s="70" t="str">
        <f>IF(A73="","",IF($U$7&lt;=0,0,IF($X$6&gt;0,$U$7*X73/$X$6,IF($I$6&gt;0,$U$7*N(I73)/$I$6,0))))</f>
        <v/>
      </c>
      <c r="Q73" s="70" t="str">
        <f>IF(A73="","",IF(AND(P73&gt;0,P73&gt;=p_CompraMin),P73,0))</f>
        <v/>
      </c>
      <c r="R73" s="114" t="str">
        <f>IF(OR(A73="",F73=""),"",MAX(0,F73-TODAY()))</f>
        <v/>
      </c>
      <c r="T73" s="85" t="str">
        <f>IF(A73="","",IF(G73="",$U$1,G73))</f>
        <v/>
      </c>
      <c r="U73" s="85" t="str">
        <f>IF(A73="","",IFERROR(INDEX(moeda_fx,MATCH(T73,moeda_cod,0)),0))</f>
        <v/>
      </c>
      <c r="V73" s="85" t="str">
        <f>IF(A73="","",ROUND(MAX(0,N(I73)*($J$6+$U$7)-J73),2))</f>
        <v/>
      </c>
      <c r="W73" s="85" t="str">
        <f>IF(A73="","",IF(AND(L73&gt;0,L73&gt;=p_DifMin),V73,0))</f>
        <v/>
      </c>
      <c r="X73" s="85" t="str">
        <f>IF(A73="","",IF(AND(W73&gt;0,N(N73)&lt;=p_MaxAtivos),W73,0))</f>
        <v/>
      </c>
    </row>
    <row r="74">
      <c r="A74" s="96" t="n"/>
      <c r="B74" s="96" t="n"/>
      <c r="C74" s="96" t="n"/>
      <c r="D74" s="96" t="n"/>
      <c r="E74" s="96" t="n"/>
      <c r="F74" s="112" t="n"/>
      <c r="G74" s="97" t="n"/>
      <c r="H74" s="113" t="n"/>
      <c r="I74" s="99" t="n"/>
      <c r="J74" s="107" t="str">
        <f>IF(A74="","",N(H74)*U74)</f>
        <v/>
      </c>
      <c r="K74" s="108" t="str">
        <f>IF(A74="","",IF($J$6&gt;0,J74/$J$6,0))</f>
        <v/>
      </c>
      <c r="L74" s="109" t="str">
        <f>IF(A74="","",N(I74)-K74)</f>
        <v/>
      </c>
      <c r="M74" s="108" t="str">
        <f>IF(A74="","",IF($W$6&gt;0,W74/$W$6,0))</f>
        <v/>
      </c>
      <c r="N74" s="110" t="str">
        <f>IF(A74="","",IF(W74&lt;=0,"",COUNTIF($W$9:$W$108,"&gt;"&amp;W74)+COUNTIF($W$9:W74,W74)))</f>
        <v/>
      </c>
      <c r="O74" s="105" t="str">
        <f>IF(A74="","",IF(P74&gt;0,"BUY","HOLD"))</f>
        <v/>
      </c>
      <c r="P74" s="107" t="str">
        <f>IF(A74="","",IF($U$7&lt;=0,0,IF($X$6&gt;0,$U$7*X74/$X$6,IF($I$6&gt;0,$U$7*N(I74)/$I$6,0))))</f>
        <v/>
      </c>
      <c r="Q74" s="107" t="str">
        <f>IF(A74="","",IF(AND(P74&gt;0,P74&gt;=p_CompraMin),P74,0))</f>
        <v/>
      </c>
      <c r="R74" s="115" t="str">
        <f>IF(OR(A74="",F74=""),"",MAX(0,F74-TODAY()))</f>
        <v/>
      </c>
      <c r="T74" s="85" t="str">
        <f>IF(A74="","",IF(G74="",$U$1,G74))</f>
        <v/>
      </c>
      <c r="U74" s="85" t="str">
        <f>IF(A74="","",IFERROR(INDEX(moeda_fx,MATCH(T74,moeda_cod,0)),0))</f>
        <v/>
      </c>
      <c r="V74" s="85" t="str">
        <f>IF(A74="","",ROUND(MAX(0,N(I74)*($J$6+$U$7)-J74),2))</f>
        <v/>
      </c>
      <c r="W74" s="85" t="str">
        <f>IF(A74="","",IF(AND(L74&gt;0,L74&gt;=p_DifMin),V74,0))</f>
        <v/>
      </c>
      <c r="X74" s="85" t="str">
        <f>IF(A74="","",IF(AND(W74&gt;0,N(N74)&lt;=p_MaxAtivos),W74,0))</f>
        <v/>
      </c>
    </row>
    <row r="75">
      <c r="A75" s="96" t="n"/>
      <c r="B75" s="96" t="n"/>
      <c r="C75" s="96" t="n"/>
      <c r="D75" s="96" t="n"/>
      <c r="E75" s="96" t="n"/>
      <c r="F75" s="112" t="n"/>
      <c r="G75" s="97" t="n"/>
      <c r="H75" s="113" t="n"/>
      <c r="I75" s="99" t="n"/>
      <c r="J75" s="70" t="str">
        <f>IF(A75="","",N(H75)*U75)</f>
        <v/>
      </c>
      <c r="K75" s="30" t="str">
        <f>IF(A75="","",IF($J$6&gt;0,J75/$J$6,0))</f>
        <v/>
      </c>
      <c r="L75" s="72" t="str">
        <f>IF(A75="","",N(I75)-K75)</f>
        <v/>
      </c>
      <c r="M75" s="30" t="str">
        <f>IF(A75="","",IF($W$6&gt;0,W75/$W$6,0))</f>
        <v/>
      </c>
      <c r="N75" s="74" t="str">
        <f>IF(A75="","",IF(W75&lt;=0,"",COUNTIF($W$9:$W$108,"&gt;"&amp;W75)+COUNTIF($W$9:W75,W75)))</f>
        <v/>
      </c>
      <c r="O75" s="73" t="str">
        <f>IF(A75="","",IF(P75&gt;0,"BUY","HOLD"))</f>
        <v/>
      </c>
      <c r="P75" s="70" t="str">
        <f>IF(A75="","",IF($U$7&lt;=0,0,IF($X$6&gt;0,$U$7*X75/$X$6,IF($I$6&gt;0,$U$7*N(I75)/$I$6,0))))</f>
        <v/>
      </c>
      <c r="Q75" s="70" t="str">
        <f>IF(A75="","",IF(AND(P75&gt;0,P75&gt;=p_CompraMin),P75,0))</f>
        <v/>
      </c>
      <c r="R75" s="114" t="str">
        <f>IF(OR(A75="",F75=""),"",MAX(0,F75-TODAY()))</f>
        <v/>
      </c>
      <c r="T75" s="85" t="str">
        <f>IF(A75="","",IF(G75="",$U$1,G75))</f>
        <v/>
      </c>
      <c r="U75" s="85" t="str">
        <f>IF(A75="","",IFERROR(INDEX(moeda_fx,MATCH(T75,moeda_cod,0)),0))</f>
        <v/>
      </c>
      <c r="V75" s="85" t="str">
        <f>IF(A75="","",ROUND(MAX(0,N(I75)*($J$6+$U$7)-J75),2))</f>
        <v/>
      </c>
      <c r="W75" s="85" t="str">
        <f>IF(A75="","",IF(AND(L75&gt;0,L75&gt;=p_DifMin),V75,0))</f>
        <v/>
      </c>
      <c r="X75" s="85" t="str">
        <f>IF(A75="","",IF(AND(W75&gt;0,N(N75)&lt;=p_MaxAtivos),W75,0))</f>
        <v/>
      </c>
    </row>
    <row r="76">
      <c r="A76" s="96" t="n"/>
      <c r="B76" s="96" t="n"/>
      <c r="C76" s="96" t="n"/>
      <c r="D76" s="96" t="n"/>
      <c r="E76" s="96" t="n"/>
      <c r="F76" s="112" t="n"/>
      <c r="G76" s="97" t="n"/>
      <c r="H76" s="113" t="n"/>
      <c r="I76" s="99" t="n"/>
      <c r="J76" s="107" t="str">
        <f>IF(A76="","",N(H76)*U76)</f>
        <v/>
      </c>
      <c r="K76" s="108" t="str">
        <f>IF(A76="","",IF($J$6&gt;0,J76/$J$6,0))</f>
        <v/>
      </c>
      <c r="L76" s="109" t="str">
        <f>IF(A76="","",N(I76)-K76)</f>
        <v/>
      </c>
      <c r="M76" s="108" t="str">
        <f>IF(A76="","",IF($W$6&gt;0,W76/$W$6,0))</f>
        <v/>
      </c>
      <c r="N76" s="110" t="str">
        <f>IF(A76="","",IF(W76&lt;=0,"",COUNTIF($W$9:$W$108,"&gt;"&amp;W76)+COUNTIF($W$9:W76,W76)))</f>
        <v/>
      </c>
      <c r="O76" s="105" t="str">
        <f>IF(A76="","",IF(P76&gt;0,"BUY","HOLD"))</f>
        <v/>
      </c>
      <c r="P76" s="107" t="str">
        <f>IF(A76="","",IF($U$7&lt;=0,0,IF($X$6&gt;0,$U$7*X76/$X$6,IF($I$6&gt;0,$U$7*N(I76)/$I$6,0))))</f>
        <v/>
      </c>
      <c r="Q76" s="107" t="str">
        <f>IF(A76="","",IF(AND(P76&gt;0,P76&gt;=p_CompraMin),P76,0))</f>
        <v/>
      </c>
      <c r="R76" s="115" t="str">
        <f>IF(OR(A76="",F76=""),"",MAX(0,F76-TODAY()))</f>
        <v/>
      </c>
      <c r="T76" s="85" t="str">
        <f>IF(A76="","",IF(G76="",$U$1,G76))</f>
        <v/>
      </c>
      <c r="U76" s="85" t="str">
        <f>IF(A76="","",IFERROR(INDEX(moeda_fx,MATCH(T76,moeda_cod,0)),0))</f>
        <v/>
      </c>
      <c r="V76" s="85" t="str">
        <f>IF(A76="","",ROUND(MAX(0,N(I76)*($J$6+$U$7)-J76),2))</f>
        <v/>
      </c>
      <c r="W76" s="85" t="str">
        <f>IF(A76="","",IF(AND(L76&gt;0,L76&gt;=p_DifMin),V76,0))</f>
        <v/>
      </c>
      <c r="X76" s="85" t="str">
        <f>IF(A76="","",IF(AND(W76&gt;0,N(N76)&lt;=p_MaxAtivos),W76,0))</f>
        <v/>
      </c>
    </row>
    <row r="77">
      <c r="A77" s="96" t="n"/>
      <c r="B77" s="96" t="n"/>
      <c r="C77" s="96" t="n"/>
      <c r="D77" s="96" t="n"/>
      <c r="E77" s="96" t="n"/>
      <c r="F77" s="112" t="n"/>
      <c r="G77" s="97" t="n"/>
      <c r="H77" s="113" t="n"/>
      <c r="I77" s="99" t="n"/>
      <c r="J77" s="70" t="str">
        <f>IF(A77="","",N(H77)*U77)</f>
        <v/>
      </c>
      <c r="K77" s="30" t="str">
        <f>IF(A77="","",IF($J$6&gt;0,J77/$J$6,0))</f>
        <v/>
      </c>
      <c r="L77" s="72" t="str">
        <f>IF(A77="","",N(I77)-K77)</f>
        <v/>
      </c>
      <c r="M77" s="30" t="str">
        <f>IF(A77="","",IF($W$6&gt;0,W77/$W$6,0))</f>
        <v/>
      </c>
      <c r="N77" s="74" t="str">
        <f>IF(A77="","",IF(W77&lt;=0,"",COUNTIF($W$9:$W$108,"&gt;"&amp;W77)+COUNTIF($W$9:W77,W77)))</f>
        <v/>
      </c>
      <c r="O77" s="73" t="str">
        <f>IF(A77="","",IF(P77&gt;0,"BUY","HOLD"))</f>
        <v/>
      </c>
      <c r="P77" s="70" t="str">
        <f>IF(A77="","",IF($U$7&lt;=0,0,IF($X$6&gt;0,$U$7*X77/$X$6,IF($I$6&gt;0,$U$7*N(I77)/$I$6,0))))</f>
        <v/>
      </c>
      <c r="Q77" s="70" t="str">
        <f>IF(A77="","",IF(AND(P77&gt;0,P77&gt;=p_CompraMin),P77,0))</f>
        <v/>
      </c>
      <c r="R77" s="114" t="str">
        <f>IF(OR(A77="",F77=""),"",MAX(0,F77-TODAY()))</f>
        <v/>
      </c>
      <c r="T77" s="85" t="str">
        <f>IF(A77="","",IF(G77="",$U$1,G77))</f>
        <v/>
      </c>
      <c r="U77" s="85" t="str">
        <f>IF(A77="","",IFERROR(INDEX(moeda_fx,MATCH(T77,moeda_cod,0)),0))</f>
        <v/>
      </c>
      <c r="V77" s="85" t="str">
        <f>IF(A77="","",ROUND(MAX(0,N(I77)*($J$6+$U$7)-J77),2))</f>
        <v/>
      </c>
      <c r="W77" s="85" t="str">
        <f>IF(A77="","",IF(AND(L77&gt;0,L77&gt;=p_DifMin),V77,0))</f>
        <v/>
      </c>
      <c r="X77" s="85" t="str">
        <f>IF(A77="","",IF(AND(W77&gt;0,N(N77)&lt;=p_MaxAtivos),W77,0))</f>
        <v/>
      </c>
    </row>
    <row r="78">
      <c r="A78" s="96" t="n"/>
      <c r="B78" s="96" t="n"/>
      <c r="C78" s="96" t="n"/>
      <c r="D78" s="96" t="n"/>
      <c r="E78" s="96" t="n"/>
      <c r="F78" s="112" t="n"/>
      <c r="G78" s="97" t="n"/>
      <c r="H78" s="113" t="n"/>
      <c r="I78" s="99" t="n"/>
      <c r="J78" s="107" t="str">
        <f>IF(A78="","",N(H78)*U78)</f>
        <v/>
      </c>
      <c r="K78" s="108" t="str">
        <f>IF(A78="","",IF($J$6&gt;0,J78/$J$6,0))</f>
        <v/>
      </c>
      <c r="L78" s="109" t="str">
        <f>IF(A78="","",N(I78)-K78)</f>
        <v/>
      </c>
      <c r="M78" s="108" t="str">
        <f>IF(A78="","",IF($W$6&gt;0,W78/$W$6,0))</f>
        <v/>
      </c>
      <c r="N78" s="110" t="str">
        <f>IF(A78="","",IF(W78&lt;=0,"",COUNTIF($W$9:$W$108,"&gt;"&amp;W78)+COUNTIF($W$9:W78,W78)))</f>
        <v/>
      </c>
      <c r="O78" s="105" t="str">
        <f>IF(A78="","",IF(P78&gt;0,"BUY","HOLD"))</f>
        <v/>
      </c>
      <c r="P78" s="107" t="str">
        <f>IF(A78="","",IF($U$7&lt;=0,0,IF($X$6&gt;0,$U$7*X78/$X$6,IF($I$6&gt;0,$U$7*N(I78)/$I$6,0))))</f>
        <v/>
      </c>
      <c r="Q78" s="107" t="str">
        <f>IF(A78="","",IF(AND(P78&gt;0,P78&gt;=p_CompraMin),P78,0))</f>
        <v/>
      </c>
      <c r="R78" s="115" t="str">
        <f>IF(OR(A78="",F78=""),"",MAX(0,F78-TODAY()))</f>
        <v/>
      </c>
      <c r="T78" s="85" t="str">
        <f>IF(A78="","",IF(G78="",$U$1,G78))</f>
        <v/>
      </c>
      <c r="U78" s="85" t="str">
        <f>IF(A78="","",IFERROR(INDEX(moeda_fx,MATCH(T78,moeda_cod,0)),0))</f>
        <v/>
      </c>
      <c r="V78" s="85" t="str">
        <f>IF(A78="","",ROUND(MAX(0,N(I78)*($J$6+$U$7)-J78),2))</f>
        <v/>
      </c>
      <c r="W78" s="85" t="str">
        <f>IF(A78="","",IF(AND(L78&gt;0,L78&gt;=p_DifMin),V78,0))</f>
        <v/>
      </c>
      <c r="X78" s="85" t="str">
        <f>IF(A78="","",IF(AND(W78&gt;0,N(N78)&lt;=p_MaxAtivos),W78,0))</f>
        <v/>
      </c>
    </row>
    <row r="79">
      <c r="A79" s="96" t="n"/>
      <c r="B79" s="96" t="n"/>
      <c r="C79" s="96" t="n"/>
      <c r="D79" s="96" t="n"/>
      <c r="E79" s="96" t="n"/>
      <c r="F79" s="112" t="n"/>
      <c r="G79" s="97" t="n"/>
      <c r="H79" s="113" t="n"/>
      <c r="I79" s="99" t="n"/>
      <c r="J79" s="70" t="str">
        <f>IF(A79="","",N(H79)*U79)</f>
        <v/>
      </c>
      <c r="K79" s="30" t="str">
        <f>IF(A79="","",IF($J$6&gt;0,J79/$J$6,0))</f>
        <v/>
      </c>
      <c r="L79" s="72" t="str">
        <f>IF(A79="","",N(I79)-K79)</f>
        <v/>
      </c>
      <c r="M79" s="30" t="str">
        <f>IF(A79="","",IF($W$6&gt;0,W79/$W$6,0))</f>
        <v/>
      </c>
      <c r="N79" s="74" t="str">
        <f>IF(A79="","",IF(W79&lt;=0,"",COUNTIF($W$9:$W$108,"&gt;"&amp;W79)+COUNTIF($W$9:W79,W79)))</f>
        <v/>
      </c>
      <c r="O79" s="73" t="str">
        <f>IF(A79="","",IF(P79&gt;0,"BUY","HOLD"))</f>
        <v/>
      </c>
      <c r="P79" s="70" t="str">
        <f>IF(A79="","",IF($U$7&lt;=0,0,IF($X$6&gt;0,$U$7*X79/$X$6,IF($I$6&gt;0,$U$7*N(I79)/$I$6,0))))</f>
        <v/>
      </c>
      <c r="Q79" s="70" t="str">
        <f>IF(A79="","",IF(AND(P79&gt;0,P79&gt;=p_CompraMin),P79,0))</f>
        <v/>
      </c>
      <c r="R79" s="114" t="str">
        <f>IF(OR(A79="",F79=""),"",MAX(0,F79-TODAY()))</f>
        <v/>
      </c>
      <c r="T79" s="85" t="str">
        <f>IF(A79="","",IF(G79="",$U$1,G79))</f>
        <v/>
      </c>
      <c r="U79" s="85" t="str">
        <f>IF(A79="","",IFERROR(INDEX(moeda_fx,MATCH(T79,moeda_cod,0)),0))</f>
        <v/>
      </c>
      <c r="V79" s="85" t="str">
        <f>IF(A79="","",ROUND(MAX(0,N(I79)*($J$6+$U$7)-J79),2))</f>
        <v/>
      </c>
      <c r="W79" s="85" t="str">
        <f>IF(A79="","",IF(AND(L79&gt;0,L79&gt;=p_DifMin),V79,0))</f>
        <v/>
      </c>
      <c r="X79" s="85" t="str">
        <f>IF(A79="","",IF(AND(W79&gt;0,N(N79)&lt;=p_MaxAtivos),W79,0))</f>
        <v/>
      </c>
    </row>
    <row r="80">
      <c r="A80" s="96" t="n"/>
      <c r="B80" s="96" t="n"/>
      <c r="C80" s="96" t="n"/>
      <c r="D80" s="96" t="n"/>
      <c r="E80" s="96" t="n"/>
      <c r="F80" s="112" t="n"/>
      <c r="G80" s="97" t="n"/>
      <c r="H80" s="113" t="n"/>
      <c r="I80" s="99" t="n"/>
      <c r="J80" s="107" t="str">
        <f>IF(A80="","",N(H80)*U80)</f>
        <v/>
      </c>
      <c r="K80" s="108" t="str">
        <f>IF(A80="","",IF($J$6&gt;0,J80/$J$6,0))</f>
        <v/>
      </c>
      <c r="L80" s="109" t="str">
        <f>IF(A80="","",N(I80)-K80)</f>
        <v/>
      </c>
      <c r="M80" s="108" t="str">
        <f>IF(A80="","",IF($W$6&gt;0,W80/$W$6,0))</f>
        <v/>
      </c>
      <c r="N80" s="110" t="str">
        <f>IF(A80="","",IF(W80&lt;=0,"",COUNTIF($W$9:$W$108,"&gt;"&amp;W80)+COUNTIF($W$9:W80,W80)))</f>
        <v/>
      </c>
      <c r="O80" s="105" t="str">
        <f>IF(A80="","",IF(P80&gt;0,"BUY","HOLD"))</f>
        <v/>
      </c>
      <c r="P80" s="107" t="str">
        <f>IF(A80="","",IF($U$7&lt;=0,0,IF($X$6&gt;0,$U$7*X80/$X$6,IF($I$6&gt;0,$U$7*N(I80)/$I$6,0))))</f>
        <v/>
      </c>
      <c r="Q80" s="107" t="str">
        <f>IF(A80="","",IF(AND(P80&gt;0,P80&gt;=p_CompraMin),P80,0))</f>
        <v/>
      </c>
      <c r="R80" s="115" t="str">
        <f>IF(OR(A80="",F80=""),"",MAX(0,F80-TODAY()))</f>
        <v/>
      </c>
      <c r="T80" s="85" t="str">
        <f>IF(A80="","",IF(G80="",$U$1,G80))</f>
        <v/>
      </c>
      <c r="U80" s="85" t="str">
        <f>IF(A80="","",IFERROR(INDEX(moeda_fx,MATCH(T80,moeda_cod,0)),0))</f>
        <v/>
      </c>
      <c r="V80" s="85" t="str">
        <f>IF(A80="","",ROUND(MAX(0,N(I80)*($J$6+$U$7)-J80),2))</f>
        <v/>
      </c>
      <c r="W80" s="85" t="str">
        <f>IF(A80="","",IF(AND(L80&gt;0,L80&gt;=p_DifMin),V80,0))</f>
        <v/>
      </c>
      <c r="X80" s="85" t="str">
        <f>IF(A80="","",IF(AND(W80&gt;0,N(N80)&lt;=p_MaxAtivos),W80,0))</f>
        <v/>
      </c>
    </row>
    <row r="81">
      <c r="A81" s="96" t="n"/>
      <c r="B81" s="96" t="n"/>
      <c r="C81" s="96" t="n"/>
      <c r="D81" s="96" t="n"/>
      <c r="E81" s="96" t="n"/>
      <c r="F81" s="112" t="n"/>
      <c r="G81" s="97" t="n"/>
      <c r="H81" s="113" t="n"/>
      <c r="I81" s="99" t="n"/>
      <c r="J81" s="70" t="str">
        <f>IF(A81="","",N(H81)*U81)</f>
        <v/>
      </c>
      <c r="K81" s="30" t="str">
        <f>IF(A81="","",IF($J$6&gt;0,J81/$J$6,0))</f>
        <v/>
      </c>
      <c r="L81" s="72" t="str">
        <f>IF(A81="","",N(I81)-K81)</f>
        <v/>
      </c>
      <c r="M81" s="30" t="str">
        <f>IF(A81="","",IF($W$6&gt;0,W81/$W$6,0))</f>
        <v/>
      </c>
      <c r="N81" s="74" t="str">
        <f>IF(A81="","",IF(W81&lt;=0,"",COUNTIF($W$9:$W$108,"&gt;"&amp;W81)+COUNTIF($W$9:W81,W81)))</f>
        <v/>
      </c>
      <c r="O81" s="73" t="str">
        <f>IF(A81="","",IF(P81&gt;0,"BUY","HOLD"))</f>
        <v/>
      </c>
      <c r="P81" s="70" t="str">
        <f>IF(A81="","",IF($U$7&lt;=0,0,IF($X$6&gt;0,$U$7*X81/$X$6,IF($I$6&gt;0,$U$7*N(I81)/$I$6,0))))</f>
        <v/>
      </c>
      <c r="Q81" s="70" t="str">
        <f>IF(A81="","",IF(AND(P81&gt;0,P81&gt;=p_CompraMin),P81,0))</f>
        <v/>
      </c>
      <c r="R81" s="114" t="str">
        <f>IF(OR(A81="",F81=""),"",MAX(0,F81-TODAY()))</f>
        <v/>
      </c>
      <c r="T81" s="85" t="str">
        <f>IF(A81="","",IF(G81="",$U$1,G81))</f>
        <v/>
      </c>
      <c r="U81" s="85" t="str">
        <f>IF(A81="","",IFERROR(INDEX(moeda_fx,MATCH(T81,moeda_cod,0)),0))</f>
        <v/>
      </c>
      <c r="V81" s="85" t="str">
        <f>IF(A81="","",ROUND(MAX(0,N(I81)*($J$6+$U$7)-J81),2))</f>
        <v/>
      </c>
      <c r="W81" s="85" t="str">
        <f>IF(A81="","",IF(AND(L81&gt;0,L81&gt;=p_DifMin),V81,0))</f>
        <v/>
      </c>
      <c r="X81" s="85" t="str">
        <f>IF(A81="","",IF(AND(W81&gt;0,N(N81)&lt;=p_MaxAtivos),W81,0))</f>
        <v/>
      </c>
    </row>
    <row r="82">
      <c r="A82" s="96" t="n"/>
      <c r="B82" s="96" t="n"/>
      <c r="C82" s="96" t="n"/>
      <c r="D82" s="96" t="n"/>
      <c r="E82" s="96" t="n"/>
      <c r="F82" s="112" t="n"/>
      <c r="G82" s="97" t="n"/>
      <c r="H82" s="113" t="n"/>
      <c r="I82" s="99" t="n"/>
      <c r="J82" s="107" t="str">
        <f>IF(A82="","",N(H82)*U82)</f>
        <v/>
      </c>
      <c r="K82" s="108" t="str">
        <f>IF(A82="","",IF($J$6&gt;0,J82/$J$6,0))</f>
        <v/>
      </c>
      <c r="L82" s="109" t="str">
        <f>IF(A82="","",N(I82)-K82)</f>
        <v/>
      </c>
      <c r="M82" s="108" t="str">
        <f>IF(A82="","",IF($W$6&gt;0,W82/$W$6,0))</f>
        <v/>
      </c>
      <c r="N82" s="110" t="str">
        <f>IF(A82="","",IF(W82&lt;=0,"",COUNTIF($W$9:$W$108,"&gt;"&amp;W82)+COUNTIF($W$9:W82,W82)))</f>
        <v/>
      </c>
      <c r="O82" s="105" t="str">
        <f>IF(A82="","",IF(P82&gt;0,"BUY","HOLD"))</f>
        <v/>
      </c>
      <c r="P82" s="107" t="str">
        <f>IF(A82="","",IF($U$7&lt;=0,0,IF($X$6&gt;0,$U$7*X82/$X$6,IF($I$6&gt;0,$U$7*N(I82)/$I$6,0))))</f>
        <v/>
      </c>
      <c r="Q82" s="107" t="str">
        <f>IF(A82="","",IF(AND(P82&gt;0,P82&gt;=p_CompraMin),P82,0))</f>
        <v/>
      </c>
      <c r="R82" s="115" t="str">
        <f>IF(OR(A82="",F82=""),"",MAX(0,F82-TODAY()))</f>
        <v/>
      </c>
      <c r="T82" s="85" t="str">
        <f>IF(A82="","",IF(G82="",$U$1,G82))</f>
        <v/>
      </c>
      <c r="U82" s="85" t="str">
        <f>IF(A82="","",IFERROR(INDEX(moeda_fx,MATCH(T82,moeda_cod,0)),0))</f>
        <v/>
      </c>
      <c r="V82" s="85" t="str">
        <f>IF(A82="","",ROUND(MAX(0,N(I82)*($J$6+$U$7)-J82),2))</f>
        <v/>
      </c>
      <c r="W82" s="85" t="str">
        <f>IF(A82="","",IF(AND(L82&gt;0,L82&gt;=p_DifMin),V82,0))</f>
        <v/>
      </c>
      <c r="X82" s="85" t="str">
        <f>IF(A82="","",IF(AND(W82&gt;0,N(N82)&lt;=p_MaxAtivos),W82,0))</f>
        <v/>
      </c>
    </row>
    <row r="83">
      <c r="A83" s="96" t="n"/>
      <c r="B83" s="96" t="n"/>
      <c r="C83" s="96" t="n"/>
      <c r="D83" s="96" t="n"/>
      <c r="E83" s="96" t="n"/>
      <c r="F83" s="112" t="n"/>
      <c r="G83" s="97" t="n"/>
      <c r="H83" s="113" t="n"/>
      <c r="I83" s="99" t="n"/>
      <c r="J83" s="70" t="str">
        <f>IF(A83="","",N(H83)*U83)</f>
        <v/>
      </c>
      <c r="K83" s="30" t="str">
        <f>IF(A83="","",IF($J$6&gt;0,J83/$J$6,0))</f>
        <v/>
      </c>
      <c r="L83" s="72" t="str">
        <f>IF(A83="","",N(I83)-K83)</f>
        <v/>
      </c>
      <c r="M83" s="30" t="str">
        <f>IF(A83="","",IF($W$6&gt;0,W83/$W$6,0))</f>
        <v/>
      </c>
      <c r="N83" s="74" t="str">
        <f>IF(A83="","",IF(W83&lt;=0,"",COUNTIF($W$9:$W$108,"&gt;"&amp;W83)+COUNTIF($W$9:W83,W83)))</f>
        <v/>
      </c>
      <c r="O83" s="73" t="str">
        <f>IF(A83="","",IF(P83&gt;0,"BUY","HOLD"))</f>
        <v/>
      </c>
      <c r="P83" s="70" t="str">
        <f>IF(A83="","",IF($U$7&lt;=0,0,IF($X$6&gt;0,$U$7*X83/$X$6,IF($I$6&gt;0,$U$7*N(I83)/$I$6,0))))</f>
        <v/>
      </c>
      <c r="Q83" s="70" t="str">
        <f>IF(A83="","",IF(AND(P83&gt;0,P83&gt;=p_CompraMin),P83,0))</f>
        <v/>
      </c>
      <c r="R83" s="114" t="str">
        <f>IF(OR(A83="",F83=""),"",MAX(0,F83-TODAY()))</f>
        <v/>
      </c>
      <c r="T83" s="85" t="str">
        <f>IF(A83="","",IF(G83="",$U$1,G83))</f>
        <v/>
      </c>
      <c r="U83" s="85" t="str">
        <f>IF(A83="","",IFERROR(INDEX(moeda_fx,MATCH(T83,moeda_cod,0)),0))</f>
        <v/>
      </c>
      <c r="V83" s="85" t="str">
        <f>IF(A83="","",ROUND(MAX(0,N(I83)*($J$6+$U$7)-J83),2))</f>
        <v/>
      </c>
      <c r="W83" s="85" t="str">
        <f>IF(A83="","",IF(AND(L83&gt;0,L83&gt;=p_DifMin),V83,0))</f>
        <v/>
      </c>
      <c r="X83" s="85" t="str">
        <f>IF(A83="","",IF(AND(W83&gt;0,N(N83)&lt;=p_MaxAtivos),W83,0))</f>
        <v/>
      </c>
    </row>
    <row r="84">
      <c r="A84" s="96" t="n"/>
      <c r="B84" s="96" t="n"/>
      <c r="C84" s="96" t="n"/>
      <c r="D84" s="96" t="n"/>
      <c r="E84" s="96" t="n"/>
      <c r="F84" s="112" t="n"/>
      <c r="G84" s="97" t="n"/>
      <c r="H84" s="113" t="n"/>
      <c r="I84" s="99" t="n"/>
      <c r="J84" s="107" t="str">
        <f>IF(A84="","",N(H84)*U84)</f>
        <v/>
      </c>
      <c r="K84" s="108" t="str">
        <f>IF(A84="","",IF($J$6&gt;0,J84/$J$6,0))</f>
        <v/>
      </c>
      <c r="L84" s="109" t="str">
        <f>IF(A84="","",N(I84)-K84)</f>
        <v/>
      </c>
      <c r="M84" s="108" t="str">
        <f>IF(A84="","",IF($W$6&gt;0,W84/$W$6,0))</f>
        <v/>
      </c>
      <c r="N84" s="110" t="str">
        <f>IF(A84="","",IF(W84&lt;=0,"",COUNTIF($W$9:$W$108,"&gt;"&amp;W84)+COUNTIF($W$9:W84,W84)))</f>
        <v/>
      </c>
      <c r="O84" s="105" t="str">
        <f>IF(A84="","",IF(P84&gt;0,"BUY","HOLD"))</f>
        <v/>
      </c>
      <c r="P84" s="107" t="str">
        <f>IF(A84="","",IF($U$7&lt;=0,0,IF($X$6&gt;0,$U$7*X84/$X$6,IF($I$6&gt;0,$U$7*N(I84)/$I$6,0))))</f>
        <v/>
      </c>
      <c r="Q84" s="107" t="str">
        <f>IF(A84="","",IF(AND(P84&gt;0,P84&gt;=p_CompraMin),P84,0))</f>
        <v/>
      </c>
      <c r="R84" s="115" t="str">
        <f>IF(OR(A84="",F84=""),"",MAX(0,F84-TODAY()))</f>
        <v/>
      </c>
      <c r="T84" s="85" t="str">
        <f>IF(A84="","",IF(G84="",$U$1,G84))</f>
        <v/>
      </c>
      <c r="U84" s="85" t="str">
        <f>IF(A84="","",IFERROR(INDEX(moeda_fx,MATCH(T84,moeda_cod,0)),0))</f>
        <v/>
      </c>
      <c r="V84" s="85" t="str">
        <f>IF(A84="","",ROUND(MAX(0,N(I84)*($J$6+$U$7)-J84),2))</f>
        <v/>
      </c>
      <c r="W84" s="85" t="str">
        <f>IF(A84="","",IF(AND(L84&gt;0,L84&gt;=p_DifMin),V84,0))</f>
        <v/>
      </c>
      <c r="X84" s="85" t="str">
        <f>IF(A84="","",IF(AND(W84&gt;0,N(N84)&lt;=p_MaxAtivos),W84,0))</f>
        <v/>
      </c>
    </row>
    <row r="85">
      <c r="A85" s="96" t="n"/>
      <c r="B85" s="96" t="n"/>
      <c r="C85" s="96" t="n"/>
      <c r="D85" s="96" t="n"/>
      <c r="E85" s="96" t="n"/>
      <c r="F85" s="112" t="n"/>
      <c r="G85" s="97" t="n"/>
      <c r="H85" s="113" t="n"/>
      <c r="I85" s="99" t="n"/>
      <c r="J85" s="70" t="str">
        <f>IF(A85="","",N(H85)*U85)</f>
        <v/>
      </c>
      <c r="K85" s="30" t="str">
        <f>IF(A85="","",IF($J$6&gt;0,J85/$J$6,0))</f>
        <v/>
      </c>
      <c r="L85" s="72" t="str">
        <f>IF(A85="","",N(I85)-K85)</f>
        <v/>
      </c>
      <c r="M85" s="30" t="str">
        <f>IF(A85="","",IF($W$6&gt;0,W85/$W$6,0))</f>
        <v/>
      </c>
      <c r="N85" s="74" t="str">
        <f>IF(A85="","",IF(W85&lt;=0,"",COUNTIF($W$9:$W$108,"&gt;"&amp;W85)+COUNTIF($W$9:W85,W85)))</f>
        <v/>
      </c>
      <c r="O85" s="73" t="str">
        <f>IF(A85="","",IF(P85&gt;0,"BUY","HOLD"))</f>
        <v/>
      </c>
      <c r="P85" s="70" t="str">
        <f>IF(A85="","",IF($U$7&lt;=0,0,IF($X$6&gt;0,$U$7*X85/$X$6,IF($I$6&gt;0,$U$7*N(I85)/$I$6,0))))</f>
        <v/>
      </c>
      <c r="Q85" s="70" t="str">
        <f>IF(A85="","",IF(AND(P85&gt;0,P85&gt;=p_CompraMin),P85,0))</f>
        <v/>
      </c>
      <c r="R85" s="114" t="str">
        <f>IF(OR(A85="",F85=""),"",MAX(0,F85-TODAY()))</f>
        <v/>
      </c>
      <c r="T85" s="85" t="str">
        <f>IF(A85="","",IF(G85="",$U$1,G85))</f>
        <v/>
      </c>
      <c r="U85" s="85" t="str">
        <f>IF(A85="","",IFERROR(INDEX(moeda_fx,MATCH(T85,moeda_cod,0)),0))</f>
        <v/>
      </c>
      <c r="V85" s="85" t="str">
        <f>IF(A85="","",ROUND(MAX(0,N(I85)*($J$6+$U$7)-J85),2))</f>
        <v/>
      </c>
      <c r="W85" s="85" t="str">
        <f>IF(A85="","",IF(AND(L85&gt;0,L85&gt;=p_DifMin),V85,0))</f>
        <v/>
      </c>
      <c r="X85" s="85" t="str">
        <f>IF(A85="","",IF(AND(W85&gt;0,N(N85)&lt;=p_MaxAtivos),W85,0))</f>
        <v/>
      </c>
    </row>
    <row r="86">
      <c r="A86" s="96" t="n"/>
      <c r="B86" s="96" t="n"/>
      <c r="C86" s="96" t="n"/>
      <c r="D86" s="96" t="n"/>
      <c r="E86" s="96" t="n"/>
      <c r="F86" s="112" t="n"/>
      <c r="G86" s="97" t="n"/>
      <c r="H86" s="113" t="n"/>
      <c r="I86" s="99" t="n"/>
      <c r="J86" s="107" t="str">
        <f>IF(A86="","",N(H86)*U86)</f>
        <v/>
      </c>
      <c r="K86" s="108" t="str">
        <f>IF(A86="","",IF($J$6&gt;0,J86/$J$6,0))</f>
        <v/>
      </c>
      <c r="L86" s="109" t="str">
        <f>IF(A86="","",N(I86)-K86)</f>
        <v/>
      </c>
      <c r="M86" s="108" t="str">
        <f>IF(A86="","",IF($W$6&gt;0,W86/$W$6,0))</f>
        <v/>
      </c>
      <c r="N86" s="110" t="str">
        <f>IF(A86="","",IF(W86&lt;=0,"",COUNTIF($W$9:$W$108,"&gt;"&amp;W86)+COUNTIF($W$9:W86,W86)))</f>
        <v/>
      </c>
      <c r="O86" s="105" t="str">
        <f>IF(A86="","",IF(P86&gt;0,"BUY","HOLD"))</f>
        <v/>
      </c>
      <c r="P86" s="107" t="str">
        <f>IF(A86="","",IF($U$7&lt;=0,0,IF($X$6&gt;0,$U$7*X86/$X$6,IF($I$6&gt;0,$U$7*N(I86)/$I$6,0))))</f>
        <v/>
      </c>
      <c r="Q86" s="107" t="str">
        <f>IF(A86="","",IF(AND(P86&gt;0,P86&gt;=p_CompraMin),P86,0))</f>
        <v/>
      </c>
      <c r="R86" s="115" t="str">
        <f>IF(OR(A86="",F86=""),"",MAX(0,F86-TODAY()))</f>
        <v/>
      </c>
      <c r="T86" s="85" t="str">
        <f>IF(A86="","",IF(G86="",$U$1,G86))</f>
        <v/>
      </c>
      <c r="U86" s="85" t="str">
        <f>IF(A86="","",IFERROR(INDEX(moeda_fx,MATCH(T86,moeda_cod,0)),0))</f>
        <v/>
      </c>
      <c r="V86" s="85" t="str">
        <f>IF(A86="","",ROUND(MAX(0,N(I86)*($J$6+$U$7)-J86),2))</f>
        <v/>
      </c>
      <c r="W86" s="85" t="str">
        <f>IF(A86="","",IF(AND(L86&gt;0,L86&gt;=p_DifMin),V86,0))</f>
        <v/>
      </c>
      <c r="X86" s="85" t="str">
        <f>IF(A86="","",IF(AND(W86&gt;0,N(N86)&lt;=p_MaxAtivos),W86,0))</f>
        <v/>
      </c>
    </row>
    <row r="87">
      <c r="A87" s="96" t="n"/>
      <c r="B87" s="96" t="n"/>
      <c r="C87" s="96" t="n"/>
      <c r="D87" s="96" t="n"/>
      <c r="E87" s="96" t="n"/>
      <c r="F87" s="112" t="n"/>
      <c r="G87" s="97" t="n"/>
      <c r="H87" s="113" t="n"/>
      <c r="I87" s="99" t="n"/>
      <c r="J87" s="70" t="str">
        <f>IF(A87="","",N(H87)*U87)</f>
        <v/>
      </c>
      <c r="K87" s="30" t="str">
        <f>IF(A87="","",IF($J$6&gt;0,J87/$J$6,0))</f>
        <v/>
      </c>
      <c r="L87" s="72" t="str">
        <f>IF(A87="","",N(I87)-K87)</f>
        <v/>
      </c>
      <c r="M87" s="30" t="str">
        <f>IF(A87="","",IF($W$6&gt;0,W87/$W$6,0))</f>
        <v/>
      </c>
      <c r="N87" s="74" t="str">
        <f>IF(A87="","",IF(W87&lt;=0,"",COUNTIF($W$9:$W$108,"&gt;"&amp;W87)+COUNTIF($W$9:W87,W87)))</f>
        <v/>
      </c>
      <c r="O87" s="73" t="str">
        <f>IF(A87="","",IF(P87&gt;0,"BUY","HOLD"))</f>
        <v/>
      </c>
      <c r="P87" s="70" t="str">
        <f>IF(A87="","",IF($U$7&lt;=0,0,IF($X$6&gt;0,$U$7*X87/$X$6,IF($I$6&gt;0,$U$7*N(I87)/$I$6,0))))</f>
        <v/>
      </c>
      <c r="Q87" s="70" t="str">
        <f>IF(A87="","",IF(AND(P87&gt;0,P87&gt;=p_CompraMin),P87,0))</f>
        <v/>
      </c>
      <c r="R87" s="114" t="str">
        <f>IF(OR(A87="",F87=""),"",MAX(0,F87-TODAY()))</f>
        <v/>
      </c>
      <c r="T87" s="85" t="str">
        <f>IF(A87="","",IF(G87="",$U$1,G87))</f>
        <v/>
      </c>
      <c r="U87" s="85" t="str">
        <f>IF(A87="","",IFERROR(INDEX(moeda_fx,MATCH(T87,moeda_cod,0)),0))</f>
        <v/>
      </c>
      <c r="V87" s="85" t="str">
        <f>IF(A87="","",ROUND(MAX(0,N(I87)*($J$6+$U$7)-J87),2))</f>
        <v/>
      </c>
      <c r="W87" s="85" t="str">
        <f>IF(A87="","",IF(AND(L87&gt;0,L87&gt;=p_DifMin),V87,0))</f>
        <v/>
      </c>
      <c r="X87" s="85" t="str">
        <f>IF(A87="","",IF(AND(W87&gt;0,N(N87)&lt;=p_MaxAtivos),W87,0))</f>
        <v/>
      </c>
    </row>
    <row r="88">
      <c r="A88" s="96" t="n"/>
      <c r="B88" s="96" t="n"/>
      <c r="C88" s="96" t="n"/>
      <c r="D88" s="96" t="n"/>
      <c r="E88" s="96" t="n"/>
      <c r="F88" s="112" t="n"/>
      <c r="G88" s="97" t="n"/>
      <c r="H88" s="113" t="n"/>
      <c r="I88" s="99" t="n"/>
      <c r="J88" s="107" t="str">
        <f>IF(A88="","",N(H88)*U88)</f>
        <v/>
      </c>
      <c r="K88" s="108" t="str">
        <f>IF(A88="","",IF($J$6&gt;0,J88/$J$6,0))</f>
        <v/>
      </c>
      <c r="L88" s="109" t="str">
        <f>IF(A88="","",N(I88)-K88)</f>
        <v/>
      </c>
      <c r="M88" s="108" t="str">
        <f>IF(A88="","",IF($W$6&gt;0,W88/$W$6,0))</f>
        <v/>
      </c>
      <c r="N88" s="110" t="str">
        <f>IF(A88="","",IF(W88&lt;=0,"",COUNTIF($W$9:$W$108,"&gt;"&amp;W88)+COUNTIF($W$9:W88,W88)))</f>
        <v/>
      </c>
      <c r="O88" s="105" t="str">
        <f>IF(A88="","",IF(P88&gt;0,"BUY","HOLD"))</f>
        <v/>
      </c>
      <c r="P88" s="107" t="str">
        <f>IF(A88="","",IF($U$7&lt;=0,0,IF($X$6&gt;0,$U$7*X88/$X$6,IF($I$6&gt;0,$U$7*N(I88)/$I$6,0))))</f>
        <v/>
      </c>
      <c r="Q88" s="107" t="str">
        <f>IF(A88="","",IF(AND(P88&gt;0,P88&gt;=p_CompraMin),P88,0))</f>
        <v/>
      </c>
      <c r="R88" s="115" t="str">
        <f>IF(OR(A88="",F88=""),"",MAX(0,F88-TODAY()))</f>
        <v/>
      </c>
      <c r="T88" s="85" t="str">
        <f>IF(A88="","",IF(G88="",$U$1,G88))</f>
        <v/>
      </c>
      <c r="U88" s="85" t="str">
        <f>IF(A88="","",IFERROR(INDEX(moeda_fx,MATCH(T88,moeda_cod,0)),0))</f>
        <v/>
      </c>
      <c r="V88" s="85" t="str">
        <f>IF(A88="","",ROUND(MAX(0,N(I88)*($J$6+$U$7)-J88),2))</f>
        <v/>
      </c>
      <c r="W88" s="85" t="str">
        <f>IF(A88="","",IF(AND(L88&gt;0,L88&gt;=p_DifMin),V88,0))</f>
        <v/>
      </c>
      <c r="X88" s="85" t="str">
        <f>IF(A88="","",IF(AND(W88&gt;0,N(N88)&lt;=p_MaxAtivos),W88,0))</f>
        <v/>
      </c>
    </row>
    <row r="89">
      <c r="A89" s="96" t="n"/>
      <c r="B89" s="96" t="n"/>
      <c r="C89" s="96" t="n"/>
      <c r="D89" s="96" t="n"/>
      <c r="E89" s="96" t="n"/>
      <c r="F89" s="112" t="n"/>
      <c r="G89" s="97" t="n"/>
      <c r="H89" s="113" t="n"/>
      <c r="I89" s="99" t="n"/>
      <c r="J89" s="70" t="str">
        <f>IF(A89="","",N(H89)*U89)</f>
        <v/>
      </c>
      <c r="K89" s="30" t="str">
        <f>IF(A89="","",IF($J$6&gt;0,J89/$J$6,0))</f>
        <v/>
      </c>
      <c r="L89" s="72" t="str">
        <f>IF(A89="","",N(I89)-K89)</f>
        <v/>
      </c>
      <c r="M89" s="30" t="str">
        <f>IF(A89="","",IF($W$6&gt;0,W89/$W$6,0))</f>
        <v/>
      </c>
      <c r="N89" s="74" t="str">
        <f>IF(A89="","",IF(W89&lt;=0,"",COUNTIF($W$9:$W$108,"&gt;"&amp;W89)+COUNTIF($W$9:W89,W89)))</f>
        <v/>
      </c>
      <c r="O89" s="73" t="str">
        <f>IF(A89="","",IF(P89&gt;0,"BUY","HOLD"))</f>
        <v/>
      </c>
      <c r="P89" s="70" t="str">
        <f>IF(A89="","",IF($U$7&lt;=0,0,IF($X$6&gt;0,$U$7*X89/$X$6,IF($I$6&gt;0,$U$7*N(I89)/$I$6,0))))</f>
        <v/>
      </c>
      <c r="Q89" s="70" t="str">
        <f>IF(A89="","",IF(AND(P89&gt;0,P89&gt;=p_CompraMin),P89,0))</f>
        <v/>
      </c>
      <c r="R89" s="114" t="str">
        <f>IF(OR(A89="",F89=""),"",MAX(0,F89-TODAY()))</f>
        <v/>
      </c>
      <c r="T89" s="85" t="str">
        <f>IF(A89="","",IF(G89="",$U$1,G89))</f>
        <v/>
      </c>
      <c r="U89" s="85" t="str">
        <f>IF(A89="","",IFERROR(INDEX(moeda_fx,MATCH(T89,moeda_cod,0)),0))</f>
        <v/>
      </c>
      <c r="V89" s="85" t="str">
        <f>IF(A89="","",ROUND(MAX(0,N(I89)*($J$6+$U$7)-J89),2))</f>
        <v/>
      </c>
      <c r="W89" s="85" t="str">
        <f>IF(A89="","",IF(AND(L89&gt;0,L89&gt;=p_DifMin),V89,0))</f>
        <v/>
      </c>
      <c r="X89" s="85" t="str">
        <f>IF(A89="","",IF(AND(W89&gt;0,N(N89)&lt;=p_MaxAtivos),W89,0))</f>
        <v/>
      </c>
    </row>
    <row r="90">
      <c r="A90" s="96" t="n"/>
      <c r="B90" s="96" t="n"/>
      <c r="C90" s="96" t="n"/>
      <c r="D90" s="96" t="n"/>
      <c r="E90" s="96" t="n"/>
      <c r="F90" s="112" t="n"/>
      <c r="G90" s="97" t="n"/>
      <c r="H90" s="113" t="n"/>
      <c r="I90" s="99" t="n"/>
      <c r="J90" s="107" t="str">
        <f>IF(A90="","",N(H90)*U90)</f>
        <v/>
      </c>
      <c r="K90" s="108" t="str">
        <f>IF(A90="","",IF($J$6&gt;0,J90/$J$6,0))</f>
        <v/>
      </c>
      <c r="L90" s="109" t="str">
        <f>IF(A90="","",N(I90)-K90)</f>
        <v/>
      </c>
      <c r="M90" s="108" t="str">
        <f>IF(A90="","",IF($W$6&gt;0,W90/$W$6,0))</f>
        <v/>
      </c>
      <c r="N90" s="110" t="str">
        <f>IF(A90="","",IF(W90&lt;=0,"",COUNTIF($W$9:$W$108,"&gt;"&amp;W90)+COUNTIF($W$9:W90,W90)))</f>
        <v/>
      </c>
      <c r="O90" s="105" t="str">
        <f>IF(A90="","",IF(P90&gt;0,"BUY","HOLD"))</f>
        <v/>
      </c>
      <c r="P90" s="107" t="str">
        <f>IF(A90="","",IF($U$7&lt;=0,0,IF($X$6&gt;0,$U$7*X90/$X$6,IF($I$6&gt;0,$U$7*N(I90)/$I$6,0))))</f>
        <v/>
      </c>
      <c r="Q90" s="107" t="str">
        <f>IF(A90="","",IF(AND(P90&gt;0,P90&gt;=p_CompraMin),P90,0))</f>
        <v/>
      </c>
      <c r="R90" s="115" t="str">
        <f>IF(OR(A90="",F90=""),"",MAX(0,F90-TODAY()))</f>
        <v/>
      </c>
      <c r="T90" s="85" t="str">
        <f>IF(A90="","",IF(G90="",$U$1,G90))</f>
        <v/>
      </c>
      <c r="U90" s="85" t="str">
        <f>IF(A90="","",IFERROR(INDEX(moeda_fx,MATCH(T90,moeda_cod,0)),0))</f>
        <v/>
      </c>
      <c r="V90" s="85" t="str">
        <f>IF(A90="","",ROUND(MAX(0,N(I90)*($J$6+$U$7)-J90),2))</f>
        <v/>
      </c>
      <c r="W90" s="85" t="str">
        <f>IF(A90="","",IF(AND(L90&gt;0,L90&gt;=p_DifMin),V90,0))</f>
        <v/>
      </c>
      <c r="X90" s="85" t="str">
        <f>IF(A90="","",IF(AND(W90&gt;0,N(N90)&lt;=p_MaxAtivos),W90,0))</f>
        <v/>
      </c>
    </row>
    <row r="91">
      <c r="A91" s="96" t="n"/>
      <c r="B91" s="96" t="n"/>
      <c r="C91" s="96" t="n"/>
      <c r="D91" s="96" t="n"/>
      <c r="E91" s="96" t="n"/>
      <c r="F91" s="112" t="n"/>
      <c r="G91" s="97" t="n"/>
      <c r="H91" s="113" t="n"/>
      <c r="I91" s="99" t="n"/>
      <c r="J91" s="70" t="str">
        <f>IF(A91="","",N(H91)*U91)</f>
        <v/>
      </c>
      <c r="K91" s="30" t="str">
        <f>IF(A91="","",IF($J$6&gt;0,J91/$J$6,0))</f>
        <v/>
      </c>
      <c r="L91" s="72" t="str">
        <f>IF(A91="","",N(I91)-K91)</f>
        <v/>
      </c>
      <c r="M91" s="30" t="str">
        <f>IF(A91="","",IF($W$6&gt;0,W91/$W$6,0))</f>
        <v/>
      </c>
      <c r="N91" s="74" t="str">
        <f>IF(A91="","",IF(W91&lt;=0,"",COUNTIF($W$9:$W$108,"&gt;"&amp;W91)+COUNTIF($W$9:W91,W91)))</f>
        <v/>
      </c>
      <c r="O91" s="73" t="str">
        <f>IF(A91="","",IF(P91&gt;0,"BUY","HOLD"))</f>
        <v/>
      </c>
      <c r="P91" s="70" t="str">
        <f>IF(A91="","",IF($U$7&lt;=0,0,IF($X$6&gt;0,$U$7*X91/$X$6,IF($I$6&gt;0,$U$7*N(I91)/$I$6,0))))</f>
        <v/>
      </c>
      <c r="Q91" s="70" t="str">
        <f>IF(A91="","",IF(AND(P91&gt;0,P91&gt;=p_CompraMin),P91,0))</f>
        <v/>
      </c>
      <c r="R91" s="114" t="str">
        <f>IF(OR(A91="",F91=""),"",MAX(0,F91-TODAY()))</f>
        <v/>
      </c>
      <c r="T91" s="85" t="str">
        <f>IF(A91="","",IF(G91="",$U$1,G91))</f>
        <v/>
      </c>
      <c r="U91" s="85" t="str">
        <f>IF(A91="","",IFERROR(INDEX(moeda_fx,MATCH(T91,moeda_cod,0)),0))</f>
        <v/>
      </c>
      <c r="V91" s="85" t="str">
        <f>IF(A91="","",ROUND(MAX(0,N(I91)*($J$6+$U$7)-J91),2))</f>
        <v/>
      </c>
      <c r="W91" s="85" t="str">
        <f>IF(A91="","",IF(AND(L91&gt;0,L91&gt;=p_DifMin),V91,0))</f>
        <v/>
      </c>
      <c r="X91" s="85" t="str">
        <f>IF(A91="","",IF(AND(W91&gt;0,N(N91)&lt;=p_MaxAtivos),W91,0))</f>
        <v/>
      </c>
    </row>
    <row r="92">
      <c r="A92" s="96" t="n"/>
      <c r="B92" s="96" t="n"/>
      <c r="C92" s="96" t="n"/>
      <c r="D92" s="96" t="n"/>
      <c r="E92" s="96" t="n"/>
      <c r="F92" s="112" t="n"/>
      <c r="G92" s="97" t="n"/>
      <c r="H92" s="113" t="n"/>
      <c r="I92" s="99" t="n"/>
      <c r="J92" s="107" t="str">
        <f>IF(A92="","",N(H92)*U92)</f>
        <v/>
      </c>
      <c r="K92" s="108" t="str">
        <f>IF(A92="","",IF($J$6&gt;0,J92/$J$6,0))</f>
        <v/>
      </c>
      <c r="L92" s="109" t="str">
        <f>IF(A92="","",N(I92)-K92)</f>
        <v/>
      </c>
      <c r="M92" s="108" t="str">
        <f>IF(A92="","",IF($W$6&gt;0,W92/$W$6,0))</f>
        <v/>
      </c>
      <c r="N92" s="110" t="str">
        <f>IF(A92="","",IF(W92&lt;=0,"",COUNTIF($W$9:$W$108,"&gt;"&amp;W92)+COUNTIF($W$9:W92,W92)))</f>
        <v/>
      </c>
      <c r="O92" s="105" t="str">
        <f>IF(A92="","",IF(P92&gt;0,"BUY","HOLD"))</f>
        <v/>
      </c>
      <c r="P92" s="107" t="str">
        <f>IF(A92="","",IF($U$7&lt;=0,0,IF($X$6&gt;0,$U$7*X92/$X$6,IF($I$6&gt;0,$U$7*N(I92)/$I$6,0))))</f>
        <v/>
      </c>
      <c r="Q92" s="107" t="str">
        <f>IF(A92="","",IF(AND(P92&gt;0,P92&gt;=p_CompraMin),P92,0))</f>
        <v/>
      </c>
      <c r="R92" s="115" t="str">
        <f>IF(OR(A92="",F92=""),"",MAX(0,F92-TODAY()))</f>
        <v/>
      </c>
      <c r="T92" s="85" t="str">
        <f>IF(A92="","",IF(G92="",$U$1,G92))</f>
        <v/>
      </c>
      <c r="U92" s="85" t="str">
        <f>IF(A92="","",IFERROR(INDEX(moeda_fx,MATCH(T92,moeda_cod,0)),0))</f>
        <v/>
      </c>
      <c r="V92" s="85" t="str">
        <f>IF(A92="","",ROUND(MAX(0,N(I92)*($J$6+$U$7)-J92),2))</f>
        <v/>
      </c>
      <c r="W92" s="85" t="str">
        <f>IF(A92="","",IF(AND(L92&gt;0,L92&gt;=p_DifMin),V92,0))</f>
        <v/>
      </c>
      <c r="X92" s="85" t="str">
        <f>IF(A92="","",IF(AND(W92&gt;0,N(N92)&lt;=p_MaxAtivos),W92,0))</f>
        <v/>
      </c>
    </row>
    <row r="93">
      <c r="A93" s="96" t="n"/>
      <c r="B93" s="96" t="n"/>
      <c r="C93" s="96" t="n"/>
      <c r="D93" s="96" t="n"/>
      <c r="E93" s="96" t="n"/>
      <c r="F93" s="112" t="n"/>
      <c r="G93" s="97" t="n"/>
      <c r="H93" s="113" t="n"/>
      <c r="I93" s="99" t="n"/>
      <c r="J93" s="70" t="str">
        <f>IF(A93="","",N(H93)*U93)</f>
        <v/>
      </c>
      <c r="K93" s="30" t="str">
        <f>IF(A93="","",IF($J$6&gt;0,J93/$J$6,0))</f>
        <v/>
      </c>
      <c r="L93" s="72" t="str">
        <f>IF(A93="","",N(I93)-K93)</f>
        <v/>
      </c>
      <c r="M93" s="30" t="str">
        <f>IF(A93="","",IF($W$6&gt;0,W93/$W$6,0))</f>
        <v/>
      </c>
      <c r="N93" s="74" t="str">
        <f>IF(A93="","",IF(W93&lt;=0,"",COUNTIF($W$9:$W$108,"&gt;"&amp;W93)+COUNTIF($W$9:W93,W93)))</f>
        <v/>
      </c>
      <c r="O93" s="73" t="str">
        <f>IF(A93="","",IF(P93&gt;0,"BUY","HOLD"))</f>
        <v/>
      </c>
      <c r="P93" s="70" t="str">
        <f>IF(A93="","",IF($U$7&lt;=0,0,IF($X$6&gt;0,$U$7*X93/$X$6,IF($I$6&gt;0,$U$7*N(I93)/$I$6,0))))</f>
        <v/>
      </c>
      <c r="Q93" s="70" t="str">
        <f>IF(A93="","",IF(AND(P93&gt;0,P93&gt;=p_CompraMin),P93,0))</f>
        <v/>
      </c>
      <c r="R93" s="114" t="str">
        <f>IF(OR(A93="",F93=""),"",MAX(0,F93-TODAY()))</f>
        <v/>
      </c>
      <c r="T93" s="85" t="str">
        <f>IF(A93="","",IF(G93="",$U$1,G93))</f>
        <v/>
      </c>
      <c r="U93" s="85" t="str">
        <f>IF(A93="","",IFERROR(INDEX(moeda_fx,MATCH(T93,moeda_cod,0)),0))</f>
        <v/>
      </c>
      <c r="V93" s="85" t="str">
        <f>IF(A93="","",ROUND(MAX(0,N(I93)*($J$6+$U$7)-J93),2))</f>
        <v/>
      </c>
      <c r="W93" s="85" t="str">
        <f>IF(A93="","",IF(AND(L93&gt;0,L93&gt;=p_DifMin),V93,0))</f>
        <v/>
      </c>
      <c r="X93" s="85" t="str">
        <f>IF(A93="","",IF(AND(W93&gt;0,N(N93)&lt;=p_MaxAtivos),W93,0))</f>
        <v/>
      </c>
    </row>
    <row r="94">
      <c r="A94" s="96" t="n"/>
      <c r="B94" s="96" t="n"/>
      <c r="C94" s="96" t="n"/>
      <c r="D94" s="96" t="n"/>
      <c r="E94" s="96" t="n"/>
      <c r="F94" s="112" t="n"/>
      <c r="G94" s="97" t="n"/>
      <c r="H94" s="113" t="n"/>
      <c r="I94" s="99" t="n"/>
      <c r="J94" s="107" t="str">
        <f>IF(A94="","",N(H94)*U94)</f>
        <v/>
      </c>
      <c r="K94" s="108" t="str">
        <f>IF(A94="","",IF($J$6&gt;0,J94/$J$6,0))</f>
        <v/>
      </c>
      <c r="L94" s="109" t="str">
        <f>IF(A94="","",N(I94)-K94)</f>
        <v/>
      </c>
      <c r="M94" s="108" t="str">
        <f>IF(A94="","",IF($W$6&gt;0,W94/$W$6,0))</f>
        <v/>
      </c>
      <c r="N94" s="110" t="str">
        <f>IF(A94="","",IF(W94&lt;=0,"",COUNTIF($W$9:$W$108,"&gt;"&amp;W94)+COUNTIF($W$9:W94,W94)))</f>
        <v/>
      </c>
      <c r="O94" s="105" t="str">
        <f>IF(A94="","",IF(P94&gt;0,"BUY","HOLD"))</f>
        <v/>
      </c>
      <c r="P94" s="107" t="str">
        <f>IF(A94="","",IF($U$7&lt;=0,0,IF($X$6&gt;0,$U$7*X94/$X$6,IF($I$6&gt;0,$U$7*N(I94)/$I$6,0))))</f>
        <v/>
      </c>
      <c r="Q94" s="107" t="str">
        <f>IF(A94="","",IF(AND(P94&gt;0,P94&gt;=p_CompraMin),P94,0))</f>
        <v/>
      </c>
      <c r="R94" s="115" t="str">
        <f>IF(OR(A94="",F94=""),"",MAX(0,F94-TODAY()))</f>
        <v/>
      </c>
      <c r="T94" s="85" t="str">
        <f>IF(A94="","",IF(G94="",$U$1,G94))</f>
        <v/>
      </c>
      <c r="U94" s="85" t="str">
        <f>IF(A94="","",IFERROR(INDEX(moeda_fx,MATCH(T94,moeda_cod,0)),0))</f>
        <v/>
      </c>
      <c r="V94" s="85" t="str">
        <f>IF(A94="","",ROUND(MAX(0,N(I94)*($J$6+$U$7)-J94),2))</f>
        <v/>
      </c>
      <c r="W94" s="85" t="str">
        <f>IF(A94="","",IF(AND(L94&gt;0,L94&gt;=p_DifMin),V94,0))</f>
        <v/>
      </c>
      <c r="X94" s="85" t="str">
        <f>IF(A94="","",IF(AND(W94&gt;0,N(N94)&lt;=p_MaxAtivos),W94,0))</f>
        <v/>
      </c>
    </row>
    <row r="95">
      <c r="A95" s="96" t="n"/>
      <c r="B95" s="96" t="n"/>
      <c r="C95" s="96" t="n"/>
      <c r="D95" s="96" t="n"/>
      <c r="E95" s="96" t="n"/>
      <c r="F95" s="112" t="n"/>
      <c r="G95" s="97" t="n"/>
      <c r="H95" s="113" t="n"/>
      <c r="I95" s="99" t="n"/>
      <c r="J95" s="70" t="str">
        <f>IF(A95="","",N(H95)*U95)</f>
        <v/>
      </c>
      <c r="K95" s="30" t="str">
        <f>IF(A95="","",IF($J$6&gt;0,J95/$J$6,0))</f>
        <v/>
      </c>
      <c r="L95" s="72" t="str">
        <f>IF(A95="","",N(I95)-K95)</f>
        <v/>
      </c>
      <c r="M95" s="30" t="str">
        <f>IF(A95="","",IF($W$6&gt;0,W95/$W$6,0))</f>
        <v/>
      </c>
      <c r="N95" s="74" t="str">
        <f>IF(A95="","",IF(W95&lt;=0,"",COUNTIF($W$9:$W$108,"&gt;"&amp;W95)+COUNTIF($W$9:W95,W95)))</f>
        <v/>
      </c>
      <c r="O95" s="73" t="str">
        <f>IF(A95="","",IF(P95&gt;0,"BUY","HOLD"))</f>
        <v/>
      </c>
      <c r="P95" s="70" t="str">
        <f>IF(A95="","",IF($U$7&lt;=0,0,IF($X$6&gt;0,$U$7*X95/$X$6,IF($I$6&gt;0,$U$7*N(I95)/$I$6,0))))</f>
        <v/>
      </c>
      <c r="Q95" s="70" t="str">
        <f>IF(A95="","",IF(AND(P95&gt;0,P95&gt;=p_CompraMin),P95,0))</f>
        <v/>
      </c>
      <c r="R95" s="114" t="str">
        <f>IF(OR(A95="",F95=""),"",MAX(0,F95-TODAY()))</f>
        <v/>
      </c>
      <c r="T95" s="85" t="str">
        <f>IF(A95="","",IF(G95="",$U$1,G95))</f>
        <v/>
      </c>
      <c r="U95" s="85" t="str">
        <f>IF(A95="","",IFERROR(INDEX(moeda_fx,MATCH(T95,moeda_cod,0)),0))</f>
        <v/>
      </c>
      <c r="V95" s="85" t="str">
        <f>IF(A95="","",ROUND(MAX(0,N(I95)*($J$6+$U$7)-J95),2))</f>
        <v/>
      </c>
      <c r="W95" s="85" t="str">
        <f>IF(A95="","",IF(AND(L95&gt;0,L95&gt;=p_DifMin),V95,0))</f>
        <v/>
      </c>
      <c r="X95" s="85" t="str">
        <f>IF(A95="","",IF(AND(W95&gt;0,N(N95)&lt;=p_MaxAtivos),W95,0))</f>
        <v/>
      </c>
    </row>
    <row r="96">
      <c r="A96" s="96" t="n"/>
      <c r="B96" s="96" t="n"/>
      <c r="C96" s="96" t="n"/>
      <c r="D96" s="96" t="n"/>
      <c r="E96" s="96" t="n"/>
      <c r="F96" s="112" t="n"/>
      <c r="G96" s="97" t="n"/>
      <c r="H96" s="113" t="n"/>
      <c r="I96" s="99" t="n"/>
      <c r="J96" s="107" t="str">
        <f>IF(A96="","",N(H96)*U96)</f>
        <v/>
      </c>
      <c r="K96" s="108" t="str">
        <f>IF(A96="","",IF($J$6&gt;0,J96/$J$6,0))</f>
        <v/>
      </c>
      <c r="L96" s="109" t="str">
        <f>IF(A96="","",N(I96)-K96)</f>
        <v/>
      </c>
      <c r="M96" s="108" t="str">
        <f>IF(A96="","",IF($W$6&gt;0,W96/$W$6,0))</f>
        <v/>
      </c>
      <c r="N96" s="110" t="str">
        <f>IF(A96="","",IF(W96&lt;=0,"",COUNTIF($W$9:$W$108,"&gt;"&amp;W96)+COUNTIF($W$9:W96,W96)))</f>
        <v/>
      </c>
      <c r="O96" s="105" t="str">
        <f>IF(A96="","",IF(P96&gt;0,"BUY","HOLD"))</f>
        <v/>
      </c>
      <c r="P96" s="107" t="str">
        <f>IF(A96="","",IF($U$7&lt;=0,0,IF($X$6&gt;0,$U$7*X96/$X$6,IF($I$6&gt;0,$U$7*N(I96)/$I$6,0))))</f>
        <v/>
      </c>
      <c r="Q96" s="107" t="str">
        <f>IF(A96="","",IF(AND(P96&gt;0,P96&gt;=p_CompraMin),P96,0))</f>
        <v/>
      </c>
      <c r="R96" s="115" t="str">
        <f>IF(OR(A96="",F96=""),"",MAX(0,F96-TODAY()))</f>
        <v/>
      </c>
      <c r="T96" s="85" t="str">
        <f>IF(A96="","",IF(G96="",$U$1,G96))</f>
        <v/>
      </c>
      <c r="U96" s="85" t="str">
        <f>IF(A96="","",IFERROR(INDEX(moeda_fx,MATCH(T96,moeda_cod,0)),0))</f>
        <v/>
      </c>
      <c r="V96" s="85" t="str">
        <f>IF(A96="","",ROUND(MAX(0,N(I96)*($J$6+$U$7)-J96),2))</f>
        <v/>
      </c>
      <c r="W96" s="85" t="str">
        <f>IF(A96="","",IF(AND(L96&gt;0,L96&gt;=p_DifMin),V96,0))</f>
        <v/>
      </c>
      <c r="X96" s="85" t="str">
        <f>IF(A96="","",IF(AND(W96&gt;0,N(N96)&lt;=p_MaxAtivos),W96,0))</f>
        <v/>
      </c>
    </row>
    <row r="97">
      <c r="A97" s="96" t="n"/>
      <c r="B97" s="96" t="n"/>
      <c r="C97" s="96" t="n"/>
      <c r="D97" s="96" t="n"/>
      <c r="E97" s="96" t="n"/>
      <c r="F97" s="112" t="n"/>
      <c r="G97" s="97" t="n"/>
      <c r="H97" s="113" t="n"/>
      <c r="I97" s="99" t="n"/>
      <c r="J97" s="70" t="str">
        <f>IF(A97="","",N(H97)*U97)</f>
        <v/>
      </c>
      <c r="K97" s="30" t="str">
        <f>IF(A97="","",IF($J$6&gt;0,J97/$J$6,0))</f>
        <v/>
      </c>
      <c r="L97" s="72" t="str">
        <f>IF(A97="","",N(I97)-K97)</f>
        <v/>
      </c>
      <c r="M97" s="30" t="str">
        <f>IF(A97="","",IF($W$6&gt;0,W97/$W$6,0))</f>
        <v/>
      </c>
      <c r="N97" s="74" t="str">
        <f>IF(A97="","",IF(W97&lt;=0,"",COUNTIF($W$9:$W$108,"&gt;"&amp;W97)+COUNTIF($W$9:W97,W97)))</f>
        <v/>
      </c>
      <c r="O97" s="73" t="str">
        <f>IF(A97="","",IF(P97&gt;0,"BUY","HOLD"))</f>
        <v/>
      </c>
      <c r="P97" s="70" t="str">
        <f>IF(A97="","",IF($U$7&lt;=0,0,IF($X$6&gt;0,$U$7*X97/$X$6,IF($I$6&gt;0,$U$7*N(I97)/$I$6,0))))</f>
        <v/>
      </c>
      <c r="Q97" s="70" t="str">
        <f>IF(A97="","",IF(AND(P97&gt;0,P97&gt;=p_CompraMin),P97,0))</f>
        <v/>
      </c>
      <c r="R97" s="114" t="str">
        <f>IF(OR(A97="",F97=""),"",MAX(0,F97-TODAY()))</f>
        <v/>
      </c>
      <c r="T97" s="85" t="str">
        <f>IF(A97="","",IF(G97="",$U$1,G97))</f>
        <v/>
      </c>
      <c r="U97" s="85" t="str">
        <f>IF(A97="","",IFERROR(INDEX(moeda_fx,MATCH(T97,moeda_cod,0)),0))</f>
        <v/>
      </c>
      <c r="V97" s="85" t="str">
        <f>IF(A97="","",ROUND(MAX(0,N(I97)*($J$6+$U$7)-J97),2))</f>
        <v/>
      </c>
      <c r="W97" s="85" t="str">
        <f>IF(A97="","",IF(AND(L97&gt;0,L97&gt;=p_DifMin),V97,0))</f>
        <v/>
      </c>
      <c r="X97" s="85" t="str">
        <f>IF(A97="","",IF(AND(W97&gt;0,N(N97)&lt;=p_MaxAtivos),W97,0))</f>
        <v/>
      </c>
    </row>
    <row r="98">
      <c r="A98" s="96" t="n"/>
      <c r="B98" s="96" t="n"/>
      <c r="C98" s="96" t="n"/>
      <c r="D98" s="96" t="n"/>
      <c r="E98" s="96" t="n"/>
      <c r="F98" s="112" t="n"/>
      <c r="G98" s="97" t="n"/>
      <c r="H98" s="113" t="n"/>
      <c r="I98" s="99" t="n"/>
      <c r="J98" s="107" t="str">
        <f>IF(A98="","",N(H98)*U98)</f>
        <v/>
      </c>
      <c r="K98" s="108" t="str">
        <f>IF(A98="","",IF($J$6&gt;0,J98/$J$6,0))</f>
        <v/>
      </c>
      <c r="L98" s="109" t="str">
        <f>IF(A98="","",N(I98)-K98)</f>
        <v/>
      </c>
      <c r="M98" s="108" t="str">
        <f>IF(A98="","",IF($W$6&gt;0,W98/$W$6,0))</f>
        <v/>
      </c>
      <c r="N98" s="110" t="str">
        <f>IF(A98="","",IF(W98&lt;=0,"",COUNTIF($W$9:$W$108,"&gt;"&amp;W98)+COUNTIF($W$9:W98,W98)))</f>
        <v/>
      </c>
      <c r="O98" s="105" t="str">
        <f>IF(A98="","",IF(P98&gt;0,"BUY","HOLD"))</f>
        <v/>
      </c>
      <c r="P98" s="107" t="str">
        <f>IF(A98="","",IF($U$7&lt;=0,0,IF($X$6&gt;0,$U$7*X98/$X$6,IF($I$6&gt;0,$U$7*N(I98)/$I$6,0))))</f>
        <v/>
      </c>
      <c r="Q98" s="107" t="str">
        <f>IF(A98="","",IF(AND(P98&gt;0,P98&gt;=p_CompraMin),P98,0))</f>
        <v/>
      </c>
      <c r="R98" s="115" t="str">
        <f>IF(OR(A98="",F98=""),"",MAX(0,F98-TODAY()))</f>
        <v/>
      </c>
      <c r="T98" s="85" t="str">
        <f>IF(A98="","",IF(G98="",$U$1,G98))</f>
        <v/>
      </c>
      <c r="U98" s="85" t="str">
        <f>IF(A98="","",IFERROR(INDEX(moeda_fx,MATCH(T98,moeda_cod,0)),0))</f>
        <v/>
      </c>
      <c r="V98" s="85" t="str">
        <f>IF(A98="","",ROUND(MAX(0,N(I98)*($J$6+$U$7)-J98),2))</f>
        <v/>
      </c>
      <c r="W98" s="85" t="str">
        <f>IF(A98="","",IF(AND(L98&gt;0,L98&gt;=p_DifMin),V98,0))</f>
        <v/>
      </c>
      <c r="X98" s="85" t="str">
        <f>IF(A98="","",IF(AND(W98&gt;0,N(N98)&lt;=p_MaxAtivos),W98,0))</f>
        <v/>
      </c>
    </row>
    <row r="99">
      <c r="A99" s="96" t="n"/>
      <c r="B99" s="96" t="n"/>
      <c r="C99" s="96" t="n"/>
      <c r="D99" s="96" t="n"/>
      <c r="E99" s="96" t="n"/>
      <c r="F99" s="112" t="n"/>
      <c r="G99" s="97" t="n"/>
      <c r="H99" s="113" t="n"/>
      <c r="I99" s="99" t="n"/>
      <c r="J99" s="70" t="str">
        <f>IF(A99="","",N(H99)*U99)</f>
        <v/>
      </c>
      <c r="K99" s="30" t="str">
        <f>IF(A99="","",IF($J$6&gt;0,J99/$J$6,0))</f>
        <v/>
      </c>
      <c r="L99" s="72" t="str">
        <f>IF(A99="","",N(I99)-K99)</f>
        <v/>
      </c>
      <c r="M99" s="30" t="str">
        <f>IF(A99="","",IF($W$6&gt;0,W99/$W$6,0))</f>
        <v/>
      </c>
      <c r="N99" s="74" t="str">
        <f>IF(A99="","",IF(W99&lt;=0,"",COUNTIF($W$9:$W$108,"&gt;"&amp;W99)+COUNTIF($W$9:W99,W99)))</f>
        <v/>
      </c>
      <c r="O99" s="73" t="str">
        <f>IF(A99="","",IF(P99&gt;0,"BUY","HOLD"))</f>
        <v/>
      </c>
      <c r="P99" s="70" t="str">
        <f>IF(A99="","",IF($U$7&lt;=0,0,IF($X$6&gt;0,$U$7*X99/$X$6,IF($I$6&gt;0,$U$7*N(I99)/$I$6,0))))</f>
        <v/>
      </c>
      <c r="Q99" s="70" t="str">
        <f>IF(A99="","",IF(AND(P99&gt;0,P99&gt;=p_CompraMin),P99,0))</f>
        <v/>
      </c>
      <c r="R99" s="114" t="str">
        <f>IF(OR(A99="",F99=""),"",MAX(0,F99-TODAY()))</f>
        <v/>
      </c>
      <c r="T99" s="85" t="str">
        <f>IF(A99="","",IF(G99="",$U$1,G99))</f>
        <v/>
      </c>
      <c r="U99" s="85" t="str">
        <f>IF(A99="","",IFERROR(INDEX(moeda_fx,MATCH(T99,moeda_cod,0)),0))</f>
        <v/>
      </c>
      <c r="V99" s="85" t="str">
        <f>IF(A99="","",ROUND(MAX(0,N(I99)*($J$6+$U$7)-J99),2))</f>
        <v/>
      </c>
      <c r="W99" s="85" t="str">
        <f>IF(A99="","",IF(AND(L99&gt;0,L99&gt;=p_DifMin),V99,0))</f>
        <v/>
      </c>
      <c r="X99" s="85" t="str">
        <f>IF(A99="","",IF(AND(W99&gt;0,N(N99)&lt;=p_MaxAtivos),W99,0))</f>
        <v/>
      </c>
    </row>
    <row r="100">
      <c r="A100" s="96" t="n"/>
      <c r="B100" s="96" t="n"/>
      <c r="C100" s="96" t="n"/>
      <c r="D100" s="96" t="n"/>
      <c r="E100" s="96" t="n"/>
      <c r="F100" s="112" t="n"/>
      <c r="G100" s="97" t="n"/>
      <c r="H100" s="113" t="n"/>
      <c r="I100" s="99" t="n"/>
      <c r="J100" s="107" t="str">
        <f>IF(A100="","",N(H100)*U100)</f>
        <v/>
      </c>
      <c r="K100" s="108" t="str">
        <f>IF(A100="","",IF($J$6&gt;0,J100/$J$6,0))</f>
        <v/>
      </c>
      <c r="L100" s="109" t="str">
        <f>IF(A100="","",N(I100)-K100)</f>
        <v/>
      </c>
      <c r="M100" s="108" t="str">
        <f>IF(A100="","",IF($W$6&gt;0,W100/$W$6,0))</f>
        <v/>
      </c>
      <c r="N100" s="110" t="str">
        <f>IF(A100="","",IF(W100&lt;=0,"",COUNTIF($W$9:$W$108,"&gt;"&amp;W100)+COUNTIF($W$9:W100,W100)))</f>
        <v/>
      </c>
      <c r="O100" s="105" t="str">
        <f>IF(A100="","",IF(P100&gt;0,"BUY","HOLD"))</f>
        <v/>
      </c>
      <c r="P100" s="107" t="str">
        <f>IF(A100="","",IF($U$7&lt;=0,0,IF($X$6&gt;0,$U$7*X100/$X$6,IF($I$6&gt;0,$U$7*N(I100)/$I$6,0))))</f>
        <v/>
      </c>
      <c r="Q100" s="107" t="str">
        <f>IF(A100="","",IF(AND(P100&gt;0,P100&gt;=p_CompraMin),P100,0))</f>
        <v/>
      </c>
      <c r="R100" s="115" t="str">
        <f>IF(OR(A100="",F100=""),"",MAX(0,F100-TODAY()))</f>
        <v/>
      </c>
      <c r="T100" s="85" t="str">
        <f>IF(A100="","",IF(G100="",$U$1,G100))</f>
        <v/>
      </c>
      <c r="U100" s="85" t="str">
        <f>IF(A100="","",IFERROR(INDEX(moeda_fx,MATCH(T100,moeda_cod,0)),0))</f>
        <v/>
      </c>
      <c r="V100" s="85" t="str">
        <f>IF(A100="","",ROUND(MAX(0,N(I100)*($J$6+$U$7)-J100),2))</f>
        <v/>
      </c>
      <c r="W100" s="85" t="str">
        <f>IF(A100="","",IF(AND(L100&gt;0,L100&gt;=p_DifMin),V100,0))</f>
        <v/>
      </c>
      <c r="X100" s="85" t="str">
        <f>IF(A100="","",IF(AND(W100&gt;0,N(N100)&lt;=p_MaxAtivos),W100,0))</f>
        <v/>
      </c>
    </row>
    <row r="101">
      <c r="A101" s="96" t="n"/>
      <c r="B101" s="96" t="n"/>
      <c r="C101" s="96" t="n"/>
      <c r="D101" s="96" t="n"/>
      <c r="E101" s="96" t="n"/>
      <c r="F101" s="112" t="n"/>
      <c r="G101" s="97" t="n"/>
      <c r="H101" s="113" t="n"/>
      <c r="I101" s="99" t="n"/>
      <c r="J101" s="70" t="str">
        <f>IF(A101="","",N(H101)*U101)</f>
        <v/>
      </c>
      <c r="K101" s="30" t="str">
        <f>IF(A101="","",IF($J$6&gt;0,J101/$J$6,0))</f>
        <v/>
      </c>
      <c r="L101" s="72" t="str">
        <f>IF(A101="","",N(I101)-K101)</f>
        <v/>
      </c>
      <c r="M101" s="30" t="str">
        <f>IF(A101="","",IF($W$6&gt;0,W101/$W$6,0))</f>
        <v/>
      </c>
      <c r="N101" s="74" t="str">
        <f>IF(A101="","",IF(W101&lt;=0,"",COUNTIF($W$9:$W$108,"&gt;"&amp;W101)+COUNTIF($W$9:W101,W101)))</f>
        <v/>
      </c>
      <c r="O101" s="73" t="str">
        <f>IF(A101="","",IF(P101&gt;0,"BUY","HOLD"))</f>
        <v/>
      </c>
      <c r="P101" s="70" t="str">
        <f>IF(A101="","",IF($U$7&lt;=0,0,IF($X$6&gt;0,$U$7*X101/$X$6,IF($I$6&gt;0,$U$7*N(I101)/$I$6,0))))</f>
        <v/>
      </c>
      <c r="Q101" s="70" t="str">
        <f>IF(A101="","",IF(AND(P101&gt;0,P101&gt;=p_CompraMin),P101,0))</f>
        <v/>
      </c>
      <c r="R101" s="114" t="str">
        <f>IF(OR(A101="",F101=""),"",MAX(0,F101-TODAY()))</f>
        <v/>
      </c>
      <c r="T101" s="85" t="str">
        <f>IF(A101="","",IF(G101="",$U$1,G101))</f>
        <v/>
      </c>
      <c r="U101" s="85" t="str">
        <f>IF(A101="","",IFERROR(INDEX(moeda_fx,MATCH(T101,moeda_cod,0)),0))</f>
        <v/>
      </c>
      <c r="V101" s="85" t="str">
        <f>IF(A101="","",ROUND(MAX(0,N(I101)*($J$6+$U$7)-J101),2))</f>
        <v/>
      </c>
      <c r="W101" s="85" t="str">
        <f>IF(A101="","",IF(AND(L101&gt;0,L101&gt;=p_DifMin),V101,0))</f>
        <v/>
      </c>
      <c r="X101" s="85" t="str">
        <f>IF(A101="","",IF(AND(W101&gt;0,N(N101)&lt;=p_MaxAtivos),W101,0))</f>
        <v/>
      </c>
    </row>
    <row r="102">
      <c r="A102" s="96" t="n"/>
      <c r="B102" s="96" t="n"/>
      <c r="C102" s="96" t="n"/>
      <c r="D102" s="96" t="n"/>
      <c r="E102" s="96" t="n"/>
      <c r="F102" s="112" t="n"/>
      <c r="G102" s="97" t="n"/>
      <c r="H102" s="113" t="n"/>
      <c r="I102" s="99" t="n"/>
      <c r="J102" s="107" t="str">
        <f>IF(A102="","",N(H102)*U102)</f>
        <v/>
      </c>
      <c r="K102" s="108" t="str">
        <f>IF(A102="","",IF($J$6&gt;0,J102/$J$6,0))</f>
        <v/>
      </c>
      <c r="L102" s="109" t="str">
        <f>IF(A102="","",N(I102)-K102)</f>
        <v/>
      </c>
      <c r="M102" s="108" t="str">
        <f>IF(A102="","",IF($W$6&gt;0,W102/$W$6,0))</f>
        <v/>
      </c>
      <c r="N102" s="110" t="str">
        <f>IF(A102="","",IF(W102&lt;=0,"",COUNTIF($W$9:$W$108,"&gt;"&amp;W102)+COUNTIF($W$9:W102,W102)))</f>
        <v/>
      </c>
      <c r="O102" s="105" t="str">
        <f>IF(A102="","",IF(P102&gt;0,"BUY","HOLD"))</f>
        <v/>
      </c>
      <c r="P102" s="107" t="str">
        <f>IF(A102="","",IF($U$7&lt;=0,0,IF($X$6&gt;0,$U$7*X102/$X$6,IF($I$6&gt;0,$U$7*N(I102)/$I$6,0))))</f>
        <v/>
      </c>
      <c r="Q102" s="107" t="str">
        <f>IF(A102="","",IF(AND(P102&gt;0,P102&gt;=p_CompraMin),P102,0))</f>
        <v/>
      </c>
      <c r="R102" s="115" t="str">
        <f>IF(OR(A102="",F102=""),"",MAX(0,F102-TODAY()))</f>
        <v/>
      </c>
      <c r="T102" s="85" t="str">
        <f>IF(A102="","",IF(G102="",$U$1,G102))</f>
        <v/>
      </c>
      <c r="U102" s="85" t="str">
        <f>IF(A102="","",IFERROR(INDEX(moeda_fx,MATCH(T102,moeda_cod,0)),0))</f>
        <v/>
      </c>
      <c r="V102" s="85" t="str">
        <f>IF(A102="","",ROUND(MAX(0,N(I102)*($J$6+$U$7)-J102),2))</f>
        <v/>
      </c>
      <c r="W102" s="85" t="str">
        <f>IF(A102="","",IF(AND(L102&gt;0,L102&gt;=p_DifMin),V102,0))</f>
        <v/>
      </c>
      <c r="X102" s="85" t="str">
        <f>IF(A102="","",IF(AND(W102&gt;0,N(N102)&lt;=p_MaxAtivos),W102,0))</f>
        <v/>
      </c>
    </row>
    <row r="103">
      <c r="A103" s="96" t="n"/>
      <c r="B103" s="96" t="n"/>
      <c r="C103" s="96" t="n"/>
      <c r="D103" s="96" t="n"/>
      <c r="E103" s="96" t="n"/>
      <c r="F103" s="112" t="n"/>
      <c r="G103" s="97" t="n"/>
      <c r="H103" s="113" t="n"/>
      <c r="I103" s="99" t="n"/>
      <c r="J103" s="70" t="str">
        <f>IF(A103="","",N(H103)*U103)</f>
        <v/>
      </c>
      <c r="K103" s="30" t="str">
        <f>IF(A103="","",IF($J$6&gt;0,J103/$J$6,0))</f>
        <v/>
      </c>
      <c r="L103" s="72" t="str">
        <f>IF(A103="","",N(I103)-K103)</f>
        <v/>
      </c>
      <c r="M103" s="30" t="str">
        <f>IF(A103="","",IF($W$6&gt;0,W103/$W$6,0))</f>
        <v/>
      </c>
      <c r="N103" s="74" t="str">
        <f>IF(A103="","",IF(W103&lt;=0,"",COUNTIF($W$9:$W$108,"&gt;"&amp;W103)+COUNTIF($W$9:W103,W103)))</f>
        <v/>
      </c>
      <c r="O103" s="73" t="str">
        <f>IF(A103="","",IF(P103&gt;0,"BUY","HOLD"))</f>
        <v/>
      </c>
      <c r="P103" s="70" t="str">
        <f>IF(A103="","",IF($U$7&lt;=0,0,IF($X$6&gt;0,$U$7*X103/$X$6,IF($I$6&gt;0,$U$7*N(I103)/$I$6,0))))</f>
        <v/>
      </c>
      <c r="Q103" s="70" t="str">
        <f>IF(A103="","",IF(AND(P103&gt;0,P103&gt;=p_CompraMin),P103,0))</f>
        <v/>
      </c>
      <c r="R103" s="114" t="str">
        <f>IF(OR(A103="",F103=""),"",MAX(0,F103-TODAY()))</f>
        <v/>
      </c>
      <c r="T103" s="85" t="str">
        <f>IF(A103="","",IF(G103="",$U$1,G103))</f>
        <v/>
      </c>
      <c r="U103" s="85" t="str">
        <f>IF(A103="","",IFERROR(INDEX(moeda_fx,MATCH(T103,moeda_cod,0)),0))</f>
        <v/>
      </c>
      <c r="V103" s="85" t="str">
        <f>IF(A103="","",ROUND(MAX(0,N(I103)*($J$6+$U$7)-J103),2))</f>
        <v/>
      </c>
      <c r="W103" s="85" t="str">
        <f>IF(A103="","",IF(AND(L103&gt;0,L103&gt;=p_DifMin),V103,0))</f>
        <v/>
      </c>
      <c r="X103" s="85" t="str">
        <f>IF(A103="","",IF(AND(W103&gt;0,N(N103)&lt;=p_MaxAtivos),W103,0))</f>
        <v/>
      </c>
    </row>
    <row r="104">
      <c r="A104" s="96" t="n"/>
      <c r="B104" s="96" t="n"/>
      <c r="C104" s="96" t="n"/>
      <c r="D104" s="96" t="n"/>
      <c r="E104" s="96" t="n"/>
      <c r="F104" s="112" t="n"/>
      <c r="G104" s="97" t="n"/>
      <c r="H104" s="113" t="n"/>
      <c r="I104" s="99" t="n"/>
      <c r="J104" s="107" t="str">
        <f>IF(A104="","",N(H104)*U104)</f>
        <v/>
      </c>
      <c r="K104" s="108" t="str">
        <f>IF(A104="","",IF($J$6&gt;0,J104/$J$6,0))</f>
        <v/>
      </c>
      <c r="L104" s="109" t="str">
        <f>IF(A104="","",N(I104)-K104)</f>
        <v/>
      </c>
      <c r="M104" s="108" t="str">
        <f>IF(A104="","",IF($W$6&gt;0,W104/$W$6,0))</f>
        <v/>
      </c>
      <c r="N104" s="110" t="str">
        <f>IF(A104="","",IF(W104&lt;=0,"",COUNTIF($W$9:$W$108,"&gt;"&amp;W104)+COUNTIF($W$9:W104,W104)))</f>
        <v/>
      </c>
      <c r="O104" s="105" t="str">
        <f>IF(A104="","",IF(P104&gt;0,"BUY","HOLD"))</f>
        <v/>
      </c>
      <c r="P104" s="107" t="str">
        <f>IF(A104="","",IF($U$7&lt;=0,0,IF($X$6&gt;0,$U$7*X104/$X$6,IF($I$6&gt;0,$U$7*N(I104)/$I$6,0))))</f>
        <v/>
      </c>
      <c r="Q104" s="107" t="str">
        <f>IF(A104="","",IF(AND(P104&gt;0,P104&gt;=p_CompraMin),P104,0))</f>
        <v/>
      </c>
      <c r="R104" s="115" t="str">
        <f>IF(OR(A104="",F104=""),"",MAX(0,F104-TODAY()))</f>
        <v/>
      </c>
      <c r="T104" s="85" t="str">
        <f>IF(A104="","",IF(G104="",$U$1,G104))</f>
        <v/>
      </c>
      <c r="U104" s="85" t="str">
        <f>IF(A104="","",IFERROR(INDEX(moeda_fx,MATCH(T104,moeda_cod,0)),0))</f>
        <v/>
      </c>
      <c r="V104" s="85" t="str">
        <f>IF(A104="","",ROUND(MAX(0,N(I104)*($J$6+$U$7)-J104),2))</f>
        <v/>
      </c>
      <c r="W104" s="85" t="str">
        <f>IF(A104="","",IF(AND(L104&gt;0,L104&gt;=p_DifMin),V104,0))</f>
        <v/>
      </c>
      <c r="X104" s="85" t="str">
        <f>IF(A104="","",IF(AND(W104&gt;0,N(N104)&lt;=p_MaxAtivos),W104,0))</f>
        <v/>
      </c>
    </row>
    <row r="105">
      <c r="A105" s="96" t="n"/>
      <c r="B105" s="96" t="n"/>
      <c r="C105" s="96" t="n"/>
      <c r="D105" s="96" t="n"/>
      <c r="E105" s="96" t="n"/>
      <c r="F105" s="112" t="n"/>
      <c r="G105" s="97" t="n"/>
      <c r="H105" s="113" t="n"/>
      <c r="I105" s="99" t="n"/>
      <c r="J105" s="70" t="str">
        <f>IF(A105="","",N(H105)*U105)</f>
        <v/>
      </c>
      <c r="K105" s="30" t="str">
        <f>IF(A105="","",IF($J$6&gt;0,J105/$J$6,0))</f>
        <v/>
      </c>
      <c r="L105" s="72" t="str">
        <f>IF(A105="","",N(I105)-K105)</f>
        <v/>
      </c>
      <c r="M105" s="30" t="str">
        <f>IF(A105="","",IF($W$6&gt;0,W105/$W$6,0))</f>
        <v/>
      </c>
      <c r="N105" s="74" t="str">
        <f>IF(A105="","",IF(W105&lt;=0,"",COUNTIF($W$9:$W$108,"&gt;"&amp;W105)+COUNTIF($W$9:W105,W105)))</f>
        <v/>
      </c>
      <c r="O105" s="73" t="str">
        <f>IF(A105="","",IF(P105&gt;0,"BUY","HOLD"))</f>
        <v/>
      </c>
      <c r="P105" s="70" t="str">
        <f>IF(A105="","",IF($U$7&lt;=0,0,IF($X$6&gt;0,$U$7*X105/$X$6,IF($I$6&gt;0,$U$7*N(I105)/$I$6,0))))</f>
        <v/>
      </c>
      <c r="Q105" s="70" t="str">
        <f>IF(A105="","",IF(AND(P105&gt;0,P105&gt;=p_CompraMin),P105,0))</f>
        <v/>
      </c>
      <c r="R105" s="114" t="str">
        <f>IF(OR(A105="",F105=""),"",MAX(0,F105-TODAY()))</f>
        <v/>
      </c>
      <c r="T105" s="85" t="str">
        <f>IF(A105="","",IF(G105="",$U$1,G105))</f>
        <v/>
      </c>
      <c r="U105" s="85" t="str">
        <f>IF(A105="","",IFERROR(INDEX(moeda_fx,MATCH(T105,moeda_cod,0)),0))</f>
        <v/>
      </c>
      <c r="V105" s="85" t="str">
        <f>IF(A105="","",ROUND(MAX(0,N(I105)*($J$6+$U$7)-J105),2))</f>
        <v/>
      </c>
      <c r="W105" s="85" t="str">
        <f>IF(A105="","",IF(AND(L105&gt;0,L105&gt;=p_DifMin),V105,0))</f>
        <v/>
      </c>
      <c r="X105" s="85" t="str">
        <f>IF(A105="","",IF(AND(W105&gt;0,N(N105)&lt;=p_MaxAtivos),W105,0))</f>
        <v/>
      </c>
    </row>
    <row r="106">
      <c r="A106" s="96" t="n"/>
      <c r="B106" s="96" t="n"/>
      <c r="C106" s="96" t="n"/>
      <c r="D106" s="96" t="n"/>
      <c r="E106" s="96" t="n"/>
      <c r="F106" s="112" t="n"/>
      <c r="G106" s="97" t="n"/>
      <c r="H106" s="113" t="n"/>
      <c r="I106" s="99" t="n"/>
      <c r="J106" s="107" t="str">
        <f>IF(A106="","",N(H106)*U106)</f>
        <v/>
      </c>
      <c r="K106" s="108" t="str">
        <f>IF(A106="","",IF($J$6&gt;0,J106/$J$6,0))</f>
        <v/>
      </c>
      <c r="L106" s="109" t="str">
        <f>IF(A106="","",N(I106)-K106)</f>
        <v/>
      </c>
      <c r="M106" s="108" t="str">
        <f>IF(A106="","",IF($W$6&gt;0,W106/$W$6,0))</f>
        <v/>
      </c>
      <c r="N106" s="110" t="str">
        <f>IF(A106="","",IF(W106&lt;=0,"",COUNTIF($W$9:$W$108,"&gt;"&amp;W106)+COUNTIF($W$9:W106,W106)))</f>
        <v/>
      </c>
      <c r="O106" s="105" t="str">
        <f>IF(A106="","",IF(P106&gt;0,"BUY","HOLD"))</f>
        <v/>
      </c>
      <c r="P106" s="107" t="str">
        <f>IF(A106="","",IF($U$7&lt;=0,0,IF($X$6&gt;0,$U$7*X106/$X$6,IF($I$6&gt;0,$U$7*N(I106)/$I$6,0))))</f>
        <v/>
      </c>
      <c r="Q106" s="107" t="str">
        <f>IF(A106="","",IF(AND(P106&gt;0,P106&gt;=p_CompraMin),P106,0))</f>
        <v/>
      </c>
      <c r="R106" s="115" t="str">
        <f>IF(OR(A106="",F106=""),"",MAX(0,F106-TODAY()))</f>
        <v/>
      </c>
      <c r="T106" s="85" t="str">
        <f>IF(A106="","",IF(G106="",$U$1,G106))</f>
        <v/>
      </c>
      <c r="U106" s="85" t="str">
        <f>IF(A106="","",IFERROR(INDEX(moeda_fx,MATCH(T106,moeda_cod,0)),0))</f>
        <v/>
      </c>
      <c r="V106" s="85" t="str">
        <f>IF(A106="","",ROUND(MAX(0,N(I106)*($J$6+$U$7)-J106),2))</f>
        <v/>
      </c>
      <c r="W106" s="85" t="str">
        <f>IF(A106="","",IF(AND(L106&gt;0,L106&gt;=p_DifMin),V106,0))</f>
        <v/>
      </c>
      <c r="X106" s="85" t="str">
        <f>IF(A106="","",IF(AND(W106&gt;0,N(N106)&lt;=p_MaxAtivos),W106,0))</f>
        <v/>
      </c>
    </row>
    <row r="107">
      <c r="A107" s="96" t="n"/>
      <c r="B107" s="96" t="n"/>
      <c r="C107" s="96" t="n"/>
      <c r="D107" s="96" t="n"/>
      <c r="E107" s="96" t="n"/>
      <c r="F107" s="112" t="n"/>
      <c r="G107" s="97" t="n"/>
      <c r="H107" s="113" t="n"/>
      <c r="I107" s="99" t="n"/>
      <c r="J107" s="70" t="str">
        <f>IF(A107="","",N(H107)*U107)</f>
        <v/>
      </c>
      <c r="K107" s="30" t="str">
        <f>IF(A107="","",IF($J$6&gt;0,J107/$J$6,0))</f>
        <v/>
      </c>
      <c r="L107" s="72" t="str">
        <f>IF(A107="","",N(I107)-K107)</f>
        <v/>
      </c>
      <c r="M107" s="30" t="str">
        <f>IF(A107="","",IF($W$6&gt;0,W107/$W$6,0))</f>
        <v/>
      </c>
      <c r="N107" s="74" t="str">
        <f>IF(A107="","",IF(W107&lt;=0,"",COUNTIF($W$9:$W$108,"&gt;"&amp;W107)+COUNTIF($W$9:W107,W107)))</f>
        <v/>
      </c>
      <c r="O107" s="73" t="str">
        <f>IF(A107="","",IF(P107&gt;0,"BUY","HOLD"))</f>
        <v/>
      </c>
      <c r="P107" s="70" t="str">
        <f>IF(A107="","",IF($U$7&lt;=0,0,IF($X$6&gt;0,$U$7*X107/$X$6,IF($I$6&gt;0,$U$7*N(I107)/$I$6,0))))</f>
        <v/>
      </c>
      <c r="Q107" s="70" t="str">
        <f>IF(A107="","",IF(AND(P107&gt;0,P107&gt;=p_CompraMin),P107,0))</f>
        <v/>
      </c>
      <c r="R107" s="114" t="str">
        <f>IF(OR(A107="",F107=""),"",MAX(0,F107-TODAY()))</f>
        <v/>
      </c>
      <c r="T107" s="85" t="str">
        <f>IF(A107="","",IF(G107="",$U$1,G107))</f>
        <v/>
      </c>
      <c r="U107" s="85" t="str">
        <f>IF(A107="","",IFERROR(INDEX(moeda_fx,MATCH(T107,moeda_cod,0)),0))</f>
        <v/>
      </c>
      <c r="V107" s="85" t="str">
        <f>IF(A107="","",ROUND(MAX(0,N(I107)*($J$6+$U$7)-J107),2))</f>
        <v/>
      </c>
      <c r="W107" s="85" t="str">
        <f>IF(A107="","",IF(AND(L107&gt;0,L107&gt;=p_DifMin),V107,0))</f>
        <v/>
      </c>
      <c r="X107" s="85" t="str">
        <f>IF(A107="","",IF(AND(W107&gt;0,N(N107)&lt;=p_MaxAtivos),W107,0))</f>
        <v/>
      </c>
    </row>
    <row r="108">
      <c r="A108" s="96" t="n"/>
      <c r="B108" s="96" t="n"/>
      <c r="C108" s="96" t="n"/>
      <c r="D108" s="96" t="n"/>
      <c r="E108" s="96" t="n"/>
      <c r="F108" s="112" t="n"/>
      <c r="G108" s="97" t="n"/>
      <c r="H108" s="113" t="n"/>
      <c r="I108" s="99" t="n"/>
      <c r="J108" s="107" t="str">
        <f>IF(A108="","",N(H108)*U108)</f>
        <v/>
      </c>
      <c r="K108" s="108" t="str">
        <f>IF(A108="","",IF($J$6&gt;0,J108/$J$6,0))</f>
        <v/>
      </c>
      <c r="L108" s="109" t="str">
        <f>IF(A108="","",N(I108)-K108)</f>
        <v/>
      </c>
      <c r="M108" s="108" t="str">
        <f>IF(A108="","",IF($W$6&gt;0,W108/$W$6,0))</f>
        <v/>
      </c>
      <c r="N108" s="110" t="str">
        <f>IF(A108="","",IF(W108&lt;=0,"",COUNTIF($W$9:$W$108,"&gt;"&amp;W108)+COUNTIF($W$9:W108,W108)))</f>
        <v/>
      </c>
      <c r="O108" s="105" t="str">
        <f>IF(A108="","",IF(P108&gt;0,"BUY","HOLD"))</f>
        <v/>
      </c>
      <c r="P108" s="107" t="str">
        <f>IF(A108="","",IF($U$7&lt;=0,0,IF($X$6&gt;0,$U$7*X108/$X$6,IF($I$6&gt;0,$U$7*N(I108)/$I$6,0))))</f>
        <v/>
      </c>
      <c r="Q108" s="107" t="str">
        <f>IF(A108="","",IF(AND(P108&gt;0,P108&gt;=p_CompraMin),P108,0))</f>
        <v/>
      </c>
      <c r="R108" s="115" t="str">
        <f>IF(OR(A108="",F108=""),"",MAX(0,F108-TODAY()))</f>
        <v/>
      </c>
      <c r="T108" s="85" t="str">
        <f>IF(A108="","",IF(G108="",$U$1,G108))</f>
        <v/>
      </c>
      <c r="U108" s="85" t="str">
        <f>IF(A108="","",IFERROR(INDEX(moeda_fx,MATCH(T108,moeda_cod,0)),0))</f>
        <v/>
      </c>
      <c r="V108" s="85" t="str">
        <f>IF(A108="","",ROUND(MAX(0,N(I108)*($J$6+$U$7)-J108),2))</f>
        <v/>
      </c>
      <c r="W108" s="85" t="str">
        <f>IF(A108="","",IF(AND(L108&gt;0,L108&gt;=p_DifMin),V108,0))</f>
        <v/>
      </c>
      <c r="X108" s="85" t="str">
        <f>IF(A108="","",IF(AND(W108&gt;0,N(N108)&lt;=p_MaxAtivos),W108,0))</f>
        <v/>
      </c>
    </row>
  </sheetData>
  <mergeCells count="10">
    <mergeCell ref="A4:B4"/>
    <mergeCell ref="F3:I3"/>
    <mergeCell ref="F4:I4"/>
    <mergeCell ref="J3:M3"/>
    <mergeCell ref="J4:M4"/>
    <mergeCell ref="N3:Q3"/>
    <mergeCell ref="N4:Q4"/>
    <mergeCell ref="C4:E4"/>
    <mergeCell ref="C3:E3"/>
    <mergeCell ref="A3:B3"/>
  </mergeCells>
  <conditionalFormatting sqref="R4">
    <cfRule type="expression" priority="1" dxfId="5">
      <formula>ABS(R4-1)&gt;0.0001</formula>
    </cfRule>
    <cfRule type="expression" priority="2" dxfId="6">
      <formula>ABS(R4-1)&lt;=0.0001</formula>
    </cfRule>
  </conditionalFormatting>
  <conditionalFormatting sqref="O9:O108">
    <cfRule type="cellIs" priority="3" operator="equal" dxfId="1">
      <formula>"BUY"</formula>
    </cfRule>
    <cfRule type="cellIs" priority="4" operator="equal" dxfId="2">
      <formula>"HOLD"</formula>
    </cfRule>
  </conditionalFormatting>
  <conditionalFormatting sqref="L9:L108">
    <cfRule type="expression" priority="5" dxfId="8">
      <formula>AND(ISNUMBER(L9),L9&lt;0)</formula>
    </cfRule>
    <cfRule type="expression" priority="6" dxfId="9">
      <formula>AND(ISNUMBER(L9),L9&gt;0)</formula>
    </cfRule>
  </conditionalFormatting>
  <dataValidations count="5">
    <dataValidation sqref="G9:G108" showDropDown="0" showInputMessage="0" showErrorMessage="0" allowBlank="1" errorTitle="Moeda inválida" error="Moeda não cadastrada em Configurações &gt; Câmbio e Moedas." type="list">
      <formula1>='10 Configurações'!$B$21:$B$30</formula1>
    </dataValidation>
    <dataValidation sqref="C9:C108" showDropDown="0" showInputMessage="0" showErrorMessage="0" allowBlank="1" errorTitle="Valor fora da lista" error="Esse valor não está na lista da aba Auxiliar. Deseja manter?" type="list" errorStyle="warning">
      <formula1>='11 Auxiliar'!$M$5:$M$15</formula1>
    </dataValidation>
    <dataValidation sqref="D9:D108" showDropDown="0" showInputMessage="0" showErrorMessage="0" allowBlank="1" type="list" errorStyle="warning">
      <formula1>='11 Auxiliar'!$O$5:$O$9</formula1>
    </dataValidation>
    <dataValidation sqref="I9:I10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H9:H10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R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AJ68"/>
  <sheetViews>
    <sheetView showGridLines="0" tabSelected="0" zoomScale="9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2" customWidth="1" style="1" min="1" max="1"/>
    <col width="28" customWidth="1" style="1" min="2" max="2"/>
    <col width="20" customWidth="1" style="1" min="3" max="3"/>
    <col width="14" customWidth="1" style="1" min="4" max="4"/>
    <col width="8" customWidth="1" style="1" min="5" max="5"/>
    <col width="13" customWidth="1" style="1" min="6" max="6"/>
    <col width="12" customWidth="1" style="1" min="7" max="7"/>
    <col width="13" customWidth="1" style="1" min="8" max="8"/>
    <col width="12" customWidth="1" style="1" min="9" max="9"/>
    <col width="12" customWidth="1" style="1" min="10" max="10"/>
    <col width="14" customWidth="1" style="1" min="11" max="11"/>
    <col width="15" customWidth="1" style="1" min="12" max="12"/>
    <col width="10" customWidth="1" style="1" min="13" max="13"/>
    <col width="10" customWidth="1" style="1" min="14" max="14"/>
    <col width="11" customWidth="1" style="1" min="15" max="15"/>
    <col width="7" customWidth="1" style="1" min="16" max="16"/>
    <col width="9" customWidth="1" style="1" min="17" max="17"/>
    <col width="14" customWidth="1" style="1" min="18" max="18"/>
    <col width="12" customWidth="1" style="1" min="19" max="19"/>
    <col width="12" customWidth="1" style="1" min="20" max="20"/>
    <col width="14" customWidth="1" style="1" min="21" max="21"/>
    <col width="3" customWidth="1" style="1" min="22" max="22"/>
    <col hidden="1" outlineLevel="1" width="16" customWidth="1" style="1" min="23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CRIPTOMOEDAS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62" t="inlineStr">
        <is>
          <t>◄ Dashboard</t>
        </is>
      </c>
      <c r="W1" s="85" t="inlineStr">
        <is>
          <t>Moeda padrão da classe</t>
        </is>
      </c>
      <c r="X1" s="86" t="str">
        <f>INDEX('10 Configurações'!$D$35:$D$41,MATCH("Criptomoedas",'10 Configurações'!$B$35:$B$41,0))&amp;""</f>
        <v>USD</v>
      </c>
      <c r="Y1" s="85" t="inlineStr">
        <is>
          <t>Sobra da 1ª passada (R$)</t>
        </is>
      </c>
      <c r="Z1" s="86">
        <f>MAX(0,$X$7-SUM($AF$9:$AF$68))</f>
        <v>25</v>
      </c>
    </row>
    <row r="2" ht="18" customHeight="1">
      <c r="A2" s="63" t="str">
        <f>"Moeda padrão: "&amp;$X$1&amp;"   ·   Fração: "&amp;$X$3&amp;" ("&amp;$X$4&amp;" casas)   ·   Lote: "&amp;$X$5&amp;"   ·   Custo efetivo de compra: "&amp;ROUND(($X$6-1)*100,2)&amp;"%   ·   Cotações: "&amp;p_ModoCot</f>
        <v>Moeda padrão: USD   ·   Fração: Sim (8 casas)   ·   Lote: 1   ·   Custo efetivo de compra: 0%   ·   Cotações: Automático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W2" s="85" t="inlineStr">
        <is>
          <t>Sufixo Yahoo</t>
        </is>
      </c>
      <c r="X2" s="86" t="str">
        <f>INDEX('10 Configurações'!$E$35:$E$41,MATCH("Criptomoedas",'10 Configurações'!$B$35:$B$41,0))&amp;""</f>
        <v>-USD</v>
      </c>
    </row>
    <row r="3" ht="16" customHeight="1">
      <c r="A3" s="11" t="inlineStr">
        <is>
          <t>VALOR DA CLASSE (R$)</t>
        </is>
      </c>
      <c r="B3" s="12" t="n"/>
      <c r="C3" s="11" t="inlineStr">
        <is>
          <t>Nº DE ATIVOS</t>
        </is>
      </c>
      <c r="D3" s="12" t="n"/>
      <c r="E3" s="12" t="n"/>
      <c r="F3" s="12" t="n"/>
      <c r="G3" s="13" t="inlineStr">
        <is>
          <t>APORTE DESTINADO (R$)</t>
        </is>
      </c>
      <c r="H3" s="14" t="n"/>
      <c r="I3" s="14" t="n"/>
      <c r="J3" s="14" t="n"/>
      <c r="K3" s="13" t="inlineStr">
        <is>
          <t>COMPRA EFETIVA (R$)</t>
        </is>
      </c>
      <c r="L3" s="14" t="n"/>
      <c r="M3" s="14" t="n"/>
      <c r="N3" s="14" t="n"/>
      <c r="O3" s="15" t="inlineStr">
        <is>
          <t>SOBRA DA CLASSE (R$)</t>
        </is>
      </c>
      <c r="P3" s="16" t="n"/>
      <c r="Q3" s="16" t="n"/>
      <c r="R3" s="16" t="n"/>
      <c r="S3" s="16" t="n"/>
      <c r="T3" s="15" t="inlineStr">
        <is>
          <t>SOMA DOS OBJETIVOS</t>
        </is>
      </c>
      <c r="U3" s="16" t="n"/>
      <c r="W3" s="85" t="inlineStr">
        <is>
          <t>Permite fração?</t>
        </is>
      </c>
      <c r="X3" s="86" t="str">
        <f>INDEX('10 Configurações'!$G$35:$G$41,MATCH("Criptomoedas",'10 Configurações'!$B$35:$B$41,0))&amp;""</f>
        <v>Sim</v>
      </c>
    </row>
    <row r="4" ht="26" customHeight="1">
      <c r="A4" s="64">
        <f>$L$6</f>
        <v>0</v>
      </c>
      <c r="B4" s="1" t="n"/>
      <c r="C4" s="65">
        <f>SUMPRODUCT(--($A$9:$A$68&lt;&gt;""))</f>
        <v>0</v>
      </c>
      <c r="D4" s="1" t="n"/>
      <c r="E4" s="1" t="n"/>
      <c r="F4" s="1" t="n"/>
      <c r="G4" s="64">
        <f>$X$7</f>
        <v>25</v>
      </c>
      <c r="H4" s="1" t="n"/>
      <c r="I4" s="1" t="n"/>
      <c r="J4" s="1" t="n"/>
      <c r="K4" s="64">
        <f>$U$6</f>
        <v>0</v>
      </c>
      <c r="L4" s="1" t="n"/>
      <c r="M4" s="1" t="n"/>
      <c r="N4" s="1" t="n"/>
      <c r="O4" s="64">
        <f>$X$7-$U$6</f>
        <v>25</v>
      </c>
      <c r="P4" s="1" t="n"/>
      <c r="Q4" s="1" t="n"/>
      <c r="R4" s="1" t="n"/>
      <c r="S4" s="1" t="n"/>
      <c r="T4" s="66">
        <f>$G$6</f>
        <v>0</v>
      </c>
      <c r="U4" s="1" t="n"/>
      <c r="W4" s="85" t="inlineStr">
        <is>
          <t>Casas decimais</t>
        </is>
      </c>
      <c r="X4" s="86">
        <f>N(INDEX('10 Configurações'!$H$35:$H$41,MATCH("Criptomoedas",'10 Configurações'!$B$35:$B$41,0)))</f>
        <v>8</v>
      </c>
    </row>
    <row r="5" ht="14" customHeight="1">
      <c r="A5" s="87" t="inlineStr">
        <is>
          <t>■ Azul = entrada de dados (você só altera Quantidade, Objetivo e, se quiser, Cotação Manual)     ■ Demais células = fórmulas     ■ Depois de comprar: copie 'Qtd. Após Compra' e cole como valores em 'Quantidade'</t>
        </is>
      </c>
      <c r="W5" s="85" t="inlineStr">
        <is>
          <t>Lote efetivo</t>
        </is>
      </c>
      <c r="X5" s="86">
        <f>IF(INDEX('10 Configurações'!$I$35:$I$41,MATCH("Criptomoedas",'10 Configurações'!$B$35:$B$41,0))="Sim",MAX(1,N(INDEX('10 Configurações'!$J$35:$J$41,MATCH("Criptomoedas",'10 Configurações'!$B$35:$B$41,0)))),1)</f>
        <v>1</v>
      </c>
    </row>
    <row r="6" ht="24" customHeight="1">
      <c r="A6" s="88" t="inlineStr">
        <is>
          <t>TOTAL</t>
        </is>
      </c>
      <c r="B6" s="31" t="n"/>
      <c r="C6" s="31" t="n"/>
      <c r="D6" s="31" t="n"/>
      <c r="E6" s="31" t="n"/>
      <c r="F6" s="31" t="n"/>
      <c r="G6" s="55">
        <f>SUM($G$9:$G$68)</f>
        <v>0</v>
      </c>
      <c r="H6" s="31" t="n"/>
      <c r="I6" s="31" t="n"/>
      <c r="J6" s="31" t="n"/>
      <c r="K6" s="31" t="n"/>
      <c r="L6" s="75">
        <f>SUM($L$9:$L$68)</f>
        <v>0</v>
      </c>
      <c r="M6" s="55">
        <f>SUM($M$9:$M$68)</f>
        <v>0</v>
      </c>
      <c r="N6" s="31" t="n"/>
      <c r="O6" s="55">
        <f>SUM($O$9:$O$68)</f>
        <v>0</v>
      </c>
      <c r="P6" s="31" t="n"/>
      <c r="Q6" s="31" t="n"/>
      <c r="R6" s="75">
        <f>SUM($R$9:$R$68)</f>
        <v>0</v>
      </c>
      <c r="S6" s="31" t="n"/>
      <c r="T6" s="31" t="n"/>
      <c r="U6" s="75">
        <f>SUM($U$9:$U$68)</f>
        <v>0</v>
      </c>
      <c r="W6" s="85" t="inlineStr">
        <is>
          <t>Fator de custo (1 + custos)</t>
        </is>
      </c>
      <c r="X6" s="86">
        <f>1+N(INDEX('10 Configurações'!$K$35:$K$41,MATCH("Criptomoedas",'10 Configurações'!$B$35:$B$41,0)))</f>
        <v>1</v>
      </c>
      <c r="AC6" s="89">
        <f>SUM($AC$9:$AC$68)</f>
        <v>0</v>
      </c>
      <c r="AD6" s="89">
        <f>SUM($AD$9:$AD$68)</f>
        <v>0</v>
      </c>
      <c r="AI6" s="89">
        <f>MAX($AI$9:$AI$68)</f>
        <v>0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0" t="n"/>
      <c r="F7" s="91" t="inlineStr">
        <is>
          <t>POSIÇÃO E OBJETIVO</t>
        </is>
      </c>
      <c r="G7" s="91" t="n"/>
      <c r="H7" s="92" t="inlineStr">
        <is>
          <t>COTAÇÃO</t>
        </is>
      </c>
      <c r="I7" s="92" t="n"/>
      <c r="J7" s="92" t="n"/>
      <c r="K7" s="93" t="inlineStr">
        <is>
          <t>VALOR</t>
        </is>
      </c>
      <c r="L7" s="93" t="n"/>
      <c r="M7" s="93" t="n"/>
      <c r="N7" s="94" t="inlineStr">
        <is>
          <t>REBALANCEAMENTO</t>
        </is>
      </c>
      <c r="O7" s="94" t="n"/>
      <c r="P7" s="94" t="n"/>
      <c r="Q7" s="94" t="n"/>
      <c r="R7" s="94" t="n"/>
      <c r="S7" s="94" t="n"/>
      <c r="T7" s="94" t="n"/>
      <c r="U7" s="94" t="n"/>
      <c r="W7" s="85" t="inlineStr">
        <is>
          <t>Aporte destinado à classe (R$)</t>
        </is>
      </c>
      <c r="X7" s="86">
        <f>'02 Macro Alocação'!$M$14</f>
        <v>25</v>
      </c>
    </row>
    <row r="8" ht="34" customHeight="1">
      <c r="A8" s="68" t="inlineStr">
        <is>
          <t>Ticker</t>
        </is>
      </c>
      <c r="B8" s="68" t="inlineStr">
        <is>
          <t>Nome / Descrição</t>
        </is>
      </c>
      <c r="C8" s="68" t="inlineStr">
        <is>
          <t>Categoria</t>
        </is>
      </c>
      <c r="D8" s="68" t="inlineStr">
        <is>
          <t>ID CoinGecko</t>
        </is>
      </c>
      <c r="E8" s="68" t="inlineStr">
        <is>
          <t>Moeda</t>
        </is>
      </c>
      <c r="F8" s="68" t="inlineStr">
        <is>
          <t>Quantidade</t>
        </is>
      </c>
      <c r="G8" s="68" t="inlineStr">
        <is>
          <t>Objetivo (% da classe)</t>
        </is>
      </c>
      <c r="H8" s="68" t="inlineStr">
        <is>
          <t>Cotação Manual (opcional)</t>
        </is>
      </c>
      <c r="I8" s="67" t="inlineStr">
        <is>
          <t>Cotação</t>
        </is>
      </c>
      <c r="J8" s="67" t="inlineStr">
        <is>
          <t>Fonte</t>
        </is>
      </c>
      <c r="K8" s="67" t="inlineStr">
        <is>
          <t>Valor Atual (Moeda)</t>
        </is>
      </c>
      <c r="L8" s="67" t="inlineStr">
        <is>
          <t>Valor Atual (R$)</t>
        </is>
      </c>
      <c r="M8" s="67" t="inlineStr">
        <is>
          <t>Part. na Classe</t>
        </is>
      </c>
      <c r="N8" s="67" t="inlineStr">
        <is>
          <t>Diferença</t>
        </is>
      </c>
      <c r="O8" s="67" t="inlineStr">
        <is>
          <t>Rebalance Score</t>
        </is>
      </c>
      <c r="P8" s="67" t="inlineStr">
        <is>
          <t>Prior.</t>
        </is>
      </c>
      <c r="Q8" s="67" t="inlineStr">
        <is>
          <t>Ação</t>
        </is>
      </c>
      <c r="R8" s="67" t="inlineStr">
        <is>
          <t>Valor Sugerido (R$)</t>
        </is>
      </c>
      <c r="S8" s="67" t="inlineStr">
        <is>
          <t>Qtd. Sugerida</t>
        </is>
      </c>
      <c r="T8" s="67" t="inlineStr">
        <is>
          <t>Qtd. Após Compra</t>
        </is>
      </c>
      <c r="U8" s="67" t="inlineStr">
        <is>
          <t>Valor Efetivo (R$)</t>
        </is>
      </c>
      <c r="W8" s="95" t="inlineStr">
        <is>
          <t>Moeda efetiva</t>
        </is>
      </c>
      <c r="X8" s="95" t="inlineStr">
        <is>
          <t>Câmbio (R$)</t>
        </is>
      </c>
      <c r="Y8" s="95" t="inlineStr">
        <is>
          <t>Ticker Yahoo</t>
        </is>
      </c>
      <c r="Z8" s="95" t="inlineStr">
        <is>
          <t>Resposta da API</t>
        </is>
      </c>
      <c r="AA8" s="95" t="inlineStr">
        <is>
          <t>Cotação auto</t>
        </is>
      </c>
      <c r="AB8" s="95" t="inlineStr">
        <is>
          <t>Déficit (R$)</t>
        </is>
      </c>
      <c r="AC8" s="95" t="inlineStr">
        <is>
          <t>Déficit elegível</t>
        </is>
      </c>
      <c r="AD8" s="95" t="inlineStr">
        <is>
          <t>Déficit final</t>
        </is>
      </c>
      <c r="AE8" s="95" t="inlineStr">
        <is>
          <t>Qtd 1ª passada</t>
        </is>
      </c>
      <c r="AF8" s="95" t="inlineStr">
        <is>
          <t>Valor 1ª passada (R$)</t>
        </is>
      </c>
      <c r="AG8" s="95" t="inlineStr">
        <is>
          <t>Qtd extra (bruta)</t>
        </is>
      </c>
      <c r="AH8" s="95" t="inlineStr">
        <is>
          <t>Qtd extra</t>
        </is>
      </c>
      <c r="AI8" s="95" t="inlineStr">
        <is>
          <t>Prioridade extra</t>
        </is>
      </c>
      <c r="AJ8" s="95" t="inlineStr">
        <is>
          <t>Recebe a sobra</t>
        </is>
      </c>
    </row>
    <row r="9">
      <c r="A9" s="96" t="n"/>
      <c r="B9" s="96" t="n"/>
      <c r="C9" s="96" t="n"/>
      <c r="D9" s="96" t="n"/>
      <c r="E9" s="97" t="n"/>
      <c r="F9" s="98" t="n"/>
      <c r="G9" s="99" t="n"/>
      <c r="H9" s="100" t="n"/>
      <c r="I9" s="101" t="str">
        <f>IF(A9="","",IF(AND(p_ModoCot="Automático",ISNUMBER(AA9)),AA9,IF(N(H9)&gt;0,H9,0)))</f>
        <v/>
      </c>
      <c r="J9" s="73" t="str">
        <f>IF(A9="","",IF(X9=0,"Sem câmbio",IF(AND(p_ModoCot="Automático",ISNUMBER(AA9)),"Auto",IF(N(H9)&gt;0,"Manual","Sem cotação"))))</f>
        <v/>
      </c>
      <c r="K9" s="102" t="str">
        <f>IF(A9="","",N(F9)*I9)</f>
        <v/>
      </c>
      <c r="L9" s="70" t="str">
        <f>IF(A9="","",K9*X9)</f>
        <v/>
      </c>
      <c r="M9" s="30" t="str">
        <f>IF(A9="","",IF($L$6&gt;0,L9/$L$6,0))</f>
        <v/>
      </c>
      <c r="N9" s="72" t="str">
        <f>IF(A9="","",N(G9)-M9)</f>
        <v/>
      </c>
      <c r="O9" s="30" t="str">
        <f>IF(A9="","",IF($AC$6&gt;0,AC9/$AC$6,0))</f>
        <v/>
      </c>
      <c r="P9" s="74" t="str">
        <f>IF(A9="","",IF(AC9&lt;=0,"",COUNTIF($AC$9:$AC$68,"&gt;"&amp;AC9)+COUNTIF($AC$9:AC9,AC9)))</f>
        <v/>
      </c>
      <c r="Q9" s="73" t="str">
        <f>IF(A9="","",IF(R9&gt;0,"BUY","HOLD"))</f>
        <v/>
      </c>
      <c r="R9" s="70" t="str">
        <f>IF(A9="","",IF($X$7&lt;=0,0,IF($AD$6&gt;0,$X$7*AD9/$AD$6,IF($G$6&gt;0,$X$7*N(G9)/$G$6,0))))</f>
        <v/>
      </c>
      <c r="S9" s="103" t="str">
        <f>IF(A9="","",N(AE9)+IF(AJ9=1,N(AH9),0))</f>
        <v/>
      </c>
      <c r="T9" s="103" t="str">
        <f>IF(A9="","",N(F9)+N(S9))</f>
        <v/>
      </c>
      <c r="U9" s="70" t="str">
        <f>IF(A9="","",IF(N(S9)&gt;0,S9*I9*X9*$X$6+p_CorrFixa,0))</f>
        <v/>
      </c>
      <c r="W9" s="85" t="str">
        <f>IF(A9="","",IF(E9="",$X$1,E9))</f>
        <v/>
      </c>
      <c r="X9" s="85" t="str">
        <f>IF(A9="","",IFERROR(INDEX(moeda_fx,MATCH(W9,moeda_cod,0)),0))</f>
        <v/>
      </c>
      <c r="Y9" s="85" t="str">
        <f>IF(A9="","",IF($X$2="",UPPER(TRIM(A9)),IF(RIGHT(UPPER(TRIM(A9)),LEN($X$2))=$X$2,UPPER(TRIM(A9)),UPPER(TRIM(A9))&amp;$X$2)))</f>
        <v/>
      </c>
      <c r="Z9" s="85" t="str">
        <f>IF(OR(A9="",p_ModoCot&lt;&gt;"Automático"),"",IF(AND(p_FonteCripto="CoinGecko",TRIM(D9)&lt;&gt;""),IFERROR(_xlfn.WEBSERVICE("https://api.coingecko.com/api/v3/simple/price?ids="&amp;LOWER(TRIM(D9))&amp;"&amp;vs_currencies=usd"),""),IFERROR(_xlfn.WEBSERVICE("https://query1.finance.yahoo.com/v8/finance/chart/"&amp;Y9&amp;"?range=1d&amp;interval=1d"),"")))</f>
        <v/>
      </c>
      <c r="AA9" s="85" t="str">
        <f>IF(Z9="","",IFERROR(IF(ISNUMBER(SEARCH("regularMarketPrice",Z9)),_xlfn.NUMBERVALUE(MID(Z9,SEARCH("""regularMarketPrice"":",Z9)+21,SEARCH(",",Z9&amp;",",SEARCH("""regularMarketPrice"":",Z9)+21)-SEARCH("""regularMarketPrice"":",Z9)-21),".",","),_xlfn.NUMBERVALUE(MID(SUBSTITUTE(Z9,"}",","),SEARCH("""usd"":",SUBSTITUTE(Z9,"}",","))+6,SEARCH(",",SUBSTITUTE(Z9,"}",",")&amp;",",SEARCH("""usd"":",SUBSTITUTE(Z9,"}",","))+6)-SEARCH("""usd"":",SUBSTITUTE(Z9,"}",","))-6),".",",")),""))</f>
        <v/>
      </c>
      <c r="AB9" s="85" t="str">
        <f>IF(A9="","",ROUND(MAX(0,N(G9)*($L$6+$X$7)-L9),2))</f>
        <v/>
      </c>
      <c r="AC9" s="85" t="str">
        <f>IF(A9="","",IF(AND(N9&gt;0,N9&gt;=p_DifMin),AB9,0))</f>
        <v/>
      </c>
      <c r="AD9" s="85" t="str">
        <f>IF(A9="","",IF(AND(AC9&gt;0,N(P9)&lt;=p_MaxAtivos),AC9,0))</f>
        <v/>
      </c>
      <c r="AE9" s="85" t="str">
        <f>IF(A9="","",IF(OR(R9&lt;=0,R9&lt;p_CompraMin,N(I9)&lt;=0,N(X9)&lt;=0),0,IF($X$3="Sim",TRUNC(ROUND(MAX(0,(R9-p_CorrFixa)/(I9*X9*$X$6)),9),$X$4),TRUNC(ROUND(MAX(0,(R9-p_CorrFixa)/(I9*X9*$X$6)),9)/$X$5)*$X$5)))</f>
        <v/>
      </c>
      <c r="AF9" s="85" t="str">
        <f>IF(A9="","",IF(N(AE9)&gt;0,AE9*I9*X9*$X$6+p_CorrFixa,0))</f>
        <v/>
      </c>
      <c r="AG9" s="85" t="str">
        <f>IF(A9="","",IF(OR($Z$1&lt;=0,N(I9)&lt;=0,N(X9)&lt;=0,N(AC9)&lt;=0),0,IF($X$3="Sim",TRUNC(ROUND(MAX(0,($Z$1-IF(N(AE9)&gt;0,0,p_CorrFixa))/(I9*X9*$X$6)),9),$X$4),TRUNC(ROUND(MAX(0,($Z$1-IF(N(AE9)&gt;0,0,p_CorrFixa))/(I9*X9*$X$6)),9)/$X$5)*$X$5)))</f>
        <v/>
      </c>
      <c r="AH9" s="85" t="str">
        <f>IF(A9="","",IF(AND(N(AE9)=0,N(AG9)*(I9*X9*$X$6)+p_CorrFixa&lt;p_CompraMin),0,AG9))</f>
        <v/>
      </c>
      <c r="AI9" s="85" t="str">
        <f>IF(A9="","",IF(N(AH9)&gt;0,AC9,0))</f>
        <v/>
      </c>
      <c r="AJ9" s="85" t="str">
        <f>IF(A9="","",IF(AND(AI9&gt;0,AI9=$AI$6,COUNTIF($AI$9:AI9,AI9)=1),1,0))</f>
        <v/>
      </c>
    </row>
    <row r="10">
      <c r="A10" s="96" t="n"/>
      <c r="B10" s="96" t="n"/>
      <c r="C10" s="96" t="n"/>
      <c r="D10" s="96" t="n"/>
      <c r="E10" s="97" t="n"/>
      <c r="F10" s="98" t="n"/>
      <c r="G10" s="99" t="n"/>
      <c r="H10" s="100" t="n"/>
      <c r="I10" s="104" t="str">
        <f>IF(A10="","",IF(AND(p_ModoCot="Automático",ISNUMBER(AA10)),AA10,IF(N(H10)&gt;0,H10,0)))</f>
        <v/>
      </c>
      <c r="J10" s="105" t="str">
        <f>IF(A10="","",IF(X10=0,"Sem câmbio",IF(AND(p_ModoCot="Automático",ISNUMBER(AA10)),"Auto",IF(N(H10)&gt;0,"Manual","Sem cotação"))))</f>
        <v/>
      </c>
      <c r="K10" s="106" t="str">
        <f>IF(A10="","",N(F10)*I10)</f>
        <v/>
      </c>
      <c r="L10" s="107" t="str">
        <f>IF(A10="","",K10*X10)</f>
        <v/>
      </c>
      <c r="M10" s="108" t="str">
        <f>IF(A10="","",IF($L$6&gt;0,L10/$L$6,0))</f>
        <v/>
      </c>
      <c r="N10" s="109" t="str">
        <f>IF(A10="","",N(G10)-M10)</f>
        <v/>
      </c>
      <c r="O10" s="108" t="str">
        <f>IF(A10="","",IF($AC$6&gt;0,AC10/$AC$6,0))</f>
        <v/>
      </c>
      <c r="P10" s="110" t="str">
        <f>IF(A10="","",IF(AC10&lt;=0,"",COUNTIF($AC$9:$AC$68,"&gt;"&amp;AC10)+COUNTIF($AC$9:AC10,AC10)))</f>
        <v/>
      </c>
      <c r="Q10" s="105" t="str">
        <f>IF(A10="","",IF(R10&gt;0,"BUY","HOLD"))</f>
        <v/>
      </c>
      <c r="R10" s="107" t="str">
        <f>IF(A10="","",IF($X$7&lt;=0,0,IF($AD$6&gt;0,$X$7*AD10/$AD$6,IF($G$6&gt;0,$X$7*N(G10)/$G$6,0))))</f>
        <v/>
      </c>
      <c r="S10" s="111" t="str">
        <f>IF(A10="","",N(AE10)+IF(AJ10=1,N(AH10),0))</f>
        <v/>
      </c>
      <c r="T10" s="111" t="str">
        <f>IF(A10="","",N(F10)+N(S10))</f>
        <v/>
      </c>
      <c r="U10" s="107" t="str">
        <f>IF(A10="","",IF(N(S10)&gt;0,S10*I10*X10*$X$6+p_CorrFixa,0))</f>
        <v/>
      </c>
      <c r="W10" s="85" t="str">
        <f>IF(A10="","",IF(E10="",$X$1,E10))</f>
        <v/>
      </c>
      <c r="X10" s="85" t="str">
        <f>IF(A10="","",IFERROR(INDEX(moeda_fx,MATCH(W10,moeda_cod,0)),0))</f>
        <v/>
      </c>
      <c r="Y10" s="85" t="str">
        <f>IF(A10="","",IF($X$2="",UPPER(TRIM(A10)),IF(RIGHT(UPPER(TRIM(A10)),LEN($X$2))=$X$2,UPPER(TRIM(A10)),UPPER(TRIM(A10))&amp;$X$2)))</f>
        <v/>
      </c>
      <c r="Z10" s="85" t="str">
        <f>IF(OR(A10="",p_ModoCot&lt;&gt;"Automático"),"",IF(AND(p_FonteCripto="CoinGecko",TRIM(D10)&lt;&gt;""),IFERROR(_xlfn.WEBSERVICE("https://api.coingecko.com/api/v3/simple/price?ids="&amp;LOWER(TRIM(D10))&amp;"&amp;vs_currencies=usd"),""),IFERROR(_xlfn.WEBSERVICE("https://query1.finance.yahoo.com/v8/finance/chart/"&amp;Y10&amp;"?range=1d&amp;interval=1d"),"")))</f>
        <v/>
      </c>
      <c r="AA10" s="85" t="str">
        <f>IF(Z10="","",IFERROR(IF(ISNUMBER(SEARCH("regularMarketPrice",Z10)),_xlfn.NUMBERVALUE(MID(Z10,SEARCH("""regularMarketPrice"":",Z10)+21,SEARCH(",",Z10&amp;",",SEARCH("""regularMarketPrice"":",Z10)+21)-SEARCH("""regularMarketPrice"":",Z10)-21),".",","),_xlfn.NUMBERVALUE(MID(SUBSTITUTE(Z10,"}",","),SEARCH("""usd"":",SUBSTITUTE(Z10,"}",","))+6,SEARCH(",",SUBSTITUTE(Z10,"}",",")&amp;",",SEARCH("""usd"":",SUBSTITUTE(Z10,"}",","))+6)-SEARCH("""usd"":",SUBSTITUTE(Z10,"}",","))-6),".",",")),""))</f>
        <v/>
      </c>
      <c r="AB10" s="85" t="str">
        <f>IF(A10="","",ROUND(MAX(0,N(G10)*($L$6+$X$7)-L10),2))</f>
        <v/>
      </c>
      <c r="AC10" s="85" t="str">
        <f>IF(A10="","",IF(AND(N10&gt;0,N10&gt;=p_DifMin),AB10,0))</f>
        <v/>
      </c>
      <c r="AD10" s="85" t="str">
        <f>IF(A10="","",IF(AND(AC10&gt;0,N(P10)&lt;=p_MaxAtivos),AC10,0))</f>
        <v/>
      </c>
      <c r="AE10" s="85" t="str">
        <f>IF(A10="","",IF(OR(R10&lt;=0,R10&lt;p_CompraMin,N(I10)&lt;=0,N(X10)&lt;=0),0,IF($X$3="Sim",TRUNC(ROUND(MAX(0,(R10-p_CorrFixa)/(I10*X10*$X$6)),9),$X$4),TRUNC(ROUND(MAX(0,(R10-p_CorrFixa)/(I10*X10*$X$6)),9)/$X$5)*$X$5)))</f>
        <v/>
      </c>
      <c r="AF10" s="85" t="str">
        <f>IF(A10="","",IF(N(AE10)&gt;0,AE10*I10*X10*$X$6+p_CorrFixa,0))</f>
        <v/>
      </c>
      <c r="AG10" s="85" t="str">
        <f>IF(A10="","",IF(OR($Z$1&lt;=0,N(I10)&lt;=0,N(X10)&lt;=0,N(AC10)&lt;=0),0,IF($X$3="Sim",TRUNC(ROUND(MAX(0,($Z$1-IF(N(AE10)&gt;0,0,p_CorrFixa))/(I10*X10*$X$6)),9),$X$4),TRUNC(ROUND(MAX(0,($Z$1-IF(N(AE10)&gt;0,0,p_CorrFixa))/(I10*X10*$X$6)),9)/$X$5)*$X$5)))</f>
        <v/>
      </c>
      <c r="AH10" s="85" t="str">
        <f>IF(A10="","",IF(AND(N(AE10)=0,N(AG10)*(I10*X10*$X$6)+p_CorrFixa&lt;p_CompraMin),0,AG10))</f>
        <v/>
      </c>
      <c r="AI10" s="85" t="str">
        <f>IF(A10="","",IF(N(AH10)&gt;0,AC10,0))</f>
        <v/>
      </c>
      <c r="AJ10" s="85" t="str">
        <f>IF(A10="","",IF(AND(AI10&gt;0,AI10=$AI$6,COUNTIF($AI$9:AI10,AI10)=1),1,0))</f>
        <v/>
      </c>
    </row>
    <row r="11">
      <c r="A11" s="96" t="n"/>
      <c r="B11" s="96" t="n"/>
      <c r="C11" s="96" t="n"/>
      <c r="D11" s="96" t="n"/>
      <c r="E11" s="97" t="n"/>
      <c r="F11" s="98" t="n"/>
      <c r="G11" s="99" t="n"/>
      <c r="H11" s="100" t="n"/>
      <c r="I11" s="101" t="str">
        <f>IF(A11="","",IF(AND(p_ModoCot="Automático",ISNUMBER(AA11)),AA11,IF(N(H11)&gt;0,H11,0)))</f>
        <v/>
      </c>
      <c r="J11" s="73" t="str">
        <f>IF(A11="","",IF(X11=0,"Sem câmbio",IF(AND(p_ModoCot="Automático",ISNUMBER(AA11)),"Auto",IF(N(H11)&gt;0,"Manual","Sem cotação"))))</f>
        <v/>
      </c>
      <c r="K11" s="102" t="str">
        <f>IF(A11="","",N(F11)*I11)</f>
        <v/>
      </c>
      <c r="L11" s="70" t="str">
        <f>IF(A11="","",K11*X11)</f>
        <v/>
      </c>
      <c r="M11" s="30" t="str">
        <f>IF(A11="","",IF($L$6&gt;0,L11/$L$6,0))</f>
        <v/>
      </c>
      <c r="N11" s="72" t="str">
        <f>IF(A11="","",N(G11)-M11)</f>
        <v/>
      </c>
      <c r="O11" s="30" t="str">
        <f>IF(A11="","",IF($AC$6&gt;0,AC11/$AC$6,0))</f>
        <v/>
      </c>
      <c r="P11" s="74" t="str">
        <f>IF(A11="","",IF(AC11&lt;=0,"",COUNTIF($AC$9:$AC$68,"&gt;"&amp;AC11)+COUNTIF($AC$9:AC11,AC11)))</f>
        <v/>
      </c>
      <c r="Q11" s="73" t="str">
        <f>IF(A11="","",IF(R11&gt;0,"BUY","HOLD"))</f>
        <v/>
      </c>
      <c r="R11" s="70" t="str">
        <f>IF(A11="","",IF($X$7&lt;=0,0,IF($AD$6&gt;0,$X$7*AD11/$AD$6,IF($G$6&gt;0,$X$7*N(G11)/$G$6,0))))</f>
        <v/>
      </c>
      <c r="S11" s="103" t="str">
        <f>IF(A11="","",N(AE11)+IF(AJ11=1,N(AH11),0))</f>
        <v/>
      </c>
      <c r="T11" s="103" t="str">
        <f>IF(A11="","",N(F11)+N(S11))</f>
        <v/>
      </c>
      <c r="U11" s="70" t="str">
        <f>IF(A11="","",IF(N(S11)&gt;0,S11*I11*X11*$X$6+p_CorrFixa,0))</f>
        <v/>
      </c>
      <c r="W11" s="85" t="str">
        <f>IF(A11="","",IF(E11="",$X$1,E11))</f>
        <v/>
      </c>
      <c r="X11" s="85" t="str">
        <f>IF(A11="","",IFERROR(INDEX(moeda_fx,MATCH(W11,moeda_cod,0)),0))</f>
        <v/>
      </c>
      <c r="Y11" s="85" t="str">
        <f>IF(A11="","",IF($X$2="",UPPER(TRIM(A11)),IF(RIGHT(UPPER(TRIM(A11)),LEN($X$2))=$X$2,UPPER(TRIM(A11)),UPPER(TRIM(A11))&amp;$X$2)))</f>
        <v/>
      </c>
      <c r="Z11" s="85" t="str">
        <f>IF(OR(A11="",p_ModoCot&lt;&gt;"Automático"),"",IF(AND(p_FonteCripto="CoinGecko",TRIM(D11)&lt;&gt;""),IFERROR(_xlfn.WEBSERVICE("https://api.coingecko.com/api/v3/simple/price?ids="&amp;LOWER(TRIM(D11))&amp;"&amp;vs_currencies=usd"),""),IFERROR(_xlfn.WEBSERVICE("https://query1.finance.yahoo.com/v8/finance/chart/"&amp;Y11&amp;"?range=1d&amp;interval=1d"),"")))</f>
        <v/>
      </c>
      <c r="AA11" s="85" t="str">
        <f>IF(Z11="","",IFERROR(IF(ISNUMBER(SEARCH("regularMarketPrice",Z11)),_xlfn.NUMBERVALUE(MID(Z11,SEARCH("""regularMarketPrice"":",Z11)+21,SEARCH(",",Z11&amp;",",SEARCH("""regularMarketPrice"":",Z11)+21)-SEARCH("""regularMarketPrice"":",Z11)-21),".",","),_xlfn.NUMBERVALUE(MID(SUBSTITUTE(Z11,"}",","),SEARCH("""usd"":",SUBSTITUTE(Z11,"}",","))+6,SEARCH(",",SUBSTITUTE(Z11,"}",",")&amp;",",SEARCH("""usd"":",SUBSTITUTE(Z11,"}",","))+6)-SEARCH("""usd"":",SUBSTITUTE(Z11,"}",","))-6),".",",")),""))</f>
        <v/>
      </c>
      <c r="AB11" s="85" t="str">
        <f>IF(A11="","",ROUND(MAX(0,N(G11)*($L$6+$X$7)-L11),2))</f>
        <v/>
      </c>
      <c r="AC11" s="85" t="str">
        <f>IF(A11="","",IF(AND(N11&gt;0,N11&gt;=p_DifMin),AB11,0))</f>
        <v/>
      </c>
      <c r="AD11" s="85" t="str">
        <f>IF(A11="","",IF(AND(AC11&gt;0,N(P11)&lt;=p_MaxAtivos),AC11,0))</f>
        <v/>
      </c>
      <c r="AE11" s="85" t="str">
        <f>IF(A11="","",IF(OR(R11&lt;=0,R11&lt;p_CompraMin,N(I11)&lt;=0,N(X11)&lt;=0),0,IF($X$3="Sim",TRUNC(ROUND(MAX(0,(R11-p_CorrFixa)/(I11*X11*$X$6)),9),$X$4),TRUNC(ROUND(MAX(0,(R11-p_CorrFixa)/(I11*X11*$X$6)),9)/$X$5)*$X$5)))</f>
        <v/>
      </c>
      <c r="AF11" s="85" t="str">
        <f>IF(A11="","",IF(N(AE11)&gt;0,AE11*I11*X11*$X$6+p_CorrFixa,0))</f>
        <v/>
      </c>
      <c r="AG11" s="85" t="str">
        <f>IF(A11="","",IF(OR($Z$1&lt;=0,N(I11)&lt;=0,N(X11)&lt;=0,N(AC11)&lt;=0),0,IF($X$3="Sim",TRUNC(ROUND(MAX(0,($Z$1-IF(N(AE11)&gt;0,0,p_CorrFixa))/(I11*X11*$X$6)),9),$X$4),TRUNC(ROUND(MAX(0,($Z$1-IF(N(AE11)&gt;0,0,p_CorrFixa))/(I11*X11*$X$6)),9)/$X$5)*$X$5)))</f>
        <v/>
      </c>
      <c r="AH11" s="85" t="str">
        <f>IF(A11="","",IF(AND(N(AE11)=0,N(AG11)*(I11*X11*$X$6)+p_CorrFixa&lt;p_CompraMin),0,AG11))</f>
        <v/>
      </c>
      <c r="AI11" s="85" t="str">
        <f>IF(A11="","",IF(N(AH11)&gt;0,AC11,0))</f>
        <v/>
      </c>
      <c r="AJ11" s="85" t="str">
        <f>IF(A11="","",IF(AND(AI11&gt;0,AI11=$AI$6,COUNTIF($AI$9:AI11,AI11)=1),1,0))</f>
        <v/>
      </c>
    </row>
    <row r="12">
      <c r="A12" s="96" t="n"/>
      <c r="B12" s="96" t="n"/>
      <c r="C12" s="96" t="n"/>
      <c r="D12" s="96" t="n"/>
      <c r="E12" s="97" t="n"/>
      <c r="F12" s="98" t="n"/>
      <c r="G12" s="99" t="n"/>
      <c r="H12" s="100" t="n"/>
      <c r="I12" s="104" t="str">
        <f>IF(A12="","",IF(AND(p_ModoCot="Automático",ISNUMBER(AA12)),AA12,IF(N(H12)&gt;0,H12,0)))</f>
        <v/>
      </c>
      <c r="J12" s="105" t="str">
        <f>IF(A12="","",IF(X12=0,"Sem câmbio",IF(AND(p_ModoCot="Automático",ISNUMBER(AA12)),"Auto",IF(N(H12)&gt;0,"Manual","Sem cotação"))))</f>
        <v/>
      </c>
      <c r="K12" s="106" t="str">
        <f>IF(A12="","",N(F12)*I12)</f>
        <v/>
      </c>
      <c r="L12" s="107" t="str">
        <f>IF(A12="","",K12*X12)</f>
        <v/>
      </c>
      <c r="M12" s="108" t="str">
        <f>IF(A12="","",IF($L$6&gt;0,L12/$L$6,0))</f>
        <v/>
      </c>
      <c r="N12" s="109" t="str">
        <f>IF(A12="","",N(G12)-M12)</f>
        <v/>
      </c>
      <c r="O12" s="108" t="str">
        <f>IF(A12="","",IF($AC$6&gt;0,AC12/$AC$6,0))</f>
        <v/>
      </c>
      <c r="P12" s="110" t="str">
        <f>IF(A12="","",IF(AC12&lt;=0,"",COUNTIF($AC$9:$AC$68,"&gt;"&amp;AC12)+COUNTIF($AC$9:AC12,AC12)))</f>
        <v/>
      </c>
      <c r="Q12" s="105" t="str">
        <f>IF(A12="","",IF(R12&gt;0,"BUY","HOLD"))</f>
        <v/>
      </c>
      <c r="R12" s="107" t="str">
        <f>IF(A12="","",IF($X$7&lt;=0,0,IF($AD$6&gt;0,$X$7*AD12/$AD$6,IF($G$6&gt;0,$X$7*N(G12)/$G$6,0))))</f>
        <v/>
      </c>
      <c r="S12" s="111" t="str">
        <f>IF(A12="","",N(AE12)+IF(AJ12=1,N(AH12),0))</f>
        <v/>
      </c>
      <c r="T12" s="111" t="str">
        <f>IF(A12="","",N(F12)+N(S12))</f>
        <v/>
      </c>
      <c r="U12" s="107" t="str">
        <f>IF(A12="","",IF(N(S12)&gt;0,S12*I12*X12*$X$6+p_CorrFixa,0))</f>
        <v/>
      </c>
      <c r="W12" s="85" t="str">
        <f>IF(A12="","",IF(E12="",$X$1,E12))</f>
        <v/>
      </c>
      <c r="X12" s="85" t="str">
        <f>IF(A12="","",IFERROR(INDEX(moeda_fx,MATCH(W12,moeda_cod,0)),0))</f>
        <v/>
      </c>
      <c r="Y12" s="85" t="str">
        <f>IF(A12="","",IF($X$2="",UPPER(TRIM(A12)),IF(RIGHT(UPPER(TRIM(A12)),LEN($X$2))=$X$2,UPPER(TRIM(A12)),UPPER(TRIM(A12))&amp;$X$2)))</f>
        <v/>
      </c>
      <c r="Z12" s="85" t="str">
        <f>IF(OR(A12="",p_ModoCot&lt;&gt;"Automático"),"",IF(AND(p_FonteCripto="CoinGecko",TRIM(D12)&lt;&gt;""),IFERROR(_xlfn.WEBSERVICE("https://api.coingecko.com/api/v3/simple/price?ids="&amp;LOWER(TRIM(D12))&amp;"&amp;vs_currencies=usd"),""),IFERROR(_xlfn.WEBSERVICE("https://query1.finance.yahoo.com/v8/finance/chart/"&amp;Y12&amp;"?range=1d&amp;interval=1d"),"")))</f>
        <v/>
      </c>
      <c r="AA12" s="85" t="str">
        <f>IF(Z12="","",IFERROR(IF(ISNUMBER(SEARCH("regularMarketPrice",Z12)),_xlfn.NUMBERVALUE(MID(Z12,SEARCH("""regularMarketPrice"":",Z12)+21,SEARCH(",",Z12&amp;",",SEARCH("""regularMarketPrice"":",Z12)+21)-SEARCH("""regularMarketPrice"":",Z12)-21),".",","),_xlfn.NUMBERVALUE(MID(SUBSTITUTE(Z12,"}",","),SEARCH("""usd"":",SUBSTITUTE(Z12,"}",","))+6,SEARCH(",",SUBSTITUTE(Z12,"}",",")&amp;",",SEARCH("""usd"":",SUBSTITUTE(Z12,"}",","))+6)-SEARCH("""usd"":",SUBSTITUTE(Z12,"}",","))-6),".",",")),""))</f>
        <v/>
      </c>
      <c r="AB12" s="85" t="str">
        <f>IF(A12="","",ROUND(MAX(0,N(G12)*($L$6+$X$7)-L12),2))</f>
        <v/>
      </c>
      <c r="AC12" s="85" t="str">
        <f>IF(A12="","",IF(AND(N12&gt;0,N12&gt;=p_DifMin),AB12,0))</f>
        <v/>
      </c>
      <c r="AD12" s="85" t="str">
        <f>IF(A12="","",IF(AND(AC12&gt;0,N(P12)&lt;=p_MaxAtivos),AC12,0))</f>
        <v/>
      </c>
      <c r="AE12" s="85" t="str">
        <f>IF(A12="","",IF(OR(R12&lt;=0,R12&lt;p_CompraMin,N(I12)&lt;=0,N(X12)&lt;=0),0,IF($X$3="Sim",TRUNC(ROUND(MAX(0,(R12-p_CorrFixa)/(I12*X12*$X$6)),9),$X$4),TRUNC(ROUND(MAX(0,(R12-p_CorrFixa)/(I12*X12*$X$6)),9)/$X$5)*$X$5)))</f>
        <v/>
      </c>
      <c r="AF12" s="85" t="str">
        <f>IF(A12="","",IF(N(AE12)&gt;0,AE12*I12*X12*$X$6+p_CorrFixa,0))</f>
        <v/>
      </c>
      <c r="AG12" s="85" t="str">
        <f>IF(A12="","",IF(OR($Z$1&lt;=0,N(I12)&lt;=0,N(X12)&lt;=0,N(AC12)&lt;=0),0,IF($X$3="Sim",TRUNC(ROUND(MAX(0,($Z$1-IF(N(AE12)&gt;0,0,p_CorrFixa))/(I12*X12*$X$6)),9),$X$4),TRUNC(ROUND(MAX(0,($Z$1-IF(N(AE12)&gt;0,0,p_CorrFixa))/(I12*X12*$X$6)),9)/$X$5)*$X$5)))</f>
        <v/>
      </c>
      <c r="AH12" s="85" t="str">
        <f>IF(A12="","",IF(AND(N(AE12)=0,N(AG12)*(I12*X12*$X$6)+p_CorrFixa&lt;p_CompraMin),0,AG12))</f>
        <v/>
      </c>
      <c r="AI12" s="85" t="str">
        <f>IF(A12="","",IF(N(AH12)&gt;0,AC12,0))</f>
        <v/>
      </c>
      <c r="AJ12" s="85" t="str">
        <f>IF(A12="","",IF(AND(AI12&gt;0,AI12=$AI$6,COUNTIF($AI$9:AI12,AI12)=1),1,0))</f>
        <v/>
      </c>
    </row>
    <row r="13">
      <c r="A13" s="96" t="n"/>
      <c r="B13" s="96" t="n"/>
      <c r="C13" s="96" t="n"/>
      <c r="D13" s="96" t="n"/>
      <c r="E13" s="97" t="n"/>
      <c r="F13" s="98" t="n"/>
      <c r="G13" s="99" t="n"/>
      <c r="H13" s="100" t="n"/>
      <c r="I13" s="101" t="str">
        <f>IF(A13="","",IF(AND(p_ModoCot="Automático",ISNUMBER(AA13)),AA13,IF(N(H13)&gt;0,H13,0)))</f>
        <v/>
      </c>
      <c r="J13" s="73" t="str">
        <f>IF(A13="","",IF(X13=0,"Sem câmbio",IF(AND(p_ModoCot="Automático",ISNUMBER(AA13)),"Auto",IF(N(H13)&gt;0,"Manual","Sem cotação"))))</f>
        <v/>
      </c>
      <c r="K13" s="102" t="str">
        <f>IF(A13="","",N(F13)*I13)</f>
        <v/>
      </c>
      <c r="L13" s="70" t="str">
        <f>IF(A13="","",K13*X13)</f>
        <v/>
      </c>
      <c r="M13" s="30" t="str">
        <f>IF(A13="","",IF($L$6&gt;0,L13/$L$6,0))</f>
        <v/>
      </c>
      <c r="N13" s="72" t="str">
        <f>IF(A13="","",N(G13)-M13)</f>
        <v/>
      </c>
      <c r="O13" s="30" t="str">
        <f>IF(A13="","",IF($AC$6&gt;0,AC13/$AC$6,0))</f>
        <v/>
      </c>
      <c r="P13" s="74" t="str">
        <f>IF(A13="","",IF(AC13&lt;=0,"",COUNTIF($AC$9:$AC$68,"&gt;"&amp;AC13)+COUNTIF($AC$9:AC13,AC13)))</f>
        <v/>
      </c>
      <c r="Q13" s="73" t="str">
        <f>IF(A13="","",IF(R13&gt;0,"BUY","HOLD"))</f>
        <v/>
      </c>
      <c r="R13" s="70" t="str">
        <f>IF(A13="","",IF($X$7&lt;=0,0,IF($AD$6&gt;0,$X$7*AD13/$AD$6,IF($G$6&gt;0,$X$7*N(G13)/$G$6,0))))</f>
        <v/>
      </c>
      <c r="S13" s="103" t="str">
        <f>IF(A13="","",N(AE13)+IF(AJ13=1,N(AH13),0))</f>
        <v/>
      </c>
      <c r="T13" s="103" t="str">
        <f>IF(A13="","",N(F13)+N(S13))</f>
        <v/>
      </c>
      <c r="U13" s="70" t="str">
        <f>IF(A13="","",IF(N(S13)&gt;0,S13*I13*X13*$X$6+p_CorrFixa,0))</f>
        <v/>
      </c>
      <c r="W13" s="85" t="str">
        <f>IF(A13="","",IF(E13="",$X$1,E13))</f>
        <v/>
      </c>
      <c r="X13" s="85" t="str">
        <f>IF(A13="","",IFERROR(INDEX(moeda_fx,MATCH(W13,moeda_cod,0)),0))</f>
        <v/>
      </c>
      <c r="Y13" s="85" t="str">
        <f>IF(A13="","",IF($X$2="",UPPER(TRIM(A13)),IF(RIGHT(UPPER(TRIM(A13)),LEN($X$2))=$X$2,UPPER(TRIM(A13)),UPPER(TRIM(A13))&amp;$X$2)))</f>
        <v/>
      </c>
      <c r="Z13" s="85" t="str">
        <f>IF(OR(A13="",p_ModoCot&lt;&gt;"Automático"),"",IF(AND(p_FonteCripto="CoinGecko",TRIM(D13)&lt;&gt;""),IFERROR(_xlfn.WEBSERVICE("https://api.coingecko.com/api/v3/simple/price?ids="&amp;LOWER(TRIM(D13))&amp;"&amp;vs_currencies=usd"),""),IFERROR(_xlfn.WEBSERVICE("https://query1.finance.yahoo.com/v8/finance/chart/"&amp;Y13&amp;"?range=1d&amp;interval=1d"),"")))</f>
        <v/>
      </c>
      <c r="AA13" s="85" t="str">
        <f>IF(Z13="","",IFERROR(IF(ISNUMBER(SEARCH("regularMarketPrice",Z13)),_xlfn.NUMBERVALUE(MID(Z13,SEARCH("""regularMarketPrice"":",Z13)+21,SEARCH(",",Z13&amp;",",SEARCH("""regularMarketPrice"":",Z13)+21)-SEARCH("""regularMarketPrice"":",Z13)-21),".",","),_xlfn.NUMBERVALUE(MID(SUBSTITUTE(Z13,"}",","),SEARCH("""usd"":",SUBSTITUTE(Z13,"}",","))+6,SEARCH(",",SUBSTITUTE(Z13,"}",",")&amp;",",SEARCH("""usd"":",SUBSTITUTE(Z13,"}",","))+6)-SEARCH("""usd"":",SUBSTITUTE(Z13,"}",","))-6),".",",")),""))</f>
        <v/>
      </c>
      <c r="AB13" s="85" t="str">
        <f>IF(A13="","",ROUND(MAX(0,N(G13)*($L$6+$X$7)-L13),2))</f>
        <v/>
      </c>
      <c r="AC13" s="85" t="str">
        <f>IF(A13="","",IF(AND(N13&gt;0,N13&gt;=p_DifMin),AB13,0))</f>
        <v/>
      </c>
      <c r="AD13" s="85" t="str">
        <f>IF(A13="","",IF(AND(AC13&gt;0,N(P13)&lt;=p_MaxAtivos),AC13,0))</f>
        <v/>
      </c>
      <c r="AE13" s="85" t="str">
        <f>IF(A13="","",IF(OR(R13&lt;=0,R13&lt;p_CompraMin,N(I13)&lt;=0,N(X13)&lt;=0),0,IF($X$3="Sim",TRUNC(ROUND(MAX(0,(R13-p_CorrFixa)/(I13*X13*$X$6)),9),$X$4),TRUNC(ROUND(MAX(0,(R13-p_CorrFixa)/(I13*X13*$X$6)),9)/$X$5)*$X$5)))</f>
        <v/>
      </c>
      <c r="AF13" s="85" t="str">
        <f>IF(A13="","",IF(N(AE13)&gt;0,AE13*I13*X13*$X$6+p_CorrFixa,0))</f>
        <v/>
      </c>
      <c r="AG13" s="85" t="str">
        <f>IF(A13="","",IF(OR($Z$1&lt;=0,N(I13)&lt;=0,N(X13)&lt;=0,N(AC13)&lt;=0),0,IF($X$3="Sim",TRUNC(ROUND(MAX(0,($Z$1-IF(N(AE13)&gt;0,0,p_CorrFixa))/(I13*X13*$X$6)),9),$X$4),TRUNC(ROUND(MAX(0,($Z$1-IF(N(AE13)&gt;0,0,p_CorrFixa))/(I13*X13*$X$6)),9)/$X$5)*$X$5)))</f>
        <v/>
      </c>
      <c r="AH13" s="85" t="str">
        <f>IF(A13="","",IF(AND(N(AE13)=0,N(AG13)*(I13*X13*$X$6)+p_CorrFixa&lt;p_CompraMin),0,AG13))</f>
        <v/>
      </c>
      <c r="AI13" s="85" t="str">
        <f>IF(A13="","",IF(N(AH13)&gt;0,AC13,0))</f>
        <v/>
      </c>
      <c r="AJ13" s="85" t="str">
        <f>IF(A13="","",IF(AND(AI13&gt;0,AI13=$AI$6,COUNTIF($AI$9:AI13,AI13)=1),1,0))</f>
        <v/>
      </c>
    </row>
    <row r="14">
      <c r="A14" s="96" t="n"/>
      <c r="B14" s="96" t="n"/>
      <c r="C14" s="96" t="n"/>
      <c r="D14" s="96" t="n"/>
      <c r="E14" s="97" t="n"/>
      <c r="F14" s="98" t="n"/>
      <c r="G14" s="99" t="n"/>
      <c r="H14" s="100" t="n"/>
      <c r="I14" s="104" t="str">
        <f>IF(A14="","",IF(AND(p_ModoCot="Automático",ISNUMBER(AA14)),AA14,IF(N(H14)&gt;0,H14,0)))</f>
        <v/>
      </c>
      <c r="J14" s="105" t="str">
        <f>IF(A14="","",IF(X14=0,"Sem câmbio",IF(AND(p_ModoCot="Automático",ISNUMBER(AA14)),"Auto",IF(N(H14)&gt;0,"Manual","Sem cotação"))))</f>
        <v/>
      </c>
      <c r="K14" s="106" t="str">
        <f>IF(A14="","",N(F14)*I14)</f>
        <v/>
      </c>
      <c r="L14" s="107" t="str">
        <f>IF(A14="","",K14*X14)</f>
        <v/>
      </c>
      <c r="M14" s="108" t="str">
        <f>IF(A14="","",IF($L$6&gt;0,L14/$L$6,0))</f>
        <v/>
      </c>
      <c r="N14" s="109" t="str">
        <f>IF(A14="","",N(G14)-M14)</f>
        <v/>
      </c>
      <c r="O14" s="108" t="str">
        <f>IF(A14="","",IF($AC$6&gt;0,AC14/$AC$6,0))</f>
        <v/>
      </c>
      <c r="P14" s="110" t="str">
        <f>IF(A14="","",IF(AC14&lt;=0,"",COUNTIF($AC$9:$AC$68,"&gt;"&amp;AC14)+COUNTIF($AC$9:AC14,AC14)))</f>
        <v/>
      </c>
      <c r="Q14" s="105" t="str">
        <f>IF(A14="","",IF(R14&gt;0,"BUY","HOLD"))</f>
        <v/>
      </c>
      <c r="R14" s="107" t="str">
        <f>IF(A14="","",IF($X$7&lt;=0,0,IF($AD$6&gt;0,$X$7*AD14/$AD$6,IF($G$6&gt;0,$X$7*N(G14)/$G$6,0))))</f>
        <v/>
      </c>
      <c r="S14" s="111" t="str">
        <f>IF(A14="","",N(AE14)+IF(AJ14=1,N(AH14),0))</f>
        <v/>
      </c>
      <c r="T14" s="111" t="str">
        <f>IF(A14="","",N(F14)+N(S14))</f>
        <v/>
      </c>
      <c r="U14" s="107" t="str">
        <f>IF(A14="","",IF(N(S14)&gt;0,S14*I14*X14*$X$6+p_CorrFixa,0))</f>
        <v/>
      </c>
      <c r="W14" s="85" t="str">
        <f>IF(A14="","",IF(E14="",$X$1,E14))</f>
        <v/>
      </c>
      <c r="X14" s="85" t="str">
        <f>IF(A14="","",IFERROR(INDEX(moeda_fx,MATCH(W14,moeda_cod,0)),0))</f>
        <v/>
      </c>
      <c r="Y14" s="85" t="str">
        <f>IF(A14="","",IF($X$2="",UPPER(TRIM(A14)),IF(RIGHT(UPPER(TRIM(A14)),LEN($X$2))=$X$2,UPPER(TRIM(A14)),UPPER(TRIM(A14))&amp;$X$2)))</f>
        <v/>
      </c>
      <c r="Z14" s="85" t="str">
        <f>IF(OR(A14="",p_ModoCot&lt;&gt;"Automático"),"",IF(AND(p_FonteCripto="CoinGecko",TRIM(D14)&lt;&gt;""),IFERROR(_xlfn.WEBSERVICE("https://api.coingecko.com/api/v3/simple/price?ids="&amp;LOWER(TRIM(D14))&amp;"&amp;vs_currencies=usd"),""),IFERROR(_xlfn.WEBSERVICE("https://query1.finance.yahoo.com/v8/finance/chart/"&amp;Y14&amp;"?range=1d&amp;interval=1d"),"")))</f>
        <v/>
      </c>
      <c r="AA14" s="85" t="str">
        <f>IF(Z14="","",IFERROR(IF(ISNUMBER(SEARCH("regularMarketPrice",Z14)),_xlfn.NUMBERVALUE(MID(Z14,SEARCH("""regularMarketPrice"":",Z14)+21,SEARCH(",",Z14&amp;",",SEARCH("""regularMarketPrice"":",Z14)+21)-SEARCH("""regularMarketPrice"":",Z14)-21),".",","),_xlfn.NUMBERVALUE(MID(SUBSTITUTE(Z14,"}",","),SEARCH("""usd"":",SUBSTITUTE(Z14,"}",","))+6,SEARCH(",",SUBSTITUTE(Z14,"}",",")&amp;",",SEARCH("""usd"":",SUBSTITUTE(Z14,"}",","))+6)-SEARCH("""usd"":",SUBSTITUTE(Z14,"}",","))-6),".",",")),""))</f>
        <v/>
      </c>
      <c r="AB14" s="85" t="str">
        <f>IF(A14="","",ROUND(MAX(0,N(G14)*($L$6+$X$7)-L14),2))</f>
        <v/>
      </c>
      <c r="AC14" s="85" t="str">
        <f>IF(A14="","",IF(AND(N14&gt;0,N14&gt;=p_DifMin),AB14,0))</f>
        <v/>
      </c>
      <c r="AD14" s="85" t="str">
        <f>IF(A14="","",IF(AND(AC14&gt;0,N(P14)&lt;=p_MaxAtivos),AC14,0))</f>
        <v/>
      </c>
      <c r="AE14" s="85" t="str">
        <f>IF(A14="","",IF(OR(R14&lt;=0,R14&lt;p_CompraMin,N(I14)&lt;=0,N(X14)&lt;=0),0,IF($X$3="Sim",TRUNC(ROUND(MAX(0,(R14-p_CorrFixa)/(I14*X14*$X$6)),9),$X$4),TRUNC(ROUND(MAX(0,(R14-p_CorrFixa)/(I14*X14*$X$6)),9)/$X$5)*$X$5)))</f>
        <v/>
      </c>
      <c r="AF14" s="85" t="str">
        <f>IF(A14="","",IF(N(AE14)&gt;0,AE14*I14*X14*$X$6+p_CorrFixa,0))</f>
        <v/>
      </c>
      <c r="AG14" s="85" t="str">
        <f>IF(A14="","",IF(OR($Z$1&lt;=0,N(I14)&lt;=0,N(X14)&lt;=0,N(AC14)&lt;=0),0,IF($X$3="Sim",TRUNC(ROUND(MAX(0,($Z$1-IF(N(AE14)&gt;0,0,p_CorrFixa))/(I14*X14*$X$6)),9),$X$4),TRUNC(ROUND(MAX(0,($Z$1-IF(N(AE14)&gt;0,0,p_CorrFixa))/(I14*X14*$X$6)),9)/$X$5)*$X$5)))</f>
        <v/>
      </c>
      <c r="AH14" s="85" t="str">
        <f>IF(A14="","",IF(AND(N(AE14)=0,N(AG14)*(I14*X14*$X$6)+p_CorrFixa&lt;p_CompraMin),0,AG14))</f>
        <v/>
      </c>
      <c r="AI14" s="85" t="str">
        <f>IF(A14="","",IF(N(AH14)&gt;0,AC14,0))</f>
        <v/>
      </c>
      <c r="AJ14" s="85" t="str">
        <f>IF(A14="","",IF(AND(AI14&gt;0,AI14=$AI$6,COUNTIF($AI$9:AI14,AI14)=1),1,0))</f>
        <v/>
      </c>
    </row>
    <row r="15">
      <c r="A15" s="96" t="n"/>
      <c r="B15" s="96" t="n"/>
      <c r="C15" s="96" t="n"/>
      <c r="D15" s="96" t="n"/>
      <c r="E15" s="97" t="n"/>
      <c r="F15" s="98" t="n"/>
      <c r="G15" s="99" t="n"/>
      <c r="H15" s="100" t="n"/>
      <c r="I15" s="101" t="str">
        <f>IF(A15="","",IF(AND(p_ModoCot="Automático",ISNUMBER(AA15)),AA15,IF(N(H15)&gt;0,H15,0)))</f>
        <v/>
      </c>
      <c r="J15" s="73" t="str">
        <f>IF(A15="","",IF(X15=0,"Sem câmbio",IF(AND(p_ModoCot="Automático",ISNUMBER(AA15)),"Auto",IF(N(H15)&gt;0,"Manual","Sem cotação"))))</f>
        <v/>
      </c>
      <c r="K15" s="102" t="str">
        <f>IF(A15="","",N(F15)*I15)</f>
        <v/>
      </c>
      <c r="L15" s="70" t="str">
        <f>IF(A15="","",K15*X15)</f>
        <v/>
      </c>
      <c r="M15" s="30" t="str">
        <f>IF(A15="","",IF($L$6&gt;0,L15/$L$6,0))</f>
        <v/>
      </c>
      <c r="N15" s="72" t="str">
        <f>IF(A15="","",N(G15)-M15)</f>
        <v/>
      </c>
      <c r="O15" s="30" t="str">
        <f>IF(A15="","",IF($AC$6&gt;0,AC15/$AC$6,0))</f>
        <v/>
      </c>
      <c r="P15" s="74" t="str">
        <f>IF(A15="","",IF(AC15&lt;=0,"",COUNTIF($AC$9:$AC$68,"&gt;"&amp;AC15)+COUNTIF($AC$9:AC15,AC15)))</f>
        <v/>
      </c>
      <c r="Q15" s="73" t="str">
        <f>IF(A15="","",IF(R15&gt;0,"BUY","HOLD"))</f>
        <v/>
      </c>
      <c r="R15" s="70" t="str">
        <f>IF(A15="","",IF($X$7&lt;=0,0,IF($AD$6&gt;0,$X$7*AD15/$AD$6,IF($G$6&gt;0,$X$7*N(G15)/$G$6,0))))</f>
        <v/>
      </c>
      <c r="S15" s="103" t="str">
        <f>IF(A15="","",N(AE15)+IF(AJ15=1,N(AH15),0))</f>
        <v/>
      </c>
      <c r="T15" s="103" t="str">
        <f>IF(A15="","",N(F15)+N(S15))</f>
        <v/>
      </c>
      <c r="U15" s="70" t="str">
        <f>IF(A15="","",IF(N(S15)&gt;0,S15*I15*X15*$X$6+p_CorrFixa,0))</f>
        <v/>
      </c>
      <c r="W15" s="85" t="str">
        <f>IF(A15="","",IF(E15="",$X$1,E15))</f>
        <v/>
      </c>
      <c r="X15" s="85" t="str">
        <f>IF(A15="","",IFERROR(INDEX(moeda_fx,MATCH(W15,moeda_cod,0)),0))</f>
        <v/>
      </c>
      <c r="Y15" s="85" t="str">
        <f>IF(A15="","",IF($X$2="",UPPER(TRIM(A15)),IF(RIGHT(UPPER(TRIM(A15)),LEN($X$2))=$X$2,UPPER(TRIM(A15)),UPPER(TRIM(A15))&amp;$X$2)))</f>
        <v/>
      </c>
      <c r="Z15" s="85" t="str">
        <f>IF(OR(A15="",p_ModoCot&lt;&gt;"Automático"),"",IF(AND(p_FonteCripto="CoinGecko",TRIM(D15)&lt;&gt;""),IFERROR(_xlfn.WEBSERVICE("https://api.coingecko.com/api/v3/simple/price?ids="&amp;LOWER(TRIM(D15))&amp;"&amp;vs_currencies=usd"),""),IFERROR(_xlfn.WEBSERVICE("https://query1.finance.yahoo.com/v8/finance/chart/"&amp;Y15&amp;"?range=1d&amp;interval=1d"),"")))</f>
        <v/>
      </c>
      <c r="AA15" s="85" t="str">
        <f>IF(Z15="","",IFERROR(IF(ISNUMBER(SEARCH("regularMarketPrice",Z15)),_xlfn.NUMBERVALUE(MID(Z15,SEARCH("""regularMarketPrice"":",Z15)+21,SEARCH(",",Z15&amp;",",SEARCH("""regularMarketPrice"":",Z15)+21)-SEARCH("""regularMarketPrice"":",Z15)-21),".",","),_xlfn.NUMBERVALUE(MID(SUBSTITUTE(Z15,"}",","),SEARCH("""usd"":",SUBSTITUTE(Z15,"}",","))+6,SEARCH(",",SUBSTITUTE(Z15,"}",",")&amp;",",SEARCH("""usd"":",SUBSTITUTE(Z15,"}",","))+6)-SEARCH("""usd"":",SUBSTITUTE(Z15,"}",","))-6),".",",")),""))</f>
        <v/>
      </c>
      <c r="AB15" s="85" t="str">
        <f>IF(A15="","",ROUND(MAX(0,N(G15)*($L$6+$X$7)-L15),2))</f>
        <v/>
      </c>
      <c r="AC15" s="85" t="str">
        <f>IF(A15="","",IF(AND(N15&gt;0,N15&gt;=p_DifMin),AB15,0))</f>
        <v/>
      </c>
      <c r="AD15" s="85" t="str">
        <f>IF(A15="","",IF(AND(AC15&gt;0,N(P15)&lt;=p_MaxAtivos),AC15,0))</f>
        <v/>
      </c>
      <c r="AE15" s="85" t="str">
        <f>IF(A15="","",IF(OR(R15&lt;=0,R15&lt;p_CompraMin,N(I15)&lt;=0,N(X15)&lt;=0),0,IF($X$3="Sim",TRUNC(ROUND(MAX(0,(R15-p_CorrFixa)/(I15*X15*$X$6)),9),$X$4),TRUNC(ROUND(MAX(0,(R15-p_CorrFixa)/(I15*X15*$X$6)),9)/$X$5)*$X$5)))</f>
        <v/>
      </c>
      <c r="AF15" s="85" t="str">
        <f>IF(A15="","",IF(N(AE15)&gt;0,AE15*I15*X15*$X$6+p_CorrFixa,0))</f>
        <v/>
      </c>
      <c r="AG15" s="85" t="str">
        <f>IF(A15="","",IF(OR($Z$1&lt;=0,N(I15)&lt;=0,N(X15)&lt;=0,N(AC15)&lt;=0),0,IF($X$3="Sim",TRUNC(ROUND(MAX(0,($Z$1-IF(N(AE15)&gt;0,0,p_CorrFixa))/(I15*X15*$X$6)),9),$X$4),TRUNC(ROUND(MAX(0,($Z$1-IF(N(AE15)&gt;0,0,p_CorrFixa))/(I15*X15*$X$6)),9)/$X$5)*$X$5)))</f>
        <v/>
      </c>
      <c r="AH15" s="85" t="str">
        <f>IF(A15="","",IF(AND(N(AE15)=0,N(AG15)*(I15*X15*$X$6)+p_CorrFixa&lt;p_CompraMin),0,AG15))</f>
        <v/>
      </c>
      <c r="AI15" s="85" t="str">
        <f>IF(A15="","",IF(N(AH15)&gt;0,AC15,0))</f>
        <v/>
      </c>
      <c r="AJ15" s="85" t="str">
        <f>IF(A15="","",IF(AND(AI15&gt;0,AI15=$AI$6,COUNTIF($AI$9:AI15,AI15)=1),1,0))</f>
        <v/>
      </c>
    </row>
    <row r="16">
      <c r="A16" s="96" t="n"/>
      <c r="B16" s="96" t="n"/>
      <c r="C16" s="96" t="n"/>
      <c r="D16" s="96" t="n"/>
      <c r="E16" s="97" t="n"/>
      <c r="F16" s="98" t="n"/>
      <c r="G16" s="99" t="n"/>
      <c r="H16" s="100" t="n"/>
      <c r="I16" s="104" t="str">
        <f>IF(A16="","",IF(AND(p_ModoCot="Automático",ISNUMBER(AA16)),AA16,IF(N(H16)&gt;0,H16,0)))</f>
        <v/>
      </c>
      <c r="J16" s="105" t="str">
        <f>IF(A16="","",IF(X16=0,"Sem câmbio",IF(AND(p_ModoCot="Automático",ISNUMBER(AA16)),"Auto",IF(N(H16)&gt;0,"Manual","Sem cotação"))))</f>
        <v/>
      </c>
      <c r="K16" s="106" t="str">
        <f>IF(A16="","",N(F16)*I16)</f>
        <v/>
      </c>
      <c r="L16" s="107" t="str">
        <f>IF(A16="","",K16*X16)</f>
        <v/>
      </c>
      <c r="M16" s="108" t="str">
        <f>IF(A16="","",IF($L$6&gt;0,L16/$L$6,0))</f>
        <v/>
      </c>
      <c r="N16" s="109" t="str">
        <f>IF(A16="","",N(G16)-M16)</f>
        <v/>
      </c>
      <c r="O16" s="108" t="str">
        <f>IF(A16="","",IF($AC$6&gt;0,AC16/$AC$6,0))</f>
        <v/>
      </c>
      <c r="P16" s="110" t="str">
        <f>IF(A16="","",IF(AC16&lt;=0,"",COUNTIF($AC$9:$AC$68,"&gt;"&amp;AC16)+COUNTIF($AC$9:AC16,AC16)))</f>
        <v/>
      </c>
      <c r="Q16" s="105" t="str">
        <f>IF(A16="","",IF(R16&gt;0,"BUY","HOLD"))</f>
        <v/>
      </c>
      <c r="R16" s="107" t="str">
        <f>IF(A16="","",IF($X$7&lt;=0,0,IF($AD$6&gt;0,$X$7*AD16/$AD$6,IF($G$6&gt;0,$X$7*N(G16)/$G$6,0))))</f>
        <v/>
      </c>
      <c r="S16" s="111" t="str">
        <f>IF(A16="","",N(AE16)+IF(AJ16=1,N(AH16),0))</f>
        <v/>
      </c>
      <c r="T16" s="111" t="str">
        <f>IF(A16="","",N(F16)+N(S16))</f>
        <v/>
      </c>
      <c r="U16" s="107" t="str">
        <f>IF(A16="","",IF(N(S16)&gt;0,S16*I16*X16*$X$6+p_CorrFixa,0))</f>
        <v/>
      </c>
      <c r="W16" s="85" t="str">
        <f>IF(A16="","",IF(E16="",$X$1,E16))</f>
        <v/>
      </c>
      <c r="X16" s="85" t="str">
        <f>IF(A16="","",IFERROR(INDEX(moeda_fx,MATCH(W16,moeda_cod,0)),0))</f>
        <v/>
      </c>
      <c r="Y16" s="85" t="str">
        <f>IF(A16="","",IF($X$2="",UPPER(TRIM(A16)),IF(RIGHT(UPPER(TRIM(A16)),LEN($X$2))=$X$2,UPPER(TRIM(A16)),UPPER(TRIM(A16))&amp;$X$2)))</f>
        <v/>
      </c>
      <c r="Z16" s="85" t="str">
        <f>IF(OR(A16="",p_ModoCot&lt;&gt;"Automático"),"",IF(AND(p_FonteCripto="CoinGecko",TRIM(D16)&lt;&gt;""),IFERROR(_xlfn.WEBSERVICE("https://api.coingecko.com/api/v3/simple/price?ids="&amp;LOWER(TRIM(D16))&amp;"&amp;vs_currencies=usd"),""),IFERROR(_xlfn.WEBSERVICE("https://query1.finance.yahoo.com/v8/finance/chart/"&amp;Y16&amp;"?range=1d&amp;interval=1d"),"")))</f>
        <v/>
      </c>
      <c r="AA16" s="85" t="str">
        <f>IF(Z16="","",IFERROR(IF(ISNUMBER(SEARCH("regularMarketPrice",Z16)),_xlfn.NUMBERVALUE(MID(Z16,SEARCH("""regularMarketPrice"":",Z16)+21,SEARCH(",",Z16&amp;",",SEARCH("""regularMarketPrice"":",Z16)+21)-SEARCH("""regularMarketPrice"":",Z16)-21),".",","),_xlfn.NUMBERVALUE(MID(SUBSTITUTE(Z16,"}",","),SEARCH("""usd"":",SUBSTITUTE(Z16,"}",","))+6,SEARCH(",",SUBSTITUTE(Z16,"}",",")&amp;",",SEARCH("""usd"":",SUBSTITUTE(Z16,"}",","))+6)-SEARCH("""usd"":",SUBSTITUTE(Z16,"}",","))-6),".",",")),""))</f>
        <v/>
      </c>
      <c r="AB16" s="85" t="str">
        <f>IF(A16="","",ROUND(MAX(0,N(G16)*($L$6+$X$7)-L16),2))</f>
        <v/>
      </c>
      <c r="AC16" s="85" t="str">
        <f>IF(A16="","",IF(AND(N16&gt;0,N16&gt;=p_DifMin),AB16,0))</f>
        <v/>
      </c>
      <c r="AD16" s="85" t="str">
        <f>IF(A16="","",IF(AND(AC16&gt;0,N(P16)&lt;=p_MaxAtivos),AC16,0))</f>
        <v/>
      </c>
      <c r="AE16" s="85" t="str">
        <f>IF(A16="","",IF(OR(R16&lt;=0,R16&lt;p_CompraMin,N(I16)&lt;=0,N(X16)&lt;=0),0,IF($X$3="Sim",TRUNC(ROUND(MAX(0,(R16-p_CorrFixa)/(I16*X16*$X$6)),9),$X$4),TRUNC(ROUND(MAX(0,(R16-p_CorrFixa)/(I16*X16*$X$6)),9)/$X$5)*$X$5)))</f>
        <v/>
      </c>
      <c r="AF16" s="85" t="str">
        <f>IF(A16="","",IF(N(AE16)&gt;0,AE16*I16*X16*$X$6+p_CorrFixa,0))</f>
        <v/>
      </c>
      <c r="AG16" s="85" t="str">
        <f>IF(A16="","",IF(OR($Z$1&lt;=0,N(I16)&lt;=0,N(X16)&lt;=0,N(AC16)&lt;=0),0,IF($X$3="Sim",TRUNC(ROUND(MAX(0,($Z$1-IF(N(AE16)&gt;0,0,p_CorrFixa))/(I16*X16*$X$6)),9),$X$4),TRUNC(ROUND(MAX(0,($Z$1-IF(N(AE16)&gt;0,0,p_CorrFixa))/(I16*X16*$X$6)),9)/$X$5)*$X$5)))</f>
        <v/>
      </c>
      <c r="AH16" s="85" t="str">
        <f>IF(A16="","",IF(AND(N(AE16)=0,N(AG16)*(I16*X16*$X$6)+p_CorrFixa&lt;p_CompraMin),0,AG16))</f>
        <v/>
      </c>
      <c r="AI16" s="85" t="str">
        <f>IF(A16="","",IF(N(AH16)&gt;0,AC16,0))</f>
        <v/>
      </c>
      <c r="AJ16" s="85" t="str">
        <f>IF(A16="","",IF(AND(AI16&gt;0,AI16=$AI$6,COUNTIF($AI$9:AI16,AI16)=1),1,0))</f>
        <v/>
      </c>
    </row>
    <row r="17">
      <c r="A17" s="96" t="n"/>
      <c r="B17" s="96" t="n"/>
      <c r="C17" s="96" t="n"/>
      <c r="D17" s="96" t="n"/>
      <c r="E17" s="97" t="n"/>
      <c r="F17" s="98" t="n"/>
      <c r="G17" s="99" t="n"/>
      <c r="H17" s="100" t="n"/>
      <c r="I17" s="101" t="str">
        <f>IF(A17="","",IF(AND(p_ModoCot="Automático",ISNUMBER(AA17)),AA17,IF(N(H17)&gt;0,H17,0)))</f>
        <v/>
      </c>
      <c r="J17" s="73" t="str">
        <f>IF(A17="","",IF(X17=0,"Sem câmbio",IF(AND(p_ModoCot="Automático",ISNUMBER(AA17)),"Auto",IF(N(H17)&gt;0,"Manual","Sem cotação"))))</f>
        <v/>
      </c>
      <c r="K17" s="102" t="str">
        <f>IF(A17="","",N(F17)*I17)</f>
        <v/>
      </c>
      <c r="L17" s="70" t="str">
        <f>IF(A17="","",K17*X17)</f>
        <v/>
      </c>
      <c r="M17" s="30" t="str">
        <f>IF(A17="","",IF($L$6&gt;0,L17/$L$6,0))</f>
        <v/>
      </c>
      <c r="N17" s="72" t="str">
        <f>IF(A17="","",N(G17)-M17)</f>
        <v/>
      </c>
      <c r="O17" s="30" t="str">
        <f>IF(A17="","",IF($AC$6&gt;0,AC17/$AC$6,0))</f>
        <v/>
      </c>
      <c r="P17" s="74" t="str">
        <f>IF(A17="","",IF(AC17&lt;=0,"",COUNTIF($AC$9:$AC$68,"&gt;"&amp;AC17)+COUNTIF($AC$9:AC17,AC17)))</f>
        <v/>
      </c>
      <c r="Q17" s="73" t="str">
        <f>IF(A17="","",IF(R17&gt;0,"BUY","HOLD"))</f>
        <v/>
      </c>
      <c r="R17" s="70" t="str">
        <f>IF(A17="","",IF($X$7&lt;=0,0,IF($AD$6&gt;0,$X$7*AD17/$AD$6,IF($G$6&gt;0,$X$7*N(G17)/$G$6,0))))</f>
        <v/>
      </c>
      <c r="S17" s="103" t="str">
        <f>IF(A17="","",N(AE17)+IF(AJ17=1,N(AH17),0))</f>
        <v/>
      </c>
      <c r="T17" s="103" t="str">
        <f>IF(A17="","",N(F17)+N(S17))</f>
        <v/>
      </c>
      <c r="U17" s="70" t="str">
        <f>IF(A17="","",IF(N(S17)&gt;0,S17*I17*X17*$X$6+p_CorrFixa,0))</f>
        <v/>
      </c>
      <c r="W17" s="85" t="str">
        <f>IF(A17="","",IF(E17="",$X$1,E17))</f>
        <v/>
      </c>
      <c r="X17" s="85" t="str">
        <f>IF(A17="","",IFERROR(INDEX(moeda_fx,MATCH(W17,moeda_cod,0)),0))</f>
        <v/>
      </c>
      <c r="Y17" s="85" t="str">
        <f>IF(A17="","",IF($X$2="",UPPER(TRIM(A17)),IF(RIGHT(UPPER(TRIM(A17)),LEN($X$2))=$X$2,UPPER(TRIM(A17)),UPPER(TRIM(A17))&amp;$X$2)))</f>
        <v/>
      </c>
      <c r="Z17" s="85" t="str">
        <f>IF(OR(A17="",p_ModoCot&lt;&gt;"Automático"),"",IF(AND(p_FonteCripto="CoinGecko",TRIM(D17)&lt;&gt;""),IFERROR(_xlfn.WEBSERVICE("https://api.coingecko.com/api/v3/simple/price?ids="&amp;LOWER(TRIM(D17))&amp;"&amp;vs_currencies=usd"),""),IFERROR(_xlfn.WEBSERVICE("https://query1.finance.yahoo.com/v8/finance/chart/"&amp;Y17&amp;"?range=1d&amp;interval=1d"),"")))</f>
        <v/>
      </c>
      <c r="AA17" s="85" t="str">
        <f>IF(Z17="","",IFERROR(IF(ISNUMBER(SEARCH("regularMarketPrice",Z17)),_xlfn.NUMBERVALUE(MID(Z17,SEARCH("""regularMarketPrice"":",Z17)+21,SEARCH(",",Z17&amp;",",SEARCH("""regularMarketPrice"":",Z17)+21)-SEARCH("""regularMarketPrice"":",Z17)-21),".",","),_xlfn.NUMBERVALUE(MID(SUBSTITUTE(Z17,"}",","),SEARCH("""usd"":",SUBSTITUTE(Z17,"}",","))+6,SEARCH(",",SUBSTITUTE(Z17,"}",",")&amp;",",SEARCH("""usd"":",SUBSTITUTE(Z17,"}",","))+6)-SEARCH("""usd"":",SUBSTITUTE(Z17,"}",","))-6),".",",")),""))</f>
        <v/>
      </c>
      <c r="AB17" s="85" t="str">
        <f>IF(A17="","",ROUND(MAX(0,N(G17)*($L$6+$X$7)-L17),2))</f>
        <v/>
      </c>
      <c r="AC17" s="85" t="str">
        <f>IF(A17="","",IF(AND(N17&gt;0,N17&gt;=p_DifMin),AB17,0))</f>
        <v/>
      </c>
      <c r="AD17" s="85" t="str">
        <f>IF(A17="","",IF(AND(AC17&gt;0,N(P17)&lt;=p_MaxAtivos),AC17,0))</f>
        <v/>
      </c>
      <c r="AE17" s="85" t="str">
        <f>IF(A17="","",IF(OR(R17&lt;=0,R17&lt;p_CompraMin,N(I17)&lt;=0,N(X17)&lt;=0),0,IF($X$3="Sim",TRUNC(ROUND(MAX(0,(R17-p_CorrFixa)/(I17*X17*$X$6)),9),$X$4),TRUNC(ROUND(MAX(0,(R17-p_CorrFixa)/(I17*X17*$X$6)),9)/$X$5)*$X$5)))</f>
        <v/>
      </c>
      <c r="AF17" s="85" t="str">
        <f>IF(A17="","",IF(N(AE17)&gt;0,AE17*I17*X17*$X$6+p_CorrFixa,0))</f>
        <v/>
      </c>
      <c r="AG17" s="85" t="str">
        <f>IF(A17="","",IF(OR($Z$1&lt;=0,N(I17)&lt;=0,N(X17)&lt;=0,N(AC17)&lt;=0),0,IF($X$3="Sim",TRUNC(ROUND(MAX(0,($Z$1-IF(N(AE17)&gt;0,0,p_CorrFixa))/(I17*X17*$X$6)),9),$X$4),TRUNC(ROUND(MAX(0,($Z$1-IF(N(AE17)&gt;0,0,p_CorrFixa))/(I17*X17*$X$6)),9)/$X$5)*$X$5)))</f>
        <v/>
      </c>
      <c r="AH17" s="85" t="str">
        <f>IF(A17="","",IF(AND(N(AE17)=0,N(AG17)*(I17*X17*$X$6)+p_CorrFixa&lt;p_CompraMin),0,AG17))</f>
        <v/>
      </c>
      <c r="AI17" s="85" t="str">
        <f>IF(A17="","",IF(N(AH17)&gt;0,AC17,0))</f>
        <v/>
      </c>
      <c r="AJ17" s="85" t="str">
        <f>IF(A17="","",IF(AND(AI17&gt;0,AI17=$AI$6,COUNTIF($AI$9:AI17,AI17)=1),1,0))</f>
        <v/>
      </c>
    </row>
    <row r="18">
      <c r="A18" s="96" t="n"/>
      <c r="B18" s="96" t="n"/>
      <c r="C18" s="96" t="n"/>
      <c r="D18" s="96" t="n"/>
      <c r="E18" s="97" t="n"/>
      <c r="F18" s="98" t="n"/>
      <c r="G18" s="99" t="n"/>
      <c r="H18" s="100" t="n"/>
      <c r="I18" s="104" t="str">
        <f>IF(A18="","",IF(AND(p_ModoCot="Automático",ISNUMBER(AA18)),AA18,IF(N(H18)&gt;0,H18,0)))</f>
        <v/>
      </c>
      <c r="J18" s="105" t="str">
        <f>IF(A18="","",IF(X18=0,"Sem câmbio",IF(AND(p_ModoCot="Automático",ISNUMBER(AA18)),"Auto",IF(N(H18)&gt;0,"Manual","Sem cotação"))))</f>
        <v/>
      </c>
      <c r="K18" s="106" t="str">
        <f>IF(A18="","",N(F18)*I18)</f>
        <v/>
      </c>
      <c r="L18" s="107" t="str">
        <f>IF(A18="","",K18*X18)</f>
        <v/>
      </c>
      <c r="M18" s="108" t="str">
        <f>IF(A18="","",IF($L$6&gt;0,L18/$L$6,0))</f>
        <v/>
      </c>
      <c r="N18" s="109" t="str">
        <f>IF(A18="","",N(G18)-M18)</f>
        <v/>
      </c>
      <c r="O18" s="108" t="str">
        <f>IF(A18="","",IF($AC$6&gt;0,AC18/$AC$6,0))</f>
        <v/>
      </c>
      <c r="P18" s="110" t="str">
        <f>IF(A18="","",IF(AC18&lt;=0,"",COUNTIF($AC$9:$AC$68,"&gt;"&amp;AC18)+COUNTIF($AC$9:AC18,AC18)))</f>
        <v/>
      </c>
      <c r="Q18" s="105" t="str">
        <f>IF(A18="","",IF(R18&gt;0,"BUY","HOLD"))</f>
        <v/>
      </c>
      <c r="R18" s="107" t="str">
        <f>IF(A18="","",IF($X$7&lt;=0,0,IF($AD$6&gt;0,$X$7*AD18/$AD$6,IF($G$6&gt;0,$X$7*N(G18)/$G$6,0))))</f>
        <v/>
      </c>
      <c r="S18" s="111" t="str">
        <f>IF(A18="","",N(AE18)+IF(AJ18=1,N(AH18),0))</f>
        <v/>
      </c>
      <c r="T18" s="111" t="str">
        <f>IF(A18="","",N(F18)+N(S18))</f>
        <v/>
      </c>
      <c r="U18" s="107" t="str">
        <f>IF(A18="","",IF(N(S18)&gt;0,S18*I18*X18*$X$6+p_CorrFixa,0))</f>
        <v/>
      </c>
      <c r="W18" s="85" t="str">
        <f>IF(A18="","",IF(E18="",$X$1,E18))</f>
        <v/>
      </c>
      <c r="X18" s="85" t="str">
        <f>IF(A18="","",IFERROR(INDEX(moeda_fx,MATCH(W18,moeda_cod,0)),0))</f>
        <v/>
      </c>
      <c r="Y18" s="85" t="str">
        <f>IF(A18="","",IF($X$2="",UPPER(TRIM(A18)),IF(RIGHT(UPPER(TRIM(A18)),LEN($X$2))=$X$2,UPPER(TRIM(A18)),UPPER(TRIM(A18))&amp;$X$2)))</f>
        <v/>
      </c>
      <c r="Z18" s="85" t="str">
        <f>IF(OR(A18="",p_ModoCot&lt;&gt;"Automático"),"",IF(AND(p_FonteCripto="CoinGecko",TRIM(D18)&lt;&gt;""),IFERROR(_xlfn.WEBSERVICE("https://api.coingecko.com/api/v3/simple/price?ids="&amp;LOWER(TRIM(D18))&amp;"&amp;vs_currencies=usd"),""),IFERROR(_xlfn.WEBSERVICE("https://query1.finance.yahoo.com/v8/finance/chart/"&amp;Y18&amp;"?range=1d&amp;interval=1d"),"")))</f>
        <v/>
      </c>
      <c r="AA18" s="85" t="str">
        <f>IF(Z18="","",IFERROR(IF(ISNUMBER(SEARCH("regularMarketPrice",Z18)),_xlfn.NUMBERVALUE(MID(Z18,SEARCH("""regularMarketPrice"":",Z18)+21,SEARCH(",",Z18&amp;",",SEARCH("""regularMarketPrice"":",Z18)+21)-SEARCH("""regularMarketPrice"":",Z18)-21),".",","),_xlfn.NUMBERVALUE(MID(SUBSTITUTE(Z18,"}",","),SEARCH("""usd"":",SUBSTITUTE(Z18,"}",","))+6,SEARCH(",",SUBSTITUTE(Z18,"}",",")&amp;",",SEARCH("""usd"":",SUBSTITUTE(Z18,"}",","))+6)-SEARCH("""usd"":",SUBSTITUTE(Z18,"}",","))-6),".",",")),""))</f>
        <v/>
      </c>
      <c r="AB18" s="85" t="str">
        <f>IF(A18="","",ROUND(MAX(0,N(G18)*($L$6+$X$7)-L18),2))</f>
        <v/>
      </c>
      <c r="AC18" s="85" t="str">
        <f>IF(A18="","",IF(AND(N18&gt;0,N18&gt;=p_DifMin),AB18,0))</f>
        <v/>
      </c>
      <c r="AD18" s="85" t="str">
        <f>IF(A18="","",IF(AND(AC18&gt;0,N(P18)&lt;=p_MaxAtivos),AC18,0))</f>
        <v/>
      </c>
      <c r="AE18" s="85" t="str">
        <f>IF(A18="","",IF(OR(R18&lt;=0,R18&lt;p_CompraMin,N(I18)&lt;=0,N(X18)&lt;=0),0,IF($X$3="Sim",TRUNC(ROUND(MAX(0,(R18-p_CorrFixa)/(I18*X18*$X$6)),9),$X$4),TRUNC(ROUND(MAX(0,(R18-p_CorrFixa)/(I18*X18*$X$6)),9)/$X$5)*$X$5)))</f>
        <v/>
      </c>
      <c r="AF18" s="85" t="str">
        <f>IF(A18="","",IF(N(AE18)&gt;0,AE18*I18*X18*$X$6+p_CorrFixa,0))</f>
        <v/>
      </c>
      <c r="AG18" s="85" t="str">
        <f>IF(A18="","",IF(OR($Z$1&lt;=0,N(I18)&lt;=0,N(X18)&lt;=0,N(AC18)&lt;=0),0,IF($X$3="Sim",TRUNC(ROUND(MAX(0,($Z$1-IF(N(AE18)&gt;0,0,p_CorrFixa))/(I18*X18*$X$6)),9),$X$4),TRUNC(ROUND(MAX(0,($Z$1-IF(N(AE18)&gt;0,0,p_CorrFixa))/(I18*X18*$X$6)),9)/$X$5)*$X$5)))</f>
        <v/>
      </c>
      <c r="AH18" s="85" t="str">
        <f>IF(A18="","",IF(AND(N(AE18)=0,N(AG18)*(I18*X18*$X$6)+p_CorrFixa&lt;p_CompraMin),0,AG18))</f>
        <v/>
      </c>
      <c r="AI18" s="85" t="str">
        <f>IF(A18="","",IF(N(AH18)&gt;0,AC18,0))</f>
        <v/>
      </c>
      <c r="AJ18" s="85" t="str">
        <f>IF(A18="","",IF(AND(AI18&gt;0,AI18=$AI$6,COUNTIF($AI$9:AI18,AI18)=1),1,0))</f>
        <v/>
      </c>
    </row>
    <row r="19">
      <c r="A19" s="96" t="n"/>
      <c r="B19" s="96" t="n"/>
      <c r="C19" s="96" t="n"/>
      <c r="D19" s="96" t="n"/>
      <c r="E19" s="97" t="n"/>
      <c r="F19" s="98" t="n"/>
      <c r="G19" s="99" t="n"/>
      <c r="H19" s="100" t="n"/>
      <c r="I19" s="101" t="str">
        <f>IF(A19="","",IF(AND(p_ModoCot="Automático",ISNUMBER(AA19)),AA19,IF(N(H19)&gt;0,H19,0)))</f>
        <v/>
      </c>
      <c r="J19" s="73" t="str">
        <f>IF(A19="","",IF(X19=0,"Sem câmbio",IF(AND(p_ModoCot="Automático",ISNUMBER(AA19)),"Auto",IF(N(H19)&gt;0,"Manual","Sem cotação"))))</f>
        <v/>
      </c>
      <c r="K19" s="102" t="str">
        <f>IF(A19="","",N(F19)*I19)</f>
        <v/>
      </c>
      <c r="L19" s="70" t="str">
        <f>IF(A19="","",K19*X19)</f>
        <v/>
      </c>
      <c r="M19" s="30" t="str">
        <f>IF(A19="","",IF($L$6&gt;0,L19/$L$6,0))</f>
        <v/>
      </c>
      <c r="N19" s="72" t="str">
        <f>IF(A19="","",N(G19)-M19)</f>
        <v/>
      </c>
      <c r="O19" s="30" t="str">
        <f>IF(A19="","",IF($AC$6&gt;0,AC19/$AC$6,0))</f>
        <v/>
      </c>
      <c r="P19" s="74" t="str">
        <f>IF(A19="","",IF(AC19&lt;=0,"",COUNTIF($AC$9:$AC$68,"&gt;"&amp;AC19)+COUNTIF($AC$9:AC19,AC19)))</f>
        <v/>
      </c>
      <c r="Q19" s="73" t="str">
        <f>IF(A19="","",IF(R19&gt;0,"BUY","HOLD"))</f>
        <v/>
      </c>
      <c r="R19" s="70" t="str">
        <f>IF(A19="","",IF($X$7&lt;=0,0,IF($AD$6&gt;0,$X$7*AD19/$AD$6,IF($G$6&gt;0,$X$7*N(G19)/$G$6,0))))</f>
        <v/>
      </c>
      <c r="S19" s="103" t="str">
        <f>IF(A19="","",N(AE19)+IF(AJ19=1,N(AH19),0))</f>
        <v/>
      </c>
      <c r="T19" s="103" t="str">
        <f>IF(A19="","",N(F19)+N(S19))</f>
        <v/>
      </c>
      <c r="U19" s="70" t="str">
        <f>IF(A19="","",IF(N(S19)&gt;0,S19*I19*X19*$X$6+p_CorrFixa,0))</f>
        <v/>
      </c>
      <c r="W19" s="85" t="str">
        <f>IF(A19="","",IF(E19="",$X$1,E19))</f>
        <v/>
      </c>
      <c r="X19" s="85" t="str">
        <f>IF(A19="","",IFERROR(INDEX(moeda_fx,MATCH(W19,moeda_cod,0)),0))</f>
        <v/>
      </c>
      <c r="Y19" s="85" t="str">
        <f>IF(A19="","",IF($X$2="",UPPER(TRIM(A19)),IF(RIGHT(UPPER(TRIM(A19)),LEN($X$2))=$X$2,UPPER(TRIM(A19)),UPPER(TRIM(A19))&amp;$X$2)))</f>
        <v/>
      </c>
      <c r="Z19" s="85" t="str">
        <f>IF(OR(A19="",p_ModoCot&lt;&gt;"Automático"),"",IF(AND(p_FonteCripto="CoinGecko",TRIM(D19)&lt;&gt;""),IFERROR(_xlfn.WEBSERVICE("https://api.coingecko.com/api/v3/simple/price?ids="&amp;LOWER(TRIM(D19))&amp;"&amp;vs_currencies=usd"),""),IFERROR(_xlfn.WEBSERVICE("https://query1.finance.yahoo.com/v8/finance/chart/"&amp;Y19&amp;"?range=1d&amp;interval=1d"),"")))</f>
        <v/>
      </c>
      <c r="AA19" s="85" t="str">
        <f>IF(Z19="","",IFERROR(IF(ISNUMBER(SEARCH("regularMarketPrice",Z19)),_xlfn.NUMBERVALUE(MID(Z19,SEARCH("""regularMarketPrice"":",Z19)+21,SEARCH(",",Z19&amp;",",SEARCH("""regularMarketPrice"":",Z19)+21)-SEARCH("""regularMarketPrice"":",Z19)-21),".",","),_xlfn.NUMBERVALUE(MID(SUBSTITUTE(Z19,"}",","),SEARCH("""usd"":",SUBSTITUTE(Z19,"}",","))+6,SEARCH(",",SUBSTITUTE(Z19,"}",",")&amp;",",SEARCH("""usd"":",SUBSTITUTE(Z19,"}",","))+6)-SEARCH("""usd"":",SUBSTITUTE(Z19,"}",","))-6),".",",")),""))</f>
        <v/>
      </c>
      <c r="AB19" s="85" t="str">
        <f>IF(A19="","",ROUND(MAX(0,N(G19)*($L$6+$X$7)-L19),2))</f>
        <v/>
      </c>
      <c r="AC19" s="85" t="str">
        <f>IF(A19="","",IF(AND(N19&gt;0,N19&gt;=p_DifMin),AB19,0))</f>
        <v/>
      </c>
      <c r="AD19" s="85" t="str">
        <f>IF(A19="","",IF(AND(AC19&gt;0,N(P19)&lt;=p_MaxAtivos),AC19,0))</f>
        <v/>
      </c>
      <c r="AE19" s="85" t="str">
        <f>IF(A19="","",IF(OR(R19&lt;=0,R19&lt;p_CompraMin,N(I19)&lt;=0,N(X19)&lt;=0),0,IF($X$3="Sim",TRUNC(ROUND(MAX(0,(R19-p_CorrFixa)/(I19*X19*$X$6)),9),$X$4),TRUNC(ROUND(MAX(0,(R19-p_CorrFixa)/(I19*X19*$X$6)),9)/$X$5)*$X$5)))</f>
        <v/>
      </c>
      <c r="AF19" s="85" t="str">
        <f>IF(A19="","",IF(N(AE19)&gt;0,AE19*I19*X19*$X$6+p_CorrFixa,0))</f>
        <v/>
      </c>
      <c r="AG19" s="85" t="str">
        <f>IF(A19="","",IF(OR($Z$1&lt;=0,N(I19)&lt;=0,N(X19)&lt;=0,N(AC19)&lt;=0),0,IF($X$3="Sim",TRUNC(ROUND(MAX(0,($Z$1-IF(N(AE19)&gt;0,0,p_CorrFixa))/(I19*X19*$X$6)),9),$X$4),TRUNC(ROUND(MAX(0,($Z$1-IF(N(AE19)&gt;0,0,p_CorrFixa))/(I19*X19*$X$6)),9)/$X$5)*$X$5)))</f>
        <v/>
      </c>
      <c r="AH19" s="85" t="str">
        <f>IF(A19="","",IF(AND(N(AE19)=0,N(AG19)*(I19*X19*$X$6)+p_CorrFixa&lt;p_CompraMin),0,AG19))</f>
        <v/>
      </c>
      <c r="AI19" s="85" t="str">
        <f>IF(A19="","",IF(N(AH19)&gt;0,AC19,0))</f>
        <v/>
      </c>
      <c r="AJ19" s="85" t="str">
        <f>IF(A19="","",IF(AND(AI19&gt;0,AI19=$AI$6,COUNTIF($AI$9:AI19,AI19)=1),1,0))</f>
        <v/>
      </c>
    </row>
    <row r="20">
      <c r="A20" s="96" t="n"/>
      <c r="B20" s="96" t="n"/>
      <c r="C20" s="96" t="n"/>
      <c r="D20" s="96" t="n"/>
      <c r="E20" s="97" t="n"/>
      <c r="F20" s="98" t="n"/>
      <c r="G20" s="99" t="n"/>
      <c r="H20" s="100" t="n"/>
      <c r="I20" s="104" t="str">
        <f>IF(A20="","",IF(AND(p_ModoCot="Automático",ISNUMBER(AA20)),AA20,IF(N(H20)&gt;0,H20,0)))</f>
        <v/>
      </c>
      <c r="J20" s="105" t="str">
        <f>IF(A20="","",IF(X20=0,"Sem câmbio",IF(AND(p_ModoCot="Automático",ISNUMBER(AA20)),"Auto",IF(N(H20)&gt;0,"Manual","Sem cotação"))))</f>
        <v/>
      </c>
      <c r="K20" s="106" t="str">
        <f>IF(A20="","",N(F20)*I20)</f>
        <v/>
      </c>
      <c r="L20" s="107" t="str">
        <f>IF(A20="","",K20*X20)</f>
        <v/>
      </c>
      <c r="M20" s="108" t="str">
        <f>IF(A20="","",IF($L$6&gt;0,L20/$L$6,0))</f>
        <v/>
      </c>
      <c r="N20" s="109" t="str">
        <f>IF(A20="","",N(G20)-M20)</f>
        <v/>
      </c>
      <c r="O20" s="108" t="str">
        <f>IF(A20="","",IF($AC$6&gt;0,AC20/$AC$6,0))</f>
        <v/>
      </c>
      <c r="P20" s="110" t="str">
        <f>IF(A20="","",IF(AC20&lt;=0,"",COUNTIF($AC$9:$AC$68,"&gt;"&amp;AC20)+COUNTIF($AC$9:AC20,AC20)))</f>
        <v/>
      </c>
      <c r="Q20" s="105" t="str">
        <f>IF(A20="","",IF(R20&gt;0,"BUY","HOLD"))</f>
        <v/>
      </c>
      <c r="R20" s="107" t="str">
        <f>IF(A20="","",IF($X$7&lt;=0,0,IF($AD$6&gt;0,$X$7*AD20/$AD$6,IF($G$6&gt;0,$X$7*N(G20)/$G$6,0))))</f>
        <v/>
      </c>
      <c r="S20" s="111" t="str">
        <f>IF(A20="","",N(AE20)+IF(AJ20=1,N(AH20),0))</f>
        <v/>
      </c>
      <c r="T20" s="111" t="str">
        <f>IF(A20="","",N(F20)+N(S20))</f>
        <v/>
      </c>
      <c r="U20" s="107" t="str">
        <f>IF(A20="","",IF(N(S20)&gt;0,S20*I20*X20*$X$6+p_CorrFixa,0))</f>
        <v/>
      </c>
      <c r="W20" s="85" t="str">
        <f>IF(A20="","",IF(E20="",$X$1,E20))</f>
        <v/>
      </c>
      <c r="X20" s="85" t="str">
        <f>IF(A20="","",IFERROR(INDEX(moeda_fx,MATCH(W20,moeda_cod,0)),0))</f>
        <v/>
      </c>
      <c r="Y20" s="85" t="str">
        <f>IF(A20="","",IF($X$2="",UPPER(TRIM(A20)),IF(RIGHT(UPPER(TRIM(A20)),LEN($X$2))=$X$2,UPPER(TRIM(A20)),UPPER(TRIM(A20))&amp;$X$2)))</f>
        <v/>
      </c>
      <c r="Z20" s="85" t="str">
        <f>IF(OR(A20="",p_ModoCot&lt;&gt;"Automático"),"",IF(AND(p_FonteCripto="CoinGecko",TRIM(D20)&lt;&gt;""),IFERROR(_xlfn.WEBSERVICE("https://api.coingecko.com/api/v3/simple/price?ids="&amp;LOWER(TRIM(D20))&amp;"&amp;vs_currencies=usd"),""),IFERROR(_xlfn.WEBSERVICE("https://query1.finance.yahoo.com/v8/finance/chart/"&amp;Y20&amp;"?range=1d&amp;interval=1d"),"")))</f>
        <v/>
      </c>
      <c r="AA20" s="85" t="str">
        <f>IF(Z20="","",IFERROR(IF(ISNUMBER(SEARCH("regularMarketPrice",Z20)),_xlfn.NUMBERVALUE(MID(Z20,SEARCH("""regularMarketPrice"":",Z20)+21,SEARCH(",",Z20&amp;",",SEARCH("""regularMarketPrice"":",Z20)+21)-SEARCH("""regularMarketPrice"":",Z20)-21),".",","),_xlfn.NUMBERVALUE(MID(SUBSTITUTE(Z20,"}",","),SEARCH("""usd"":",SUBSTITUTE(Z20,"}",","))+6,SEARCH(",",SUBSTITUTE(Z20,"}",",")&amp;",",SEARCH("""usd"":",SUBSTITUTE(Z20,"}",","))+6)-SEARCH("""usd"":",SUBSTITUTE(Z20,"}",","))-6),".",",")),""))</f>
        <v/>
      </c>
      <c r="AB20" s="85" t="str">
        <f>IF(A20="","",ROUND(MAX(0,N(G20)*($L$6+$X$7)-L20),2))</f>
        <v/>
      </c>
      <c r="AC20" s="85" t="str">
        <f>IF(A20="","",IF(AND(N20&gt;0,N20&gt;=p_DifMin),AB20,0))</f>
        <v/>
      </c>
      <c r="AD20" s="85" t="str">
        <f>IF(A20="","",IF(AND(AC20&gt;0,N(P20)&lt;=p_MaxAtivos),AC20,0))</f>
        <v/>
      </c>
      <c r="AE20" s="85" t="str">
        <f>IF(A20="","",IF(OR(R20&lt;=0,R20&lt;p_CompraMin,N(I20)&lt;=0,N(X20)&lt;=0),0,IF($X$3="Sim",TRUNC(ROUND(MAX(0,(R20-p_CorrFixa)/(I20*X20*$X$6)),9),$X$4),TRUNC(ROUND(MAX(0,(R20-p_CorrFixa)/(I20*X20*$X$6)),9)/$X$5)*$X$5)))</f>
        <v/>
      </c>
      <c r="AF20" s="85" t="str">
        <f>IF(A20="","",IF(N(AE20)&gt;0,AE20*I20*X20*$X$6+p_CorrFixa,0))</f>
        <v/>
      </c>
      <c r="AG20" s="85" t="str">
        <f>IF(A20="","",IF(OR($Z$1&lt;=0,N(I20)&lt;=0,N(X20)&lt;=0,N(AC20)&lt;=0),0,IF($X$3="Sim",TRUNC(ROUND(MAX(0,($Z$1-IF(N(AE20)&gt;0,0,p_CorrFixa))/(I20*X20*$X$6)),9),$X$4),TRUNC(ROUND(MAX(0,($Z$1-IF(N(AE20)&gt;0,0,p_CorrFixa))/(I20*X20*$X$6)),9)/$X$5)*$X$5)))</f>
        <v/>
      </c>
      <c r="AH20" s="85" t="str">
        <f>IF(A20="","",IF(AND(N(AE20)=0,N(AG20)*(I20*X20*$X$6)+p_CorrFixa&lt;p_CompraMin),0,AG20))</f>
        <v/>
      </c>
      <c r="AI20" s="85" t="str">
        <f>IF(A20="","",IF(N(AH20)&gt;0,AC20,0))</f>
        <v/>
      </c>
      <c r="AJ20" s="85" t="str">
        <f>IF(A20="","",IF(AND(AI20&gt;0,AI20=$AI$6,COUNTIF($AI$9:AI20,AI20)=1),1,0))</f>
        <v/>
      </c>
    </row>
    <row r="21">
      <c r="A21" s="96" t="n"/>
      <c r="B21" s="96" t="n"/>
      <c r="C21" s="96" t="n"/>
      <c r="D21" s="96" t="n"/>
      <c r="E21" s="97" t="n"/>
      <c r="F21" s="98" t="n"/>
      <c r="G21" s="99" t="n"/>
      <c r="H21" s="100" t="n"/>
      <c r="I21" s="101" t="str">
        <f>IF(A21="","",IF(AND(p_ModoCot="Automático",ISNUMBER(AA21)),AA21,IF(N(H21)&gt;0,H21,0)))</f>
        <v/>
      </c>
      <c r="J21" s="73" t="str">
        <f>IF(A21="","",IF(X21=0,"Sem câmbio",IF(AND(p_ModoCot="Automático",ISNUMBER(AA21)),"Auto",IF(N(H21)&gt;0,"Manual","Sem cotação"))))</f>
        <v/>
      </c>
      <c r="K21" s="102" t="str">
        <f>IF(A21="","",N(F21)*I21)</f>
        <v/>
      </c>
      <c r="L21" s="70" t="str">
        <f>IF(A21="","",K21*X21)</f>
        <v/>
      </c>
      <c r="M21" s="30" t="str">
        <f>IF(A21="","",IF($L$6&gt;0,L21/$L$6,0))</f>
        <v/>
      </c>
      <c r="N21" s="72" t="str">
        <f>IF(A21="","",N(G21)-M21)</f>
        <v/>
      </c>
      <c r="O21" s="30" t="str">
        <f>IF(A21="","",IF($AC$6&gt;0,AC21/$AC$6,0))</f>
        <v/>
      </c>
      <c r="P21" s="74" t="str">
        <f>IF(A21="","",IF(AC21&lt;=0,"",COUNTIF($AC$9:$AC$68,"&gt;"&amp;AC21)+COUNTIF($AC$9:AC21,AC21)))</f>
        <v/>
      </c>
      <c r="Q21" s="73" t="str">
        <f>IF(A21="","",IF(R21&gt;0,"BUY","HOLD"))</f>
        <v/>
      </c>
      <c r="R21" s="70" t="str">
        <f>IF(A21="","",IF($X$7&lt;=0,0,IF($AD$6&gt;0,$X$7*AD21/$AD$6,IF($G$6&gt;0,$X$7*N(G21)/$G$6,0))))</f>
        <v/>
      </c>
      <c r="S21" s="103" t="str">
        <f>IF(A21="","",N(AE21)+IF(AJ21=1,N(AH21),0))</f>
        <v/>
      </c>
      <c r="T21" s="103" t="str">
        <f>IF(A21="","",N(F21)+N(S21))</f>
        <v/>
      </c>
      <c r="U21" s="70" t="str">
        <f>IF(A21="","",IF(N(S21)&gt;0,S21*I21*X21*$X$6+p_CorrFixa,0))</f>
        <v/>
      </c>
      <c r="W21" s="85" t="str">
        <f>IF(A21="","",IF(E21="",$X$1,E21))</f>
        <v/>
      </c>
      <c r="X21" s="85" t="str">
        <f>IF(A21="","",IFERROR(INDEX(moeda_fx,MATCH(W21,moeda_cod,0)),0))</f>
        <v/>
      </c>
      <c r="Y21" s="85" t="str">
        <f>IF(A21="","",IF($X$2="",UPPER(TRIM(A21)),IF(RIGHT(UPPER(TRIM(A21)),LEN($X$2))=$X$2,UPPER(TRIM(A21)),UPPER(TRIM(A21))&amp;$X$2)))</f>
        <v/>
      </c>
      <c r="Z21" s="85" t="str">
        <f>IF(OR(A21="",p_ModoCot&lt;&gt;"Automático"),"",IF(AND(p_FonteCripto="CoinGecko",TRIM(D21)&lt;&gt;""),IFERROR(_xlfn.WEBSERVICE("https://api.coingecko.com/api/v3/simple/price?ids="&amp;LOWER(TRIM(D21))&amp;"&amp;vs_currencies=usd"),""),IFERROR(_xlfn.WEBSERVICE("https://query1.finance.yahoo.com/v8/finance/chart/"&amp;Y21&amp;"?range=1d&amp;interval=1d"),"")))</f>
        <v/>
      </c>
      <c r="AA21" s="85" t="str">
        <f>IF(Z21="","",IFERROR(IF(ISNUMBER(SEARCH("regularMarketPrice",Z21)),_xlfn.NUMBERVALUE(MID(Z21,SEARCH("""regularMarketPrice"":",Z21)+21,SEARCH(",",Z21&amp;",",SEARCH("""regularMarketPrice"":",Z21)+21)-SEARCH("""regularMarketPrice"":",Z21)-21),".",","),_xlfn.NUMBERVALUE(MID(SUBSTITUTE(Z21,"}",","),SEARCH("""usd"":",SUBSTITUTE(Z21,"}",","))+6,SEARCH(",",SUBSTITUTE(Z21,"}",",")&amp;",",SEARCH("""usd"":",SUBSTITUTE(Z21,"}",","))+6)-SEARCH("""usd"":",SUBSTITUTE(Z21,"}",","))-6),".",",")),""))</f>
        <v/>
      </c>
      <c r="AB21" s="85" t="str">
        <f>IF(A21="","",ROUND(MAX(0,N(G21)*($L$6+$X$7)-L21),2))</f>
        <v/>
      </c>
      <c r="AC21" s="85" t="str">
        <f>IF(A21="","",IF(AND(N21&gt;0,N21&gt;=p_DifMin),AB21,0))</f>
        <v/>
      </c>
      <c r="AD21" s="85" t="str">
        <f>IF(A21="","",IF(AND(AC21&gt;0,N(P21)&lt;=p_MaxAtivos),AC21,0))</f>
        <v/>
      </c>
      <c r="AE21" s="85" t="str">
        <f>IF(A21="","",IF(OR(R21&lt;=0,R21&lt;p_CompraMin,N(I21)&lt;=0,N(X21)&lt;=0),0,IF($X$3="Sim",TRUNC(ROUND(MAX(0,(R21-p_CorrFixa)/(I21*X21*$X$6)),9),$X$4),TRUNC(ROUND(MAX(0,(R21-p_CorrFixa)/(I21*X21*$X$6)),9)/$X$5)*$X$5)))</f>
        <v/>
      </c>
      <c r="AF21" s="85" t="str">
        <f>IF(A21="","",IF(N(AE21)&gt;0,AE21*I21*X21*$X$6+p_CorrFixa,0))</f>
        <v/>
      </c>
      <c r="AG21" s="85" t="str">
        <f>IF(A21="","",IF(OR($Z$1&lt;=0,N(I21)&lt;=0,N(X21)&lt;=0,N(AC21)&lt;=0),0,IF($X$3="Sim",TRUNC(ROUND(MAX(0,($Z$1-IF(N(AE21)&gt;0,0,p_CorrFixa))/(I21*X21*$X$6)),9),$X$4),TRUNC(ROUND(MAX(0,($Z$1-IF(N(AE21)&gt;0,0,p_CorrFixa))/(I21*X21*$X$6)),9)/$X$5)*$X$5)))</f>
        <v/>
      </c>
      <c r="AH21" s="85" t="str">
        <f>IF(A21="","",IF(AND(N(AE21)=0,N(AG21)*(I21*X21*$X$6)+p_CorrFixa&lt;p_CompraMin),0,AG21))</f>
        <v/>
      </c>
      <c r="AI21" s="85" t="str">
        <f>IF(A21="","",IF(N(AH21)&gt;0,AC21,0))</f>
        <v/>
      </c>
      <c r="AJ21" s="85" t="str">
        <f>IF(A21="","",IF(AND(AI21&gt;0,AI21=$AI$6,COUNTIF($AI$9:AI21,AI21)=1),1,0))</f>
        <v/>
      </c>
    </row>
    <row r="22">
      <c r="A22" s="96" t="n"/>
      <c r="B22" s="96" t="n"/>
      <c r="C22" s="96" t="n"/>
      <c r="D22" s="96" t="n"/>
      <c r="E22" s="97" t="n"/>
      <c r="F22" s="98" t="n"/>
      <c r="G22" s="99" t="n"/>
      <c r="H22" s="100" t="n"/>
      <c r="I22" s="104" t="str">
        <f>IF(A22="","",IF(AND(p_ModoCot="Automático",ISNUMBER(AA22)),AA22,IF(N(H22)&gt;0,H22,0)))</f>
        <v/>
      </c>
      <c r="J22" s="105" t="str">
        <f>IF(A22="","",IF(X22=0,"Sem câmbio",IF(AND(p_ModoCot="Automático",ISNUMBER(AA22)),"Auto",IF(N(H22)&gt;0,"Manual","Sem cotação"))))</f>
        <v/>
      </c>
      <c r="K22" s="106" t="str">
        <f>IF(A22="","",N(F22)*I22)</f>
        <v/>
      </c>
      <c r="L22" s="107" t="str">
        <f>IF(A22="","",K22*X22)</f>
        <v/>
      </c>
      <c r="M22" s="108" t="str">
        <f>IF(A22="","",IF($L$6&gt;0,L22/$L$6,0))</f>
        <v/>
      </c>
      <c r="N22" s="109" t="str">
        <f>IF(A22="","",N(G22)-M22)</f>
        <v/>
      </c>
      <c r="O22" s="108" t="str">
        <f>IF(A22="","",IF($AC$6&gt;0,AC22/$AC$6,0))</f>
        <v/>
      </c>
      <c r="P22" s="110" t="str">
        <f>IF(A22="","",IF(AC22&lt;=0,"",COUNTIF($AC$9:$AC$68,"&gt;"&amp;AC22)+COUNTIF($AC$9:AC22,AC22)))</f>
        <v/>
      </c>
      <c r="Q22" s="105" t="str">
        <f>IF(A22="","",IF(R22&gt;0,"BUY","HOLD"))</f>
        <v/>
      </c>
      <c r="R22" s="107" t="str">
        <f>IF(A22="","",IF($X$7&lt;=0,0,IF($AD$6&gt;0,$X$7*AD22/$AD$6,IF($G$6&gt;0,$X$7*N(G22)/$G$6,0))))</f>
        <v/>
      </c>
      <c r="S22" s="111" t="str">
        <f>IF(A22="","",N(AE22)+IF(AJ22=1,N(AH22),0))</f>
        <v/>
      </c>
      <c r="T22" s="111" t="str">
        <f>IF(A22="","",N(F22)+N(S22))</f>
        <v/>
      </c>
      <c r="U22" s="107" t="str">
        <f>IF(A22="","",IF(N(S22)&gt;0,S22*I22*X22*$X$6+p_CorrFixa,0))</f>
        <v/>
      </c>
      <c r="W22" s="85" t="str">
        <f>IF(A22="","",IF(E22="",$X$1,E22))</f>
        <v/>
      </c>
      <c r="X22" s="85" t="str">
        <f>IF(A22="","",IFERROR(INDEX(moeda_fx,MATCH(W22,moeda_cod,0)),0))</f>
        <v/>
      </c>
      <c r="Y22" s="85" t="str">
        <f>IF(A22="","",IF($X$2="",UPPER(TRIM(A22)),IF(RIGHT(UPPER(TRIM(A22)),LEN($X$2))=$X$2,UPPER(TRIM(A22)),UPPER(TRIM(A22))&amp;$X$2)))</f>
        <v/>
      </c>
      <c r="Z22" s="85" t="str">
        <f>IF(OR(A22="",p_ModoCot&lt;&gt;"Automático"),"",IF(AND(p_FonteCripto="CoinGecko",TRIM(D22)&lt;&gt;""),IFERROR(_xlfn.WEBSERVICE("https://api.coingecko.com/api/v3/simple/price?ids="&amp;LOWER(TRIM(D22))&amp;"&amp;vs_currencies=usd"),""),IFERROR(_xlfn.WEBSERVICE("https://query1.finance.yahoo.com/v8/finance/chart/"&amp;Y22&amp;"?range=1d&amp;interval=1d"),"")))</f>
        <v/>
      </c>
      <c r="AA22" s="85" t="str">
        <f>IF(Z22="","",IFERROR(IF(ISNUMBER(SEARCH("regularMarketPrice",Z22)),_xlfn.NUMBERVALUE(MID(Z22,SEARCH("""regularMarketPrice"":",Z22)+21,SEARCH(",",Z22&amp;",",SEARCH("""regularMarketPrice"":",Z22)+21)-SEARCH("""regularMarketPrice"":",Z22)-21),".",","),_xlfn.NUMBERVALUE(MID(SUBSTITUTE(Z22,"}",","),SEARCH("""usd"":",SUBSTITUTE(Z22,"}",","))+6,SEARCH(",",SUBSTITUTE(Z22,"}",",")&amp;",",SEARCH("""usd"":",SUBSTITUTE(Z22,"}",","))+6)-SEARCH("""usd"":",SUBSTITUTE(Z22,"}",","))-6),".",",")),""))</f>
        <v/>
      </c>
      <c r="AB22" s="85" t="str">
        <f>IF(A22="","",ROUND(MAX(0,N(G22)*($L$6+$X$7)-L22),2))</f>
        <v/>
      </c>
      <c r="AC22" s="85" t="str">
        <f>IF(A22="","",IF(AND(N22&gt;0,N22&gt;=p_DifMin),AB22,0))</f>
        <v/>
      </c>
      <c r="AD22" s="85" t="str">
        <f>IF(A22="","",IF(AND(AC22&gt;0,N(P22)&lt;=p_MaxAtivos),AC22,0))</f>
        <v/>
      </c>
      <c r="AE22" s="85" t="str">
        <f>IF(A22="","",IF(OR(R22&lt;=0,R22&lt;p_CompraMin,N(I22)&lt;=0,N(X22)&lt;=0),0,IF($X$3="Sim",TRUNC(ROUND(MAX(0,(R22-p_CorrFixa)/(I22*X22*$X$6)),9),$X$4),TRUNC(ROUND(MAX(0,(R22-p_CorrFixa)/(I22*X22*$X$6)),9)/$X$5)*$X$5)))</f>
        <v/>
      </c>
      <c r="AF22" s="85" t="str">
        <f>IF(A22="","",IF(N(AE22)&gt;0,AE22*I22*X22*$X$6+p_CorrFixa,0))</f>
        <v/>
      </c>
      <c r="AG22" s="85" t="str">
        <f>IF(A22="","",IF(OR($Z$1&lt;=0,N(I22)&lt;=0,N(X22)&lt;=0,N(AC22)&lt;=0),0,IF($X$3="Sim",TRUNC(ROUND(MAX(0,($Z$1-IF(N(AE22)&gt;0,0,p_CorrFixa))/(I22*X22*$X$6)),9),$X$4),TRUNC(ROUND(MAX(0,($Z$1-IF(N(AE22)&gt;0,0,p_CorrFixa))/(I22*X22*$X$6)),9)/$X$5)*$X$5)))</f>
        <v/>
      </c>
      <c r="AH22" s="85" t="str">
        <f>IF(A22="","",IF(AND(N(AE22)=0,N(AG22)*(I22*X22*$X$6)+p_CorrFixa&lt;p_CompraMin),0,AG22))</f>
        <v/>
      </c>
      <c r="AI22" s="85" t="str">
        <f>IF(A22="","",IF(N(AH22)&gt;0,AC22,0))</f>
        <v/>
      </c>
      <c r="AJ22" s="85" t="str">
        <f>IF(A22="","",IF(AND(AI22&gt;0,AI22=$AI$6,COUNTIF($AI$9:AI22,AI22)=1),1,0))</f>
        <v/>
      </c>
    </row>
    <row r="23">
      <c r="A23" s="96" t="n"/>
      <c r="B23" s="96" t="n"/>
      <c r="C23" s="96" t="n"/>
      <c r="D23" s="96" t="n"/>
      <c r="E23" s="97" t="n"/>
      <c r="F23" s="98" t="n"/>
      <c r="G23" s="99" t="n"/>
      <c r="H23" s="100" t="n"/>
      <c r="I23" s="101" t="str">
        <f>IF(A23="","",IF(AND(p_ModoCot="Automático",ISNUMBER(AA23)),AA23,IF(N(H23)&gt;0,H23,0)))</f>
        <v/>
      </c>
      <c r="J23" s="73" t="str">
        <f>IF(A23="","",IF(X23=0,"Sem câmbio",IF(AND(p_ModoCot="Automático",ISNUMBER(AA23)),"Auto",IF(N(H23)&gt;0,"Manual","Sem cotação"))))</f>
        <v/>
      </c>
      <c r="K23" s="102" t="str">
        <f>IF(A23="","",N(F23)*I23)</f>
        <v/>
      </c>
      <c r="L23" s="70" t="str">
        <f>IF(A23="","",K23*X23)</f>
        <v/>
      </c>
      <c r="M23" s="30" t="str">
        <f>IF(A23="","",IF($L$6&gt;0,L23/$L$6,0))</f>
        <v/>
      </c>
      <c r="N23" s="72" t="str">
        <f>IF(A23="","",N(G23)-M23)</f>
        <v/>
      </c>
      <c r="O23" s="30" t="str">
        <f>IF(A23="","",IF($AC$6&gt;0,AC23/$AC$6,0))</f>
        <v/>
      </c>
      <c r="P23" s="74" t="str">
        <f>IF(A23="","",IF(AC23&lt;=0,"",COUNTIF($AC$9:$AC$68,"&gt;"&amp;AC23)+COUNTIF($AC$9:AC23,AC23)))</f>
        <v/>
      </c>
      <c r="Q23" s="73" t="str">
        <f>IF(A23="","",IF(R23&gt;0,"BUY","HOLD"))</f>
        <v/>
      </c>
      <c r="R23" s="70" t="str">
        <f>IF(A23="","",IF($X$7&lt;=0,0,IF($AD$6&gt;0,$X$7*AD23/$AD$6,IF($G$6&gt;0,$X$7*N(G23)/$G$6,0))))</f>
        <v/>
      </c>
      <c r="S23" s="103" t="str">
        <f>IF(A23="","",N(AE23)+IF(AJ23=1,N(AH23),0))</f>
        <v/>
      </c>
      <c r="T23" s="103" t="str">
        <f>IF(A23="","",N(F23)+N(S23))</f>
        <v/>
      </c>
      <c r="U23" s="70" t="str">
        <f>IF(A23="","",IF(N(S23)&gt;0,S23*I23*X23*$X$6+p_CorrFixa,0))</f>
        <v/>
      </c>
      <c r="W23" s="85" t="str">
        <f>IF(A23="","",IF(E23="",$X$1,E23))</f>
        <v/>
      </c>
      <c r="X23" s="85" t="str">
        <f>IF(A23="","",IFERROR(INDEX(moeda_fx,MATCH(W23,moeda_cod,0)),0))</f>
        <v/>
      </c>
      <c r="Y23" s="85" t="str">
        <f>IF(A23="","",IF($X$2="",UPPER(TRIM(A23)),IF(RIGHT(UPPER(TRIM(A23)),LEN($X$2))=$X$2,UPPER(TRIM(A23)),UPPER(TRIM(A23))&amp;$X$2)))</f>
        <v/>
      </c>
      <c r="Z23" s="85" t="str">
        <f>IF(OR(A23="",p_ModoCot&lt;&gt;"Automático"),"",IF(AND(p_FonteCripto="CoinGecko",TRIM(D23)&lt;&gt;""),IFERROR(_xlfn.WEBSERVICE("https://api.coingecko.com/api/v3/simple/price?ids="&amp;LOWER(TRIM(D23))&amp;"&amp;vs_currencies=usd"),""),IFERROR(_xlfn.WEBSERVICE("https://query1.finance.yahoo.com/v8/finance/chart/"&amp;Y23&amp;"?range=1d&amp;interval=1d"),"")))</f>
        <v/>
      </c>
      <c r="AA23" s="85" t="str">
        <f>IF(Z23="","",IFERROR(IF(ISNUMBER(SEARCH("regularMarketPrice",Z23)),_xlfn.NUMBERVALUE(MID(Z23,SEARCH("""regularMarketPrice"":",Z23)+21,SEARCH(",",Z23&amp;",",SEARCH("""regularMarketPrice"":",Z23)+21)-SEARCH("""regularMarketPrice"":",Z23)-21),".",","),_xlfn.NUMBERVALUE(MID(SUBSTITUTE(Z23,"}",","),SEARCH("""usd"":",SUBSTITUTE(Z23,"}",","))+6,SEARCH(",",SUBSTITUTE(Z23,"}",",")&amp;",",SEARCH("""usd"":",SUBSTITUTE(Z23,"}",","))+6)-SEARCH("""usd"":",SUBSTITUTE(Z23,"}",","))-6),".",",")),""))</f>
        <v/>
      </c>
      <c r="AB23" s="85" t="str">
        <f>IF(A23="","",ROUND(MAX(0,N(G23)*($L$6+$X$7)-L23),2))</f>
        <v/>
      </c>
      <c r="AC23" s="85" t="str">
        <f>IF(A23="","",IF(AND(N23&gt;0,N23&gt;=p_DifMin),AB23,0))</f>
        <v/>
      </c>
      <c r="AD23" s="85" t="str">
        <f>IF(A23="","",IF(AND(AC23&gt;0,N(P23)&lt;=p_MaxAtivos),AC23,0))</f>
        <v/>
      </c>
      <c r="AE23" s="85" t="str">
        <f>IF(A23="","",IF(OR(R23&lt;=0,R23&lt;p_CompraMin,N(I23)&lt;=0,N(X23)&lt;=0),0,IF($X$3="Sim",TRUNC(ROUND(MAX(0,(R23-p_CorrFixa)/(I23*X23*$X$6)),9),$X$4),TRUNC(ROUND(MAX(0,(R23-p_CorrFixa)/(I23*X23*$X$6)),9)/$X$5)*$X$5)))</f>
        <v/>
      </c>
      <c r="AF23" s="85" t="str">
        <f>IF(A23="","",IF(N(AE23)&gt;0,AE23*I23*X23*$X$6+p_CorrFixa,0))</f>
        <v/>
      </c>
      <c r="AG23" s="85" t="str">
        <f>IF(A23="","",IF(OR($Z$1&lt;=0,N(I23)&lt;=0,N(X23)&lt;=0,N(AC23)&lt;=0),0,IF($X$3="Sim",TRUNC(ROUND(MAX(0,($Z$1-IF(N(AE23)&gt;0,0,p_CorrFixa))/(I23*X23*$X$6)),9),$X$4),TRUNC(ROUND(MAX(0,($Z$1-IF(N(AE23)&gt;0,0,p_CorrFixa))/(I23*X23*$X$6)),9)/$X$5)*$X$5)))</f>
        <v/>
      </c>
      <c r="AH23" s="85" t="str">
        <f>IF(A23="","",IF(AND(N(AE23)=0,N(AG23)*(I23*X23*$X$6)+p_CorrFixa&lt;p_CompraMin),0,AG23))</f>
        <v/>
      </c>
      <c r="AI23" s="85" t="str">
        <f>IF(A23="","",IF(N(AH23)&gt;0,AC23,0))</f>
        <v/>
      </c>
      <c r="AJ23" s="85" t="str">
        <f>IF(A23="","",IF(AND(AI23&gt;0,AI23=$AI$6,COUNTIF($AI$9:AI23,AI23)=1),1,0))</f>
        <v/>
      </c>
    </row>
    <row r="24">
      <c r="A24" s="96" t="n"/>
      <c r="B24" s="96" t="n"/>
      <c r="C24" s="96" t="n"/>
      <c r="D24" s="96" t="n"/>
      <c r="E24" s="97" t="n"/>
      <c r="F24" s="98" t="n"/>
      <c r="G24" s="99" t="n"/>
      <c r="H24" s="100" t="n"/>
      <c r="I24" s="104" t="str">
        <f>IF(A24="","",IF(AND(p_ModoCot="Automático",ISNUMBER(AA24)),AA24,IF(N(H24)&gt;0,H24,0)))</f>
        <v/>
      </c>
      <c r="J24" s="105" t="str">
        <f>IF(A24="","",IF(X24=0,"Sem câmbio",IF(AND(p_ModoCot="Automático",ISNUMBER(AA24)),"Auto",IF(N(H24)&gt;0,"Manual","Sem cotação"))))</f>
        <v/>
      </c>
      <c r="K24" s="106" t="str">
        <f>IF(A24="","",N(F24)*I24)</f>
        <v/>
      </c>
      <c r="L24" s="107" t="str">
        <f>IF(A24="","",K24*X24)</f>
        <v/>
      </c>
      <c r="M24" s="108" t="str">
        <f>IF(A24="","",IF($L$6&gt;0,L24/$L$6,0))</f>
        <v/>
      </c>
      <c r="N24" s="109" t="str">
        <f>IF(A24="","",N(G24)-M24)</f>
        <v/>
      </c>
      <c r="O24" s="108" t="str">
        <f>IF(A24="","",IF($AC$6&gt;0,AC24/$AC$6,0))</f>
        <v/>
      </c>
      <c r="P24" s="110" t="str">
        <f>IF(A24="","",IF(AC24&lt;=0,"",COUNTIF($AC$9:$AC$68,"&gt;"&amp;AC24)+COUNTIF($AC$9:AC24,AC24)))</f>
        <v/>
      </c>
      <c r="Q24" s="105" t="str">
        <f>IF(A24="","",IF(R24&gt;0,"BUY","HOLD"))</f>
        <v/>
      </c>
      <c r="R24" s="107" t="str">
        <f>IF(A24="","",IF($X$7&lt;=0,0,IF($AD$6&gt;0,$X$7*AD24/$AD$6,IF($G$6&gt;0,$X$7*N(G24)/$G$6,0))))</f>
        <v/>
      </c>
      <c r="S24" s="111" t="str">
        <f>IF(A24="","",N(AE24)+IF(AJ24=1,N(AH24),0))</f>
        <v/>
      </c>
      <c r="T24" s="111" t="str">
        <f>IF(A24="","",N(F24)+N(S24))</f>
        <v/>
      </c>
      <c r="U24" s="107" t="str">
        <f>IF(A24="","",IF(N(S24)&gt;0,S24*I24*X24*$X$6+p_CorrFixa,0))</f>
        <v/>
      </c>
      <c r="W24" s="85" t="str">
        <f>IF(A24="","",IF(E24="",$X$1,E24))</f>
        <v/>
      </c>
      <c r="X24" s="85" t="str">
        <f>IF(A24="","",IFERROR(INDEX(moeda_fx,MATCH(W24,moeda_cod,0)),0))</f>
        <v/>
      </c>
      <c r="Y24" s="85" t="str">
        <f>IF(A24="","",IF($X$2="",UPPER(TRIM(A24)),IF(RIGHT(UPPER(TRIM(A24)),LEN($X$2))=$X$2,UPPER(TRIM(A24)),UPPER(TRIM(A24))&amp;$X$2)))</f>
        <v/>
      </c>
      <c r="Z24" s="85" t="str">
        <f>IF(OR(A24="",p_ModoCot&lt;&gt;"Automático"),"",IF(AND(p_FonteCripto="CoinGecko",TRIM(D24)&lt;&gt;""),IFERROR(_xlfn.WEBSERVICE("https://api.coingecko.com/api/v3/simple/price?ids="&amp;LOWER(TRIM(D24))&amp;"&amp;vs_currencies=usd"),""),IFERROR(_xlfn.WEBSERVICE("https://query1.finance.yahoo.com/v8/finance/chart/"&amp;Y24&amp;"?range=1d&amp;interval=1d"),"")))</f>
        <v/>
      </c>
      <c r="AA24" s="85" t="str">
        <f>IF(Z24="","",IFERROR(IF(ISNUMBER(SEARCH("regularMarketPrice",Z24)),_xlfn.NUMBERVALUE(MID(Z24,SEARCH("""regularMarketPrice"":",Z24)+21,SEARCH(",",Z24&amp;",",SEARCH("""regularMarketPrice"":",Z24)+21)-SEARCH("""regularMarketPrice"":",Z24)-21),".",","),_xlfn.NUMBERVALUE(MID(SUBSTITUTE(Z24,"}",","),SEARCH("""usd"":",SUBSTITUTE(Z24,"}",","))+6,SEARCH(",",SUBSTITUTE(Z24,"}",",")&amp;",",SEARCH("""usd"":",SUBSTITUTE(Z24,"}",","))+6)-SEARCH("""usd"":",SUBSTITUTE(Z24,"}",","))-6),".",",")),""))</f>
        <v/>
      </c>
      <c r="AB24" s="85" t="str">
        <f>IF(A24="","",ROUND(MAX(0,N(G24)*($L$6+$X$7)-L24),2))</f>
        <v/>
      </c>
      <c r="AC24" s="85" t="str">
        <f>IF(A24="","",IF(AND(N24&gt;0,N24&gt;=p_DifMin),AB24,0))</f>
        <v/>
      </c>
      <c r="AD24" s="85" t="str">
        <f>IF(A24="","",IF(AND(AC24&gt;0,N(P24)&lt;=p_MaxAtivos),AC24,0))</f>
        <v/>
      </c>
      <c r="AE24" s="85" t="str">
        <f>IF(A24="","",IF(OR(R24&lt;=0,R24&lt;p_CompraMin,N(I24)&lt;=0,N(X24)&lt;=0),0,IF($X$3="Sim",TRUNC(ROUND(MAX(0,(R24-p_CorrFixa)/(I24*X24*$X$6)),9),$X$4),TRUNC(ROUND(MAX(0,(R24-p_CorrFixa)/(I24*X24*$X$6)),9)/$X$5)*$X$5)))</f>
        <v/>
      </c>
      <c r="AF24" s="85" t="str">
        <f>IF(A24="","",IF(N(AE24)&gt;0,AE24*I24*X24*$X$6+p_CorrFixa,0))</f>
        <v/>
      </c>
      <c r="AG24" s="85" t="str">
        <f>IF(A24="","",IF(OR($Z$1&lt;=0,N(I24)&lt;=0,N(X24)&lt;=0,N(AC24)&lt;=0),0,IF($X$3="Sim",TRUNC(ROUND(MAX(0,($Z$1-IF(N(AE24)&gt;0,0,p_CorrFixa))/(I24*X24*$X$6)),9),$X$4),TRUNC(ROUND(MAX(0,($Z$1-IF(N(AE24)&gt;0,0,p_CorrFixa))/(I24*X24*$X$6)),9)/$X$5)*$X$5)))</f>
        <v/>
      </c>
      <c r="AH24" s="85" t="str">
        <f>IF(A24="","",IF(AND(N(AE24)=0,N(AG24)*(I24*X24*$X$6)+p_CorrFixa&lt;p_CompraMin),0,AG24))</f>
        <v/>
      </c>
      <c r="AI24" s="85" t="str">
        <f>IF(A24="","",IF(N(AH24)&gt;0,AC24,0))</f>
        <v/>
      </c>
      <c r="AJ24" s="85" t="str">
        <f>IF(A24="","",IF(AND(AI24&gt;0,AI24=$AI$6,COUNTIF($AI$9:AI24,AI24)=1),1,0))</f>
        <v/>
      </c>
    </row>
    <row r="25">
      <c r="A25" s="96" t="n"/>
      <c r="B25" s="96" t="n"/>
      <c r="C25" s="96" t="n"/>
      <c r="D25" s="96" t="n"/>
      <c r="E25" s="97" t="n"/>
      <c r="F25" s="98" t="n"/>
      <c r="G25" s="99" t="n"/>
      <c r="H25" s="100" t="n"/>
      <c r="I25" s="101" t="str">
        <f>IF(A25="","",IF(AND(p_ModoCot="Automático",ISNUMBER(AA25)),AA25,IF(N(H25)&gt;0,H25,0)))</f>
        <v/>
      </c>
      <c r="J25" s="73" t="str">
        <f>IF(A25="","",IF(X25=0,"Sem câmbio",IF(AND(p_ModoCot="Automático",ISNUMBER(AA25)),"Auto",IF(N(H25)&gt;0,"Manual","Sem cotação"))))</f>
        <v/>
      </c>
      <c r="K25" s="102" t="str">
        <f>IF(A25="","",N(F25)*I25)</f>
        <v/>
      </c>
      <c r="L25" s="70" t="str">
        <f>IF(A25="","",K25*X25)</f>
        <v/>
      </c>
      <c r="M25" s="30" t="str">
        <f>IF(A25="","",IF($L$6&gt;0,L25/$L$6,0))</f>
        <v/>
      </c>
      <c r="N25" s="72" t="str">
        <f>IF(A25="","",N(G25)-M25)</f>
        <v/>
      </c>
      <c r="O25" s="30" t="str">
        <f>IF(A25="","",IF($AC$6&gt;0,AC25/$AC$6,0))</f>
        <v/>
      </c>
      <c r="P25" s="74" t="str">
        <f>IF(A25="","",IF(AC25&lt;=0,"",COUNTIF($AC$9:$AC$68,"&gt;"&amp;AC25)+COUNTIF($AC$9:AC25,AC25)))</f>
        <v/>
      </c>
      <c r="Q25" s="73" t="str">
        <f>IF(A25="","",IF(R25&gt;0,"BUY","HOLD"))</f>
        <v/>
      </c>
      <c r="R25" s="70" t="str">
        <f>IF(A25="","",IF($X$7&lt;=0,0,IF($AD$6&gt;0,$X$7*AD25/$AD$6,IF($G$6&gt;0,$X$7*N(G25)/$G$6,0))))</f>
        <v/>
      </c>
      <c r="S25" s="103" t="str">
        <f>IF(A25="","",N(AE25)+IF(AJ25=1,N(AH25),0))</f>
        <v/>
      </c>
      <c r="T25" s="103" t="str">
        <f>IF(A25="","",N(F25)+N(S25))</f>
        <v/>
      </c>
      <c r="U25" s="70" t="str">
        <f>IF(A25="","",IF(N(S25)&gt;0,S25*I25*X25*$X$6+p_CorrFixa,0))</f>
        <v/>
      </c>
      <c r="W25" s="85" t="str">
        <f>IF(A25="","",IF(E25="",$X$1,E25))</f>
        <v/>
      </c>
      <c r="X25" s="85" t="str">
        <f>IF(A25="","",IFERROR(INDEX(moeda_fx,MATCH(W25,moeda_cod,0)),0))</f>
        <v/>
      </c>
      <c r="Y25" s="85" t="str">
        <f>IF(A25="","",IF($X$2="",UPPER(TRIM(A25)),IF(RIGHT(UPPER(TRIM(A25)),LEN($X$2))=$X$2,UPPER(TRIM(A25)),UPPER(TRIM(A25))&amp;$X$2)))</f>
        <v/>
      </c>
      <c r="Z25" s="85" t="str">
        <f>IF(OR(A25="",p_ModoCot&lt;&gt;"Automático"),"",IF(AND(p_FonteCripto="CoinGecko",TRIM(D25)&lt;&gt;""),IFERROR(_xlfn.WEBSERVICE("https://api.coingecko.com/api/v3/simple/price?ids="&amp;LOWER(TRIM(D25))&amp;"&amp;vs_currencies=usd"),""),IFERROR(_xlfn.WEBSERVICE("https://query1.finance.yahoo.com/v8/finance/chart/"&amp;Y25&amp;"?range=1d&amp;interval=1d"),"")))</f>
        <v/>
      </c>
      <c r="AA25" s="85" t="str">
        <f>IF(Z25="","",IFERROR(IF(ISNUMBER(SEARCH("regularMarketPrice",Z25)),_xlfn.NUMBERVALUE(MID(Z25,SEARCH("""regularMarketPrice"":",Z25)+21,SEARCH(",",Z25&amp;",",SEARCH("""regularMarketPrice"":",Z25)+21)-SEARCH("""regularMarketPrice"":",Z25)-21),".",","),_xlfn.NUMBERVALUE(MID(SUBSTITUTE(Z25,"}",","),SEARCH("""usd"":",SUBSTITUTE(Z25,"}",","))+6,SEARCH(",",SUBSTITUTE(Z25,"}",",")&amp;",",SEARCH("""usd"":",SUBSTITUTE(Z25,"}",","))+6)-SEARCH("""usd"":",SUBSTITUTE(Z25,"}",","))-6),".",",")),""))</f>
        <v/>
      </c>
      <c r="AB25" s="85" t="str">
        <f>IF(A25="","",ROUND(MAX(0,N(G25)*($L$6+$X$7)-L25),2))</f>
        <v/>
      </c>
      <c r="AC25" s="85" t="str">
        <f>IF(A25="","",IF(AND(N25&gt;0,N25&gt;=p_DifMin),AB25,0))</f>
        <v/>
      </c>
      <c r="AD25" s="85" t="str">
        <f>IF(A25="","",IF(AND(AC25&gt;0,N(P25)&lt;=p_MaxAtivos),AC25,0))</f>
        <v/>
      </c>
      <c r="AE25" s="85" t="str">
        <f>IF(A25="","",IF(OR(R25&lt;=0,R25&lt;p_CompraMin,N(I25)&lt;=0,N(X25)&lt;=0),0,IF($X$3="Sim",TRUNC(ROUND(MAX(0,(R25-p_CorrFixa)/(I25*X25*$X$6)),9),$X$4),TRUNC(ROUND(MAX(0,(R25-p_CorrFixa)/(I25*X25*$X$6)),9)/$X$5)*$X$5)))</f>
        <v/>
      </c>
      <c r="AF25" s="85" t="str">
        <f>IF(A25="","",IF(N(AE25)&gt;0,AE25*I25*X25*$X$6+p_CorrFixa,0))</f>
        <v/>
      </c>
      <c r="AG25" s="85" t="str">
        <f>IF(A25="","",IF(OR($Z$1&lt;=0,N(I25)&lt;=0,N(X25)&lt;=0,N(AC25)&lt;=0),0,IF($X$3="Sim",TRUNC(ROUND(MAX(0,($Z$1-IF(N(AE25)&gt;0,0,p_CorrFixa))/(I25*X25*$X$6)),9),$X$4),TRUNC(ROUND(MAX(0,($Z$1-IF(N(AE25)&gt;0,0,p_CorrFixa))/(I25*X25*$X$6)),9)/$X$5)*$X$5)))</f>
        <v/>
      </c>
      <c r="AH25" s="85" t="str">
        <f>IF(A25="","",IF(AND(N(AE25)=0,N(AG25)*(I25*X25*$X$6)+p_CorrFixa&lt;p_CompraMin),0,AG25))</f>
        <v/>
      </c>
      <c r="AI25" s="85" t="str">
        <f>IF(A25="","",IF(N(AH25)&gt;0,AC25,0))</f>
        <v/>
      </c>
      <c r="AJ25" s="85" t="str">
        <f>IF(A25="","",IF(AND(AI25&gt;0,AI25=$AI$6,COUNTIF($AI$9:AI25,AI25)=1),1,0))</f>
        <v/>
      </c>
    </row>
    <row r="26">
      <c r="A26" s="96" t="n"/>
      <c r="B26" s="96" t="n"/>
      <c r="C26" s="96" t="n"/>
      <c r="D26" s="96" t="n"/>
      <c r="E26" s="97" t="n"/>
      <c r="F26" s="98" t="n"/>
      <c r="G26" s="99" t="n"/>
      <c r="H26" s="100" t="n"/>
      <c r="I26" s="104" t="str">
        <f>IF(A26="","",IF(AND(p_ModoCot="Automático",ISNUMBER(AA26)),AA26,IF(N(H26)&gt;0,H26,0)))</f>
        <v/>
      </c>
      <c r="J26" s="105" t="str">
        <f>IF(A26="","",IF(X26=0,"Sem câmbio",IF(AND(p_ModoCot="Automático",ISNUMBER(AA26)),"Auto",IF(N(H26)&gt;0,"Manual","Sem cotação"))))</f>
        <v/>
      </c>
      <c r="K26" s="106" t="str">
        <f>IF(A26="","",N(F26)*I26)</f>
        <v/>
      </c>
      <c r="L26" s="107" t="str">
        <f>IF(A26="","",K26*X26)</f>
        <v/>
      </c>
      <c r="M26" s="108" t="str">
        <f>IF(A26="","",IF($L$6&gt;0,L26/$L$6,0))</f>
        <v/>
      </c>
      <c r="N26" s="109" t="str">
        <f>IF(A26="","",N(G26)-M26)</f>
        <v/>
      </c>
      <c r="O26" s="108" t="str">
        <f>IF(A26="","",IF($AC$6&gt;0,AC26/$AC$6,0))</f>
        <v/>
      </c>
      <c r="P26" s="110" t="str">
        <f>IF(A26="","",IF(AC26&lt;=0,"",COUNTIF($AC$9:$AC$68,"&gt;"&amp;AC26)+COUNTIF($AC$9:AC26,AC26)))</f>
        <v/>
      </c>
      <c r="Q26" s="105" t="str">
        <f>IF(A26="","",IF(R26&gt;0,"BUY","HOLD"))</f>
        <v/>
      </c>
      <c r="R26" s="107" t="str">
        <f>IF(A26="","",IF($X$7&lt;=0,0,IF($AD$6&gt;0,$X$7*AD26/$AD$6,IF($G$6&gt;0,$X$7*N(G26)/$G$6,0))))</f>
        <v/>
      </c>
      <c r="S26" s="111" t="str">
        <f>IF(A26="","",N(AE26)+IF(AJ26=1,N(AH26),0))</f>
        <v/>
      </c>
      <c r="T26" s="111" t="str">
        <f>IF(A26="","",N(F26)+N(S26))</f>
        <v/>
      </c>
      <c r="U26" s="107" t="str">
        <f>IF(A26="","",IF(N(S26)&gt;0,S26*I26*X26*$X$6+p_CorrFixa,0))</f>
        <v/>
      </c>
      <c r="W26" s="85" t="str">
        <f>IF(A26="","",IF(E26="",$X$1,E26))</f>
        <v/>
      </c>
      <c r="X26" s="85" t="str">
        <f>IF(A26="","",IFERROR(INDEX(moeda_fx,MATCH(W26,moeda_cod,0)),0))</f>
        <v/>
      </c>
      <c r="Y26" s="85" t="str">
        <f>IF(A26="","",IF($X$2="",UPPER(TRIM(A26)),IF(RIGHT(UPPER(TRIM(A26)),LEN($X$2))=$X$2,UPPER(TRIM(A26)),UPPER(TRIM(A26))&amp;$X$2)))</f>
        <v/>
      </c>
      <c r="Z26" s="85" t="str">
        <f>IF(OR(A26="",p_ModoCot&lt;&gt;"Automático"),"",IF(AND(p_FonteCripto="CoinGecko",TRIM(D26)&lt;&gt;""),IFERROR(_xlfn.WEBSERVICE("https://api.coingecko.com/api/v3/simple/price?ids="&amp;LOWER(TRIM(D26))&amp;"&amp;vs_currencies=usd"),""),IFERROR(_xlfn.WEBSERVICE("https://query1.finance.yahoo.com/v8/finance/chart/"&amp;Y26&amp;"?range=1d&amp;interval=1d"),"")))</f>
        <v/>
      </c>
      <c r="AA26" s="85" t="str">
        <f>IF(Z26="","",IFERROR(IF(ISNUMBER(SEARCH("regularMarketPrice",Z26)),_xlfn.NUMBERVALUE(MID(Z26,SEARCH("""regularMarketPrice"":",Z26)+21,SEARCH(",",Z26&amp;",",SEARCH("""regularMarketPrice"":",Z26)+21)-SEARCH("""regularMarketPrice"":",Z26)-21),".",","),_xlfn.NUMBERVALUE(MID(SUBSTITUTE(Z26,"}",","),SEARCH("""usd"":",SUBSTITUTE(Z26,"}",","))+6,SEARCH(",",SUBSTITUTE(Z26,"}",",")&amp;",",SEARCH("""usd"":",SUBSTITUTE(Z26,"}",","))+6)-SEARCH("""usd"":",SUBSTITUTE(Z26,"}",","))-6),".",",")),""))</f>
        <v/>
      </c>
      <c r="AB26" s="85" t="str">
        <f>IF(A26="","",ROUND(MAX(0,N(G26)*($L$6+$X$7)-L26),2))</f>
        <v/>
      </c>
      <c r="AC26" s="85" t="str">
        <f>IF(A26="","",IF(AND(N26&gt;0,N26&gt;=p_DifMin),AB26,0))</f>
        <v/>
      </c>
      <c r="AD26" s="85" t="str">
        <f>IF(A26="","",IF(AND(AC26&gt;0,N(P26)&lt;=p_MaxAtivos),AC26,0))</f>
        <v/>
      </c>
      <c r="AE26" s="85" t="str">
        <f>IF(A26="","",IF(OR(R26&lt;=0,R26&lt;p_CompraMin,N(I26)&lt;=0,N(X26)&lt;=0),0,IF($X$3="Sim",TRUNC(ROUND(MAX(0,(R26-p_CorrFixa)/(I26*X26*$X$6)),9),$X$4),TRUNC(ROUND(MAX(0,(R26-p_CorrFixa)/(I26*X26*$X$6)),9)/$X$5)*$X$5)))</f>
        <v/>
      </c>
      <c r="AF26" s="85" t="str">
        <f>IF(A26="","",IF(N(AE26)&gt;0,AE26*I26*X26*$X$6+p_CorrFixa,0))</f>
        <v/>
      </c>
      <c r="AG26" s="85" t="str">
        <f>IF(A26="","",IF(OR($Z$1&lt;=0,N(I26)&lt;=0,N(X26)&lt;=0,N(AC26)&lt;=0),0,IF($X$3="Sim",TRUNC(ROUND(MAX(0,($Z$1-IF(N(AE26)&gt;0,0,p_CorrFixa))/(I26*X26*$X$6)),9),$X$4),TRUNC(ROUND(MAX(0,($Z$1-IF(N(AE26)&gt;0,0,p_CorrFixa))/(I26*X26*$X$6)),9)/$X$5)*$X$5)))</f>
        <v/>
      </c>
      <c r="AH26" s="85" t="str">
        <f>IF(A26="","",IF(AND(N(AE26)=0,N(AG26)*(I26*X26*$X$6)+p_CorrFixa&lt;p_CompraMin),0,AG26))</f>
        <v/>
      </c>
      <c r="AI26" s="85" t="str">
        <f>IF(A26="","",IF(N(AH26)&gt;0,AC26,0))</f>
        <v/>
      </c>
      <c r="AJ26" s="85" t="str">
        <f>IF(A26="","",IF(AND(AI26&gt;0,AI26=$AI$6,COUNTIF($AI$9:AI26,AI26)=1),1,0))</f>
        <v/>
      </c>
    </row>
    <row r="27">
      <c r="A27" s="96" t="n"/>
      <c r="B27" s="96" t="n"/>
      <c r="C27" s="96" t="n"/>
      <c r="D27" s="96" t="n"/>
      <c r="E27" s="97" t="n"/>
      <c r="F27" s="98" t="n"/>
      <c r="G27" s="99" t="n"/>
      <c r="H27" s="100" t="n"/>
      <c r="I27" s="101" t="str">
        <f>IF(A27="","",IF(AND(p_ModoCot="Automático",ISNUMBER(AA27)),AA27,IF(N(H27)&gt;0,H27,0)))</f>
        <v/>
      </c>
      <c r="J27" s="73" t="str">
        <f>IF(A27="","",IF(X27=0,"Sem câmbio",IF(AND(p_ModoCot="Automático",ISNUMBER(AA27)),"Auto",IF(N(H27)&gt;0,"Manual","Sem cotação"))))</f>
        <v/>
      </c>
      <c r="K27" s="102" t="str">
        <f>IF(A27="","",N(F27)*I27)</f>
        <v/>
      </c>
      <c r="L27" s="70" t="str">
        <f>IF(A27="","",K27*X27)</f>
        <v/>
      </c>
      <c r="M27" s="30" t="str">
        <f>IF(A27="","",IF($L$6&gt;0,L27/$L$6,0))</f>
        <v/>
      </c>
      <c r="N27" s="72" t="str">
        <f>IF(A27="","",N(G27)-M27)</f>
        <v/>
      </c>
      <c r="O27" s="30" t="str">
        <f>IF(A27="","",IF($AC$6&gt;0,AC27/$AC$6,0))</f>
        <v/>
      </c>
      <c r="P27" s="74" t="str">
        <f>IF(A27="","",IF(AC27&lt;=0,"",COUNTIF($AC$9:$AC$68,"&gt;"&amp;AC27)+COUNTIF($AC$9:AC27,AC27)))</f>
        <v/>
      </c>
      <c r="Q27" s="73" t="str">
        <f>IF(A27="","",IF(R27&gt;0,"BUY","HOLD"))</f>
        <v/>
      </c>
      <c r="R27" s="70" t="str">
        <f>IF(A27="","",IF($X$7&lt;=0,0,IF($AD$6&gt;0,$X$7*AD27/$AD$6,IF($G$6&gt;0,$X$7*N(G27)/$G$6,0))))</f>
        <v/>
      </c>
      <c r="S27" s="103" t="str">
        <f>IF(A27="","",N(AE27)+IF(AJ27=1,N(AH27),0))</f>
        <v/>
      </c>
      <c r="T27" s="103" t="str">
        <f>IF(A27="","",N(F27)+N(S27))</f>
        <v/>
      </c>
      <c r="U27" s="70" t="str">
        <f>IF(A27="","",IF(N(S27)&gt;0,S27*I27*X27*$X$6+p_CorrFixa,0))</f>
        <v/>
      </c>
      <c r="W27" s="85" t="str">
        <f>IF(A27="","",IF(E27="",$X$1,E27))</f>
        <v/>
      </c>
      <c r="X27" s="85" t="str">
        <f>IF(A27="","",IFERROR(INDEX(moeda_fx,MATCH(W27,moeda_cod,0)),0))</f>
        <v/>
      </c>
      <c r="Y27" s="85" t="str">
        <f>IF(A27="","",IF($X$2="",UPPER(TRIM(A27)),IF(RIGHT(UPPER(TRIM(A27)),LEN($X$2))=$X$2,UPPER(TRIM(A27)),UPPER(TRIM(A27))&amp;$X$2)))</f>
        <v/>
      </c>
      <c r="Z27" s="85" t="str">
        <f>IF(OR(A27="",p_ModoCot&lt;&gt;"Automático"),"",IF(AND(p_FonteCripto="CoinGecko",TRIM(D27)&lt;&gt;""),IFERROR(_xlfn.WEBSERVICE("https://api.coingecko.com/api/v3/simple/price?ids="&amp;LOWER(TRIM(D27))&amp;"&amp;vs_currencies=usd"),""),IFERROR(_xlfn.WEBSERVICE("https://query1.finance.yahoo.com/v8/finance/chart/"&amp;Y27&amp;"?range=1d&amp;interval=1d"),"")))</f>
        <v/>
      </c>
      <c r="AA27" s="85" t="str">
        <f>IF(Z27="","",IFERROR(IF(ISNUMBER(SEARCH("regularMarketPrice",Z27)),_xlfn.NUMBERVALUE(MID(Z27,SEARCH("""regularMarketPrice"":",Z27)+21,SEARCH(",",Z27&amp;",",SEARCH("""regularMarketPrice"":",Z27)+21)-SEARCH("""regularMarketPrice"":",Z27)-21),".",","),_xlfn.NUMBERVALUE(MID(SUBSTITUTE(Z27,"}",","),SEARCH("""usd"":",SUBSTITUTE(Z27,"}",","))+6,SEARCH(",",SUBSTITUTE(Z27,"}",",")&amp;",",SEARCH("""usd"":",SUBSTITUTE(Z27,"}",","))+6)-SEARCH("""usd"":",SUBSTITUTE(Z27,"}",","))-6),".",",")),""))</f>
        <v/>
      </c>
      <c r="AB27" s="85" t="str">
        <f>IF(A27="","",ROUND(MAX(0,N(G27)*($L$6+$X$7)-L27),2))</f>
        <v/>
      </c>
      <c r="AC27" s="85" t="str">
        <f>IF(A27="","",IF(AND(N27&gt;0,N27&gt;=p_DifMin),AB27,0))</f>
        <v/>
      </c>
      <c r="AD27" s="85" t="str">
        <f>IF(A27="","",IF(AND(AC27&gt;0,N(P27)&lt;=p_MaxAtivos),AC27,0))</f>
        <v/>
      </c>
      <c r="AE27" s="85" t="str">
        <f>IF(A27="","",IF(OR(R27&lt;=0,R27&lt;p_CompraMin,N(I27)&lt;=0,N(X27)&lt;=0),0,IF($X$3="Sim",TRUNC(ROUND(MAX(0,(R27-p_CorrFixa)/(I27*X27*$X$6)),9),$X$4),TRUNC(ROUND(MAX(0,(R27-p_CorrFixa)/(I27*X27*$X$6)),9)/$X$5)*$X$5)))</f>
        <v/>
      </c>
      <c r="AF27" s="85" t="str">
        <f>IF(A27="","",IF(N(AE27)&gt;0,AE27*I27*X27*$X$6+p_CorrFixa,0))</f>
        <v/>
      </c>
      <c r="AG27" s="85" t="str">
        <f>IF(A27="","",IF(OR($Z$1&lt;=0,N(I27)&lt;=0,N(X27)&lt;=0,N(AC27)&lt;=0),0,IF($X$3="Sim",TRUNC(ROUND(MAX(0,($Z$1-IF(N(AE27)&gt;0,0,p_CorrFixa))/(I27*X27*$X$6)),9),$X$4),TRUNC(ROUND(MAX(0,($Z$1-IF(N(AE27)&gt;0,0,p_CorrFixa))/(I27*X27*$X$6)),9)/$X$5)*$X$5)))</f>
        <v/>
      </c>
      <c r="AH27" s="85" t="str">
        <f>IF(A27="","",IF(AND(N(AE27)=0,N(AG27)*(I27*X27*$X$6)+p_CorrFixa&lt;p_CompraMin),0,AG27))</f>
        <v/>
      </c>
      <c r="AI27" s="85" t="str">
        <f>IF(A27="","",IF(N(AH27)&gt;0,AC27,0))</f>
        <v/>
      </c>
      <c r="AJ27" s="85" t="str">
        <f>IF(A27="","",IF(AND(AI27&gt;0,AI27=$AI$6,COUNTIF($AI$9:AI27,AI27)=1),1,0))</f>
        <v/>
      </c>
    </row>
    <row r="28">
      <c r="A28" s="96" t="n"/>
      <c r="B28" s="96" t="n"/>
      <c r="C28" s="96" t="n"/>
      <c r="D28" s="96" t="n"/>
      <c r="E28" s="97" t="n"/>
      <c r="F28" s="98" t="n"/>
      <c r="G28" s="99" t="n"/>
      <c r="H28" s="100" t="n"/>
      <c r="I28" s="104" t="str">
        <f>IF(A28="","",IF(AND(p_ModoCot="Automático",ISNUMBER(AA28)),AA28,IF(N(H28)&gt;0,H28,0)))</f>
        <v/>
      </c>
      <c r="J28" s="105" t="str">
        <f>IF(A28="","",IF(X28=0,"Sem câmbio",IF(AND(p_ModoCot="Automático",ISNUMBER(AA28)),"Auto",IF(N(H28)&gt;0,"Manual","Sem cotação"))))</f>
        <v/>
      </c>
      <c r="K28" s="106" t="str">
        <f>IF(A28="","",N(F28)*I28)</f>
        <v/>
      </c>
      <c r="L28" s="107" t="str">
        <f>IF(A28="","",K28*X28)</f>
        <v/>
      </c>
      <c r="M28" s="108" t="str">
        <f>IF(A28="","",IF($L$6&gt;0,L28/$L$6,0))</f>
        <v/>
      </c>
      <c r="N28" s="109" t="str">
        <f>IF(A28="","",N(G28)-M28)</f>
        <v/>
      </c>
      <c r="O28" s="108" t="str">
        <f>IF(A28="","",IF($AC$6&gt;0,AC28/$AC$6,0))</f>
        <v/>
      </c>
      <c r="P28" s="110" t="str">
        <f>IF(A28="","",IF(AC28&lt;=0,"",COUNTIF($AC$9:$AC$68,"&gt;"&amp;AC28)+COUNTIF($AC$9:AC28,AC28)))</f>
        <v/>
      </c>
      <c r="Q28" s="105" t="str">
        <f>IF(A28="","",IF(R28&gt;0,"BUY","HOLD"))</f>
        <v/>
      </c>
      <c r="R28" s="107" t="str">
        <f>IF(A28="","",IF($X$7&lt;=0,0,IF($AD$6&gt;0,$X$7*AD28/$AD$6,IF($G$6&gt;0,$X$7*N(G28)/$G$6,0))))</f>
        <v/>
      </c>
      <c r="S28" s="111" t="str">
        <f>IF(A28="","",N(AE28)+IF(AJ28=1,N(AH28),0))</f>
        <v/>
      </c>
      <c r="T28" s="111" t="str">
        <f>IF(A28="","",N(F28)+N(S28))</f>
        <v/>
      </c>
      <c r="U28" s="107" t="str">
        <f>IF(A28="","",IF(N(S28)&gt;0,S28*I28*X28*$X$6+p_CorrFixa,0))</f>
        <v/>
      </c>
      <c r="W28" s="85" t="str">
        <f>IF(A28="","",IF(E28="",$X$1,E28))</f>
        <v/>
      </c>
      <c r="X28" s="85" t="str">
        <f>IF(A28="","",IFERROR(INDEX(moeda_fx,MATCH(W28,moeda_cod,0)),0))</f>
        <v/>
      </c>
      <c r="Y28" s="85" t="str">
        <f>IF(A28="","",IF($X$2="",UPPER(TRIM(A28)),IF(RIGHT(UPPER(TRIM(A28)),LEN($X$2))=$X$2,UPPER(TRIM(A28)),UPPER(TRIM(A28))&amp;$X$2)))</f>
        <v/>
      </c>
      <c r="Z28" s="85" t="str">
        <f>IF(OR(A28="",p_ModoCot&lt;&gt;"Automático"),"",IF(AND(p_FonteCripto="CoinGecko",TRIM(D28)&lt;&gt;""),IFERROR(_xlfn.WEBSERVICE("https://api.coingecko.com/api/v3/simple/price?ids="&amp;LOWER(TRIM(D28))&amp;"&amp;vs_currencies=usd"),""),IFERROR(_xlfn.WEBSERVICE("https://query1.finance.yahoo.com/v8/finance/chart/"&amp;Y28&amp;"?range=1d&amp;interval=1d"),"")))</f>
        <v/>
      </c>
      <c r="AA28" s="85" t="str">
        <f>IF(Z28="","",IFERROR(IF(ISNUMBER(SEARCH("regularMarketPrice",Z28)),_xlfn.NUMBERVALUE(MID(Z28,SEARCH("""regularMarketPrice"":",Z28)+21,SEARCH(",",Z28&amp;",",SEARCH("""regularMarketPrice"":",Z28)+21)-SEARCH("""regularMarketPrice"":",Z28)-21),".",","),_xlfn.NUMBERVALUE(MID(SUBSTITUTE(Z28,"}",","),SEARCH("""usd"":",SUBSTITUTE(Z28,"}",","))+6,SEARCH(",",SUBSTITUTE(Z28,"}",",")&amp;",",SEARCH("""usd"":",SUBSTITUTE(Z28,"}",","))+6)-SEARCH("""usd"":",SUBSTITUTE(Z28,"}",","))-6),".",",")),""))</f>
        <v/>
      </c>
      <c r="AB28" s="85" t="str">
        <f>IF(A28="","",ROUND(MAX(0,N(G28)*($L$6+$X$7)-L28),2))</f>
        <v/>
      </c>
      <c r="AC28" s="85" t="str">
        <f>IF(A28="","",IF(AND(N28&gt;0,N28&gt;=p_DifMin),AB28,0))</f>
        <v/>
      </c>
      <c r="AD28" s="85" t="str">
        <f>IF(A28="","",IF(AND(AC28&gt;0,N(P28)&lt;=p_MaxAtivos),AC28,0))</f>
        <v/>
      </c>
      <c r="AE28" s="85" t="str">
        <f>IF(A28="","",IF(OR(R28&lt;=0,R28&lt;p_CompraMin,N(I28)&lt;=0,N(X28)&lt;=0),0,IF($X$3="Sim",TRUNC(ROUND(MAX(0,(R28-p_CorrFixa)/(I28*X28*$X$6)),9),$X$4),TRUNC(ROUND(MAX(0,(R28-p_CorrFixa)/(I28*X28*$X$6)),9)/$X$5)*$X$5)))</f>
        <v/>
      </c>
      <c r="AF28" s="85" t="str">
        <f>IF(A28="","",IF(N(AE28)&gt;0,AE28*I28*X28*$X$6+p_CorrFixa,0))</f>
        <v/>
      </c>
      <c r="AG28" s="85" t="str">
        <f>IF(A28="","",IF(OR($Z$1&lt;=0,N(I28)&lt;=0,N(X28)&lt;=0,N(AC28)&lt;=0),0,IF($X$3="Sim",TRUNC(ROUND(MAX(0,($Z$1-IF(N(AE28)&gt;0,0,p_CorrFixa))/(I28*X28*$X$6)),9),$X$4),TRUNC(ROUND(MAX(0,($Z$1-IF(N(AE28)&gt;0,0,p_CorrFixa))/(I28*X28*$X$6)),9)/$X$5)*$X$5)))</f>
        <v/>
      </c>
      <c r="AH28" s="85" t="str">
        <f>IF(A28="","",IF(AND(N(AE28)=0,N(AG28)*(I28*X28*$X$6)+p_CorrFixa&lt;p_CompraMin),0,AG28))</f>
        <v/>
      </c>
      <c r="AI28" s="85" t="str">
        <f>IF(A28="","",IF(N(AH28)&gt;0,AC28,0))</f>
        <v/>
      </c>
      <c r="AJ28" s="85" t="str">
        <f>IF(A28="","",IF(AND(AI28&gt;0,AI28=$AI$6,COUNTIF($AI$9:AI28,AI28)=1),1,0))</f>
        <v/>
      </c>
    </row>
    <row r="29">
      <c r="A29" s="96" t="n"/>
      <c r="B29" s="96" t="n"/>
      <c r="C29" s="96" t="n"/>
      <c r="D29" s="96" t="n"/>
      <c r="E29" s="97" t="n"/>
      <c r="F29" s="98" t="n"/>
      <c r="G29" s="99" t="n"/>
      <c r="H29" s="100" t="n"/>
      <c r="I29" s="101" t="str">
        <f>IF(A29="","",IF(AND(p_ModoCot="Automático",ISNUMBER(AA29)),AA29,IF(N(H29)&gt;0,H29,0)))</f>
        <v/>
      </c>
      <c r="J29" s="73" t="str">
        <f>IF(A29="","",IF(X29=0,"Sem câmbio",IF(AND(p_ModoCot="Automático",ISNUMBER(AA29)),"Auto",IF(N(H29)&gt;0,"Manual","Sem cotação"))))</f>
        <v/>
      </c>
      <c r="K29" s="102" t="str">
        <f>IF(A29="","",N(F29)*I29)</f>
        <v/>
      </c>
      <c r="L29" s="70" t="str">
        <f>IF(A29="","",K29*X29)</f>
        <v/>
      </c>
      <c r="M29" s="30" t="str">
        <f>IF(A29="","",IF($L$6&gt;0,L29/$L$6,0))</f>
        <v/>
      </c>
      <c r="N29" s="72" t="str">
        <f>IF(A29="","",N(G29)-M29)</f>
        <v/>
      </c>
      <c r="O29" s="30" t="str">
        <f>IF(A29="","",IF($AC$6&gt;0,AC29/$AC$6,0))</f>
        <v/>
      </c>
      <c r="P29" s="74" t="str">
        <f>IF(A29="","",IF(AC29&lt;=0,"",COUNTIF($AC$9:$AC$68,"&gt;"&amp;AC29)+COUNTIF($AC$9:AC29,AC29)))</f>
        <v/>
      </c>
      <c r="Q29" s="73" t="str">
        <f>IF(A29="","",IF(R29&gt;0,"BUY","HOLD"))</f>
        <v/>
      </c>
      <c r="R29" s="70" t="str">
        <f>IF(A29="","",IF($X$7&lt;=0,0,IF($AD$6&gt;0,$X$7*AD29/$AD$6,IF($G$6&gt;0,$X$7*N(G29)/$G$6,0))))</f>
        <v/>
      </c>
      <c r="S29" s="103" t="str">
        <f>IF(A29="","",N(AE29)+IF(AJ29=1,N(AH29),0))</f>
        <v/>
      </c>
      <c r="T29" s="103" t="str">
        <f>IF(A29="","",N(F29)+N(S29))</f>
        <v/>
      </c>
      <c r="U29" s="70" t="str">
        <f>IF(A29="","",IF(N(S29)&gt;0,S29*I29*X29*$X$6+p_CorrFixa,0))</f>
        <v/>
      </c>
      <c r="W29" s="85" t="str">
        <f>IF(A29="","",IF(E29="",$X$1,E29))</f>
        <v/>
      </c>
      <c r="X29" s="85" t="str">
        <f>IF(A29="","",IFERROR(INDEX(moeda_fx,MATCH(W29,moeda_cod,0)),0))</f>
        <v/>
      </c>
      <c r="Y29" s="85" t="str">
        <f>IF(A29="","",IF($X$2="",UPPER(TRIM(A29)),IF(RIGHT(UPPER(TRIM(A29)),LEN($X$2))=$X$2,UPPER(TRIM(A29)),UPPER(TRIM(A29))&amp;$X$2)))</f>
        <v/>
      </c>
      <c r="Z29" s="85" t="str">
        <f>IF(OR(A29="",p_ModoCot&lt;&gt;"Automático"),"",IF(AND(p_FonteCripto="CoinGecko",TRIM(D29)&lt;&gt;""),IFERROR(_xlfn.WEBSERVICE("https://api.coingecko.com/api/v3/simple/price?ids="&amp;LOWER(TRIM(D29))&amp;"&amp;vs_currencies=usd"),""),IFERROR(_xlfn.WEBSERVICE("https://query1.finance.yahoo.com/v8/finance/chart/"&amp;Y29&amp;"?range=1d&amp;interval=1d"),"")))</f>
        <v/>
      </c>
      <c r="AA29" s="85" t="str">
        <f>IF(Z29="","",IFERROR(IF(ISNUMBER(SEARCH("regularMarketPrice",Z29)),_xlfn.NUMBERVALUE(MID(Z29,SEARCH("""regularMarketPrice"":",Z29)+21,SEARCH(",",Z29&amp;",",SEARCH("""regularMarketPrice"":",Z29)+21)-SEARCH("""regularMarketPrice"":",Z29)-21),".",","),_xlfn.NUMBERVALUE(MID(SUBSTITUTE(Z29,"}",","),SEARCH("""usd"":",SUBSTITUTE(Z29,"}",","))+6,SEARCH(",",SUBSTITUTE(Z29,"}",",")&amp;",",SEARCH("""usd"":",SUBSTITUTE(Z29,"}",","))+6)-SEARCH("""usd"":",SUBSTITUTE(Z29,"}",","))-6),".",",")),""))</f>
        <v/>
      </c>
      <c r="AB29" s="85" t="str">
        <f>IF(A29="","",ROUND(MAX(0,N(G29)*($L$6+$X$7)-L29),2))</f>
        <v/>
      </c>
      <c r="AC29" s="85" t="str">
        <f>IF(A29="","",IF(AND(N29&gt;0,N29&gt;=p_DifMin),AB29,0))</f>
        <v/>
      </c>
      <c r="AD29" s="85" t="str">
        <f>IF(A29="","",IF(AND(AC29&gt;0,N(P29)&lt;=p_MaxAtivos),AC29,0))</f>
        <v/>
      </c>
      <c r="AE29" s="85" t="str">
        <f>IF(A29="","",IF(OR(R29&lt;=0,R29&lt;p_CompraMin,N(I29)&lt;=0,N(X29)&lt;=0),0,IF($X$3="Sim",TRUNC(ROUND(MAX(0,(R29-p_CorrFixa)/(I29*X29*$X$6)),9),$X$4),TRUNC(ROUND(MAX(0,(R29-p_CorrFixa)/(I29*X29*$X$6)),9)/$X$5)*$X$5)))</f>
        <v/>
      </c>
      <c r="AF29" s="85" t="str">
        <f>IF(A29="","",IF(N(AE29)&gt;0,AE29*I29*X29*$X$6+p_CorrFixa,0))</f>
        <v/>
      </c>
      <c r="AG29" s="85" t="str">
        <f>IF(A29="","",IF(OR($Z$1&lt;=0,N(I29)&lt;=0,N(X29)&lt;=0,N(AC29)&lt;=0),0,IF($X$3="Sim",TRUNC(ROUND(MAX(0,($Z$1-IF(N(AE29)&gt;0,0,p_CorrFixa))/(I29*X29*$X$6)),9),$X$4),TRUNC(ROUND(MAX(0,($Z$1-IF(N(AE29)&gt;0,0,p_CorrFixa))/(I29*X29*$X$6)),9)/$X$5)*$X$5)))</f>
        <v/>
      </c>
      <c r="AH29" s="85" t="str">
        <f>IF(A29="","",IF(AND(N(AE29)=0,N(AG29)*(I29*X29*$X$6)+p_CorrFixa&lt;p_CompraMin),0,AG29))</f>
        <v/>
      </c>
      <c r="AI29" s="85" t="str">
        <f>IF(A29="","",IF(N(AH29)&gt;0,AC29,0))</f>
        <v/>
      </c>
      <c r="AJ29" s="85" t="str">
        <f>IF(A29="","",IF(AND(AI29&gt;0,AI29=$AI$6,COUNTIF($AI$9:AI29,AI29)=1),1,0))</f>
        <v/>
      </c>
    </row>
    <row r="30">
      <c r="A30" s="96" t="n"/>
      <c r="B30" s="96" t="n"/>
      <c r="C30" s="96" t="n"/>
      <c r="D30" s="96" t="n"/>
      <c r="E30" s="97" t="n"/>
      <c r="F30" s="98" t="n"/>
      <c r="G30" s="99" t="n"/>
      <c r="H30" s="100" t="n"/>
      <c r="I30" s="104" t="str">
        <f>IF(A30="","",IF(AND(p_ModoCot="Automático",ISNUMBER(AA30)),AA30,IF(N(H30)&gt;0,H30,0)))</f>
        <v/>
      </c>
      <c r="J30" s="105" t="str">
        <f>IF(A30="","",IF(X30=0,"Sem câmbio",IF(AND(p_ModoCot="Automático",ISNUMBER(AA30)),"Auto",IF(N(H30)&gt;0,"Manual","Sem cotação"))))</f>
        <v/>
      </c>
      <c r="K30" s="106" t="str">
        <f>IF(A30="","",N(F30)*I30)</f>
        <v/>
      </c>
      <c r="L30" s="107" t="str">
        <f>IF(A30="","",K30*X30)</f>
        <v/>
      </c>
      <c r="M30" s="108" t="str">
        <f>IF(A30="","",IF($L$6&gt;0,L30/$L$6,0))</f>
        <v/>
      </c>
      <c r="N30" s="109" t="str">
        <f>IF(A30="","",N(G30)-M30)</f>
        <v/>
      </c>
      <c r="O30" s="108" t="str">
        <f>IF(A30="","",IF($AC$6&gt;0,AC30/$AC$6,0))</f>
        <v/>
      </c>
      <c r="P30" s="110" t="str">
        <f>IF(A30="","",IF(AC30&lt;=0,"",COUNTIF($AC$9:$AC$68,"&gt;"&amp;AC30)+COUNTIF($AC$9:AC30,AC30)))</f>
        <v/>
      </c>
      <c r="Q30" s="105" t="str">
        <f>IF(A30="","",IF(R30&gt;0,"BUY","HOLD"))</f>
        <v/>
      </c>
      <c r="R30" s="107" t="str">
        <f>IF(A30="","",IF($X$7&lt;=0,0,IF($AD$6&gt;0,$X$7*AD30/$AD$6,IF($G$6&gt;0,$X$7*N(G30)/$G$6,0))))</f>
        <v/>
      </c>
      <c r="S30" s="111" t="str">
        <f>IF(A30="","",N(AE30)+IF(AJ30=1,N(AH30),0))</f>
        <v/>
      </c>
      <c r="T30" s="111" t="str">
        <f>IF(A30="","",N(F30)+N(S30))</f>
        <v/>
      </c>
      <c r="U30" s="107" t="str">
        <f>IF(A30="","",IF(N(S30)&gt;0,S30*I30*X30*$X$6+p_CorrFixa,0))</f>
        <v/>
      </c>
      <c r="W30" s="85" t="str">
        <f>IF(A30="","",IF(E30="",$X$1,E30))</f>
        <v/>
      </c>
      <c r="X30" s="85" t="str">
        <f>IF(A30="","",IFERROR(INDEX(moeda_fx,MATCH(W30,moeda_cod,0)),0))</f>
        <v/>
      </c>
      <c r="Y30" s="85" t="str">
        <f>IF(A30="","",IF($X$2="",UPPER(TRIM(A30)),IF(RIGHT(UPPER(TRIM(A30)),LEN($X$2))=$X$2,UPPER(TRIM(A30)),UPPER(TRIM(A30))&amp;$X$2)))</f>
        <v/>
      </c>
      <c r="Z30" s="85" t="str">
        <f>IF(OR(A30="",p_ModoCot&lt;&gt;"Automático"),"",IF(AND(p_FonteCripto="CoinGecko",TRIM(D30)&lt;&gt;""),IFERROR(_xlfn.WEBSERVICE("https://api.coingecko.com/api/v3/simple/price?ids="&amp;LOWER(TRIM(D30))&amp;"&amp;vs_currencies=usd"),""),IFERROR(_xlfn.WEBSERVICE("https://query1.finance.yahoo.com/v8/finance/chart/"&amp;Y30&amp;"?range=1d&amp;interval=1d"),"")))</f>
        <v/>
      </c>
      <c r="AA30" s="85" t="str">
        <f>IF(Z30="","",IFERROR(IF(ISNUMBER(SEARCH("regularMarketPrice",Z30)),_xlfn.NUMBERVALUE(MID(Z30,SEARCH("""regularMarketPrice"":",Z30)+21,SEARCH(",",Z30&amp;",",SEARCH("""regularMarketPrice"":",Z30)+21)-SEARCH("""regularMarketPrice"":",Z30)-21),".",","),_xlfn.NUMBERVALUE(MID(SUBSTITUTE(Z30,"}",","),SEARCH("""usd"":",SUBSTITUTE(Z30,"}",","))+6,SEARCH(",",SUBSTITUTE(Z30,"}",",")&amp;",",SEARCH("""usd"":",SUBSTITUTE(Z30,"}",","))+6)-SEARCH("""usd"":",SUBSTITUTE(Z30,"}",","))-6),".",",")),""))</f>
        <v/>
      </c>
      <c r="AB30" s="85" t="str">
        <f>IF(A30="","",ROUND(MAX(0,N(G30)*($L$6+$X$7)-L30),2))</f>
        <v/>
      </c>
      <c r="AC30" s="85" t="str">
        <f>IF(A30="","",IF(AND(N30&gt;0,N30&gt;=p_DifMin),AB30,0))</f>
        <v/>
      </c>
      <c r="AD30" s="85" t="str">
        <f>IF(A30="","",IF(AND(AC30&gt;0,N(P30)&lt;=p_MaxAtivos),AC30,0))</f>
        <v/>
      </c>
      <c r="AE30" s="85" t="str">
        <f>IF(A30="","",IF(OR(R30&lt;=0,R30&lt;p_CompraMin,N(I30)&lt;=0,N(X30)&lt;=0),0,IF($X$3="Sim",TRUNC(ROUND(MAX(0,(R30-p_CorrFixa)/(I30*X30*$X$6)),9),$X$4),TRUNC(ROUND(MAX(0,(R30-p_CorrFixa)/(I30*X30*$X$6)),9)/$X$5)*$X$5)))</f>
        <v/>
      </c>
      <c r="AF30" s="85" t="str">
        <f>IF(A30="","",IF(N(AE30)&gt;0,AE30*I30*X30*$X$6+p_CorrFixa,0))</f>
        <v/>
      </c>
      <c r="AG30" s="85" t="str">
        <f>IF(A30="","",IF(OR($Z$1&lt;=0,N(I30)&lt;=0,N(X30)&lt;=0,N(AC30)&lt;=0),0,IF($X$3="Sim",TRUNC(ROUND(MAX(0,($Z$1-IF(N(AE30)&gt;0,0,p_CorrFixa))/(I30*X30*$X$6)),9),$X$4),TRUNC(ROUND(MAX(0,($Z$1-IF(N(AE30)&gt;0,0,p_CorrFixa))/(I30*X30*$X$6)),9)/$X$5)*$X$5)))</f>
        <v/>
      </c>
      <c r="AH30" s="85" t="str">
        <f>IF(A30="","",IF(AND(N(AE30)=0,N(AG30)*(I30*X30*$X$6)+p_CorrFixa&lt;p_CompraMin),0,AG30))</f>
        <v/>
      </c>
      <c r="AI30" s="85" t="str">
        <f>IF(A30="","",IF(N(AH30)&gt;0,AC30,0))</f>
        <v/>
      </c>
      <c r="AJ30" s="85" t="str">
        <f>IF(A30="","",IF(AND(AI30&gt;0,AI30=$AI$6,COUNTIF($AI$9:AI30,AI30)=1),1,0))</f>
        <v/>
      </c>
    </row>
    <row r="31">
      <c r="A31" s="96" t="n"/>
      <c r="B31" s="96" t="n"/>
      <c r="C31" s="96" t="n"/>
      <c r="D31" s="96" t="n"/>
      <c r="E31" s="97" t="n"/>
      <c r="F31" s="98" t="n"/>
      <c r="G31" s="99" t="n"/>
      <c r="H31" s="100" t="n"/>
      <c r="I31" s="101" t="str">
        <f>IF(A31="","",IF(AND(p_ModoCot="Automático",ISNUMBER(AA31)),AA31,IF(N(H31)&gt;0,H31,0)))</f>
        <v/>
      </c>
      <c r="J31" s="73" t="str">
        <f>IF(A31="","",IF(X31=0,"Sem câmbio",IF(AND(p_ModoCot="Automático",ISNUMBER(AA31)),"Auto",IF(N(H31)&gt;0,"Manual","Sem cotação"))))</f>
        <v/>
      </c>
      <c r="K31" s="102" t="str">
        <f>IF(A31="","",N(F31)*I31)</f>
        <v/>
      </c>
      <c r="L31" s="70" t="str">
        <f>IF(A31="","",K31*X31)</f>
        <v/>
      </c>
      <c r="M31" s="30" t="str">
        <f>IF(A31="","",IF($L$6&gt;0,L31/$L$6,0))</f>
        <v/>
      </c>
      <c r="N31" s="72" t="str">
        <f>IF(A31="","",N(G31)-M31)</f>
        <v/>
      </c>
      <c r="O31" s="30" t="str">
        <f>IF(A31="","",IF($AC$6&gt;0,AC31/$AC$6,0))</f>
        <v/>
      </c>
      <c r="P31" s="74" t="str">
        <f>IF(A31="","",IF(AC31&lt;=0,"",COUNTIF($AC$9:$AC$68,"&gt;"&amp;AC31)+COUNTIF($AC$9:AC31,AC31)))</f>
        <v/>
      </c>
      <c r="Q31" s="73" t="str">
        <f>IF(A31="","",IF(R31&gt;0,"BUY","HOLD"))</f>
        <v/>
      </c>
      <c r="R31" s="70" t="str">
        <f>IF(A31="","",IF($X$7&lt;=0,0,IF($AD$6&gt;0,$X$7*AD31/$AD$6,IF($G$6&gt;0,$X$7*N(G31)/$G$6,0))))</f>
        <v/>
      </c>
      <c r="S31" s="103" t="str">
        <f>IF(A31="","",N(AE31)+IF(AJ31=1,N(AH31),0))</f>
        <v/>
      </c>
      <c r="T31" s="103" t="str">
        <f>IF(A31="","",N(F31)+N(S31))</f>
        <v/>
      </c>
      <c r="U31" s="70" t="str">
        <f>IF(A31="","",IF(N(S31)&gt;0,S31*I31*X31*$X$6+p_CorrFixa,0))</f>
        <v/>
      </c>
      <c r="W31" s="85" t="str">
        <f>IF(A31="","",IF(E31="",$X$1,E31))</f>
        <v/>
      </c>
      <c r="X31" s="85" t="str">
        <f>IF(A31="","",IFERROR(INDEX(moeda_fx,MATCH(W31,moeda_cod,0)),0))</f>
        <v/>
      </c>
      <c r="Y31" s="85" t="str">
        <f>IF(A31="","",IF($X$2="",UPPER(TRIM(A31)),IF(RIGHT(UPPER(TRIM(A31)),LEN($X$2))=$X$2,UPPER(TRIM(A31)),UPPER(TRIM(A31))&amp;$X$2)))</f>
        <v/>
      </c>
      <c r="Z31" s="85" t="str">
        <f>IF(OR(A31="",p_ModoCot&lt;&gt;"Automático"),"",IF(AND(p_FonteCripto="CoinGecko",TRIM(D31)&lt;&gt;""),IFERROR(_xlfn.WEBSERVICE("https://api.coingecko.com/api/v3/simple/price?ids="&amp;LOWER(TRIM(D31))&amp;"&amp;vs_currencies=usd"),""),IFERROR(_xlfn.WEBSERVICE("https://query1.finance.yahoo.com/v8/finance/chart/"&amp;Y31&amp;"?range=1d&amp;interval=1d"),"")))</f>
        <v/>
      </c>
      <c r="AA31" s="85" t="str">
        <f>IF(Z31="","",IFERROR(IF(ISNUMBER(SEARCH("regularMarketPrice",Z31)),_xlfn.NUMBERVALUE(MID(Z31,SEARCH("""regularMarketPrice"":",Z31)+21,SEARCH(",",Z31&amp;",",SEARCH("""regularMarketPrice"":",Z31)+21)-SEARCH("""regularMarketPrice"":",Z31)-21),".",","),_xlfn.NUMBERVALUE(MID(SUBSTITUTE(Z31,"}",","),SEARCH("""usd"":",SUBSTITUTE(Z31,"}",","))+6,SEARCH(",",SUBSTITUTE(Z31,"}",",")&amp;",",SEARCH("""usd"":",SUBSTITUTE(Z31,"}",","))+6)-SEARCH("""usd"":",SUBSTITUTE(Z31,"}",","))-6),".",",")),""))</f>
        <v/>
      </c>
      <c r="AB31" s="85" t="str">
        <f>IF(A31="","",ROUND(MAX(0,N(G31)*($L$6+$X$7)-L31),2))</f>
        <v/>
      </c>
      <c r="AC31" s="85" t="str">
        <f>IF(A31="","",IF(AND(N31&gt;0,N31&gt;=p_DifMin),AB31,0))</f>
        <v/>
      </c>
      <c r="AD31" s="85" t="str">
        <f>IF(A31="","",IF(AND(AC31&gt;0,N(P31)&lt;=p_MaxAtivos),AC31,0))</f>
        <v/>
      </c>
      <c r="AE31" s="85" t="str">
        <f>IF(A31="","",IF(OR(R31&lt;=0,R31&lt;p_CompraMin,N(I31)&lt;=0,N(X31)&lt;=0),0,IF($X$3="Sim",TRUNC(ROUND(MAX(0,(R31-p_CorrFixa)/(I31*X31*$X$6)),9),$X$4),TRUNC(ROUND(MAX(0,(R31-p_CorrFixa)/(I31*X31*$X$6)),9)/$X$5)*$X$5)))</f>
        <v/>
      </c>
      <c r="AF31" s="85" t="str">
        <f>IF(A31="","",IF(N(AE31)&gt;0,AE31*I31*X31*$X$6+p_CorrFixa,0))</f>
        <v/>
      </c>
      <c r="AG31" s="85" t="str">
        <f>IF(A31="","",IF(OR($Z$1&lt;=0,N(I31)&lt;=0,N(X31)&lt;=0,N(AC31)&lt;=0),0,IF($X$3="Sim",TRUNC(ROUND(MAX(0,($Z$1-IF(N(AE31)&gt;0,0,p_CorrFixa))/(I31*X31*$X$6)),9),$X$4),TRUNC(ROUND(MAX(0,($Z$1-IF(N(AE31)&gt;0,0,p_CorrFixa))/(I31*X31*$X$6)),9)/$X$5)*$X$5)))</f>
        <v/>
      </c>
      <c r="AH31" s="85" t="str">
        <f>IF(A31="","",IF(AND(N(AE31)=0,N(AG31)*(I31*X31*$X$6)+p_CorrFixa&lt;p_CompraMin),0,AG31))</f>
        <v/>
      </c>
      <c r="AI31" s="85" t="str">
        <f>IF(A31="","",IF(N(AH31)&gt;0,AC31,0))</f>
        <v/>
      </c>
      <c r="AJ31" s="85" t="str">
        <f>IF(A31="","",IF(AND(AI31&gt;0,AI31=$AI$6,COUNTIF($AI$9:AI31,AI31)=1),1,0))</f>
        <v/>
      </c>
    </row>
    <row r="32">
      <c r="A32" s="96" t="n"/>
      <c r="B32" s="96" t="n"/>
      <c r="C32" s="96" t="n"/>
      <c r="D32" s="96" t="n"/>
      <c r="E32" s="97" t="n"/>
      <c r="F32" s="98" t="n"/>
      <c r="G32" s="99" t="n"/>
      <c r="H32" s="100" t="n"/>
      <c r="I32" s="104" t="str">
        <f>IF(A32="","",IF(AND(p_ModoCot="Automático",ISNUMBER(AA32)),AA32,IF(N(H32)&gt;0,H32,0)))</f>
        <v/>
      </c>
      <c r="J32" s="105" t="str">
        <f>IF(A32="","",IF(X32=0,"Sem câmbio",IF(AND(p_ModoCot="Automático",ISNUMBER(AA32)),"Auto",IF(N(H32)&gt;0,"Manual","Sem cotação"))))</f>
        <v/>
      </c>
      <c r="K32" s="106" t="str">
        <f>IF(A32="","",N(F32)*I32)</f>
        <v/>
      </c>
      <c r="L32" s="107" t="str">
        <f>IF(A32="","",K32*X32)</f>
        <v/>
      </c>
      <c r="M32" s="108" t="str">
        <f>IF(A32="","",IF($L$6&gt;0,L32/$L$6,0))</f>
        <v/>
      </c>
      <c r="N32" s="109" t="str">
        <f>IF(A32="","",N(G32)-M32)</f>
        <v/>
      </c>
      <c r="O32" s="108" t="str">
        <f>IF(A32="","",IF($AC$6&gt;0,AC32/$AC$6,0))</f>
        <v/>
      </c>
      <c r="P32" s="110" t="str">
        <f>IF(A32="","",IF(AC32&lt;=0,"",COUNTIF($AC$9:$AC$68,"&gt;"&amp;AC32)+COUNTIF($AC$9:AC32,AC32)))</f>
        <v/>
      </c>
      <c r="Q32" s="105" t="str">
        <f>IF(A32="","",IF(R32&gt;0,"BUY","HOLD"))</f>
        <v/>
      </c>
      <c r="R32" s="107" t="str">
        <f>IF(A32="","",IF($X$7&lt;=0,0,IF($AD$6&gt;0,$X$7*AD32/$AD$6,IF($G$6&gt;0,$X$7*N(G32)/$G$6,0))))</f>
        <v/>
      </c>
      <c r="S32" s="111" t="str">
        <f>IF(A32="","",N(AE32)+IF(AJ32=1,N(AH32),0))</f>
        <v/>
      </c>
      <c r="T32" s="111" t="str">
        <f>IF(A32="","",N(F32)+N(S32))</f>
        <v/>
      </c>
      <c r="U32" s="107" t="str">
        <f>IF(A32="","",IF(N(S32)&gt;0,S32*I32*X32*$X$6+p_CorrFixa,0))</f>
        <v/>
      </c>
      <c r="W32" s="85" t="str">
        <f>IF(A32="","",IF(E32="",$X$1,E32))</f>
        <v/>
      </c>
      <c r="X32" s="85" t="str">
        <f>IF(A32="","",IFERROR(INDEX(moeda_fx,MATCH(W32,moeda_cod,0)),0))</f>
        <v/>
      </c>
      <c r="Y32" s="85" t="str">
        <f>IF(A32="","",IF($X$2="",UPPER(TRIM(A32)),IF(RIGHT(UPPER(TRIM(A32)),LEN($X$2))=$X$2,UPPER(TRIM(A32)),UPPER(TRIM(A32))&amp;$X$2)))</f>
        <v/>
      </c>
      <c r="Z32" s="85" t="str">
        <f>IF(OR(A32="",p_ModoCot&lt;&gt;"Automático"),"",IF(AND(p_FonteCripto="CoinGecko",TRIM(D32)&lt;&gt;""),IFERROR(_xlfn.WEBSERVICE("https://api.coingecko.com/api/v3/simple/price?ids="&amp;LOWER(TRIM(D32))&amp;"&amp;vs_currencies=usd"),""),IFERROR(_xlfn.WEBSERVICE("https://query1.finance.yahoo.com/v8/finance/chart/"&amp;Y32&amp;"?range=1d&amp;interval=1d"),"")))</f>
        <v/>
      </c>
      <c r="AA32" s="85" t="str">
        <f>IF(Z32="","",IFERROR(IF(ISNUMBER(SEARCH("regularMarketPrice",Z32)),_xlfn.NUMBERVALUE(MID(Z32,SEARCH("""regularMarketPrice"":",Z32)+21,SEARCH(",",Z32&amp;",",SEARCH("""regularMarketPrice"":",Z32)+21)-SEARCH("""regularMarketPrice"":",Z32)-21),".",","),_xlfn.NUMBERVALUE(MID(SUBSTITUTE(Z32,"}",","),SEARCH("""usd"":",SUBSTITUTE(Z32,"}",","))+6,SEARCH(",",SUBSTITUTE(Z32,"}",",")&amp;",",SEARCH("""usd"":",SUBSTITUTE(Z32,"}",","))+6)-SEARCH("""usd"":",SUBSTITUTE(Z32,"}",","))-6),".",",")),""))</f>
        <v/>
      </c>
      <c r="AB32" s="85" t="str">
        <f>IF(A32="","",ROUND(MAX(0,N(G32)*($L$6+$X$7)-L32),2))</f>
        <v/>
      </c>
      <c r="AC32" s="85" t="str">
        <f>IF(A32="","",IF(AND(N32&gt;0,N32&gt;=p_DifMin),AB32,0))</f>
        <v/>
      </c>
      <c r="AD32" s="85" t="str">
        <f>IF(A32="","",IF(AND(AC32&gt;0,N(P32)&lt;=p_MaxAtivos),AC32,0))</f>
        <v/>
      </c>
      <c r="AE32" s="85" t="str">
        <f>IF(A32="","",IF(OR(R32&lt;=0,R32&lt;p_CompraMin,N(I32)&lt;=0,N(X32)&lt;=0),0,IF($X$3="Sim",TRUNC(ROUND(MAX(0,(R32-p_CorrFixa)/(I32*X32*$X$6)),9),$X$4),TRUNC(ROUND(MAX(0,(R32-p_CorrFixa)/(I32*X32*$X$6)),9)/$X$5)*$X$5)))</f>
        <v/>
      </c>
      <c r="AF32" s="85" t="str">
        <f>IF(A32="","",IF(N(AE32)&gt;0,AE32*I32*X32*$X$6+p_CorrFixa,0))</f>
        <v/>
      </c>
      <c r="AG32" s="85" t="str">
        <f>IF(A32="","",IF(OR($Z$1&lt;=0,N(I32)&lt;=0,N(X32)&lt;=0,N(AC32)&lt;=0),0,IF($X$3="Sim",TRUNC(ROUND(MAX(0,($Z$1-IF(N(AE32)&gt;0,0,p_CorrFixa))/(I32*X32*$X$6)),9),$X$4),TRUNC(ROUND(MAX(0,($Z$1-IF(N(AE32)&gt;0,0,p_CorrFixa))/(I32*X32*$X$6)),9)/$X$5)*$X$5)))</f>
        <v/>
      </c>
      <c r="AH32" s="85" t="str">
        <f>IF(A32="","",IF(AND(N(AE32)=0,N(AG32)*(I32*X32*$X$6)+p_CorrFixa&lt;p_CompraMin),0,AG32))</f>
        <v/>
      </c>
      <c r="AI32" s="85" t="str">
        <f>IF(A32="","",IF(N(AH32)&gt;0,AC32,0))</f>
        <v/>
      </c>
      <c r="AJ32" s="85" t="str">
        <f>IF(A32="","",IF(AND(AI32&gt;0,AI32=$AI$6,COUNTIF($AI$9:AI32,AI32)=1),1,0))</f>
        <v/>
      </c>
    </row>
    <row r="33">
      <c r="A33" s="96" t="n"/>
      <c r="B33" s="96" t="n"/>
      <c r="C33" s="96" t="n"/>
      <c r="D33" s="96" t="n"/>
      <c r="E33" s="97" t="n"/>
      <c r="F33" s="98" t="n"/>
      <c r="G33" s="99" t="n"/>
      <c r="H33" s="100" t="n"/>
      <c r="I33" s="101" t="str">
        <f>IF(A33="","",IF(AND(p_ModoCot="Automático",ISNUMBER(AA33)),AA33,IF(N(H33)&gt;0,H33,0)))</f>
        <v/>
      </c>
      <c r="J33" s="73" t="str">
        <f>IF(A33="","",IF(X33=0,"Sem câmbio",IF(AND(p_ModoCot="Automático",ISNUMBER(AA33)),"Auto",IF(N(H33)&gt;0,"Manual","Sem cotação"))))</f>
        <v/>
      </c>
      <c r="K33" s="102" t="str">
        <f>IF(A33="","",N(F33)*I33)</f>
        <v/>
      </c>
      <c r="L33" s="70" t="str">
        <f>IF(A33="","",K33*X33)</f>
        <v/>
      </c>
      <c r="M33" s="30" t="str">
        <f>IF(A33="","",IF($L$6&gt;0,L33/$L$6,0))</f>
        <v/>
      </c>
      <c r="N33" s="72" t="str">
        <f>IF(A33="","",N(G33)-M33)</f>
        <v/>
      </c>
      <c r="O33" s="30" t="str">
        <f>IF(A33="","",IF($AC$6&gt;0,AC33/$AC$6,0))</f>
        <v/>
      </c>
      <c r="P33" s="74" t="str">
        <f>IF(A33="","",IF(AC33&lt;=0,"",COUNTIF($AC$9:$AC$68,"&gt;"&amp;AC33)+COUNTIF($AC$9:AC33,AC33)))</f>
        <v/>
      </c>
      <c r="Q33" s="73" t="str">
        <f>IF(A33="","",IF(R33&gt;0,"BUY","HOLD"))</f>
        <v/>
      </c>
      <c r="R33" s="70" t="str">
        <f>IF(A33="","",IF($X$7&lt;=0,0,IF($AD$6&gt;0,$X$7*AD33/$AD$6,IF($G$6&gt;0,$X$7*N(G33)/$G$6,0))))</f>
        <v/>
      </c>
      <c r="S33" s="103" t="str">
        <f>IF(A33="","",N(AE33)+IF(AJ33=1,N(AH33),0))</f>
        <v/>
      </c>
      <c r="T33" s="103" t="str">
        <f>IF(A33="","",N(F33)+N(S33))</f>
        <v/>
      </c>
      <c r="U33" s="70" t="str">
        <f>IF(A33="","",IF(N(S33)&gt;0,S33*I33*X33*$X$6+p_CorrFixa,0))</f>
        <v/>
      </c>
      <c r="W33" s="85" t="str">
        <f>IF(A33="","",IF(E33="",$X$1,E33))</f>
        <v/>
      </c>
      <c r="X33" s="85" t="str">
        <f>IF(A33="","",IFERROR(INDEX(moeda_fx,MATCH(W33,moeda_cod,0)),0))</f>
        <v/>
      </c>
      <c r="Y33" s="85" t="str">
        <f>IF(A33="","",IF($X$2="",UPPER(TRIM(A33)),IF(RIGHT(UPPER(TRIM(A33)),LEN($X$2))=$X$2,UPPER(TRIM(A33)),UPPER(TRIM(A33))&amp;$X$2)))</f>
        <v/>
      </c>
      <c r="Z33" s="85" t="str">
        <f>IF(OR(A33="",p_ModoCot&lt;&gt;"Automático"),"",IF(AND(p_FonteCripto="CoinGecko",TRIM(D33)&lt;&gt;""),IFERROR(_xlfn.WEBSERVICE("https://api.coingecko.com/api/v3/simple/price?ids="&amp;LOWER(TRIM(D33))&amp;"&amp;vs_currencies=usd"),""),IFERROR(_xlfn.WEBSERVICE("https://query1.finance.yahoo.com/v8/finance/chart/"&amp;Y33&amp;"?range=1d&amp;interval=1d"),"")))</f>
        <v/>
      </c>
      <c r="AA33" s="85" t="str">
        <f>IF(Z33="","",IFERROR(IF(ISNUMBER(SEARCH("regularMarketPrice",Z33)),_xlfn.NUMBERVALUE(MID(Z33,SEARCH("""regularMarketPrice"":",Z33)+21,SEARCH(",",Z33&amp;",",SEARCH("""regularMarketPrice"":",Z33)+21)-SEARCH("""regularMarketPrice"":",Z33)-21),".",","),_xlfn.NUMBERVALUE(MID(SUBSTITUTE(Z33,"}",","),SEARCH("""usd"":",SUBSTITUTE(Z33,"}",","))+6,SEARCH(",",SUBSTITUTE(Z33,"}",",")&amp;",",SEARCH("""usd"":",SUBSTITUTE(Z33,"}",","))+6)-SEARCH("""usd"":",SUBSTITUTE(Z33,"}",","))-6),".",",")),""))</f>
        <v/>
      </c>
      <c r="AB33" s="85" t="str">
        <f>IF(A33="","",ROUND(MAX(0,N(G33)*($L$6+$X$7)-L33),2))</f>
        <v/>
      </c>
      <c r="AC33" s="85" t="str">
        <f>IF(A33="","",IF(AND(N33&gt;0,N33&gt;=p_DifMin),AB33,0))</f>
        <v/>
      </c>
      <c r="AD33" s="85" t="str">
        <f>IF(A33="","",IF(AND(AC33&gt;0,N(P33)&lt;=p_MaxAtivos),AC33,0))</f>
        <v/>
      </c>
      <c r="AE33" s="85" t="str">
        <f>IF(A33="","",IF(OR(R33&lt;=0,R33&lt;p_CompraMin,N(I33)&lt;=0,N(X33)&lt;=0),0,IF($X$3="Sim",TRUNC(ROUND(MAX(0,(R33-p_CorrFixa)/(I33*X33*$X$6)),9),$X$4),TRUNC(ROUND(MAX(0,(R33-p_CorrFixa)/(I33*X33*$X$6)),9)/$X$5)*$X$5)))</f>
        <v/>
      </c>
      <c r="AF33" s="85" t="str">
        <f>IF(A33="","",IF(N(AE33)&gt;0,AE33*I33*X33*$X$6+p_CorrFixa,0))</f>
        <v/>
      </c>
      <c r="AG33" s="85" t="str">
        <f>IF(A33="","",IF(OR($Z$1&lt;=0,N(I33)&lt;=0,N(X33)&lt;=0,N(AC33)&lt;=0),0,IF($X$3="Sim",TRUNC(ROUND(MAX(0,($Z$1-IF(N(AE33)&gt;0,0,p_CorrFixa))/(I33*X33*$X$6)),9),$X$4),TRUNC(ROUND(MAX(0,($Z$1-IF(N(AE33)&gt;0,0,p_CorrFixa))/(I33*X33*$X$6)),9)/$X$5)*$X$5)))</f>
        <v/>
      </c>
      <c r="AH33" s="85" t="str">
        <f>IF(A33="","",IF(AND(N(AE33)=0,N(AG33)*(I33*X33*$X$6)+p_CorrFixa&lt;p_CompraMin),0,AG33))</f>
        <v/>
      </c>
      <c r="AI33" s="85" t="str">
        <f>IF(A33="","",IF(N(AH33)&gt;0,AC33,0))</f>
        <v/>
      </c>
      <c r="AJ33" s="85" t="str">
        <f>IF(A33="","",IF(AND(AI33&gt;0,AI33=$AI$6,COUNTIF($AI$9:AI33,AI33)=1),1,0))</f>
        <v/>
      </c>
    </row>
    <row r="34">
      <c r="A34" s="96" t="n"/>
      <c r="B34" s="96" t="n"/>
      <c r="C34" s="96" t="n"/>
      <c r="D34" s="96" t="n"/>
      <c r="E34" s="97" t="n"/>
      <c r="F34" s="98" t="n"/>
      <c r="G34" s="99" t="n"/>
      <c r="H34" s="100" t="n"/>
      <c r="I34" s="104" t="str">
        <f>IF(A34="","",IF(AND(p_ModoCot="Automático",ISNUMBER(AA34)),AA34,IF(N(H34)&gt;0,H34,0)))</f>
        <v/>
      </c>
      <c r="J34" s="105" t="str">
        <f>IF(A34="","",IF(X34=0,"Sem câmbio",IF(AND(p_ModoCot="Automático",ISNUMBER(AA34)),"Auto",IF(N(H34)&gt;0,"Manual","Sem cotação"))))</f>
        <v/>
      </c>
      <c r="K34" s="106" t="str">
        <f>IF(A34="","",N(F34)*I34)</f>
        <v/>
      </c>
      <c r="L34" s="107" t="str">
        <f>IF(A34="","",K34*X34)</f>
        <v/>
      </c>
      <c r="M34" s="108" t="str">
        <f>IF(A34="","",IF($L$6&gt;0,L34/$L$6,0))</f>
        <v/>
      </c>
      <c r="N34" s="109" t="str">
        <f>IF(A34="","",N(G34)-M34)</f>
        <v/>
      </c>
      <c r="O34" s="108" t="str">
        <f>IF(A34="","",IF($AC$6&gt;0,AC34/$AC$6,0))</f>
        <v/>
      </c>
      <c r="P34" s="110" t="str">
        <f>IF(A34="","",IF(AC34&lt;=0,"",COUNTIF($AC$9:$AC$68,"&gt;"&amp;AC34)+COUNTIF($AC$9:AC34,AC34)))</f>
        <v/>
      </c>
      <c r="Q34" s="105" t="str">
        <f>IF(A34="","",IF(R34&gt;0,"BUY","HOLD"))</f>
        <v/>
      </c>
      <c r="R34" s="107" t="str">
        <f>IF(A34="","",IF($X$7&lt;=0,0,IF($AD$6&gt;0,$X$7*AD34/$AD$6,IF($G$6&gt;0,$X$7*N(G34)/$G$6,0))))</f>
        <v/>
      </c>
      <c r="S34" s="111" t="str">
        <f>IF(A34="","",N(AE34)+IF(AJ34=1,N(AH34),0))</f>
        <v/>
      </c>
      <c r="T34" s="111" t="str">
        <f>IF(A34="","",N(F34)+N(S34))</f>
        <v/>
      </c>
      <c r="U34" s="107" t="str">
        <f>IF(A34="","",IF(N(S34)&gt;0,S34*I34*X34*$X$6+p_CorrFixa,0))</f>
        <v/>
      </c>
      <c r="W34" s="85" t="str">
        <f>IF(A34="","",IF(E34="",$X$1,E34))</f>
        <v/>
      </c>
      <c r="X34" s="85" t="str">
        <f>IF(A34="","",IFERROR(INDEX(moeda_fx,MATCH(W34,moeda_cod,0)),0))</f>
        <v/>
      </c>
      <c r="Y34" s="85" t="str">
        <f>IF(A34="","",IF($X$2="",UPPER(TRIM(A34)),IF(RIGHT(UPPER(TRIM(A34)),LEN($X$2))=$X$2,UPPER(TRIM(A34)),UPPER(TRIM(A34))&amp;$X$2)))</f>
        <v/>
      </c>
      <c r="Z34" s="85" t="str">
        <f>IF(OR(A34="",p_ModoCot&lt;&gt;"Automático"),"",IF(AND(p_FonteCripto="CoinGecko",TRIM(D34)&lt;&gt;""),IFERROR(_xlfn.WEBSERVICE("https://api.coingecko.com/api/v3/simple/price?ids="&amp;LOWER(TRIM(D34))&amp;"&amp;vs_currencies=usd"),""),IFERROR(_xlfn.WEBSERVICE("https://query1.finance.yahoo.com/v8/finance/chart/"&amp;Y34&amp;"?range=1d&amp;interval=1d"),"")))</f>
        <v/>
      </c>
      <c r="AA34" s="85" t="str">
        <f>IF(Z34="","",IFERROR(IF(ISNUMBER(SEARCH("regularMarketPrice",Z34)),_xlfn.NUMBERVALUE(MID(Z34,SEARCH("""regularMarketPrice"":",Z34)+21,SEARCH(",",Z34&amp;",",SEARCH("""regularMarketPrice"":",Z34)+21)-SEARCH("""regularMarketPrice"":",Z34)-21),".",","),_xlfn.NUMBERVALUE(MID(SUBSTITUTE(Z34,"}",","),SEARCH("""usd"":",SUBSTITUTE(Z34,"}",","))+6,SEARCH(",",SUBSTITUTE(Z34,"}",",")&amp;",",SEARCH("""usd"":",SUBSTITUTE(Z34,"}",","))+6)-SEARCH("""usd"":",SUBSTITUTE(Z34,"}",","))-6),".",",")),""))</f>
        <v/>
      </c>
      <c r="AB34" s="85" t="str">
        <f>IF(A34="","",ROUND(MAX(0,N(G34)*($L$6+$X$7)-L34),2))</f>
        <v/>
      </c>
      <c r="AC34" s="85" t="str">
        <f>IF(A34="","",IF(AND(N34&gt;0,N34&gt;=p_DifMin),AB34,0))</f>
        <v/>
      </c>
      <c r="AD34" s="85" t="str">
        <f>IF(A34="","",IF(AND(AC34&gt;0,N(P34)&lt;=p_MaxAtivos),AC34,0))</f>
        <v/>
      </c>
      <c r="AE34" s="85" t="str">
        <f>IF(A34="","",IF(OR(R34&lt;=0,R34&lt;p_CompraMin,N(I34)&lt;=0,N(X34)&lt;=0),0,IF($X$3="Sim",TRUNC(ROUND(MAX(0,(R34-p_CorrFixa)/(I34*X34*$X$6)),9),$X$4),TRUNC(ROUND(MAX(0,(R34-p_CorrFixa)/(I34*X34*$X$6)),9)/$X$5)*$X$5)))</f>
        <v/>
      </c>
      <c r="AF34" s="85" t="str">
        <f>IF(A34="","",IF(N(AE34)&gt;0,AE34*I34*X34*$X$6+p_CorrFixa,0))</f>
        <v/>
      </c>
      <c r="AG34" s="85" t="str">
        <f>IF(A34="","",IF(OR($Z$1&lt;=0,N(I34)&lt;=0,N(X34)&lt;=0,N(AC34)&lt;=0),0,IF($X$3="Sim",TRUNC(ROUND(MAX(0,($Z$1-IF(N(AE34)&gt;0,0,p_CorrFixa))/(I34*X34*$X$6)),9),$X$4),TRUNC(ROUND(MAX(0,($Z$1-IF(N(AE34)&gt;0,0,p_CorrFixa))/(I34*X34*$X$6)),9)/$X$5)*$X$5)))</f>
        <v/>
      </c>
      <c r="AH34" s="85" t="str">
        <f>IF(A34="","",IF(AND(N(AE34)=0,N(AG34)*(I34*X34*$X$6)+p_CorrFixa&lt;p_CompraMin),0,AG34))</f>
        <v/>
      </c>
      <c r="AI34" s="85" t="str">
        <f>IF(A34="","",IF(N(AH34)&gt;0,AC34,0))</f>
        <v/>
      </c>
      <c r="AJ34" s="85" t="str">
        <f>IF(A34="","",IF(AND(AI34&gt;0,AI34=$AI$6,COUNTIF($AI$9:AI34,AI34)=1),1,0))</f>
        <v/>
      </c>
    </row>
    <row r="35">
      <c r="A35" s="96" t="n"/>
      <c r="B35" s="96" t="n"/>
      <c r="C35" s="96" t="n"/>
      <c r="D35" s="96" t="n"/>
      <c r="E35" s="97" t="n"/>
      <c r="F35" s="98" t="n"/>
      <c r="G35" s="99" t="n"/>
      <c r="H35" s="100" t="n"/>
      <c r="I35" s="101" t="str">
        <f>IF(A35="","",IF(AND(p_ModoCot="Automático",ISNUMBER(AA35)),AA35,IF(N(H35)&gt;0,H35,0)))</f>
        <v/>
      </c>
      <c r="J35" s="73" t="str">
        <f>IF(A35="","",IF(X35=0,"Sem câmbio",IF(AND(p_ModoCot="Automático",ISNUMBER(AA35)),"Auto",IF(N(H35)&gt;0,"Manual","Sem cotação"))))</f>
        <v/>
      </c>
      <c r="K35" s="102" t="str">
        <f>IF(A35="","",N(F35)*I35)</f>
        <v/>
      </c>
      <c r="L35" s="70" t="str">
        <f>IF(A35="","",K35*X35)</f>
        <v/>
      </c>
      <c r="M35" s="30" t="str">
        <f>IF(A35="","",IF($L$6&gt;0,L35/$L$6,0))</f>
        <v/>
      </c>
      <c r="N35" s="72" t="str">
        <f>IF(A35="","",N(G35)-M35)</f>
        <v/>
      </c>
      <c r="O35" s="30" t="str">
        <f>IF(A35="","",IF($AC$6&gt;0,AC35/$AC$6,0))</f>
        <v/>
      </c>
      <c r="P35" s="74" t="str">
        <f>IF(A35="","",IF(AC35&lt;=0,"",COUNTIF($AC$9:$AC$68,"&gt;"&amp;AC35)+COUNTIF($AC$9:AC35,AC35)))</f>
        <v/>
      </c>
      <c r="Q35" s="73" t="str">
        <f>IF(A35="","",IF(R35&gt;0,"BUY","HOLD"))</f>
        <v/>
      </c>
      <c r="R35" s="70" t="str">
        <f>IF(A35="","",IF($X$7&lt;=0,0,IF($AD$6&gt;0,$X$7*AD35/$AD$6,IF($G$6&gt;0,$X$7*N(G35)/$G$6,0))))</f>
        <v/>
      </c>
      <c r="S35" s="103" t="str">
        <f>IF(A35="","",N(AE35)+IF(AJ35=1,N(AH35),0))</f>
        <v/>
      </c>
      <c r="T35" s="103" t="str">
        <f>IF(A35="","",N(F35)+N(S35))</f>
        <v/>
      </c>
      <c r="U35" s="70" t="str">
        <f>IF(A35="","",IF(N(S35)&gt;0,S35*I35*X35*$X$6+p_CorrFixa,0))</f>
        <v/>
      </c>
      <c r="W35" s="85" t="str">
        <f>IF(A35="","",IF(E35="",$X$1,E35))</f>
        <v/>
      </c>
      <c r="X35" s="85" t="str">
        <f>IF(A35="","",IFERROR(INDEX(moeda_fx,MATCH(W35,moeda_cod,0)),0))</f>
        <v/>
      </c>
      <c r="Y35" s="85" t="str">
        <f>IF(A35="","",IF($X$2="",UPPER(TRIM(A35)),IF(RIGHT(UPPER(TRIM(A35)),LEN($X$2))=$X$2,UPPER(TRIM(A35)),UPPER(TRIM(A35))&amp;$X$2)))</f>
        <v/>
      </c>
      <c r="Z35" s="85" t="str">
        <f>IF(OR(A35="",p_ModoCot&lt;&gt;"Automático"),"",IF(AND(p_FonteCripto="CoinGecko",TRIM(D35)&lt;&gt;""),IFERROR(_xlfn.WEBSERVICE("https://api.coingecko.com/api/v3/simple/price?ids="&amp;LOWER(TRIM(D35))&amp;"&amp;vs_currencies=usd"),""),IFERROR(_xlfn.WEBSERVICE("https://query1.finance.yahoo.com/v8/finance/chart/"&amp;Y35&amp;"?range=1d&amp;interval=1d"),"")))</f>
        <v/>
      </c>
      <c r="AA35" s="85" t="str">
        <f>IF(Z35="","",IFERROR(IF(ISNUMBER(SEARCH("regularMarketPrice",Z35)),_xlfn.NUMBERVALUE(MID(Z35,SEARCH("""regularMarketPrice"":",Z35)+21,SEARCH(",",Z35&amp;",",SEARCH("""regularMarketPrice"":",Z35)+21)-SEARCH("""regularMarketPrice"":",Z35)-21),".",","),_xlfn.NUMBERVALUE(MID(SUBSTITUTE(Z35,"}",","),SEARCH("""usd"":",SUBSTITUTE(Z35,"}",","))+6,SEARCH(",",SUBSTITUTE(Z35,"}",",")&amp;",",SEARCH("""usd"":",SUBSTITUTE(Z35,"}",","))+6)-SEARCH("""usd"":",SUBSTITUTE(Z35,"}",","))-6),".",",")),""))</f>
        <v/>
      </c>
      <c r="AB35" s="85" t="str">
        <f>IF(A35="","",ROUND(MAX(0,N(G35)*($L$6+$X$7)-L35),2))</f>
        <v/>
      </c>
      <c r="AC35" s="85" t="str">
        <f>IF(A35="","",IF(AND(N35&gt;0,N35&gt;=p_DifMin),AB35,0))</f>
        <v/>
      </c>
      <c r="AD35" s="85" t="str">
        <f>IF(A35="","",IF(AND(AC35&gt;0,N(P35)&lt;=p_MaxAtivos),AC35,0))</f>
        <v/>
      </c>
      <c r="AE35" s="85" t="str">
        <f>IF(A35="","",IF(OR(R35&lt;=0,R35&lt;p_CompraMin,N(I35)&lt;=0,N(X35)&lt;=0),0,IF($X$3="Sim",TRUNC(ROUND(MAX(0,(R35-p_CorrFixa)/(I35*X35*$X$6)),9),$X$4),TRUNC(ROUND(MAX(0,(R35-p_CorrFixa)/(I35*X35*$X$6)),9)/$X$5)*$X$5)))</f>
        <v/>
      </c>
      <c r="AF35" s="85" t="str">
        <f>IF(A35="","",IF(N(AE35)&gt;0,AE35*I35*X35*$X$6+p_CorrFixa,0))</f>
        <v/>
      </c>
      <c r="AG35" s="85" t="str">
        <f>IF(A35="","",IF(OR($Z$1&lt;=0,N(I35)&lt;=0,N(X35)&lt;=0,N(AC35)&lt;=0),0,IF($X$3="Sim",TRUNC(ROUND(MAX(0,($Z$1-IF(N(AE35)&gt;0,0,p_CorrFixa))/(I35*X35*$X$6)),9),$X$4),TRUNC(ROUND(MAX(0,($Z$1-IF(N(AE35)&gt;0,0,p_CorrFixa))/(I35*X35*$X$6)),9)/$X$5)*$X$5)))</f>
        <v/>
      </c>
      <c r="AH35" s="85" t="str">
        <f>IF(A35="","",IF(AND(N(AE35)=0,N(AG35)*(I35*X35*$X$6)+p_CorrFixa&lt;p_CompraMin),0,AG35))</f>
        <v/>
      </c>
      <c r="AI35" s="85" t="str">
        <f>IF(A35="","",IF(N(AH35)&gt;0,AC35,0))</f>
        <v/>
      </c>
      <c r="AJ35" s="85" t="str">
        <f>IF(A35="","",IF(AND(AI35&gt;0,AI35=$AI$6,COUNTIF($AI$9:AI35,AI35)=1),1,0))</f>
        <v/>
      </c>
    </row>
    <row r="36">
      <c r="A36" s="96" t="n"/>
      <c r="B36" s="96" t="n"/>
      <c r="C36" s="96" t="n"/>
      <c r="D36" s="96" t="n"/>
      <c r="E36" s="97" t="n"/>
      <c r="F36" s="98" t="n"/>
      <c r="G36" s="99" t="n"/>
      <c r="H36" s="100" t="n"/>
      <c r="I36" s="104" t="str">
        <f>IF(A36="","",IF(AND(p_ModoCot="Automático",ISNUMBER(AA36)),AA36,IF(N(H36)&gt;0,H36,0)))</f>
        <v/>
      </c>
      <c r="J36" s="105" t="str">
        <f>IF(A36="","",IF(X36=0,"Sem câmbio",IF(AND(p_ModoCot="Automático",ISNUMBER(AA36)),"Auto",IF(N(H36)&gt;0,"Manual","Sem cotação"))))</f>
        <v/>
      </c>
      <c r="K36" s="106" t="str">
        <f>IF(A36="","",N(F36)*I36)</f>
        <v/>
      </c>
      <c r="L36" s="107" t="str">
        <f>IF(A36="","",K36*X36)</f>
        <v/>
      </c>
      <c r="M36" s="108" t="str">
        <f>IF(A36="","",IF($L$6&gt;0,L36/$L$6,0))</f>
        <v/>
      </c>
      <c r="N36" s="109" t="str">
        <f>IF(A36="","",N(G36)-M36)</f>
        <v/>
      </c>
      <c r="O36" s="108" t="str">
        <f>IF(A36="","",IF($AC$6&gt;0,AC36/$AC$6,0))</f>
        <v/>
      </c>
      <c r="P36" s="110" t="str">
        <f>IF(A36="","",IF(AC36&lt;=0,"",COUNTIF($AC$9:$AC$68,"&gt;"&amp;AC36)+COUNTIF($AC$9:AC36,AC36)))</f>
        <v/>
      </c>
      <c r="Q36" s="105" t="str">
        <f>IF(A36="","",IF(R36&gt;0,"BUY","HOLD"))</f>
        <v/>
      </c>
      <c r="R36" s="107" t="str">
        <f>IF(A36="","",IF($X$7&lt;=0,0,IF($AD$6&gt;0,$X$7*AD36/$AD$6,IF($G$6&gt;0,$X$7*N(G36)/$G$6,0))))</f>
        <v/>
      </c>
      <c r="S36" s="111" t="str">
        <f>IF(A36="","",N(AE36)+IF(AJ36=1,N(AH36),0))</f>
        <v/>
      </c>
      <c r="T36" s="111" t="str">
        <f>IF(A36="","",N(F36)+N(S36))</f>
        <v/>
      </c>
      <c r="U36" s="107" t="str">
        <f>IF(A36="","",IF(N(S36)&gt;0,S36*I36*X36*$X$6+p_CorrFixa,0))</f>
        <v/>
      </c>
      <c r="W36" s="85" t="str">
        <f>IF(A36="","",IF(E36="",$X$1,E36))</f>
        <v/>
      </c>
      <c r="X36" s="85" t="str">
        <f>IF(A36="","",IFERROR(INDEX(moeda_fx,MATCH(W36,moeda_cod,0)),0))</f>
        <v/>
      </c>
      <c r="Y36" s="85" t="str">
        <f>IF(A36="","",IF($X$2="",UPPER(TRIM(A36)),IF(RIGHT(UPPER(TRIM(A36)),LEN($X$2))=$X$2,UPPER(TRIM(A36)),UPPER(TRIM(A36))&amp;$X$2)))</f>
        <v/>
      </c>
      <c r="Z36" s="85" t="str">
        <f>IF(OR(A36="",p_ModoCot&lt;&gt;"Automático"),"",IF(AND(p_FonteCripto="CoinGecko",TRIM(D36)&lt;&gt;""),IFERROR(_xlfn.WEBSERVICE("https://api.coingecko.com/api/v3/simple/price?ids="&amp;LOWER(TRIM(D36))&amp;"&amp;vs_currencies=usd"),""),IFERROR(_xlfn.WEBSERVICE("https://query1.finance.yahoo.com/v8/finance/chart/"&amp;Y36&amp;"?range=1d&amp;interval=1d"),"")))</f>
        <v/>
      </c>
      <c r="AA36" s="85" t="str">
        <f>IF(Z36="","",IFERROR(IF(ISNUMBER(SEARCH("regularMarketPrice",Z36)),_xlfn.NUMBERVALUE(MID(Z36,SEARCH("""regularMarketPrice"":",Z36)+21,SEARCH(",",Z36&amp;",",SEARCH("""regularMarketPrice"":",Z36)+21)-SEARCH("""regularMarketPrice"":",Z36)-21),".",","),_xlfn.NUMBERVALUE(MID(SUBSTITUTE(Z36,"}",","),SEARCH("""usd"":",SUBSTITUTE(Z36,"}",","))+6,SEARCH(",",SUBSTITUTE(Z36,"}",",")&amp;",",SEARCH("""usd"":",SUBSTITUTE(Z36,"}",","))+6)-SEARCH("""usd"":",SUBSTITUTE(Z36,"}",","))-6),".",",")),""))</f>
        <v/>
      </c>
      <c r="AB36" s="85" t="str">
        <f>IF(A36="","",ROUND(MAX(0,N(G36)*($L$6+$X$7)-L36),2))</f>
        <v/>
      </c>
      <c r="AC36" s="85" t="str">
        <f>IF(A36="","",IF(AND(N36&gt;0,N36&gt;=p_DifMin),AB36,0))</f>
        <v/>
      </c>
      <c r="AD36" s="85" t="str">
        <f>IF(A36="","",IF(AND(AC36&gt;0,N(P36)&lt;=p_MaxAtivos),AC36,0))</f>
        <v/>
      </c>
      <c r="AE36" s="85" t="str">
        <f>IF(A36="","",IF(OR(R36&lt;=0,R36&lt;p_CompraMin,N(I36)&lt;=0,N(X36)&lt;=0),0,IF($X$3="Sim",TRUNC(ROUND(MAX(0,(R36-p_CorrFixa)/(I36*X36*$X$6)),9),$X$4),TRUNC(ROUND(MAX(0,(R36-p_CorrFixa)/(I36*X36*$X$6)),9)/$X$5)*$X$5)))</f>
        <v/>
      </c>
      <c r="AF36" s="85" t="str">
        <f>IF(A36="","",IF(N(AE36)&gt;0,AE36*I36*X36*$X$6+p_CorrFixa,0))</f>
        <v/>
      </c>
      <c r="AG36" s="85" t="str">
        <f>IF(A36="","",IF(OR($Z$1&lt;=0,N(I36)&lt;=0,N(X36)&lt;=0,N(AC36)&lt;=0),0,IF($X$3="Sim",TRUNC(ROUND(MAX(0,($Z$1-IF(N(AE36)&gt;0,0,p_CorrFixa))/(I36*X36*$X$6)),9),$X$4),TRUNC(ROUND(MAX(0,($Z$1-IF(N(AE36)&gt;0,0,p_CorrFixa))/(I36*X36*$X$6)),9)/$X$5)*$X$5)))</f>
        <v/>
      </c>
      <c r="AH36" s="85" t="str">
        <f>IF(A36="","",IF(AND(N(AE36)=0,N(AG36)*(I36*X36*$X$6)+p_CorrFixa&lt;p_CompraMin),0,AG36))</f>
        <v/>
      </c>
      <c r="AI36" s="85" t="str">
        <f>IF(A36="","",IF(N(AH36)&gt;0,AC36,0))</f>
        <v/>
      </c>
      <c r="AJ36" s="85" t="str">
        <f>IF(A36="","",IF(AND(AI36&gt;0,AI36=$AI$6,COUNTIF($AI$9:AI36,AI36)=1),1,0))</f>
        <v/>
      </c>
    </row>
    <row r="37">
      <c r="A37" s="96" t="n"/>
      <c r="B37" s="96" t="n"/>
      <c r="C37" s="96" t="n"/>
      <c r="D37" s="96" t="n"/>
      <c r="E37" s="97" t="n"/>
      <c r="F37" s="98" t="n"/>
      <c r="G37" s="99" t="n"/>
      <c r="H37" s="100" t="n"/>
      <c r="I37" s="101" t="str">
        <f>IF(A37="","",IF(AND(p_ModoCot="Automático",ISNUMBER(AA37)),AA37,IF(N(H37)&gt;0,H37,0)))</f>
        <v/>
      </c>
      <c r="J37" s="73" t="str">
        <f>IF(A37="","",IF(X37=0,"Sem câmbio",IF(AND(p_ModoCot="Automático",ISNUMBER(AA37)),"Auto",IF(N(H37)&gt;0,"Manual","Sem cotação"))))</f>
        <v/>
      </c>
      <c r="K37" s="102" t="str">
        <f>IF(A37="","",N(F37)*I37)</f>
        <v/>
      </c>
      <c r="L37" s="70" t="str">
        <f>IF(A37="","",K37*X37)</f>
        <v/>
      </c>
      <c r="M37" s="30" t="str">
        <f>IF(A37="","",IF($L$6&gt;0,L37/$L$6,0))</f>
        <v/>
      </c>
      <c r="N37" s="72" t="str">
        <f>IF(A37="","",N(G37)-M37)</f>
        <v/>
      </c>
      <c r="O37" s="30" t="str">
        <f>IF(A37="","",IF($AC$6&gt;0,AC37/$AC$6,0))</f>
        <v/>
      </c>
      <c r="P37" s="74" t="str">
        <f>IF(A37="","",IF(AC37&lt;=0,"",COUNTIF($AC$9:$AC$68,"&gt;"&amp;AC37)+COUNTIF($AC$9:AC37,AC37)))</f>
        <v/>
      </c>
      <c r="Q37" s="73" t="str">
        <f>IF(A37="","",IF(R37&gt;0,"BUY","HOLD"))</f>
        <v/>
      </c>
      <c r="R37" s="70" t="str">
        <f>IF(A37="","",IF($X$7&lt;=0,0,IF($AD$6&gt;0,$X$7*AD37/$AD$6,IF($G$6&gt;0,$X$7*N(G37)/$G$6,0))))</f>
        <v/>
      </c>
      <c r="S37" s="103" t="str">
        <f>IF(A37="","",N(AE37)+IF(AJ37=1,N(AH37),0))</f>
        <v/>
      </c>
      <c r="T37" s="103" t="str">
        <f>IF(A37="","",N(F37)+N(S37))</f>
        <v/>
      </c>
      <c r="U37" s="70" t="str">
        <f>IF(A37="","",IF(N(S37)&gt;0,S37*I37*X37*$X$6+p_CorrFixa,0))</f>
        <v/>
      </c>
      <c r="W37" s="85" t="str">
        <f>IF(A37="","",IF(E37="",$X$1,E37))</f>
        <v/>
      </c>
      <c r="X37" s="85" t="str">
        <f>IF(A37="","",IFERROR(INDEX(moeda_fx,MATCH(W37,moeda_cod,0)),0))</f>
        <v/>
      </c>
      <c r="Y37" s="85" t="str">
        <f>IF(A37="","",IF($X$2="",UPPER(TRIM(A37)),IF(RIGHT(UPPER(TRIM(A37)),LEN($X$2))=$X$2,UPPER(TRIM(A37)),UPPER(TRIM(A37))&amp;$X$2)))</f>
        <v/>
      </c>
      <c r="Z37" s="85" t="str">
        <f>IF(OR(A37="",p_ModoCot&lt;&gt;"Automático"),"",IF(AND(p_FonteCripto="CoinGecko",TRIM(D37)&lt;&gt;""),IFERROR(_xlfn.WEBSERVICE("https://api.coingecko.com/api/v3/simple/price?ids="&amp;LOWER(TRIM(D37))&amp;"&amp;vs_currencies=usd"),""),IFERROR(_xlfn.WEBSERVICE("https://query1.finance.yahoo.com/v8/finance/chart/"&amp;Y37&amp;"?range=1d&amp;interval=1d"),"")))</f>
        <v/>
      </c>
      <c r="AA37" s="85" t="str">
        <f>IF(Z37="","",IFERROR(IF(ISNUMBER(SEARCH("regularMarketPrice",Z37)),_xlfn.NUMBERVALUE(MID(Z37,SEARCH("""regularMarketPrice"":",Z37)+21,SEARCH(",",Z37&amp;",",SEARCH("""regularMarketPrice"":",Z37)+21)-SEARCH("""regularMarketPrice"":",Z37)-21),".",","),_xlfn.NUMBERVALUE(MID(SUBSTITUTE(Z37,"}",","),SEARCH("""usd"":",SUBSTITUTE(Z37,"}",","))+6,SEARCH(",",SUBSTITUTE(Z37,"}",",")&amp;",",SEARCH("""usd"":",SUBSTITUTE(Z37,"}",","))+6)-SEARCH("""usd"":",SUBSTITUTE(Z37,"}",","))-6),".",",")),""))</f>
        <v/>
      </c>
      <c r="AB37" s="85" t="str">
        <f>IF(A37="","",ROUND(MAX(0,N(G37)*($L$6+$X$7)-L37),2))</f>
        <v/>
      </c>
      <c r="AC37" s="85" t="str">
        <f>IF(A37="","",IF(AND(N37&gt;0,N37&gt;=p_DifMin),AB37,0))</f>
        <v/>
      </c>
      <c r="AD37" s="85" t="str">
        <f>IF(A37="","",IF(AND(AC37&gt;0,N(P37)&lt;=p_MaxAtivos),AC37,0))</f>
        <v/>
      </c>
      <c r="AE37" s="85" t="str">
        <f>IF(A37="","",IF(OR(R37&lt;=0,R37&lt;p_CompraMin,N(I37)&lt;=0,N(X37)&lt;=0),0,IF($X$3="Sim",TRUNC(ROUND(MAX(0,(R37-p_CorrFixa)/(I37*X37*$X$6)),9),$X$4),TRUNC(ROUND(MAX(0,(R37-p_CorrFixa)/(I37*X37*$X$6)),9)/$X$5)*$X$5)))</f>
        <v/>
      </c>
      <c r="AF37" s="85" t="str">
        <f>IF(A37="","",IF(N(AE37)&gt;0,AE37*I37*X37*$X$6+p_CorrFixa,0))</f>
        <v/>
      </c>
      <c r="AG37" s="85" t="str">
        <f>IF(A37="","",IF(OR($Z$1&lt;=0,N(I37)&lt;=0,N(X37)&lt;=0,N(AC37)&lt;=0),0,IF($X$3="Sim",TRUNC(ROUND(MAX(0,($Z$1-IF(N(AE37)&gt;0,0,p_CorrFixa))/(I37*X37*$X$6)),9),$X$4),TRUNC(ROUND(MAX(0,($Z$1-IF(N(AE37)&gt;0,0,p_CorrFixa))/(I37*X37*$X$6)),9)/$X$5)*$X$5)))</f>
        <v/>
      </c>
      <c r="AH37" s="85" t="str">
        <f>IF(A37="","",IF(AND(N(AE37)=0,N(AG37)*(I37*X37*$X$6)+p_CorrFixa&lt;p_CompraMin),0,AG37))</f>
        <v/>
      </c>
      <c r="AI37" s="85" t="str">
        <f>IF(A37="","",IF(N(AH37)&gt;0,AC37,0))</f>
        <v/>
      </c>
      <c r="AJ37" s="85" t="str">
        <f>IF(A37="","",IF(AND(AI37&gt;0,AI37=$AI$6,COUNTIF($AI$9:AI37,AI37)=1),1,0))</f>
        <v/>
      </c>
    </row>
    <row r="38">
      <c r="A38" s="96" t="n"/>
      <c r="B38" s="96" t="n"/>
      <c r="C38" s="96" t="n"/>
      <c r="D38" s="96" t="n"/>
      <c r="E38" s="97" t="n"/>
      <c r="F38" s="98" t="n"/>
      <c r="G38" s="99" t="n"/>
      <c r="H38" s="100" t="n"/>
      <c r="I38" s="104" t="str">
        <f>IF(A38="","",IF(AND(p_ModoCot="Automático",ISNUMBER(AA38)),AA38,IF(N(H38)&gt;0,H38,0)))</f>
        <v/>
      </c>
      <c r="J38" s="105" t="str">
        <f>IF(A38="","",IF(X38=0,"Sem câmbio",IF(AND(p_ModoCot="Automático",ISNUMBER(AA38)),"Auto",IF(N(H38)&gt;0,"Manual","Sem cotação"))))</f>
        <v/>
      </c>
      <c r="K38" s="106" t="str">
        <f>IF(A38="","",N(F38)*I38)</f>
        <v/>
      </c>
      <c r="L38" s="107" t="str">
        <f>IF(A38="","",K38*X38)</f>
        <v/>
      </c>
      <c r="M38" s="108" t="str">
        <f>IF(A38="","",IF($L$6&gt;0,L38/$L$6,0))</f>
        <v/>
      </c>
      <c r="N38" s="109" t="str">
        <f>IF(A38="","",N(G38)-M38)</f>
        <v/>
      </c>
      <c r="O38" s="108" t="str">
        <f>IF(A38="","",IF($AC$6&gt;0,AC38/$AC$6,0))</f>
        <v/>
      </c>
      <c r="P38" s="110" t="str">
        <f>IF(A38="","",IF(AC38&lt;=0,"",COUNTIF($AC$9:$AC$68,"&gt;"&amp;AC38)+COUNTIF($AC$9:AC38,AC38)))</f>
        <v/>
      </c>
      <c r="Q38" s="105" t="str">
        <f>IF(A38="","",IF(R38&gt;0,"BUY","HOLD"))</f>
        <v/>
      </c>
      <c r="R38" s="107" t="str">
        <f>IF(A38="","",IF($X$7&lt;=0,0,IF($AD$6&gt;0,$X$7*AD38/$AD$6,IF($G$6&gt;0,$X$7*N(G38)/$G$6,0))))</f>
        <v/>
      </c>
      <c r="S38" s="111" t="str">
        <f>IF(A38="","",N(AE38)+IF(AJ38=1,N(AH38),0))</f>
        <v/>
      </c>
      <c r="T38" s="111" t="str">
        <f>IF(A38="","",N(F38)+N(S38))</f>
        <v/>
      </c>
      <c r="U38" s="107" t="str">
        <f>IF(A38="","",IF(N(S38)&gt;0,S38*I38*X38*$X$6+p_CorrFixa,0))</f>
        <v/>
      </c>
      <c r="W38" s="85" t="str">
        <f>IF(A38="","",IF(E38="",$X$1,E38))</f>
        <v/>
      </c>
      <c r="X38" s="85" t="str">
        <f>IF(A38="","",IFERROR(INDEX(moeda_fx,MATCH(W38,moeda_cod,0)),0))</f>
        <v/>
      </c>
      <c r="Y38" s="85" t="str">
        <f>IF(A38="","",IF($X$2="",UPPER(TRIM(A38)),IF(RIGHT(UPPER(TRIM(A38)),LEN($X$2))=$X$2,UPPER(TRIM(A38)),UPPER(TRIM(A38))&amp;$X$2)))</f>
        <v/>
      </c>
      <c r="Z38" s="85" t="str">
        <f>IF(OR(A38="",p_ModoCot&lt;&gt;"Automático"),"",IF(AND(p_FonteCripto="CoinGecko",TRIM(D38)&lt;&gt;""),IFERROR(_xlfn.WEBSERVICE("https://api.coingecko.com/api/v3/simple/price?ids="&amp;LOWER(TRIM(D38))&amp;"&amp;vs_currencies=usd"),""),IFERROR(_xlfn.WEBSERVICE("https://query1.finance.yahoo.com/v8/finance/chart/"&amp;Y38&amp;"?range=1d&amp;interval=1d"),"")))</f>
        <v/>
      </c>
      <c r="AA38" s="85" t="str">
        <f>IF(Z38="","",IFERROR(IF(ISNUMBER(SEARCH("regularMarketPrice",Z38)),_xlfn.NUMBERVALUE(MID(Z38,SEARCH("""regularMarketPrice"":",Z38)+21,SEARCH(",",Z38&amp;",",SEARCH("""regularMarketPrice"":",Z38)+21)-SEARCH("""regularMarketPrice"":",Z38)-21),".",","),_xlfn.NUMBERVALUE(MID(SUBSTITUTE(Z38,"}",","),SEARCH("""usd"":",SUBSTITUTE(Z38,"}",","))+6,SEARCH(",",SUBSTITUTE(Z38,"}",",")&amp;",",SEARCH("""usd"":",SUBSTITUTE(Z38,"}",","))+6)-SEARCH("""usd"":",SUBSTITUTE(Z38,"}",","))-6),".",",")),""))</f>
        <v/>
      </c>
      <c r="AB38" s="85" t="str">
        <f>IF(A38="","",ROUND(MAX(0,N(G38)*($L$6+$X$7)-L38),2))</f>
        <v/>
      </c>
      <c r="AC38" s="85" t="str">
        <f>IF(A38="","",IF(AND(N38&gt;0,N38&gt;=p_DifMin),AB38,0))</f>
        <v/>
      </c>
      <c r="AD38" s="85" t="str">
        <f>IF(A38="","",IF(AND(AC38&gt;0,N(P38)&lt;=p_MaxAtivos),AC38,0))</f>
        <v/>
      </c>
      <c r="AE38" s="85" t="str">
        <f>IF(A38="","",IF(OR(R38&lt;=0,R38&lt;p_CompraMin,N(I38)&lt;=0,N(X38)&lt;=0),0,IF($X$3="Sim",TRUNC(ROUND(MAX(0,(R38-p_CorrFixa)/(I38*X38*$X$6)),9),$X$4),TRUNC(ROUND(MAX(0,(R38-p_CorrFixa)/(I38*X38*$X$6)),9)/$X$5)*$X$5)))</f>
        <v/>
      </c>
      <c r="AF38" s="85" t="str">
        <f>IF(A38="","",IF(N(AE38)&gt;0,AE38*I38*X38*$X$6+p_CorrFixa,0))</f>
        <v/>
      </c>
      <c r="AG38" s="85" t="str">
        <f>IF(A38="","",IF(OR($Z$1&lt;=0,N(I38)&lt;=0,N(X38)&lt;=0,N(AC38)&lt;=0),0,IF($X$3="Sim",TRUNC(ROUND(MAX(0,($Z$1-IF(N(AE38)&gt;0,0,p_CorrFixa))/(I38*X38*$X$6)),9),$X$4),TRUNC(ROUND(MAX(0,($Z$1-IF(N(AE38)&gt;0,0,p_CorrFixa))/(I38*X38*$X$6)),9)/$X$5)*$X$5)))</f>
        <v/>
      </c>
      <c r="AH38" s="85" t="str">
        <f>IF(A38="","",IF(AND(N(AE38)=0,N(AG38)*(I38*X38*$X$6)+p_CorrFixa&lt;p_CompraMin),0,AG38))</f>
        <v/>
      </c>
      <c r="AI38" s="85" t="str">
        <f>IF(A38="","",IF(N(AH38)&gt;0,AC38,0))</f>
        <v/>
      </c>
      <c r="AJ38" s="85" t="str">
        <f>IF(A38="","",IF(AND(AI38&gt;0,AI38=$AI$6,COUNTIF($AI$9:AI38,AI38)=1),1,0))</f>
        <v/>
      </c>
    </row>
    <row r="39">
      <c r="A39" s="96" t="n"/>
      <c r="B39" s="96" t="n"/>
      <c r="C39" s="96" t="n"/>
      <c r="D39" s="96" t="n"/>
      <c r="E39" s="97" t="n"/>
      <c r="F39" s="98" t="n"/>
      <c r="G39" s="99" t="n"/>
      <c r="H39" s="100" t="n"/>
      <c r="I39" s="101" t="str">
        <f>IF(A39="","",IF(AND(p_ModoCot="Automático",ISNUMBER(AA39)),AA39,IF(N(H39)&gt;0,H39,0)))</f>
        <v/>
      </c>
      <c r="J39" s="73" t="str">
        <f>IF(A39="","",IF(X39=0,"Sem câmbio",IF(AND(p_ModoCot="Automático",ISNUMBER(AA39)),"Auto",IF(N(H39)&gt;0,"Manual","Sem cotação"))))</f>
        <v/>
      </c>
      <c r="K39" s="102" t="str">
        <f>IF(A39="","",N(F39)*I39)</f>
        <v/>
      </c>
      <c r="L39" s="70" t="str">
        <f>IF(A39="","",K39*X39)</f>
        <v/>
      </c>
      <c r="M39" s="30" t="str">
        <f>IF(A39="","",IF($L$6&gt;0,L39/$L$6,0))</f>
        <v/>
      </c>
      <c r="N39" s="72" t="str">
        <f>IF(A39="","",N(G39)-M39)</f>
        <v/>
      </c>
      <c r="O39" s="30" t="str">
        <f>IF(A39="","",IF($AC$6&gt;0,AC39/$AC$6,0))</f>
        <v/>
      </c>
      <c r="P39" s="74" t="str">
        <f>IF(A39="","",IF(AC39&lt;=0,"",COUNTIF($AC$9:$AC$68,"&gt;"&amp;AC39)+COUNTIF($AC$9:AC39,AC39)))</f>
        <v/>
      </c>
      <c r="Q39" s="73" t="str">
        <f>IF(A39="","",IF(R39&gt;0,"BUY","HOLD"))</f>
        <v/>
      </c>
      <c r="R39" s="70" t="str">
        <f>IF(A39="","",IF($X$7&lt;=0,0,IF($AD$6&gt;0,$X$7*AD39/$AD$6,IF($G$6&gt;0,$X$7*N(G39)/$G$6,0))))</f>
        <v/>
      </c>
      <c r="S39" s="103" t="str">
        <f>IF(A39="","",N(AE39)+IF(AJ39=1,N(AH39),0))</f>
        <v/>
      </c>
      <c r="T39" s="103" t="str">
        <f>IF(A39="","",N(F39)+N(S39))</f>
        <v/>
      </c>
      <c r="U39" s="70" t="str">
        <f>IF(A39="","",IF(N(S39)&gt;0,S39*I39*X39*$X$6+p_CorrFixa,0))</f>
        <v/>
      </c>
      <c r="W39" s="85" t="str">
        <f>IF(A39="","",IF(E39="",$X$1,E39))</f>
        <v/>
      </c>
      <c r="X39" s="85" t="str">
        <f>IF(A39="","",IFERROR(INDEX(moeda_fx,MATCH(W39,moeda_cod,0)),0))</f>
        <v/>
      </c>
      <c r="Y39" s="85" t="str">
        <f>IF(A39="","",IF($X$2="",UPPER(TRIM(A39)),IF(RIGHT(UPPER(TRIM(A39)),LEN($X$2))=$X$2,UPPER(TRIM(A39)),UPPER(TRIM(A39))&amp;$X$2)))</f>
        <v/>
      </c>
      <c r="Z39" s="85" t="str">
        <f>IF(OR(A39="",p_ModoCot&lt;&gt;"Automático"),"",IF(AND(p_FonteCripto="CoinGecko",TRIM(D39)&lt;&gt;""),IFERROR(_xlfn.WEBSERVICE("https://api.coingecko.com/api/v3/simple/price?ids="&amp;LOWER(TRIM(D39))&amp;"&amp;vs_currencies=usd"),""),IFERROR(_xlfn.WEBSERVICE("https://query1.finance.yahoo.com/v8/finance/chart/"&amp;Y39&amp;"?range=1d&amp;interval=1d"),"")))</f>
        <v/>
      </c>
      <c r="AA39" s="85" t="str">
        <f>IF(Z39="","",IFERROR(IF(ISNUMBER(SEARCH("regularMarketPrice",Z39)),_xlfn.NUMBERVALUE(MID(Z39,SEARCH("""regularMarketPrice"":",Z39)+21,SEARCH(",",Z39&amp;",",SEARCH("""regularMarketPrice"":",Z39)+21)-SEARCH("""regularMarketPrice"":",Z39)-21),".",","),_xlfn.NUMBERVALUE(MID(SUBSTITUTE(Z39,"}",","),SEARCH("""usd"":",SUBSTITUTE(Z39,"}",","))+6,SEARCH(",",SUBSTITUTE(Z39,"}",",")&amp;",",SEARCH("""usd"":",SUBSTITUTE(Z39,"}",","))+6)-SEARCH("""usd"":",SUBSTITUTE(Z39,"}",","))-6),".",",")),""))</f>
        <v/>
      </c>
      <c r="AB39" s="85" t="str">
        <f>IF(A39="","",ROUND(MAX(0,N(G39)*($L$6+$X$7)-L39),2))</f>
        <v/>
      </c>
      <c r="AC39" s="85" t="str">
        <f>IF(A39="","",IF(AND(N39&gt;0,N39&gt;=p_DifMin),AB39,0))</f>
        <v/>
      </c>
      <c r="AD39" s="85" t="str">
        <f>IF(A39="","",IF(AND(AC39&gt;0,N(P39)&lt;=p_MaxAtivos),AC39,0))</f>
        <v/>
      </c>
      <c r="AE39" s="85" t="str">
        <f>IF(A39="","",IF(OR(R39&lt;=0,R39&lt;p_CompraMin,N(I39)&lt;=0,N(X39)&lt;=0),0,IF($X$3="Sim",TRUNC(ROUND(MAX(0,(R39-p_CorrFixa)/(I39*X39*$X$6)),9),$X$4),TRUNC(ROUND(MAX(0,(R39-p_CorrFixa)/(I39*X39*$X$6)),9)/$X$5)*$X$5)))</f>
        <v/>
      </c>
      <c r="AF39" s="85" t="str">
        <f>IF(A39="","",IF(N(AE39)&gt;0,AE39*I39*X39*$X$6+p_CorrFixa,0))</f>
        <v/>
      </c>
      <c r="AG39" s="85" t="str">
        <f>IF(A39="","",IF(OR($Z$1&lt;=0,N(I39)&lt;=0,N(X39)&lt;=0,N(AC39)&lt;=0),0,IF($X$3="Sim",TRUNC(ROUND(MAX(0,($Z$1-IF(N(AE39)&gt;0,0,p_CorrFixa))/(I39*X39*$X$6)),9),$X$4),TRUNC(ROUND(MAX(0,($Z$1-IF(N(AE39)&gt;0,0,p_CorrFixa))/(I39*X39*$X$6)),9)/$X$5)*$X$5)))</f>
        <v/>
      </c>
      <c r="AH39" s="85" t="str">
        <f>IF(A39="","",IF(AND(N(AE39)=0,N(AG39)*(I39*X39*$X$6)+p_CorrFixa&lt;p_CompraMin),0,AG39))</f>
        <v/>
      </c>
      <c r="AI39" s="85" t="str">
        <f>IF(A39="","",IF(N(AH39)&gt;0,AC39,0))</f>
        <v/>
      </c>
      <c r="AJ39" s="85" t="str">
        <f>IF(A39="","",IF(AND(AI39&gt;0,AI39=$AI$6,COUNTIF($AI$9:AI39,AI39)=1),1,0))</f>
        <v/>
      </c>
    </row>
    <row r="40">
      <c r="A40" s="96" t="n"/>
      <c r="B40" s="96" t="n"/>
      <c r="C40" s="96" t="n"/>
      <c r="D40" s="96" t="n"/>
      <c r="E40" s="97" t="n"/>
      <c r="F40" s="98" t="n"/>
      <c r="G40" s="99" t="n"/>
      <c r="H40" s="100" t="n"/>
      <c r="I40" s="104" t="str">
        <f>IF(A40="","",IF(AND(p_ModoCot="Automático",ISNUMBER(AA40)),AA40,IF(N(H40)&gt;0,H40,0)))</f>
        <v/>
      </c>
      <c r="J40" s="105" t="str">
        <f>IF(A40="","",IF(X40=0,"Sem câmbio",IF(AND(p_ModoCot="Automático",ISNUMBER(AA40)),"Auto",IF(N(H40)&gt;0,"Manual","Sem cotação"))))</f>
        <v/>
      </c>
      <c r="K40" s="106" t="str">
        <f>IF(A40="","",N(F40)*I40)</f>
        <v/>
      </c>
      <c r="L40" s="107" t="str">
        <f>IF(A40="","",K40*X40)</f>
        <v/>
      </c>
      <c r="M40" s="108" t="str">
        <f>IF(A40="","",IF($L$6&gt;0,L40/$L$6,0))</f>
        <v/>
      </c>
      <c r="N40" s="109" t="str">
        <f>IF(A40="","",N(G40)-M40)</f>
        <v/>
      </c>
      <c r="O40" s="108" t="str">
        <f>IF(A40="","",IF($AC$6&gt;0,AC40/$AC$6,0))</f>
        <v/>
      </c>
      <c r="P40" s="110" t="str">
        <f>IF(A40="","",IF(AC40&lt;=0,"",COUNTIF($AC$9:$AC$68,"&gt;"&amp;AC40)+COUNTIF($AC$9:AC40,AC40)))</f>
        <v/>
      </c>
      <c r="Q40" s="105" t="str">
        <f>IF(A40="","",IF(R40&gt;0,"BUY","HOLD"))</f>
        <v/>
      </c>
      <c r="R40" s="107" t="str">
        <f>IF(A40="","",IF($X$7&lt;=0,0,IF($AD$6&gt;0,$X$7*AD40/$AD$6,IF($G$6&gt;0,$X$7*N(G40)/$G$6,0))))</f>
        <v/>
      </c>
      <c r="S40" s="111" t="str">
        <f>IF(A40="","",N(AE40)+IF(AJ40=1,N(AH40),0))</f>
        <v/>
      </c>
      <c r="T40" s="111" t="str">
        <f>IF(A40="","",N(F40)+N(S40))</f>
        <v/>
      </c>
      <c r="U40" s="107" t="str">
        <f>IF(A40="","",IF(N(S40)&gt;0,S40*I40*X40*$X$6+p_CorrFixa,0))</f>
        <v/>
      </c>
      <c r="W40" s="85" t="str">
        <f>IF(A40="","",IF(E40="",$X$1,E40))</f>
        <v/>
      </c>
      <c r="X40" s="85" t="str">
        <f>IF(A40="","",IFERROR(INDEX(moeda_fx,MATCH(W40,moeda_cod,0)),0))</f>
        <v/>
      </c>
      <c r="Y40" s="85" t="str">
        <f>IF(A40="","",IF($X$2="",UPPER(TRIM(A40)),IF(RIGHT(UPPER(TRIM(A40)),LEN($X$2))=$X$2,UPPER(TRIM(A40)),UPPER(TRIM(A40))&amp;$X$2)))</f>
        <v/>
      </c>
      <c r="Z40" s="85" t="str">
        <f>IF(OR(A40="",p_ModoCot&lt;&gt;"Automático"),"",IF(AND(p_FonteCripto="CoinGecko",TRIM(D40)&lt;&gt;""),IFERROR(_xlfn.WEBSERVICE("https://api.coingecko.com/api/v3/simple/price?ids="&amp;LOWER(TRIM(D40))&amp;"&amp;vs_currencies=usd"),""),IFERROR(_xlfn.WEBSERVICE("https://query1.finance.yahoo.com/v8/finance/chart/"&amp;Y40&amp;"?range=1d&amp;interval=1d"),"")))</f>
        <v/>
      </c>
      <c r="AA40" s="85" t="str">
        <f>IF(Z40="","",IFERROR(IF(ISNUMBER(SEARCH("regularMarketPrice",Z40)),_xlfn.NUMBERVALUE(MID(Z40,SEARCH("""regularMarketPrice"":",Z40)+21,SEARCH(",",Z40&amp;",",SEARCH("""regularMarketPrice"":",Z40)+21)-SEARCH("""regularMarketPrice"":",Z40)-21),".",","),_xlfn.NUMBERVALUE(MID(SUBSTITUTE(Z40,"}",","),SEARCH("""usd"":",SUBSTITUTE(Z40,"}",","))+6,SEARCH(",",SUBSTITUTE(Z40,"}",",")&amp;",",SEARCH("""usd"":",SUBSTITUTE(Z40,"}",","))+6)-SEARCH("""usd"":",SUBSTITUTE(Z40,"}",","))-6),".",",")),""))</f>
        <v/>
      </c>
      <c r="AB40" s="85" t="str">
        <f>IF(A40="","",ROUND(MAX(0,N(G40)*($L$6+$X$7)-L40),2))</f>
        <v/>
      </c>
      <c r="AC40" s="85" t="str">
        <f>IF(A40="","",IF(AND(N40&gt;0,N40&gt;=p_DifMin),AB40,0))</f>
        <v/>
      </c>
      <c r="AD40" s="85" t="str">
        <f>IF(A40="","",IF(AND(AC40&gt;0,N(P40)&lt;=p_MaxAtivos),AC40,0))</f>
        <v/>
      </c>
      <c r="AE40" s="85" t="str">
        <f>IF(A40="","",IF(OR(R40&lt;=0,R40&lt;p_CompraMin,N(I40)&lt;=0,N(X40)&lt;=0),0,IF($X$3="Sim",TRUNC(ROUND(MAX(0,(R40-p_CorrFixa)/(I40*X40*$X$6)),9),$X$4),TRUNC(ROUND(MAX(0,(R40-p_CorrFixa)/(I40*X40*$X$6)),9)/$X$5)*$X$5)))</f>
        <v/>
      </c>
      <c r="AF40" s="85" t="str">
        <f>IF(A40="","",IF(N(AE40)&gt;0,AE40*I40*X40*$X$6+p_CorrFixa,0))</f>
        <v/>
      </c>
      <c r="AG40" s="85" t="str">
        <f>IF(A40="","",IF(OR($Z$1&lt;=0,N(I40)&lt;=0,N(X40)&lt;=0,N(AC40)&lt;=0),0,IF($X$3="Sim",TRUNC(ROUND(MAX(0,($Z$1-IF(N(AE40)&gt;0,0,p_CorrFixa))/(I40*X40*$X$6)),9),$X$4),TRUNC(ROUND(MAX(0,($Z$1-IF(N(AE40)&gt;0,0,p_CorrFixa))/(I40*X40*$X$6)),9)/$X$5)*$X$5)))</f>
        <v/>
      </c>
      <c r="AH40" s="85" t="str">
        <f>IF(A40="","",IF(AND(N(AE40)=0,N(AG40)*(I40*X40*$X$6)+p_CorrFixa&lt;p_CompraMin),0,AG40))</f>
        <v/>
      </c>
      <c r="AI40" s="85" t="str">
        <f>IF(A40="","",IF(N(AH40)&gt;0,AC40,0))</f>
        <v/>
      </c>
      <c r="AJ40" s="85" t="str">
        <f>IF(A40="","",IF(AND(AI40&gt;0,AI40=$AI$6,COUNTIF($AI$9:AI40,AI40)=1),1,0))</f>
        <v/>
      </c>
    </row>
    <row r="41">
      <c r="A41" s="96" t="n"/>
      <c r="B41" s="96" t="n"/>
      <c r="C41" s="96" t="n"/>
      <c r="D41" s="96" t="n"/>
      <c r="E41" s="97" t="n"/>
      <c r="F41" s="98" t="n"/>
      <c r="G41" s="99" t="n"/>
      <c r="H41" s="100" t="n"/>
      <c r="I41" s="101" t="str">
        <f>IF(A41="","",IF(AND(p_ModoCot="Automático",ISNUMBER(AA41)),AA41,IF(N(H41)&gt;0,H41,0)))</f>
        <v/>
      </c>
      <c r="J41" s="73" t="str">
        <f>IF(A41="","",IF(X41=0,"Sem câmbio",IF(AND(p_ModoCot="Automático",ISNUMBER(AA41)),"Auto",IF(N(H41)&gt;0,"Manual","Sem cotação"))))</f>
        <v/>
      </c>
      <c r="K41" s="102" t="str">
        <f>IF(A41="","",N(F41)*I41)</f>
        <v/>
      </c>
      <c r="L41" s="70" t="str">
        <f>IF(A41="","",K41*X41)</f>
        <v/>
      </c>
      <c r="M41" s="30" t="str">
        <f>IF(A41="","",IF($L$6&gt;0,L41/$L$6,0))</f>
        <v/>
      </c>
      <c r="N41" s="72" t="str">
        <f>IF(A41="","",N(G41)-M41)</f>
        <v/>
      </c>
      <c r="O41" s="30" t="str">
        <f>IF(A41="","",IF($AC$6&gt;0,AC41/$AC$6,0))</f>
        <v/>
      </c>
      <c r="P41" s="74" t="str">
        <f>IF(A41="","",IF(AC41&lt;=0,"",COUNTIF($AC$9:$AC$68,"&gt;"&amp;AC41)+COUNTIF($AC$9:AC41,AC41)))</f>
        <v/>
      </c>
      <c r="Q41" s="73" t="str">
        <f>IF(A41="","",IF(R41&gt;0,"BUY","HOLD"))</f>
        <v/>
      </c>
      <c r="R41" s="70" t="str">
        <f>IF(A41="","",IF($X$7&lt;=0,0,IF($AD$6&gt;0,$X$7*AD41/$AD$6,IF($G$6&gt;0,$X$7*N(G41)/$G$6,0))))</f>
        <v/>
      </c>
      <c r="S41" s="103" t="str">
        <f>IF(A41="","",N(AE41)+IF(AJ41=1,N(AH41),0))</f>
        <v/>
      </c>
      <c r="T41" s="103" t="str">
        <f>IF(A41="","",N(F41)+N(S41))</f>
        <v/>
      </c>
      <c r="U41" s="70" t="str">
        <f>IF(A41="","",IF(N(S41)&gt;0,S41*I41*X41*$X$6+p_CorrFixa,0))</f>
        <v/>
      </c>
      <c r="W41" s="85" t="str">
        <f>IF(A41="","",IF(E41="",$X$1,E41))</f>
        <v/>
      </c>
      <c r="X41" s="85" t="str">
        <f>IF(A41="","",IFERROR(INDEX(moeda_fx,MATCH(W41,moeda_cod,0)),0))</f>
        <v/>
      </c>
      <c r="Y41" s="85" t="str">
        <f>IF(A41="","",IF($X$2="",UPPER(TRIM(A41)),IF(RIGHT(UPPER(TRIM(A41)),LEN($X$2))=$X$2,UPPER(TRIM(A41)),UPPER(TRIM(A41))&amp;$X$2)))</f>
        <v/>
      </c>
      <c r="Z41" s="85" t="str">
        <f>IF(OR(A41="",p_ModoCot&lt;&gt;"Automático"),"",IF(AND(p_FonteCripto="CoinGecko",TRIM(D41)&lt;&gt;""),IFERROR(_xlfn.WEBSERVICE("https://api.coingecko.com/api/v3/simple/price?ids="&amp;LOWER(TRIM(D41))&amp;"&amp;vs_currencies=usd"),""),IFERROR(_xlfn.WEBSERVICE("https://query1.finance.yahoo.com/v8/finance/chart/"&amp;Y41&amp;"?range=1d&amp;interval=1d"),"")))</f>
        <v/>
      </c>
      <c r="AA41" s="85" t="str">
        <f>IF(Z41="","",IFERROR(IF(ISNUMBER(SEARCH("regularMarketPrice",Z41)),_xlfn.NUMBERVALUE(MID(Z41,SEARCH("""regularMarketPrice"":",Z41)+21,SEARCH(",",Z41&amp;",",SEARCH("""regularMarketPrice"":",Z41)+21)-SEARCH("""regularMarketPrice"":",Z41)-21),".",","),_xlfn.NUMBERVALUE(MID(SUBSTITUTE(Z41,"}",","),SEARCH("""usd"":",SUBSTITUTE(Z41,"}",","))+6,SEARCH(",",SUBSTITUTE(Z41,"}",",")&amp;",",SEARCH("""usd"":",SUBSTITUTE(Z41,"}",","))+6)-SEARCH("""usd"":",SUBSTITUTE(Z41,"}",","))-6),".",",")),""))</f>
        <v/>
      </c>
      <c r="AB41" s="85" t="str">
        <f>IF(A41="","",ROUND(MAX(0,N(G41)*($L$6+$X$7)-L41),2))</f>
        <v/>
      </c>
      <c r="AC41" s="85" t="str">
        <f>IF(A41="","",IF(AND(N41&gt;0,N41&gt;=p_DifMin),AB41,0))</f>
        <v/>
      </c>
      <c r="AD41" s="85" t="str">
        <f>IF(A41="","",IF(AND(AC41&gt;0,N(P41)&lt;=p_MaxAtivos),AC41,0))</f>
        <v/>
      </c>
      <c r="AE41" s="85" t="str">
        <f>IF(A41="","",IF(OR(R41&lt;=0,R41&lt;p_CompraMin,N(I41)&lt;=0,N(X41)&lt;=0),0,IF($X$3="Sim",TRUNC(ROUND(MAX(0,(R41-p_CorrFixa)/(I41*X41*$X$6)),9),$X$4),TRUNC(ROUND(MAX(0,(R41-p_CorrFixa)/(I41*X41*$X$6)),9)/$X$5)*$X$5)))</f>
        <v/>
      </c>
      <c r="AF41" s="85" t="str">
        <f>IF(A41="","",IF(N(AE41)&gt;0,AE41*I41*X41*$X$6+p_CorrFixa,0))</f>
        <v/>
      </c>
      <c r="AG41" s="85" t="str">
        <f>IF(A41="","",IF(OR($Z$1&lt;=0,N(I41)&lt;=0,N(X41)&lt;=0,N(AC41)&lt;=0),0,IF($X$3="Sim",TRUNC(ROUND(MAX(0,($Z$1-IF(N(AE41)&gt;0,0,p_CorrFixa))/(I41*X41*$X$6)),9),$X$4),TRUNC(ROUND(MAX(0,($Z$1-IF(N(AE41)&gt;0,0,p_CorrFixa))/(I41*X41*$X$6)),9)/$X$5)*$X$5)))</f>
        <v/>
      </c>
      <c r="AH41" s="85" t="str">
        <f>IF(A41="","",IF(AND(N(AE41)=0,N(AG41)*(I41*X41*$X$6)+p_CorrFixa&lt;p_CompraMin),0,AG41))</f>
        <v/>
      </c>
      <c r="AI41" s="85" t="str">
        <f>IF(A41="","",IF(N(AH41)&gt;0,AC41,0))</f>
        <v/>
      </c>
      <c r="AJ41" s="85" t="str">
        <f>IF(A41="","",IF(AND(AI41&gt;0,AI41=$AI$6,COUNTIF($AI$9:AI41,AI41)=1),1,0))</f>
        <v/>
      </c>
    </row>
    <row r="42">
      <c r="A42" s="96" t="n"/>
      <c r="B42" s="96" t="n"/>
      <c r="C42" s="96" t="n"/>
      <c r="D42" s="96" t="n"/>
      <c r="E42" s="97" t="n"/>
      <c r="F42" s="98" t="n"/>
      <c r="G42" s="99" t="n"/>
      <c r="H42" s="100" t="n"/>
      <c r="I42" s="104" t="str">
        <f>IF(A42="","",IF(AND(p_ModoCot="Automático",ISNUMBER(AA42)),AA42,IF(N(H42)&gt;0,H42,0)))</f>
        <v/>
      </c>
      <c r="J42" s="105" t="str">
        <f>IF(A42="","",IF(X42=0,"Sem câmbio",IF(AND(p_ModoCot="Automático",ISNUMBER(AA42)),"Auto",IF(N(H42)&gt;0,"Manual","Sem cotação"))))</f>
        <v/>
      </c>
      <c r="K42" s="106" t="str">
        <f>IF(A42="","",N(F42)*I42)</f>
        <v/>
      </c>
      <c r="L42" s="107" t="str">
        <f>IF(A42="","",K42*X42)</f>
        <v/>
      </c>
      <c r="M42" s="108" t="str">
        <f>IF(A42="","",IF($L$6&gt;0,L42/$L$6,0))</f>
        <v/>
      </c>
      <c r="N42" s="109" t="str">
        <f>IF(A42="","",N(G42)-M42)</f>
        <v/>
      </c>
      <c r="O42" s="108" t="str">
        <f>IF(A42="","",IF($AC$6&gt;0,AC42/$AC$6,0))</f>
        <v/>
      </c>
      <c r="P42" s="110" t="str">
        <f>IF(A42="","",IF(AC42&lt;=0,"",COUNTIF($AC$9:$AC$68,"&gt;"&amp;AC42)+COUNTIF($AC$9:AC42,AC42)))</f>
        <v/>
      </c>
      <c r="Q42" s="105" t="str">
        <f>IF(A42="","",IF(R42&gt;0,"BUY","HOLD"))</f>
        <v/>
      </c>
      <c r="R42" s="107" t="str">
        <f>IF(A42="","",IF($X$7&lt;=0,0,IF($AD$6&gt;0,$X$7*AD42/$AD$6,IF($G$6&gt;0,$X$7*N(G42)/$G$6,0))))</f>
        <v/>
      </c>
      <c r="S42" s="111" t="str">
        <f>IF(A42="","",N(AE42)+IF(AJ42=1,N(AH42),0))</f>
        <v/>
      </c>
      <c r="T42" s="111" t="str">
        <f>IF(A42="","",N(F42)+N(S42))</f>
        <v/>
      </c>
      <c r="U42" s="107" t="str">
        <f>IF(A42="","",IF(N(S42)&gt;0,S42*I42*X42*$X$6+p_CorrFixa,0))</f>
        <v/>
      </c>
      <c r="W42" s="85" t="str">
        <f>IF(A42="","",IF(E42="",$X$1,E42))</f>
        <v/>
      </c>
      <c r="X42" s="85" t="str">
        <f>IF(A42="","",IFERROR(INDEX(moeda_fx,MATCH(W42,moeda_cod,0)),0))</f>
        <v/>
      </c>
      <c r="Y42" s="85" t="str">
        <f>IF(A42="","",IF($X$2="",UPPER(TRIM(A42)),IF(RIGHT(UPPER(TRIM(A42)),LEN($X$2))=$X$2,UPPER(TRIM(A42)),UPPER(TRIM(A42))&amp;$X$2)))</f>
        <v/>
      </c>
      <c r="Z42" s="85" t="str">
        <f>IF(OR(A42="",p_ModoCot&lt;&gt;"Automático"),"",IF(AND(p_FonteCripto="CoinGecko",TRIM(D42)&lt;&gt;""),IFERROR(_xlfn.WEBSERVICE("https://api.coingecko.com/api/v3/simple/price?ids="&amp;LOWER(TRIM(D42))&amp;"&amp;vs_currencies=usd"),""),IFERROR(_xlfn.WEBSERVICE("https://query1.finance.yahoo.com/v8/finance/chart/"&amp;Y42&amp;"?range=1d&amp;interval=1d"),"")))</f>
        <v/>
      </c>
      <c r="AA42" s="85" t="str">
        <f>IF(Z42="","",IFERROR(IF(ISNUMBER(SEARCH("regularMarketPrice",Z42)),_xlfn.NUMBERVALUE(MID(Z42,SEARCH("""regularMarketPrice"":",Z42)+21,SEARCH(",",Z42&amp;",",SEARCH("""regularMarketPrice"":",Z42)+21)-SEARCH("""regularMarketPrice"":",Z42)-21),".",","),_xlfn.NUMBERVALUE(MID(SUBSTITUTE(Z42,"}",","),SEARCH("""usd"":",SUBSTITUTE(Z42,"}",","))+6,SEARCH(",",SUBSTITUTE(Z42,"}",",")&amp;",",SEARCH("""usd"":",SUBSTITUTE(Z42,"}",","))+6)-SEARCH("""usd"":",SUBSTITUTE(Z42,"}",","))-6),".",",")),""))</f>
        <v/>
      </c>
      <c r="AB42" s="85" t="str">
        <f>IF(A42="","",ROUND(MAX(0,N(G42)*($L$6+$X$7)-L42),2))</f>
        <v/>
      </c>
      <c r="AC42" s="85" t="str">
        <f>IF(A42="","",IF(AND(N42&gt;0,N42&gt;=p_DifMin),AB42,0))</f>
        <v/>
      </c>
      <c r="AD42" s="85" t="str">
        <f>IF(A42="","",IF(AND(AC42&gt;0,N(P42)&lt;=p_MaxAtivos),AC42,0))</f>
        <v/>
      </c>
      <c r="AE42" s="85" t="str">
        <f>IF(A42="","",IF(OR(R42&lt;=0,R42&lt;p_CompraMin,N(I42)&lt;=0,N(X42)&lt;=0),0,IF($X$3="Sim",TRUNC(ROUND(MAX(0,(R42-p_CorrFixa)/(I42*X42*$X$6)),9),$X$4),TRUNC(ROUND(MAX(0,(R42-p_CorrFixa)/(I42*X42*$X$6)),9)/$X$5)*$X$5)))</f>
        <v/>
      </c>
      <c r="AF42" s="85" t="str">
        <f>IF(A42="","",IF(N(AE42)&gt;0,AE42*I42*X42*$X$6+p_CorrFixa,0))</f>
        <v/>
      </c>
      <c r="AG42" s="85" t="str">
        <f>IF(A42="","",IF(OR($Z$1&lt;=0,N(I42)&lt;=0,N(X42)&lt;=0,N(AC42)&lt;=0),0,IF($X$3="Sim",TRUNC(ROUND(MAX(0,($Z$1-IF(N(AE42)&gt;0,0,p_CorrFixa))/(I42*X42*$X$6)),9),$X$4),TRUNC(ROUND(MAX(0,($Z$1-IF(N(AE42)&gt;0,0,p_CorrFixa))/(I42*X42*$X$6)),9)/$X$5)*$X$5)))</f>
        <v/>
      </c>
      <c r="AH42" s="85" t="str">
        <f>IF(A42="","",IF(AND(N(AE42)=0,N(AG42)*(I42*X42*$X$6)+p_CorrFixa&lt;p_CompraMin),0,AG42))</f>
        <v/>
      </c>
      <c r="AI42" s="85" t="str">
        <f>IF(A42="","",IF(N(AH42)&gt;0,AC42,0))</f>
        <v/>
      </c>
      <c r="AJ42" s="85" t="str">
        <f>IF(A42="","",IF(AND(AI42&gt;0,AI42=$AI$6,COUNTIF($AI$9:AI42,AI42)=1),1,0))</f>
        <v/>
      </c>
    </row>
    <row r="43">
      <c r="A43" s="96" t="n"/>
      <c r="B43" s="96" t="n"/>
      <c r="C43" s="96" t="n"/>
      <c r="D43" s="96" t="n"/>
      <c r="E43" s="97" t="n"/>
      <c r="F43" s="98" t="n"/>
      <c r="G43" s="99" t="n"/>
      <c r="H43" s="100" t="n"/>
      <c r="I43" s="101" t="str">
        <f>IF(A43="","",IF(AND(p_ModoCot="Automático",ISNUMBER(AA43)),AA43,IF(N(H43)&gt;0,H43,0)))</f>
        <v/>
      </c>
      <c r="J43" s="73" t="str">
        <f>IF(A43="","",IF(X43=0,"Sem câmbio",IF(AND(p_ModoCot="Automático",ISNUMBER(AA43)),"Auto",IF(N(H43)&gt;0,"Manual","Sem cotação"))))</f>
        <v/>
      </c>
      <c r="K43" s="102" t="str">
        <f>IF(A43="","",N(F43)*I43)</f>
        <v/>
      </c>
      <c r="L43" s="70" t="str">
        <f>IF(A43="","",K43*X43)</f>
        <v/>
      </c>
      <c r="M43" s="30" t="str">
        <f>IF(A43="","",IF($L$6&gt;0,L43/$L$6,0))</f>
        <v/>
      </c>
      <c r="N43" s="72" t="str">
        <f>IF(A43="","",N(G43)-M43)</f>
        <v/>
      </c>
      <c r="O43" s="30" t="str">
        <f>IF(A43="","",IF($AC$6&gt;0,AC43/$AC$6,0))</f>
        <v/>
      </c>
      <c r="P43" s="74" t="str">
        <f>IF(A43="","",IF(AC43&lt;=0,"",COUNTIF($AC$9:$AC$68,"&gt;"&amp;AC43)+COUNTIF($AC$9:AC43,AC43)))</f>
        <v/>
      </c>
      <c r="Q43" s="73" t="str">
        <f>IF(A43="","",IF(R43&gt;0,"BUY","HOLD"))</f>
        <v/>
      </c>
      <c r="R43" s="70" t="str">
        <f>IF(A43="","",IF($X$7&lt;=0,0,IF($AD$6&gt;0,$X$7*AD43/$AD$6,IF($G$6&gt;0,$X$7*N(G43)/$G$6,0))))</f>
        <v/>
      </c>
      <c r="S43" s="103" t="str">
        <f>IF(A43="","",N(AE43)+IF(AJ43=1,N(AH43),0))</f>
        <v/>
      </c>
      <c r="T43" s="103" t="str">
        <f>IF(A43="","",N(F43)+N(S43))</f>
        <v/>
      </c>
      <c r="U43" s="70" t="str">
        <f>IF(A43="","",IF(N(S43)&gt;0,S43*I43*X43*$X$6+p_CorrFixa,0))</f>
        <v/>
      </c>
      <c r="W43" s="85" t="str">
        <f>IF(A43="","",IF(E43="",$X$1,E43))</f>
        <v/>
      </c>
      <c r="X43" s="85" t="str">
        <f>IF(A43="","",IFERROR(INDEX(moeda_fx,MATCH(W43,moeda_cod,0)),0))</f>
        <v/>
      </c>
      <c r="Y43" s="85" t="str">
        <f>IF(A43="","",IF($X$2="",UPPER(TRIM(A43)),IF(RIGHT(UPPER(TRIM(A43)),LEN($X$2))=$X$2,UPPER(TRIM(A43)),UPPER(TRIM(A43))&amp;$X$2)))</f>
        <v/>
      </c>
      <c r="Z43" s="85" t="str">
        <f>IF(OR(A43="",p_ModoCot&lt;&gt;"Automático"),"",IF(AND(p_FonteCripto="CoinGecko",TRIM(D43)&lt;&gt;""),IFERROR(_xlfn.WEBSERVICE("https://api.coingecko.com/api/v3/simple/price?ids="&amp;LOWER(TRIM(D43))&amp;"&amp;vs_currencies=usd"),""),IFERROR(_xlfn.WEBSERVICE("https://query1.finance.yahoo.com/v8/finance/chart/"&amp;Y43&amp;"?range=1d&amp;interval=1d"),"")))</f>
        <v/>
      </c>
      <c r="AA43" s="85" t="str">
        <f>IF(Z43="","",IFERROR(IF(ISNUMBER(SEARCH("regularMarketPrice",Z43)),_xlfn.NUMBERVALUE(MID(Z43,SEARCH("""regularMarketPrice"":",Z43)+21,SEARCH(",",Z43&amp;",",SEARCH("""regularMarketPrice"":",Z43)+21)-SEARCH("""regularMarketPrice"":",Z43)-21),".",","),_xlfn.NUMBERVALUE(MID(SUBSTITUTE(Z43,"}",","),SEARCH("""usd"":",SUBSTITUTE(Z43,"}",","))+6,SEARCH(",",SUBSTITUTE(Z43,"}",",")&amp;",",SEARCH("""usd"":",SUBSTITUTE(Z43,"}",","))+6)-SEARCH("""usd"":",SUBSTITUTE(Z43,"}",","))-6),".",",")),""))</f>
        <v/>
      </c>
      <c r="AB43" s="85" t="str">
        <f>IF(A43="","",ROUND(MAX(0,N(G43)*($L$6+$X$7)-L43),2))</f>
        <v/>
      </c>
      <c r="AC43" s="85" t="str">
        <f>IF(A43="","",IF(AND(N43&gt;0,N43&gt;=p_DifMin),AB43,0))</f>
        <v/>
      </c>
      <c r="AD43" s="85" t="str">
        <f>IF(A43="","",IF(AND(AC43&gt;0,N(P43)&lt;=p_MaxAtivos),AC43,0))</f>
        <v/>
      </c>
      <c r="AE43" s="85" t="str">
        <f>IF(A43="","",IF(OR(R43&lt;=0,R43&lt;p_CompraMin,N(I43)&lt;=0,N(X43)&lt;=0),0,IF($X$3="Sim",TRUNC(ROUND(MAX(0,(R43-p_CorrFixa)/(I43*X43*$X$6)),9),$X$4),TRUNC(ROUND(MAX(0,(R43-p_CorrFixa)/(I43*X43*$X$6)),9)/$X$5)*$X$5)))</f>
        <v/>
      </c>
      <c r="AF43" s="85" t="str">
        <f>IF(A43="","",IF(N(AE43)&gt;0,AE43*I43*X43*$X$6+p_CorrFixa,0))</f>
        <v/>
      </c>
      <c r="AG43" s="85" t="str">
        <f>IF(A43="","",IF(OR($Z$1&lt;=0,N(I43)&lt;=0,N(X43)&lt;=0,N(AC43)&lt;=0),0,IF($X$3="Sim",TRUNC(ROUND(MAX(0,($Z$1-IF(N(AE43)&gt;0,0,p_CorrFixa))/(I43*X43*$X$6)),9),$X$4),TRUNC(ROUND(MAX(0,($Z$1-IF(N(AE43)&gt;0,0,p_CorrFixa))/(I43*X43*$X$6)),9)/$X$5)*$X$5)))</f>
        <v/>
      </c>
      <c r="AH43" s="85" t="str">
        <f>IF(A43="","",IF(AND(N(AE43)=0,N(AG43)*(I43*X43*$X$6)+p_CorrFixa&lt;p_CompraMin),0,AG43))</f>
        <v/>
      </c>
      <c r="AI43" s="85" t="str">
        <f>IF(A43="","",IF(N(AH43)&gt;0,AC43,0))</f>
        <v/>
      </c>
      <c r="AJ43" s="85" t="str">
        <f>IF(A43="","",IF(AND(AI43&gt;0,AI43=$AI$6,COUNTIF($AI$9:AI43,AI43)=1),1,0))</f>
        <v/>
      </c>
    </row>
    <row r="44">
      <c r="A44" s="96" t="n"/>
      <c r="B44" s="96" t="n"/>
      <c r="C44" s="96" t="n"/>
      <c r="D44" s="96" t="n"/>
      <c r="E44" s="97" t="n"/>
      <c r="F44" s="98" t="n"/>
      <c r="G44" s="99" t="n"/>
      <c r="H44" s="100" t="n"/>
      <c r="I44" s="104" t="str">
        <f>IF(A44="","",IF(AND(p_ModoCot="Automático",ISNUMBER(AA44)),AA44,IF(N(H44)&gt;0,H44,0)))</f>
        <v/>
      </c>
      <c r="J44" s="105" t="str">
        <f>IF(A44="","",IF(X44=0,"Sem câmbio",IF(AND(p_ModoCot="Automático",ISNUMBER(AA44)),"Auto",IF(N(H44)&gt;0,"Manual","Sem cotação"))))</f>
        <v/>
      </c>
      <c r="K44" s="106" t="str">
        <f>IF(A44="","",N(F44)*I44)</f>
        <v/>
      </c>
      <c r="L44" s="107" t="str">
        <f>IF(A44="","",K44*X44)</f>
        <v/>
      </c>
      <c r="M44" s="108" t="str">
        <f>IF(A44="","",IF($L$6&gt;0,L44/$L$6,0))</f>
        <v/>
      </c>
      <c r="N44" s="109" t="str">
        <f>IF(A44="","",N(G44)-M44)</f>
        <v/>
      </c>
      <c r="O44" s="108" t="str">
        <f>IF(A44="","",IF($AC$6&gt;0,AC44/$AC$6,0))</f>
        <v/>
      </c>
      <c r="P44" s="110" t="str">
        <f>IF(A44="","",IF(AC44&lt;=0,"",COUNTIF($AC$9:$AC$68,"&gt;"&amp;AC44)+COUNTIF($AC$9:AC44,AC44)))</f>
        <v/>
      </c>
      <c r="Q44" s="105" t="str">
        <f>IF(A44="","",IF(R44&gt;0,"BUY","HOLD"))</f>
        <v/>
      </c>
      <c r="R44" s="107" t="str">
        <f>IF(A44="","",IF($X$7&lt;=0,0,IF($AD$6&gt;0,$X$7*AD44/$AD$6,IF($G$6&gt;0,$X$7*N(G44)/$G$6,0))))</f>
        <v/>
      </c>
      <c r="S44" s="111" t="str">
        <f>IF(A44="","",N(AE44)+IF(AJ44=1,N(AH44),0))</f>
        <v/>
      </c>
      <c r="T44" s="111" t="str">
        <f>IF(A44="","",N(F44)+N(S44))</f>
        <v/>
      </c>
      <c r="U44" s="107" t="str">
        <f>IF(A44="","",IF(N(S44)&gt;0,S44*I44*X44*$X$6+p_CorrFixa,0))</f>
        <v/>
      </c>
      <c r="W44" s="85" t="str">
        <f>IF(A44="","",IF(E44="",$X$1,E44))</f>
        <v/>
      </c>
      <c r="X44" s="85" t="str">
        <f>IF(A44="","",IFERROR(INDEX(moeda_fx,MATCH(W44,moeda_cod,0)),0))</f>
        <v/>
      </c>
      <c r="Y44" s="85" t="str">
        <f>IF(A44="","",IF($X$2="",UPPER(TRIM(A44)),IF(RIGHT(UPPER(TRIM(A44)),LEN($X$2))=$X$2,UPPER(TRIM(A44)),UPPER(TRIM(A44))&amp;$X$2)))</f>
        <v/>
      </c>
      <c r="Z44" s="85" t="str">
        <f>IF(OR(A44="",p_ModoCot&lt;&gt;"Automático"),"",IF(AND(p_FonteCripto="CoinGecko",TRIM(D44)&lt;&gt;""),IFERROR(_xlfn.WEBSERVICE("https://api.coingecko.com/api/v3/simple/price?ids="&amp;LOWER(TRIM(D44))&amp;"&amp;vs_currencies=usd"),""),IFERROR(_xlfn.WEBSERVICE("https://query1.finance.yahoo.com/v8/finance/chart/"&amp;Y44&amp;"?range=1d&amp;interval=1d"),"")))</f>
        <v/>
      </c>
      <c r="AA44" s="85" t="str">
        <f>IF(Z44="","",IFERROR(IF(ISNUMBER(SEARCH("regularMarketPrice",Z44)),_xlfn.NUMBERVALUE(MID(Z44,SEARCH("""regularMarketPrice"":",Z44)+21,SEARCH(",",Z44&amp;",",SEARCH("""regularMarketPrice"":",Z44)+21)-SEARCH("""regularMarketPrice"":",Z44)-21),".",","),_xlfn.NUMBERVALUE(MID(SUBSTITUTE(Z44,"}",","),SEARCH("""usd"":",SUBSTITUTE(Z44,"}",","))+6,SEARCH(",",SUBSTITUTE(Z44,"}",",")&amp;",",SEARCH("""usd"":",SUBSTITUTE(Z44,"}",","))+6)-SEARCH("""usd"":",SUBSTITUTE(Z44,"}",","))-6),".",",")),""))</f>
        <v/>
      </c>
      <c r="AB44" s="85" t="str">
        <f>IF(A44="","",ROUND(MAX(0,N(G44)*($L$6+$X$7)-L44),2))</f>
        <v/>
      </c>
      <c r="AC44" s="85" t="str">
        <f>IF(A44="","",IF(AND(N44&gt;0,N44&gt;=p_DifMin),AB44,0))</f>
        <v/>
      </c>
      <c r="AD44" s="85" t="str">
        <f>IF(A44="","",IF(AND(AC44&gt;0,N(P44)&lt;=p_MaxAtivos),AC44,0))</f>
        <v/>
      </c>
      <c r="AE44" s="85" t="str">
        <f>IF(A44="","",IF(OR(R44&lt;=0,R44&lt;p_CompraMin,N(I44)&lt;=0,N(X44)&lt;=0),0,IF($X$3="Sim",TRUNC(ROUND(MAX(0,(R44-p_CorrFixa)/(I44*X44*$X$6)),9),$X$4),TRUNC(ROUND(MAX(0,(R44-p_CorrFixa)/(I44*X44*$X$6)),9)/$X$5)*$X$5)))</f>
        <v/>
      </c>
      <c r="AF44" s="85" t="str">
        <f>IF(A44="","",IF(N(AE44)&gt;0,AE44*I44*X44*$X$6+p_CorrFixa,0))</f>
        <v/>
      </c>
      <c r="AG44" s="85" t="str">
        <f>IF(A44="","",IF(OR($Z$1&lt;=0,N(I44)&lt;=0,N(X44)&lt;=0,N(AC44)&lt;=0),0,IF($X$3="Sim",TRUNC(ROUND(MAX(0,($Z$1-IF(N(AE44)&gt;0,0,p_CorrFixa))/(I44*X44*$X$6)),9),$X$4),TRUNC(ROUND(MAX(0,($Z$1-IF(N(AE44)&gt;0,0,p_CorrFixa))/(I44*X44*$X$6)),9)/$X$5)*$X$5)))</f>
        <v/>
      </c>
      <c r="AH44" s="85" t="str">
        <f>IF(A44="","",IF(AND(N(AE44)=0,N(AG44)*(I44*X44*$X$6)+p_CorrFixa&lt;p_CompraMin),0,AG44))</f>
        <v/>
      </c>
      <c r="AI44" s="85" t="str">
        <f>IF(A44="","",IF(N(AH44)&gt;0,AC44,0))</f>
        <v/>
      </c>
      <c r="AJ44" s="85" t="str">
        <f>IF(A44="","",IF(AND(AI44&gt;0,AI44=$AI$6,COUNTIF($AI$9:AI44,AI44)=1),1,0))</f>
        <v/>
      </c>
    </row>
    <row r="45">
      <c r="A45" s="96" t="n"/>
      <c r="B45" s="96" t="n"/>
      <c r="C45" s="96" t="n"/>
      <c r="D45" s="96" t="n"/>
      <c r="E45" s="97" t="n"/>
      <c r="F45" s="98" t="n"/>
      <c r="G45" s="99" t="n"/>
      <c r="H45" s="100" t="n"/>
      <c r="I45" s="101" t="str">
        <f>IF(A45="","",IF(AND(p_ModoCot="Automático",ISNUMBER(AA45)),AA45,IF(N(H45)&gt;0,H45,0)))</f>
        <v/>
      </c>
      <c r="J45" s="73" t="str">
        <f>IF(A45="","",IF(X45=0,"Sem câmbio",IF(AND(p_ModoCot="Automático",ISNUMBER(AA45)),"Auto",IF(N(H45)&gt;0,"Manual","Sem cotação"))))</f>
        <v/>
      </c>
      <c r="K45" s="102" t="str">
        <f>IF(A45="","",N(F45)*I45)</f>
        <v/>
      </c>
      <c r="L45" s="70" t="str">
        <f>IF(A45="","",K45*X45)</f>
        <v/>
      </c>
      <c r="M45" s="30" t="str">
        <f>IF(A45="","",IF($L$6&gt;0,L45/$L$6,0))</f>
        <v/>
      </c>
      <c r="N45" s="72" t="str">
        <f>IF(A45="","",N(G45)-M45)</f>
        <v/>
      </c>
      <c r="O45" s="30" t="str">
        <f>IF(A45="","",IF($AC$6&gt;0,AC45/$AC$6,0))</f>
        <v/>
      </c>
      <c r="P45" s="74" t="str">
        <f>IF(A45="","",IF(AC45&lt;=0,"",COUNTIF($AC$9:$AC$68,"&gt;"&amp;AC45)+COUNTIF($AC$9:AC45,AC45)))</f>
        <v/>
      </c>
      <c r="Q45" s="73" t="str">
        <f>IF(A45="","",IF(R45&gt;0,"BUY","HOLD"))</f>
        <v/>
      </c>
      <c r="R45" s="70" t="str">
        <f>IF(A45="","",IF($X$7&lt;=0,0,IF($AD$6&gt;0,$X$7*AD45/$AD$6,IF($G$6&gt;0,$X$7*N(G45)/$G$6,0))))</f>
        <v/>
      </c>
      <c r="S45" s="103" t="str">
        <f>IF(A45="","",N(AE45)+IF(AJ45=1,N(AH45),0))</f>
        <v/>
      </c>
      <c r="T45" s="103" t="str">
        <f>IF(A45="","",N(F45)+N(S45))</f>
        <v/>
      </c>
      <c r="U45" s="70" t="str">
        <f>IF(A45="","",IF(N(S45)&gt;0,S45*I45*X45*$X$6+p_CorrFixa,0))</f>
        <v/>
      </c>
      <c r="W45" s="85" t="str">
        <f>IF(A45="","",IF(E45="",$X$1,E45))</f>
        <v/>
      </c>
      <c r="X45" s="85" t="str">
        <f>IF(A45="","",IFERROR(INDEX(moeda_fx,MATCH(W45,moeda_cod,0)),0))</f>
        <v/>
      </c>
      <c r="Y45" s="85" t="str">
        <f>IF(A45="","",IF($X$2="",UPPER(TRIM(A45)),IF(RIGHT(UPPER(TRIM(A45)),LEN($X$2))=$X$2,UPPER(TRIM(A45)),UPPER(TRIM(A45))&amp;$X$2)))</f>
        <v/>
      </c>
      <c r="Z45" s="85" t="str">
        <f>IF(OR(A45="",p_ModoCot&lt;&gt;"Automático"),"",IF(AND(p_FonteCripto="CoinGecko",TRIM(D45)&lt;&gt;""),IFERROR(_xlfn.WEBSERVICE("https://api.coingecko.com/api/v3/simple/price?ids="&amp;LOWER(TRIM(D45))&amp;"&amp;vs_currencies=usd"),""),IFERROR(_xlfn.WEBSERVICE("https://query1.finance.yahoo.com/v8/finance/chart/"&amp;Y45&amp;"?range=1d&amp;interval=1d"),"")))</f>
        <v/>
      </c>
      <c r="AA45" s="85" t="str">
        <f>IF(Z45="","",IFERROR(IF(ISNUMBER(SEARCH("regularMarketPrice",Z45)),_xlfn.NUMBERVALUE(MID(Z45,SEARCH("""regularMarketPrice"":",Z45)+21,SEARCH(",",Z45&amp;",",SEARCH("""regularMarketPrice"":",Z45)+21)-SEARCH("""regularMarketPrice"":",Z45)-21),".",","),_xlfn.NUMBERVALUE(MID(SUBSTITUTE(Z45,"}",","),SEARCH("""usd"":",SUBSTITUTE(Z45,"}",","))+6,SEARCH(",",SUBSTITUTE(Z45,"}",",")&amp;",",SEARCH("""usd"":",SUBSTITUTE(Z45,"}",","))+6)-SEARCH("""usd"":",SUBSTITUTE(Z45,"}",","))-6),".",",")),""))</f>
        <v/>
      </c>
      <c r="AB45" s="85" t="str">
        <f>IF(A45="","",ROUND(MAX(0,N(G45)*($L$6+$X$7)-L45),2))</f>
        <v/>
      </c>
      <c r="AC45" s="85" t="str">
        <f>IF(A45="","",IF(AND(N45&gt;0,N45&gt;=p_DifMin),AB45,0))</f>
        <v/>
      </c>
      <c r="AD45" s="85" t="str">
        <f>IF(A45="","",IF(AND(AC45&gt;0,N(P45)&lt;=p_MaxAtivos),AC45,0))</f>
        <v/>
      </c>
      <c r="AE45" s="85" t="str">
        <f>IF(A45="","",IF(OR(R45&lt;=0,R45&lt;p_CompraMin,N(I45)&lt;=0,N(X45)&lt;=0),0,IF($X$3="Sim",TRUNC(ROUND(MAX(0,(R45-p_CorrFixa)/(I45*X45*$X$6)),9),$X$4),TRUNC(ROUND(MAX(0,(R45-p_CorrFixa)/(I45*X45*$X$6)),9)/$X$5)*$X$5)))</f>
        <v/>
      </c>
      <c r="AF45" s="85" t="str">
        <f>IF(A45="","",IF(N(AE45)&gt;0,AE45*I45*X45*$X$6+p_CorrFixa,0))</f>
        <v/>
      </c>
      <c r="AG45" s="85" t="str">
        <f>IF(A45="","",IF(OR($Z$1&lt;=0,N(I45)&lt;=0,N(X45)&lt;=0,N(AC45)&lt;=0),0,IF($X$3="Sim",TRUNC(ROUND(MAX(0,($Z$1-IF(N(AE45)&gt;0,0,p_CorrFixa))/(I45*X45*$X$6)),9),$X$4),TRUNC(ROUND(MAX(0,($Z$1-IF(N(AE45)&gt;0,0,p_CorrFixa))/(I45*X45*$X$6)),9)/$X$5)*$X$5)))</f>
        <v/>
      </c>
      <c r="AH45" s="85" t="str">
        <f>IF(A45="","",IF(AND(N(AE45)=0,N(AG45)*(I45*X45*$X$6)+p_CorrFixa&lt;p_CompraMin),0,AG45))</f>
        <v/>
      </c>
      <c r="AI45" s="85" t="str">
        <f>IF(A45="","",IF(N(AH45)&gt;0,AC45,0))</f>
        <v/>
      </c>
      <c r="AJ45" s="85" t="str">
        <f>IF(A45="","",IF(AND(AI45&gt;0,AI45=$AI$6,COUNTIF($AI$9:AI45,AI45)=1),1,0))</f>
        <v/>
      </c>
    </row>
    <row r="46">
      <c r="A46" s="96" t="n"/>
      <c r="B46" s="96" t="n"/>
      <c r="C46" s="96" t="n"/>
      <c r="D46" s="96" t="n"/>
      <c r="E46" s="97" t="n"/>
      <c r="F46" s="98" t="n"/>
      <c r="G46" s="99" t="n"/>
      <c r="H46" s="100" t="n"/>
      <c r="I46" s="104" t="str">
        <f>IF(A46="","",IF(AND(p_ModoCot="Automático",ISNUMBER(AA46)),AA46,IF(N(H46)&gt;0,H46,0)))</f>
        <v/>
      </c>
      <c r="J46" s="105" t="str">
        <f>IF(A46="","",IF(X46=0,"Sem câmbio",IF(AND(p_ModoCot="Automático",ISNUMBER(AA46)),"Auto",IF(N(H46)&gt;0,"Manual","Sem cotação"))))</f>
        <v/>
      </c>
      <c r="K46" s="106" t="str">
        <f>IF(A46="","",N(F46)*I46)</f>
        <v/>
      </c>
      <c r="L46" s="107" t="str">
        <f>IF(A46="","",K46*X46)</f>
        <v/>
      </c>
      <c r="M46" s="108" t="str">
        <f>IF(A46="","",IF($L$6&gt;0,L46/$L$6,0))</f>
        <v/>
      </c>
      <c r="N46" s="109" t="str">
        <f>IF(A46="","",N(G46)-M46)</f>
        <v/>
      </c>
      <c r="O46" s="108" t="str">
        <f>IF(A46="","",IF($AC$6&gt;0,AC46/$AC$6,0))</f>
        <v/>
      </c>
      <c r="P46" s="110" t="str">
        <f>IF(A46="","",IF(AC46&lt;=0,"",COUNTIF($AC$9:$AC$68,"&gt;"&amp;AC46)+COUNTIF($AC$9:AC46,AC46)))</f>
        <v/>
      </c>
      <c r="Q46" s="105" t="str">
        <f>IF(A46="","",IF(R46&gt;0,"BUY","HOLD"))</f>
        <v/>
      </c>
      <c r="R46" s="107" t="str">
        <f>IF(A46="","",IF($X$7&lt;=0,0,IF($AD$6&gt;0,$X$7*AD46/$AD$6,IF($G$6&gt;0,$X$7*N(G46)/$G$6,0))))</f>
        <v/>
      </c>
      <c r="S46" s="111" t="str">
        <f>IF(A46="","",N(AE46)+IF(AJ46=1,N(AH46),0))</f>
        <v/>
      </c>
      <c r="T46" s="111" t="str">
        <f>IF(A46="","",N(F46)+N(S46))</f>
        <v/>
      </c>
      <c r="U46" s="107" t="str">
        <f>IF(A46="","",IF(N(S46)&gt;0,S46*I46*X46*$X$6+p_CorrFixa,0))</f>
        <v/>
      </c>
      <c r="W46" s="85" t="str">
        <f>IF(A46="","",IF(E46="",$X$1,E46))</f>
        <v/>
      </c>
      <c r="X46" s="85" t="str">
        <f>IF(A46="","",IFERROR(INDEX(moeda_fx,MATCH(W46,moeda_cod,0)),0))</f>
        <v/>
      </c>
      <c r="Y46" s="85" t="str">
        <f>IF(A46="","",IF($X$2="",UPPER(TRIM(A46)),IF(RIGHT(UPPER(TRIM(A46)),LEN($X$2))=$X$2,UPPER(TRIM(A46)),UPPER(TRIM(A46))&amp;$X$2)))</f>
        <v/>
      </c>
      <c r="Z46" s="85" t="str">
        <f>IF(OR(A46="",p_ModoCot&lt;&gt;"Automático"),"",IF(AND(p_FonteCripto="CoinGecko",TRIM(D46)&lt;&gt;""),IFERROR(_xlfn.WEBSERVICE("https://api.coingecko.com/api/v3/simple/price?ids="&amp;LOWER(TRIM(D46))&amp;"&amp;vs_currencies=usd"),""),IFERROR(_xlfn.WEBSERVICE("https://query1.finance.yahoo.com/v8/finance/chart/"&amp;Y46&amp;"?range=1d&amp;interval=1d"),"")))</f>
        <v/>
      </c>
      <c r="AA46" s="85" t="str">
        <f>IF(Z46="","",IFERROR(IF(ISNUMBER(SEARCH("regularMarketPrice",Z46)),_xlfn.NUMBERVALUE(MID(Z46,SEARCH("""regularMarketPrice"":",Z46)+21,SEARCH(",",Z46&amp;",",SEARCH("""regularMarketPrice"":",Z46)+21)-SEARCH("""regularMarketPrice"":",Z46)-21),".",","),_xlfn.NUMBERVALUE(MID(SUBSTITUTE(Z46,"}",","),SEARCH("""usd"":",SUBSTITUTE(Z46,"}",","))+6,SEARCH(",",SUBSTITUTE(Z46,"}",",")&amp;",",SEARCH("""usd"":",SUBSTITUTE(Z46,"}",","))+6)-SEARCH("""usd"":",SUBSTITUTE(Z46,"}",","))-6),".",",")),""))</f>
        <v/>
      </c>
      <c r="AB46" s="85" t="str">
        <f>IF(A46="","",ROUND(MAX(0,N(G46)*($L$6+$X$7)-L46),2))</f>
        <v/>
      </c>
      <c r="AC46" s="85" t="str">
        <f>IF(A46="","",IF(AND(N46&gt;0,N46&gt;=p_DifMin),AB46,0))</f>
        <v/>
      </c>
      <c r="AD46" s="85" t="str">
        <f>IF(A46="","",IF(AND(AC46&gt;0,N(P46)&lt;=p_MaxAtivos),AC46,0))</f>
        <v/>
      </c>
      <c r="AE46" s="85" t="str">
        <f>IF(A46="","",IF(OR(R46&lt;=0,R46&lt;p_CompraMin,N(I46)&lt;=0,N(X46)&lt;=0),0,IF($X$3="Sim",TRUNC(ROUND(MAX(0,(R46-p_CorrFixa)/(I46*X46*$X$6)),9),$X$4),TRUNC(ROUND(MAX(0,(R46-p_CorrFixa)/(I46*X46*$X$6)),9)/$X$5)*$X$5)))</f>
        <v/>
      </c>
      <c r="AF46" s="85" t="str">
        <f>IF(A46="","",IF(N(AE46)&gt;0,AE46*I46*X46*$X$6+p_CorrFixa,0))</f>
        <v/>
      </c>
      <c r="AG46" s="85" t="str">
        <f>IF(A46="","",IF(OR($Z$1&lt;=0,N(I46)&lt;=0,N(X46)&lt;=0,N(AC46)&lt;=0),0,IF($X$3="Sim",TRUNC(ROUND(MAX(0,($Z$1-IF(N(AE46)&gt;0,0,p_CorrFixa))/(I46*X46*$X$6)),9),$X$4),TRUNC(ROUND(MAX(0,($Z$1-IF(N(AE46)&gt;0,0,p_CorrFixa))/(I46*X46*$X$6)),9)/$X$5)*$X$5)))</f>
        <v/>
      </c>
      <c r="AH46" s="85" t="str">
        <f>IF(A46="","",IF(AND(N(AE46)=0,N(AG46)*(I46*X46*$X$6)+p_CorrFixa&lt;p_CompraMin),0,AG46))</f>
        <v/>
      </c>
      <c r="AI46" s="85" t="str">
        <f>IF(A46="","",IF(N(AH46)&gt;0,AC46,0))</f>
        <v/>
      </c>
      <c r="AJ46" s="85" t="str">
        <f>IF(A46="","",IF(AND(AI46&gt;0,AI46=$AI$6,COUNTIF($AI$9:AI46,AI46)=1),1,0))</f>
        <v/>
      </c>
    </row>
    <row r="47">
      <c r="A47" s="96" t="n"/>
      <c r="B47" s="96" t="n"/>
      <c r="C47" s="96" t="n"/>
      <c r="D47" s="96" t="n"/>
      <c r="E47" s="97" t="n"/>
      <c r="F47" s="98" t="n"/>
      <c r="G47" s="99" t="n"/>
      <c r="H47" s="100" t="n"/>
      <c r="I47" s="101" t="str">
        <f>IF(A47="","",IF(AND(p_ModoCot="Automático",ISNUMBER(AA47)),AA47,IF(N(H47)&gt;0,H47,0)))</f>
        <v/>
      </c>
      <c r="J47" s="73" t="str">
        <f>IF(A47="","",IF(X47=0,"Sem câmbio",IF(AND(p_ModoCot="Automático",ISNUMBER(AA47)),"Auto",IF(N(H47)&gt;0,"Manual","Sem cotação"))))</f>
        <v/>
      </c>
      <c r="K47" s="102" t="str">
        <f>IF(A47="","",N(F47)*I47)</f>
        <v/>
      </c>
      <c r="L47" s="70" t="str">
        <f>IF(A47="","",K47*X47)</f>
        <v/>
      </c>
      <c r="M47" s="30" t="str">
        <f>IF(A47="","",IF($L$6&gt;0,L47/$L$6,0))</f>
        <v/>
      </c>
      <c r="N47" s="72" t="str">
        <f>IF(A47="","",N(G47)-M47)</f>
        <v/>
      </c>
      <c r="O47" s="30" t="str">
        <f>IF(A47="","",IF($AC$6&gt;0,AC47/$AC$6,0))</f>
        <v/>
      </c>
      <c r="P47" s="74" t="str">
        <f>IF(A47="","",IF(AC47&lt;=0,"",COUNTIF($AC$9:$AC$68,"&gt;"&amp;AC47)+COUNTIF($AC$9:AC47,AC47)))</f>
        <v/>
      </c>
      <c r="Q47" s="73" t="str">
        <f>IF(A47="","",IF(R47&gt;0,"BUY","HOLD"))</f>
        <v/>
      </c>
      <c r="R47" s="70" t="str">
        <f>IF(A47="","",IF($X$7&lt;=0,0,IF($AD$6&gt;0,$X$7*AD47/$AD$6,IF($G$6&gt;0,$X$7*N(G47)/$G$6,0))))</f>
        <v/>
      </c>
      <c r="S47" s="103" t="str">
        <f>IF(A47="","",N(AE47)+IF(AJ47=1,N(AH47),0))</f>
        <v/>
      </c>
      <c r="T47" s="103" t="str">
        <f>IF(A47="","",N(F47)+N(S47))</f>
        <v/>
      </c>
      <c r="U47" s="70" t="str">
        <f>IF(A47="","",IF(N(S47)&gt;0,S47*I47*X47*$X$6+p_CorrFixa,0))</f>
        <v/>
      </c>
      <c r="W47" s="85" t="str">
        <f>IF(A47="","",IF(E47="",$X$1,E47))</f>
        <v/>
      </c>
      <c r="X47" s="85" t="str">
        <f>IF(A47="","",IFERROR(INDEX(moeda_fx,MATCH(W47,moeda_cod,0)),0))</f>
        <v/>
      </c>
      <c r="Y47" s="85" t="str">
        <f>IF(A47="","",IF($X$2="",UPPER(TRIM(A47)),IF(RIGHT(UPPER(TRIM(A47)),LEN($X$2))=$X$2,UPPER(TRIM(A47)),UPPER(TRIM(A47))&amp;$X$2)))</f>
        <v/>
      </c>
      <c r="Z47" s="85" t="str">
        <f>IF(OR(A47="",p_ModoCot&lt;&gt;"Automático"),"",IF(AND(p_FonteCripto="CoinGecko",TRIM(D47)&lt;&gt;""),IFERROR(_xlfn.WEBSERVICE("https://api.coingecko.com/api/v3/simple/price?ids="&amp;LOWER(TRIM(D47))&amp;"&amp;vs_currencies=usd"),""),IFERROR(_xlfn.WEBSERVICE("https://query1.finance.yahoo.com/v8/finance/chart/"&amp;Y47&amp;"?range=1d&amp;interval=1d"),"")))</f>
        <v/>
      </c>
      <c r="AA47" s="85" t="str">
        <f>IF(Z47="","",IFERROR(IF(ISNUMBER(SEARCH("regularMarketPrice",Z47)),_xlfn.NUMBERVALUE(MID(Z47,SEARCH("""regularMarketPrice"":",Z47)+21,SEARCH(",",Z47&amp;",",SEARCH("""regularMarketPrice"":",Z47)+21)-SEARCH("""regularMarketPrice"":",Z47)-21),".",","),_xlfn.NUMBERVALUE(MID(SUBSTITUTE(Z47,"}",","),SEARCH("""usd"":",SUBSTITUTE(Z47,"}",","))+6,SEARCH(",",SUBSTITUTE(Z47,"}",",")&amp;",",SEARCH("""usd"":",SUBSTITUTE(Z47,"}",","))+6)-SEARCH("""usd"":",SUBSTITUTE(Z47,"}",","))-6),".",",")),""))</f>
        <v/>
      </c>
      <c r="AB47" s="85" t="str">
        <f>IF(A47="","",ROUND(MAX(0,N(G47)*($L$6+$X$7)-L47),2))</f>
        <v/>
      </c>
      <c r="AC47" s="85" t="str">
        <f>IF(A47="","",IF(AND(N47&gt;0,N47&gt;=p_DifMin),AB47,0))</f>
        <v/>
      </c>
      <c r="AD47" s="85" t="str">
        <f>IF(A47="","",IF(AND(AC47&gt;0,N(P47)&lt;=p_MaxAtivos),AC47,0))</f>
        <v/>
      </c>
      <c r="AE47" s="85" t="str">
        <f>IF(A47="","",IF(OR(R47&lt;=0,R47&lt;p_CompraMin,N(I47)&lt;=0,N(X47)&lt;=0),0,IF($X$3="Sim",TRUNC(ROUND(MAX(0,(R47-p_CorrFixa)/(I47*X47*$X$6)),9),$X$4),TRUNC(ROUND(MAX(0,(R47-p_CorrFixa)/(I47*X47*$X$6)),9)/$X$5)*$X$5)))</f>
        <v/>
      </c>
      <c r="AF47" s="85" t="str">
        <f>IF(A47="","",IF(N(AE47)&gt;0,AE47*I47*X47*$X$6+p_CorrFixa,0))</f>
        <v/>
      </c>
      <c r="AG47" s="85" t="str">
        <f>IF(A47="","",IF(OR($Z$1&lt;=0,N(I47)&lt;=0,N(X47)&lt;=0,N(AC47)&lt;=0),0,IF($X$3="Sim",TRUNC(ROUND(MAX(0,($Z$1-IF(N(AE47)&gt;0,0,p_CorrFixa))/(I47*X47*$X$6)),9),$X$4),TRUNC(ROUND(MAX(0,($Z$1-IF(N(AE47)&gt;0,0,p_CorrFixa))/(I47*X47*$X$6)),9)/$X$5)*$X$5)))</f>
        <v/>
      </c>
      <c r="AH47" s="85" t="str">
        <f>IF(A47="","",IF(AND(N(AE47)=0,N(AG47)*(I47*X47*$X$6)+p_CorrFixa&lt;p_CompraMin),0,AG47))</f>
        <v/>
      </c>
      <c r="AI47" s="85" t="str">
        <f>IF(A47="","",IF(N(AH47)&gt;0,AC47,0))</f>
        <v/>
      </c>
      <c r="AJ47" s="85" t="str">
        <f>IF(A47="","",IF(AND(AI47&gt;0,AI47=$AI$6,COUNTIF($AI$9:AI47,AI47)=1),1,0))</f>
        <v/>
      </c>
    </row>
    <row r="48">
      <c r="A48" s="96" t="n"/>
      <c r="B48" s="96" t="n"/>
      <c r="C48" s="96" t="n"/>
      <c r="D48" s="96" t="n"/>
      <c r="E48" s="97" t="n"/>
      <c r="F48" s="98" t="n"/>
      <c r="G48" s="99" t="n"/>
      <c r="H48" s="100" t="n"/>
      <c r="I48" s="104" t="str">
        <f>IF(A48="","",IF(AND(p_ModoCot="Automático",ISNUMBER(AA48)),AA48,IF(N(H48)&gt;0,H48,0)))</f>
        <v/>
      </c>
      <c r="J48" s="105" t="str">
        <f>IF(A48="","",IF(X48=0,"Sem câmbio",IF(AND(p_ModoCot="Automático",ISNUMBER(AA48)),"Auto",IF(N(H48)&gt;0,"Manual","Sem cotação"))))</f>
        <v/>
      </c>
      <c r="K48" s="106" t="str">
        <f>IF(A48="","",N(F48)*I48)</f>
        <v/>
      </c>
      <c r="L48" s="107" t="str">
        <f>IF(A48="","",K48*X48)</f>
        <v/>
      </c>
      <c r="M48" s="108" t="str">
        <f>IF(A48="","",IF($L$6&gt;0,L48/$L$6,0))</f>
        <v/>
      </c>
      <c r="N48" s="109" t="str">
        <f>IF(A48="","",N(G48)-M48)</f>
        <v/>
      </c>
      <c r="O48" s="108" t="str">
        <f>IF(A48="","",IF($AC$6&gt;0,AC48/$AC$6,0))</f>
        <v/>
      </c>
      <c r="P48" s="110" t="str">
        <f>IF(A48="","",IF(AC48&lt;=0,"",COUNTIF($AC$9:$AC$68,"&gt;"&amp;AC48)+COUNTIF($AC$9:AC48,AC48)))</f>
        <v/>
      </c>
      <c r="Q48" s="105" t="str">
        <f>IF(A48="","",IF(R48&gt;0,"BUY","HOLD"))</f>
        <v/>
      </c>
      <c r="R48" s="107" t="str">
        <f>IF(A48="","",IF($X$7&lt;=0,0,IF($AD$6&gt;0,$X$7*AD48/$AD$6,IF($G$6&gt;0,$X$7*N(G48)/$G$6,0))))</f>
        <v/>
      </c>
      <c r="S48" s="111" t="str">
        <f>IF(A48="","",N(AE48)+IF(AJ48=1,N(AH48),0))</f>
        <v/>
      </c>
      <c r="T48" s="111" t="str">
        <f>IF(A48="","",N(F48)+N(S48))</f>
        <v/>
      </c>
      <c r="U48" s="107" t="str">
        <f>IF(A48="","",IF(N(S48)&gt;0,S48*I48*X48*$X$6+p_CorrFixa,0))</f>
        <v/>
      </c>
      <c r="W48" s="85" t="str">
        <f>IF(A48="","",IF(E48="",$X$1,E48))</f>
        <v/>
      </c>
      <c r="X48" s="85" t="str">
        <f>IF(A48="","",IFERROR(INDEX(moeda_fx,MATCH(W48,moeda_cod,0)),0))</f>
        <v/>
      </c>
      <c r="Y48" s="85" t="str">
        <f>IF(A48="","",IF($X$2="",UPPER(TRIM(A48)),IF(RIGHT(UPPER(TRIM(A48)),LEN($X$2))=$X$2,UPPER(TRIM(A48)),UPPER(TRIM(A48))&amp;$X$2)))</f>
        <v/>
      </c>
      <c r="Z48" s="85" t="str">
        <f>IF(OR(A48="",p_ModoCot&lt;&gt;"Automático"),"",IF(AND(p_FonteCripto="CoinGecko",TRIM(D48)&lt;&gt;""),IFERROR(_xlfn.WEBSERVICE("https://api.coingecko.com/api/v3/simple/price?ids="&amp;LOWER(TRIM(D48))&amp;"&amp;vs_currencies=usd"),""),IFERROR(_xlfn.WEBSERVICE("https://query1.finance.yahoo.com/v8/finance/chart/"&amp;Y48&amp;"?range=1d&amp;interval=1d"),"")))</f>
        <v/>
      </c>
      <c r="AA48" s="85" t="str">
        <f>IF(Z48="","",IFERROR(IF(ISNUMBER(SEARCH("regularMarketPrice",Z48)),_xlfn.NUMBERVALUE(MID(Z48,SEARCH("""regularMarketPrice"":",Z48)+21,SEARCH(",",Z48&amp;",",SEARCH("""regularMarketPrice"":",Z48)+21)-SEARCH("""regularMarketPrice"":",Z48)-21),".",","),_xlfn.NUMBERVALUE(MID(SUBSTITUTE(Z48,"}",","),SEARCH("""usd"":",SUBSTITUTE(Z48,"}",","))+6,SEARCH(",",SUBSTITUTE(Z48,"}",",")&amp;",",SEARCH("""usd"":",SUBSTITUTE(Z48,"}",","))+6)-SEARCH("""usd"":",SUBSTITUTE(Z48,"}",","))-6),".",",")),""))</f>
        <v/>
      </c>
      <c r="AB48" s="85" t="str">
        <f>IF(A48="","",ROUND(MAX(0,N(G48)*($L$6+$X$7)-L48),2))</f>
        <v/>
      </c>
      <c r="AC48" s="85" t="str">
        <f>IF(A48="","",IF(AND(N48&gt;0,N48&gt;=p_DifMin),AB48,0))</f>
        <v/>
      </c>
      <c r="AD48" s="85" t="str">
        <f>IF(A48="","",IF(AND(AC48&gt;0,N(P48)&lt;=p_MaxAtivos),AC48,0))</f>
        <v/>
      </c>
      <c r="AE48" s="85" t="str">
        <f>IF(A48="","",IF(OR(R48&lt;=0,R48&lt;p_CompraMin,N(I48)&lt;=0,N(X48)&lt;=0),0,IF($X$3="Sim",TRUNC(ROUND(MAX(0,(R48-p_CorrFixa)/(I48*X48*$X$6)),9),$X$4),TRUNC(ROUND(MAX(0,(R48-p_CorrFixa)/(I48*X48*$X$6)),9)/$X$5)*$X$5)))</f>
        <v/>
      </c>
      <c r="AF48" s="85" t="str">
        <f>IF(A48="","",IF(N(AE48)&gt;0,AE48*I48*X48*$X$6+p_CorrFixa,0))</f>
        <v/>
      </c>
      <c r="AG48" s="85" t="str">
        <f>IF(A48="","",IF(OR($Z$1&lt;=0,N(I48)&lt;=0,N(X48)&lt;=0,N(AC48)&lt;=0),0,IF($X$3="Sim",TRUNC(ROUND(MAX(0,($Z$1-IF(N(AE48)&gt;0,0,p_CorrFixa))/(I48*X48*$X$6)),9),$X$4),TRUNC(ROUND(MAX(0,($Z$1-IF(N(AE48)&gt;0,0,p_CorrFixa))/(I48*X48*$X$6)),9)/$X$5)*$X$5)))</f>
        <v/>
      </c>
      <c r="AH48" s="85" t="str">
        <f>IF(A48="","",IF(AND(N(AE48)=0,N(AG48)*(I48*X48*$X$6)+p_CorrFixa&lt;p_CompraMin),0,AG48))</f>
        <v/>
      </c>
      <c r="AI48" s="85" t="str">
        <f>IF(A48="","",IF(N(AH48)&gt;0,AC48,0))</f>
        <v/>
      </c>
      <c r="AJ48" s="85" t="str">
        <f>IF(A48="","",IF(AND(AI48&gt;0,AI48=$AI$6,COUNTIF($AI$9:AI48,AI48)=1),1,0))</f>
        <v/>
      </c>
    </row>
    <row r="49">
      <c r="A49" s="96" t="n"/>
      <c r="B49" s="96" t="n"/>
      <c r="C49" s="96" t="n"/>
      <c r="D49" s="96" t="n"/>
      <c r="E49" s="97" t="n"/>
      <c r="F49" s="98" t="n"/>
      <c r="G49" s="99" t="n"/>
      <c r="H49" s="100" t="n"/>
      <c r="I49" s="101" t="str">
        <f>IF(A49="","",IF(AND(p_ModoCot="Automático",ISNUMBER(AA49)),AA49,IF(N(H49)&gt;0,H49,0)))</f>
        <v/>
      </c>
      <c r="J49" s="73" t="str">
        <f>IF(A49="","",IF(X49=0,"Sem câmbio",IF(AND(p_ModoCot="Automático",ISNUMBER(AA49)),"Auto",IF(N(H49)&gt;0,"Manual","Sem cotação"))))</f>
        <v/>
      </c>
      <c r="K49" s="102" t="str">
        <f>IF(A49="","",N(F49)*I49)</f>
        <v/>
      </c>
      <c r="L49" s="70" t="str">
        <f>IF(A49="","",K49*X49)</f>
        <v/>
      </c>
      <c r="M49" s="30" t="str">
        <f>IF(A49="","",IF($L$6&gt;0,L49/$L$6,0))</f>
        <v/>
      </c>
      <c r="N49" s="72" t="str">
        <f>IF(A49="","",N(G49)-M49)</f>
        <v/>
      </c>
      <c r="O49" s="30" t="str">
        <f>IF(A49="","",IF($AC$6&gt;0,AC49/$AC$6,0))</f>
        <v/>
      </c>
      <c r="P49" s="74" t="str">
        <f>IF(A49="","",IF(AC49&lt;=0,"",COUNTIF($AC$9:$AC$68,"&gt;"&amp;AC49)+COUNTIF($AC$9:AC49,AC49)))</f>
        <v/>
      </c>
      <c r="Q49" s="73" t="str">
        <f>IF(A49="","",IF(R49&gt;0,"BUY","HOLD"))</f>
        <v/>
      </c>
      <c r="R49" s="70" t="str">
        <f>IF(A49="","",IF($X$7&lt;=0,0,IF($AD$6&gt;0,$X$7*AD49/$AD$6,IF($G$6&gt;0,$X$7*N(G49)/$G$6,0))))</f>
        <v/>
      </c>
      <c r="S49" s="103" t="str">
        <f>IF(A49="","",N(AE49)+IF(AJ49=1,N(AH49),0))</f>
        <v/>
      </c>
      <c r="T49" s="103" t="str">
        <f>IF(A49="","",N(F49)+N(S49))</f>
        <v/>
      </c>
      <c r="U49" s="70" t="str">
        <f>IF(A49="","",IF(N(S49)&gt;0,S49*I49*X49*$X$6+p_CorrFixa,0))</f>
        <v/>
      </c>
      <c r="W49" s="85" t="str">
        <f>IF(A49="","",IF(E49="",$X$1,E49))</f>
        <v/>
      </c>
      <c r="X49" s="85" t="str">
        <f>IF(A49="","",IFERROR(INDEX(moeda_fx,MATCH(W49,moeda_cod,0)),0))</f>
        <v/>
      </c>
      <c r="Y49" s="85" t="str">
        <f>IF(A49="","",IF($X$2="",UPPER(TRIM(A49)),IF(RIGHT(UPPER(TRIM(A49)),LEN($X$2))=$X$2,UPPER(TRIM(A49)),UPPER(TRIM(A49))&amp;$X$2)))</f>
        <v/>
      </c>
      <c r="Z49" s="85" t="str">
        <f>IF(OR(A49="",p_ModoCot&lt;&gt;"Automático"),"",IF(AND(p_FonteCripto="CoinGecko",TRIM(D49)&lt;&gt;""),IFERROR(_xlfn.WEBSERVICE("https://api.coingecko.com/api/v3/simple/price?ids="&amp;LOWER(TRIM(D49))&amp;"&amp;vs_currencies=usd"),""),IFERROR(_xlfn.WEBSERVICE("https://query1.finance.yahoo.com/v8/finance/chart/"&amp;Y49&amp;"?range=1d&amp;interval=1d"),"")))</f>
        <v/>
      </c>
      <c r="AA49" s="85" t="str">
        <f>IF(Z49="","",IFERROR(IF(ISNUMBER(SEARCH("regularMarketPrice",Z49)),_xlfn.NUMBERVALUE(MID(Z49,SEARCH("""regularMarketPrice"":",Z49)+21,SEARCH(",",Z49&amp;",",SEARCH("""regularMarketPrice"":",Z49)+21)-SEARCH("""regularMarketPrice"":",Z49)-21),".",","),_xlfn.NUMBERVALUE(MID(SUBSTITUTE(Z49,"}",","),SEARCH("""usd"":",SUBSTITUTE(Z49,"}",","))+6,SEARCH(",",SUBSTITUTE(Z49,"}",",")&amp;",",SEARCH("""usd"":",SUBSTITUTE(Z49,"}",","))+6)-SEARCH("""usd"":",SUBSTITUTE(Z49,"}",","))-6),".",",")),""))</f>
        <v/>
      </c>
      <c r="AB49" s="85" t="str">
        <f>IF(A49="","",ROUND(MAX(0,N(G49)*($L$6+$X$7)-L49),2))</f>
        <v/>
      </c>
      <c r="AC49" s="85" t="str">
        <f>IF(A49="","",IF(AND(N49&gt;0,N49&gt;=p_DifMin),AB49,0))</f>
        <v/>
      </c>
      <c r="AD49" s="85" t="str">
        <f>IF(A49="","",IF(AND(AC49&gt;0,N(P49)&lt;=p_MaxAtivos),AC49,0))</f>
        <v/>
      </c>
      <c r="AE49" s="85" t="str">
        <f>IF(A49="","",IF(OR(R49&lt;=0,R49&lt;p_CompraMin,N(I49)&lt;=0,N(X49)&lt;=0),0,IF($X$3="Sim",TRUNC(ROUND(MAX(0,(R49-p_CorrFixa)/(I49*X49*$X$6)),9),$X$4),TRUNC(ROUND(MAX(0,(R49-p_CorrFixa)/(I49*X49*$X$6)),9)/$X$5)*$X$5)))</f>
        <v/>
      </c>
      <c r="AF49" s="85" t="str">
        <f>IF(A49="","",IF(N(AE49)&gt;0,AE49*I49*X49*$X$6+p_CorrFixa,0))</f>
        <v/>
      </c>
      <c r="AG49" s="85" t="str">
        <f>IF(A49="","",IF(OR($Z$1&lt;=0,N(I49)&lt;=0,N(X49)&lt;=0,N(AC49)&lt;=0),0,IF($X$3="Sim",TRUNC(ROUND(MAX(0,($Z$1-IF(N(AE49)&gt;0,0,p_CorrFixa))/(I49*X49*$X$6)),9),$X$4),TRUNC(ROUND(MAX(0,($Z$1-IF(N(AE49)&gt;0,0,p_CorrFixa))/(I49*X49*$X$6)),9)/$X$5)*$X$5)))</f>
        <v/>
      </c>
      <c r="AH49" s="85" t="str">
        <f>IF(A49="","",IF(AND(N(AE49)=0,N(AG49)*(I49*X49*$X$6)+p_CorrFixa&lt;p_CompraMin),0,AG49))</f>
        <v/>
      </c>
      <c r="AI49" s="85" t="str">
        <f>IF(A49="","",IF(N(AH49)&gt;0,AC49,0))</f>
        <v/>
      </c>
      <c r="AJ49" s="85" t="str">
        <f>IF(A49="","",IF(AND(AI49&gt;0,AI49=$AI$6,COUNTIF($AI$9:AI49,AI49)=1),1,0))</f>
        <v/>
      </c>
    </row>
    <row r="50">
      <c r="A50" s="96" t="n"/>
      <c r="B50" s="96" t="n"/>
      <c r="C50" s="96" t="n"/>
      <c r="D50" s="96" t="n"/>
      <c r="E50" s="97" t="n"/>
      <c r="F50" s="98" t="n"/>
      <c r="G50" s="99" t="n"/>
      <c r="H50" s="100" t="n"/>
      <c r="I50" s="104" t="str">
        <f>IF(A50="","",IF(AND(p_ModoCot="Automático",ISNUMBER(AA50)),AA50,IF(N(H50)&gt;0,H50,0)))</f>
        <v/>
      </c>
      <c r="J50" s="105" t="str">
        <f>IF(A50="","",IF(X50=0,"Sem câmbio",IF(AND(p_ModoCot="Automático",ISNUMBER(AA50)),"Auto",IF(N(H50)&gt;0,"Manual","Sem cotação"))))</f>
        <v/>
      </c>
      <c r="K50" s="106" t="str">
        <f>IF(A50="","",N(F50)*I50)</f>
        <v/>
      </c>
      <c r="L50" s="107" t="str">
        <f>IF(A50="","",K50*X50)</f>
        <v/>
      </c>
      <c r="M50" s="108" t="str">
        <f>IF(A50="","",IF($L$6&gt;0,L50/$L$6,0))</f>
        <v/>
      </c>
      <c r="N50" s="109" t="str">
        <f>IF(A50="","",N(G50)-M50)</f>
        <v/>
      </c>
      <c r="O50" s="108" t="str">
        <f>IF(A50="","",IF($AC$6&gt;0,AC50/$AC$6,0))</f>
        <v/>
      </c>
      <c r="P50" s="110" t="str">
        <f>IF(A50="","",IF(AC50&lt;=0,"",COUNTIF($AC$9:$AC$68,"&gt;"&amp;AC50)+COUNTIF($AC$9:AC50,AC50)))</f>
        <v/>
      </c>
      <c r="Q50" s="105" t="str">
        <f>IF(A50="","",IF(R50&gt;0,"BUY","HOLD"))</f>
        <v/>
      </c>
      <c r="R50" s="107" t="str">
        <f>IF(A50="","",IF($X$7&lt;=0,0,IF($AD$6&gt;0,$X$7*AD50/$AD$6,IF($G$6&gt;0,$X$7*N(G50)/$G$6,0))))</f>
        <v/>
      </c>
      <c r="S50" s="111" t="str">
        <f>IF(A50="","",N(AE50)+IF(AJ50=1,N(AH50),0))</f>
        <v/>
      </c>
      <c r="T50" s="111" t="str">
        <f>IF(A50="","",N(F50)+N(S50))</f>
        <v/>
      </c>
      <c r="U50" s="107" t="str">
        <f>IF(A50="","",IF(N(S50)&gt;0,S50*I50*X50*$X$6+p_CorrFixa,0))</f>
        <v/>
      </c>
      <c r="W50" s="85" t="str">
        <f>IF(A50="","",IF(E50="",$X$1,E50))</f>
        <v/>
      </c>
      <c r="X50" s="85" t="str">
        <f>IF(A50="","",IFERROR(INDEX(moeda_fx,MATCH(W50,moeda_cod,0)),0))</f>
        <v/>
      </c>
      <c r="Y50" s="85" t="str">
        <f>IF(A50="","",IF($X$2="",UPPER(TRIM(A50)),IF(RIGHT(UPPER(TRIM(A50)),LEN($X$2))=$X$2,UPPER(TRIM(A50)),UPPER(TRIM(A50))&amp;$X$2)))</f>
        <v/>
      </c>
      <c r="Z50" s="85" t="str">
        <f>IF(OR(A50="",p_ModoCot&lt;&gt;"Automático"),"",IF(AND(p_FonteCripto="CoinGecko",TRIM(D50)&lt;&gt;""),IFERROR(_xlfn.WEBSERVICE("https://api.coingecko.com/api/v3/simple/price?ids="&amp;LOWER(TRIM(D50))&amp;"&amp;vs_currencies=usd"),""),IFERROR(_xlfn.WEBSERVICE("https://query1.finance.yahoo.com/v8/finance/chart/"&amp;Y50&amp;"?range=1d&amp;interval=1d"),"")))</f>
        <v/>
      </c>
      <c r="AA50" s="85" t="str">
        <f>IF(Z50="","",IFERROR(IF(ISNUMBER(SEARCH("regularMarketPrice",Z50)),_xlfn.NUMBERVALUE(MID(Z50,SEARCH("""regularMarketPrice"":",Z50)+21,SEARCH(",",Z50&amp;",",SEARCH("""regularMarketPrice"":",Z50)+21)-SEARCH("""regularMarketPrice"":",Z50)-21),".",","),_xlfn.NUMBERVALUE(MID(SUBSTITUTE(Z50,"}",","),SEARCH("""usd"":",SUBSTITUTE(Z50,"}",","))+6,SEARCH(",",SUBSTITUTE(Z50,"}",",")&amp;",",SEARCH("""usd"":",SUBSTITUTE(Z50,"}",","))+6)-SEARCH("""usd"":",SUBSTITUTE(Z50,"}",","))-6),".",",")),""))</f>
        <v/>
      </c>
      <c r="AB50" s="85" t="str">
        <f>IF(A50="","",ROUND(MAX(0,N(G50)*($L$6+$X$7)-L50),2))</f>
        <v/>
      </c>
      <c r="AC50" s="85" t="str">
        <f>IF(A50="","",IF(AND(N50&gt;0,N50&gt;=p_DifMin),AB50,0))</f>
        <v/>
      </c>
      <c r="AD50" s="85" t="str">
        <f>IF(A50="","",IF(AND(AC50&gt;0,N(P50)&lt;=p_MaxAtivos),AC50,0))</f>
        <v/>
      </c>
      <c r="AE50" s="85" t="str">
        <f>IF(A50="","",IF(OR(R50&lt;=0,R50&lt;p_CompraMin,N(I50)&lt;=0,N(X50)&lt;=0),0,IF($X$3="Sim",TRUNC(ROUND(MAX(0,(R50-p_CorrFixa)/(I50*X50*$X$6)),9),$X$4),TRUNC(ROUND(MAX(0,(R50-p_CorrFixa)/(I50*X50*$X$6)),9)/$X$5)*$X$5)))</f>
        <v/>
      </c>
      <c r="AF50" s="85" t="str">
        <f>IF(A50="","",IF(N(AE50)&gt;0,AE50*I50*X50*$X$6+p_CorrFixa,0))</f>
        <v/>
      </c>
      <c r="AG50" s="85" t="str">
        <f>IF(A50="","",IF(OR($Z$1&lt;=0,N(I50)&lt;=0,N(X50)&lt;=0,N(AC50)&lt;=0),0,IF($X$3="Sim",TRUNC(ROUND(MAX(0,($Z$1-IF(N(AE50)&gt;0,0,p_CorrFixa))/(I50*X50*$X$6)),9),$X$4),TRUNC(ROUND(MAX(0,($Z$1-IF(N(AE50)&gt;0,0,p_CorrFixa))/(I50*X50*$X$6)),9)/$X$5)*$X$5)))</f>
        <v/>
      </c>
      <c r="AH50" s="85" t="str">
        <f>IF(A50="","",IF(AND(N(AE50)=0,N(AG50)*(I50*X50*$X$6)+p_CorrFixa&lt;p_CompraMin),0,AG50))</f>
        <v/>
      </c>
      <c r="AI50" s="85" t="str">
        <f>IF(A50="","",IF(N(AH50)&gt;0,AC50,0))</f>
        <v/>
      </c>
      <c r="AJ50" s="85" t="str">
        <f>IF(A50="","",IF(AND(AI50&gt;0,AI50=$AI$6,COUNTIF($AI$9:AI50,AI50)=1),1,0))</f>
        <v/>
      </c>
    </row>
    <row r="51">
      <c r="A51" s="96" t="n"/>
      <c r="B51" s="96" t="n"/>
      <c r="C51" s="96" t="n"/>
      <c r="D51" s="96" t="n"/>
      <c r="E51" s="97" t="n"/>
      <c r="F51" s="98" t="n"/>
      <c r="G51" s="99" t="n"/>
      <c r="H51" s="100" t="n"/>
      <c r="I51" s="101" t="str">
        <f>IF(A51="","",IF(AND(p_ModoCot="Automático",ISNUMBER(AA51)),AA51,IF(N(H51)&gt;0,H51,0)))</f>
        <v/>
      </c>
      <c r="J51" s="73" t="str">
        <f>IF(A51="","",IF(X51=0,"Sem câmbio",IF(AND(p_ModoCot="Automático",ISNUMBER(AA51)),"Auto",IF(N(H51)&gt;0,"Manual","Sem cotação"))))</f>
        <v/>
      </c>
      <c r="K51" s="102" t="str">
        <f>IF(A51="","",N(F51)*I51)</f>
        <v/>
      </c>
      <c r="L51" s="70" t="str">
        <f>IF(A51="","",K51*X51)</f>
        <v/>
      </c>
      <c r="M51" s="30" t="str">
        <f>IF(A51="","",IF($L$6&gt;0,L51/$L$6,0))</f>
        <v/>
      </c>
      <c r="N51" s="72" t="str">
        <f>IF(A51="","",N(G51)-M51)</f>
        <v/>
      </c>
      <c r="O51" s="30" t="str">
        <f>IF(A51="","",IF($AC$6&gt;0,AC51/$AC$6,0))</f>
        <v/>
      </c>
      <c r="P51" s="74" t="str">
        <f>IF(A51="","",IF(AC51&lt;=0,"",COUNTIF($AC$9:$AC$68,"&gt;"&amp;AC51)+COUNTIF($AC$9:AC51,AC51)))</f>
        <v/>
      </c>
      <c r="Q51" s="73" t="str">
        <f>IF(A51="","",IF(R51&gt;0,"BUY","HOLD"))</f>
        <v/>
      </c>
      <c r="R51" s="70" t="str">
        <f>IF(A51="","",IF($X$7&lt;=0,0,IF($AD$6&gt;0,$X$7*AD51/$AD$6,IF($G$6&gt;0,$X$7*N(G51)/$G$6,0))))</f>
        <v/>
      </c>
      <c r="S51" s="103" t="str">
        <f>IF(A51="","",N(AE51)+IF(AJ51=1,N(AH51),0))</f>
        <v/>
      </c>
      <c r="T51" s="103" t="str">
        <f>IF(A51="","",N(F51)+N(S51))</f>
        <v/>
      </c>
      <c r="U51" s="70" t="str">
        <f>IF(A51="","",IF(N(S51)&gt;0,S51*I51*X51*$X$6+p_CorrFixa,0))</f>
        <v/>
      </c>
      <c r="W51" s="85" t="str">
        <f>IF(A51="","",IF(E51="",$X$1,E51))</f>
        <v/>
      </c>
      <c r="X51" s="85" t="str">
        <f>IF(A51="","",IFERROR(INDEX(moeda_fx,MATCH(W51,moeda_cod,0)),0))</f>
        <v/>
      </c>
      <c r="Y51" s="85" t="str">
        <f>IF(A51="","",IF($X$2="",UPPER(TRIM(A51)),IF(RIGHT(UPPER(TRIM(A51)),LEN($X$2))=$X$2,UPPER(TRIM(A51)),UPPER(TRIM(A51))&amp;$X$2)))</f>
        <v/>
      </c>
      <c r="Z51" s="85" t="str">
        <f>IF(OR(A51="",p_ModoCot&lt;&gt;"Automático"),"",IF(AND(p_FonteCripto="CoinGecko",TRIM(D51)&lt;&gt;""),IFERROR(_xlfn.WEBSERVICE("https://api.coingecko.com/api/v3/simple/price?ids="&amp;LOWER(TRIM(D51))&amp;"&amp;vs_currencies=usd"),""),IFERROR(_xlfn.WEBSERVICE("https://query1.finance.yahoo.com/v8/finance/chart/"&amp;Y51&amp;"?range=1d&amp;interval=1d"),"")))</f>
        <v/>
      </c>
      <c r="AA51" s="85" t="str">
        <f>IF(Z51="","",IFERROR(IF(ISNUMBER(SEARCH("regularMarketPrice",Z51)),_xlfn.NUMBERVALUE(MID(Z51,SEARCH("""regularMarketPrice"":",Z51)+21,SEARCH(",",Z51&amp;",",SEARCH("""regularMarketPrice"":",Z51)+21)-SEARCH("""regularMarketPrice"":",Z51)-21),".",","),_xlfn.NUMBERVALUE(MID(SUBSTITUTE(Z51,"}",","),SEARCH("""usd"":",SUBSTITUTE(Z51,"}",","))+6,SEARCH(",",SUBSTITUTE(Z51,"}",",")&amp;",",SEARCH("""usd"":",SUBSTITUTE(Z51,"}",","))+6)-SEARCH("""usd"":",SUBSTITUTE(Z51,"}",","))-6),".",",")),""))</f>
        <v/>
      </c>
      <c r="AB51" s="85" t="str">
        <f>IF(A51="","",ROUND(MAX(0,N(G51)*($L$6+$X$7)-L51),2))</f>
        <v/>
      </c>
      <c r="AC51" s="85" t="str">
        <f>IF(A51="","",IF(AND(N51&gt;0,N51&gt;=p_DifMin),AB51,0))</f>
        <v/>
      </c>
      <c r="AD51" s="85" t="str">
        <f>IF(A51="","",IF(AND(AC51&gt;0,N(P51)&lt;=p_MaxAtivos),AC51,0))</f>
        <v/>
      </c>
      <c r="AE51" s="85" t="str">
        <f>IF(A51="","",IF(OR(R51&lt;=0,R51&lt;p_CompraMin,N(I51)&lt;=0,N(X51)&lt;=0),0,IF($X$3="Sim",TRUNC(ROUND(MAX(0,(R51-p_CorrFixa)/(I51*X51*$X$6)),9),$X$4),TRUNC(ROUND(MAX(0,(R51-p_CorrFixa)/(I51*X51*$X$6)),9)/$X$5)*$X$5)))</f>
        <v/>
      </c>
      <c r="AF51" s="85" t="str">
        <f>IF(A51="","",IF(N(AE51)&gt;0,AE51*I51*X51*$X$6+p_CorrFixa,0))</f>
        <v/>
      </c>
      <c r="AG51" s="85" t="str">
        <f>IF(A51="","",IF(OR($Z$1&lt;=0,N(I51)&lt;=0,N(X51)&lt;=0,N(AC51)&lt;=0),0,IF($X$3="Sim",TRUNC(ROUND(MAX(0,($Z$1-IF(N(AE51)&gt;0,0,p_CorrFixa))/(I51*X51*$X$6)),9),$X$4),TRUNC(ROUND(MAX(0,($Z$1-IF(N(AE51)&gt;0,0,p_CorrFixa))/(I51*X51*$X$6)),9)/$X$5)*$X$5)))</f>
        <v/>
      </c>
      <c r="AH51" s="85" t="str">
        <f>IF(A51="","",IF(AND(N(AE51)=0,N(AG51)*(I51*X51*$X$6)+p_CorrFixa&lt;p_CompraMin),0,AG51))</f>
        <v/>
      </c>
      <c r="AI51" s="85" t="str">
        <f>IF(A51="","",IF(N(AH51)&gt;0,AC51,0))</f>
        <v/>
      </c>
      <c r="AJ51" s="85" t="str">
        <f>IF(A51="","",IF(AND(AI51&gt;0,AI51=$AI$6,COUNTIF($AI$9:AI51,AI51)=1),1,0))</f>
        <v/>
      </c>
    </row>
    <row r="52">
      <c r="A52" s="96" t="n"/>
      <c r="B52" s="96" t="n"/>
      <c r="C52" s="96" t="n"/>
      <c r="D52" s="96" t="n"/>
      <c r="E52" s="97" t="n"/>
      <c r="F52" s="98" t="n"/>
      <c r="G52" s="99" t="n"/>
      <c r="H52" s="100" t="n"/>
      <c r="I52" s="104" t="str">
        <f>IF(A52="","",IF(AND(p_ModoCot="Automático",ISNUMBER(AA52)),AA52,IF(N(H52)&gt;0,H52,0)))</f>
        <v/>
      </c>
      <c r="J52" s="105" t="str">
        <f>IF(A52="","",IF(X52=0,"Sem câmbio",IF(AND(p_ModoCot="Automático",ISNUMBER(AA52)),"Auto",IF(N(H52)&gt;0,"Manual","Sem cotação"))))</f>
        <v/>
      </c>
      <c r="K52" s="106" t="str">
        <f>IF(A52="","",N(F52)*I52)</f>
        <v/>
      </c>
      <c r="L52" s="107" t="str">
        <f>IF(A52="","",K52*X52)</f>
        <v/>
      </c>
      <c r="M52" s="108" t="str">
        <f>IF(A52="","",IF($L$6&gt;0,L52/$L$6,0))</f>
        <v/>
      </c>
      <c r="N52" s="109" t="str">
        <f>IF(A52="","",N(G52)-M52)</f>
        <v/>
      </c>
      <c r="O52" s="108" t="str">
        <f>IF(A52="","",IF($AC$6&gt;0,AC52/$AC$6,0))</f>
        <v/>
      </c>
      <c r="P52" s="110" t="str">
        <f>IF(A52="","",IF(AC52&lt;=0,"",COUNTIF($AC$9:$AC$68,"&gt;"&amp;AC52)+COUNTIF($AC$9:AC52,AC52)))</f>
        <v/>
      </c>
      <c r="Q52" s="105" t="str">
        <f>IF(A52="","",IF(R52&gt;0,"BUY","HOLD"))</f>
        <v/>
      </c>
      <c r="R52" s="107" t="str">
        <f>IF(A52="","",IF($X$7&lt;=0,0,IF($AD$6&gt;0,$X$7*AD52/$AD$6,IF($G$6&gt;0,$X$7*N(G52)/$G$6,0))))</f>
        <v/>
      </c>
      <c r="S52" s="111" t="str">
        <f>IF(A52="","",N(AE52)+IF(AJ52=1,N(AH52),0))</f>
        <v/>
      </c>
      <c r="T52" s="111" t="str">
        <f>IF(A52="","",N(F52)+N(S52))</f>
        <v/>
      </c>
      <c r="U52" s="107" t="str">
        <f>IF(A52="","",IF(N(S52)&gt;0,S52*I52*X52*$X$6+p_CorrFixa,0))</f>
        <v/>
      </c>
      <c r="W52" s="85" t="str">
        <f>IF(A52="","",IF(E52="",$X$1,E52))</f>
        <v/>
      </c>
      <c r="X52" s="85" t="str">
        <f>IF(A52="","",IFERROR(INDEX(moeda_fx,MATCH(W52,moeda_cod,0)),0))</f>
        <v/>
      </c>
      <c r="Y52" s="85" t="str">
        <f>IF(A52="","",IF($X$2="",UPPER(TRIM(A52)),IF(RIGHT(UPPER(TRIM(A52)),LEN($X$2))=$X$2,UPPER(TRIM(A52)),UPPER(TRIM(A52))&amp;$X$2)))</f>
        <v/>
      </c>
      <c r="Z52" s="85" t="str">
        <f>IF(OR(A52="",p_ModoCot&lt;&gt;"Automático"),"",IF(AND(p_FonteCripto="CoinGecko",TRIM(D52)&lt;&gt;""),IFERROR(_xlfn.WEBSERVICE("https://api.coingecko.com/api/v3/simple/price?ids="&amp;LOWER(TRIM(D52))&amp;"&amp;vs_currencies=usd"),""),IFERROR(_xlfn.WEBSERVICE("https://query1.finance.yahoo.com/v8/finance/chart/"&amp;Y52&amp;"?range=1d&amp;interval=1d"),"")))</f>
        <v/>
      </c>
      <c r="AA52" s="85" t="str">
        <f>IF(Z52="","",IFERROR(IF(ISNUMBER(SEARCH("regularMarketPrice",Z52)),_xlfn.NUMBERVALUE(MID(Z52,SEARCH("""regularMarketPrice"":",Z52)+21,SEARCH(",",Z52&amp;",",SEARCH("""regularMarketPrice"":",Z52)+21)-SEARCH("""regularMarketPrice"":",Z52)-21),".",","),_xlfn.NUMBERVALUE(MID(SUBSTITUTE(Z52,"}",","),SEARCH("""usd"":",SUBSTITUTE(Z52,"}",","))+6,SEARCH(",",SUBSTITUTE(Z52,"}",",")&amp;",",SEARCH("""usd"":",SUBSTITUTE(Z52,"}",","))+6)-SEARCH("""usd"":",SUBSTITUTE(Z52,"}",","))-6),".",",")),""))</f>
        <v/>
      </c>
      <c r="AB52" s="85" t="str">
        <f>IF(A52="","",ROUND(MAX(0,N(G52)*($L$6+$X$7)-L52),2))</f>
        <v/>
      </c>
      <c r="AC52" s="85" t="str">
        <f>IF(A52="","",IF(AND(N52&gt;0,N52&gt;=p_DifMin),AB52,0))</f>
        <v/>
      </c>
      <c r="AD52" s="85" t="str">
        <f>IF(A52="","",IF(AND(AC52&gt;0,N(P52)&lt;=p_MaxAtivos),AC52,0))</f>
        <v/>
      </c>
      <c r="AE52" s="85" t="str">
        <f>IF(A52="","",IF(OR(R52&lt;=0,R52&lt;p_CompraMin,N(I52)&lt;=0,N(X52)&lt;=0),0,IF($X$3="Sim",TRUNC(ROUND(MAX(0,(R52-p_CorrFixa)/(I52*X52*$X$6)),9),$X$4),TRUNC(ROUND(MAX(0,(R52-p_CorrFixa)/(I52*X52*$X$6)),9)/$X$5)*$X$5)))</f>
        <v/>
      </c>
      <c r="AF52" s="85" t="str">
        <f>IF(A52="","",IF(N(AE52)&gt;0,AE52*I52*X52*$X$6+p_CorrFixa,0))</f>
        <v/>
      </c>
      <c r="AG52" s="85" t="str">
        <f>IF(A52="","",IF(OR($Z$1&lt;=0,N(I52)&lt;=0,N(X52)&lt;=0,N(AC52)&lt;=0),0,IF($X$3="Sim",TRUNC(ROUND(MAX(0,($Z$1-IF(N(AE52)&gt;0,0,p_CorrFixa))/(I52*X52*$X$6)),9),$X$4),TRUNC(ROUND(MAX(0,($Z$1-IF(N(AE52)&gt;0,0,p_CorrFixa))/(I52*X52*$X$6)),9)/$X$5)*$X$5)))</f>
        <v/>
      </c>
      <c r="AH52" s="85" t="str">
        <f>IF(A52="","",IF(AND(N(AE52)=0,N(AG52)*(I52*X52*$X$6)+p_CorrFixa&lt;p_CompraMin),0,AG52))</f>
        <v/>
      </c>
      <c r="AI52" s="85" t="str">
        <f>IF(A52="","",IF(N(AH52)&gt;0,AC52,0))</f>
        <v/>
      </c>
      <c r="AJ52" s="85" t="str">
        <f>IF(A52="","",IF(AND(AI52&gt;0,AI52=$AI$6,COUNTIF($AI$9:AI52,AI52)=1),1,0))</f>
        <v/>
      </c>
    </row>
    <row r="53">
      <c r="A53" s="96" t="n"/>
      <c r="B53" s="96" t="n"/>
      <c r="C53" s="96" t="n"/>
      <c r="D53" s="96" t="n"/>
      <c r="E53" s="97" t="n"/>
      <c r="F53" s="98" t="n"/>
      <c r="G53" s="99" t="n"/>
      <c r="H53" s="100" t="n"/>
      <c r="I53" s="101" t="str">
        <f>IF(A53="","",IF(AND(p_ModoCot="Automático",ISNUMBER(AA53)),AA53,IF(N(H53)&gt;0,H53,0)))</f>
        <v/>
      </c>
      <c r="J53" s="73" t="str">
        <f>IF(A53="","",IF(X53=0,"Sem câmbio",IF(AND(p_ModoCot="Automático",ISNUMBER(AA53)),"Auto",IF(N(H53)&gt;0,"Manual","Sem cotação"))))</f>
        <v/>
      </c>
      <c r="K53" s="102" t="str">
        <f>IF(A53="","",N(F53)*I53)</f>
        <v/>
      </c>
      <c r="L53" s="70" t="str">
        <f>IF(A53="","",K53*X53)</f>
        <v/>
      </c>
      <c r="M53" s="30" t="str">
        <f>IF(A53="","",IF($L$6&gt;0,L53/$L$6,0))</f>
        <v/>
      </c>
      <c r="N53" s="72" t="str">
        <f>IF(A53="","",N(G53)-M53)</f>
        <v/>
      </c>
      <c r="O53" s="30" t="str">
        <f>IF(A53="","",IF($AC$6&gt;0,AC53/$AC$6,0))</f>
        <v/>
      </c>
      <c r="P53" s="74" t="str">
        <f>IF(A53="","",IF(AC53&lt;=0,"",COUNTIF($AC$9:$AC$68,"&gt;"&amp;AC53)+COUNTIF($AC$9:AC53,AC53)))</f>
        <v/>
      </c>
      <c r="Q53" s="73" t="str">
        <f>IF(A53="","",IF(R53&gt;0,"BUY","HOLD"))</f>
        <v/>
      </c>
      <c r="R53" s="70" t="str">
        <f>IF(A53="","",IF($X$7&lt;=0,0,IF($AD$6&gt;0,$X$7*AD53/$AD$6,IF($G$6&gt;0,$X$7*N(G53)/$G$6,0))))</f>
        <v/>
      </c>
      <c r="S53" s="103" t="str">
        <f>IF(A53="","",N(AE53)+IF(AJ53=1,N(AH53),0))</f>
        <v/>
      </c>
      <c r="T53" s="103" t="str">
        <f>IF(A53="","",N(F53)+N(S53))</f>
        <v/>
      </c>
      <c r="U53" s="70" t="str">
        <f>IF(A53="","",IF(N(S53)&gt;0,S53*I53*X53*$X$6+p_CorrFixa,0))</f>
        <v/>
      </c>
      <c r="W53" s="85" t="str">
        <f>IF(A53="","",IF(E53="",$X$1,E53))</f>
        <v/>
      </c>
      <c r="X53" s="85" t="str">
        <f>IF(A53="","",IFERROR(INDEX(moeda_fx,MATCH(W53,moeda_cod,0)),0))</f>
        <v/>
      </c>
      <c r="Y53" s="85" t="str">
        <f>IF(A53="","",IF($X$2="",UPPER(TRIM(A53)),IF(RIGHT(UPPER(TRIM(A53)),LEN($X$2))=$X$2,UPPER(TRIM(A53)),UPPER(TRIM(A53))&amp;$X$2)))</f>
        <v/>
      </c>
      <c r="Z53" s="85" t="str">
        <f>IF(OR(A53="",p_ModoCot&lt;&gt;"Automático"),"",IF(AND(p_FonteCripto="CoinGecko",TRIM(D53)&lt;&gt;""),IFERROR(_xlfn.WEBSERVICE("https://api.coingecko.com/api/v3/simple/price?ids="&amp;LOWER(TRIM(D53))&amp;"&amp;vs_currencies=usd"),""),IFERROR(_xlfn.WEBSERVICE("https://query1.finance.yahoo.com/v8/finance/chart/"&amp;Y53&amp;"?range=1d&amp;interval=1d"),"")))</f>
        <v/>
      </c>
      <c r="AA53" s="85" t="str">
        <f>IF(Z53="","",IFERROR(IF(ISNUMBER(SEARCH("regularMarketPrice",Z53)),_xlfn.NUMBERVALUE(MID(Z53,SEARCH("""regularMarketPrice"":",Z53)+21,SEARCH(",",Z53&amp;",",SEARCH("""regularMarketPrice"":",Z53)+21)-SEARCH("""regularMarketPrice"":",Z53)-21),".",","),_xlfn.NUMBERVALUE(MID(SUBSTITUTE(Z53,"}",","),SEARCH("""usd"":",SUBSTITUTE(Z53,"}",","))+6,SEARCH(",",SUBSTITUTE(Z53,"}",",")&amp;",",SEARCH("""usd"":",SUBSTITUTE(Z53,"}",","))+6)-SEARCH("""usd"":",SUBSTITUTE(Z53,"}",","))-6),".",",")),""))</f>
        <v/>
      </c>
      <c r="AB53" s="85" t="str">
        <f>IF(A53="","",ROUND(MAX(0,N(G53)*($L$6+$X$7)-L53),2))</f>
        <v/>
      </c>
      <c r="AC53" s="85" t="str">
        <f>IF(A53="","",IF(AND(N53&gt;0,N53&gt;=p_DifMin),AB53,0))</f>
        <v/>
      </c>
      <c r="AD53" s="85" t="str">
        <f>IF(A53="","",IF(AND(AC53&gt;0,N(P53)&lt;=p_MaxAtivos),AC53,0))</f>
        <v/>
      </c>
      <c r="AE53" s="85" t="str">
        <f>IF(A53="","",IF(OR(R53&lt;=0,R53&lt;p_CompraMin,N(I53)&lt;=0,N(X53)&lt;=0),0,IF($X$3="Sim",TRUNC(ROUND(MAX(0,(R53-p_CorrFixa)/(I53*X53*$X$6)),9),$X$4),TRUNC(ROUND(MAX(0,(R53-p_CorrFixa)/(I53*X53*$X$6)),9)/$X$5)*$X$5)))</f>
        <v/>
      </c>
      <c r="AF53" s="85" t="str">
        <f>IF(A53="","",IF(N(AE53)&gt;0,AE53*I53*X53*$X$6+p_CorrFixa,0))</f>
        <v/>
      </c>
      <c r="AG53" s="85" t="str">
        <f>IF(A53="","",IF(OR($Z$1&lt;=0,N(I53)&lt;=0,N(X53)&lt;=0,N(AC53)&lt;=0),0,IF($X$3="Sim",TRUNC(ROUND(MAX(0,($Z$1-IF(N(AE53)&gt;0,0,p_CorrFixa))/(I53*X53*$X$6)),9),$X$4),TRUNC(ROUND(MAX(0,($Z$1-IF(N(AE53)&gt;0,0,p_CorrFixa))/(I53*X53*$X$6)),9)/$X$5)*$X$5)))</f>
        <v/>
      </c>
      <c r="AH53" s="85" t="str">
        <f>IF(A53="","",IF(AND(N(AE53)=0,N(AG53)*(I53*X53*$X$6)+p_CorrFixa&lt;p_CompraMin),0,AG53))</f>
        <v/>
      </c>
      <c r="AI53" s="85" t="str">
        <f>IF(A53="","",IF(N(AH53)&gt;0,AC53,0))</f>
        <v/>
      </c>
      <c r="AJ53" s="85" t="str">
        <f>IF(A53="","",IF(AND(AI53&gt;0,AI53=$AI$6,COUNTIF($AI$9:AI53,AI53)=1),1,0))</f>
        <v/>
      </c>
    </row>
    <row r="54">
      <c r="A54" s="96" t="n"/>
      <c r="B54" s="96" t="n"/>
      <c r="C54" s="96" t="n"/>
      <c r="D54" s="96" t="n"/>
      <c r="E54" s="97" t="n"/>
      <c r="F54" s="98" t="n"/>
      <c r="G54" s="99" t="n"/>
      <c r="H54" s="100" t="n"/>
      <c r="I54" s="104" t="str">
        <f>IF(A54="","",IF(AND(p_ModoCot="Automático",ISNUMBER(AA54)),AA54,IF(N(H54)&gt;0,H54,0)))</f>
        <v/>
      </c>
      <c r="J54" s="105" t="str">
        <f>IF(A54="","",IF(X54=0,"Sem câmbio",IF(AND(p_ModoCot="Automático",ISNUMBER(AA54)),"Auto",IF(N(H54)&gt;0,"Manual","Sem cotação"))))</f>
        <v/>
      </c>
      <c r="K54" s="106" t="str">
        <f>IF(A54="","",N(F54)*I54)</f>
        <v/>
      </c>
      <c r="L54" s="107" t="str">
        <f>IF(A54="","",K54*X54)</f>
        <v/>
      </c>
      <c r="M54" s="108" t="str">
        <f>IF(A54="","",IF($L$6&gt;0,L54/$L$6,0))</f>
        <v/>
      </c>
      <c r="N54" s="109" t="str">
        <f>IF(A54="","",N(G54)-M54)</f>
        <v/>
      </c>
      <c r="O54" s="108" t="str">
        <f>IF(A54="","",IF($AC$6&gt;0,AC54/$AC$6,0))</f>
        <v/>
      </c>
      <c r="P54" s="110" t="str">
        <f>IF(A54="","",IF(AC54&lt;=0,"",COUNTIF($AC$9:$AC$68,"&gt;"&amp;AC54)+COUNTIF($AC$9:AC54,AC54)))</f>
        <v/>
      </c>
      <c r="Q54" s="105" t="str">
        <f>IF(A54="","",IF(R54&gt;0,"BUY","HOLD"))</f>
        <v/>
      </c>
      <c r="R54" s="107" t="str">
        <f>IF(A54="","",IF($X$7&lt;=0,0,IF($AD$6&gt;0,$X$7*AD54/$AD$6,IF($G$6&gt;0,$X$7*N(G54)/$G$6,0))))</f>
        <v/>
      </c>
      <c r="S54" s="111" t="str">
        <f>IF(A54="","",N(AE54)+IF(AJ54=1,N(AH54),0))</f>
        <v/>
      </c>
      <c r="T54" s="111" t="str">
        <f>IF(A54="","",N(F54)+N(S54))</f>
        <v/>
      </c>
      <c r="U54" s="107" t="str">
        <f>IF(A54="","",IF(N(S54)&gt;0,S54*I54*X54*$X$6+p_CorrFixa,0))</f>
        <v/>
      </c>
      <c r="W54" s="85" t="str">
        <f>IF(A54="","",IF(E54="",$X$1,E54))</f>
        <v/>
      </c>
      <c r="X54" s="85" t="str">
        <f>IF(A54="","",IFERROR(INDEX(moeda_fx,MATCH(W54,moeda_cod,0)),0))</f>
        <v/>
      </c>
      <c r="Y54" s="85" t="str">
        <f>IF(A54="","",IF($X$2="",UPPER(TRIM(A54)),IF(RIGHT(UPPER(TRIM(A54)),LEN($X$2))=$X$2,UPPER(TRIM(A54)),UPPER(TRIM(A54))&amp;$X$2)))</f>
        <v/>
      </c>
      <c r="Z54" s="85" t="str">
        <f>IF(OR(A54="",p_ModoCot&lt;&gt;"Automático"),"",IF(AND(p_FonteCripto="CoinGecko",TRIM(D54)&lt;&gt;""),IFERROR(_xlfn.WEBSERVICE("https://api.coingecko.com/api/v3/simple/price?ids="&amp;LOWER(TRIM(D54))&amp;"&amp;vs_currencies=usd"),""),IFERROR(_xlfn.WEBSERVICE("https://query1.finance.yahoo.com/v8/finance/chart/"&amp;Y54&amp;"?range=1d&amp;interval=1d"),"")))</f>
        <v/>
      </c>
      <c r="AA54" s="85" t="str">
        <f>IF(Z54="","",IFERROR(IF(ISNUMBER(SEARCH("regularMarketPrice",Z54)),_xlfn.NUMBERVALUE(MID(Z54,SEARCH("""regularMarketPrice"":",Z54)+21,SEARCH(",",Z54&amp;",",SEARCH("""regularMarketPrice"":",Z54)+21)-SEARCH("""regularMarketPrice"":",Z54)-21),".",","),_xlfn.NUMBERVALUE(MID(SUBSTITUTE(Z54,"}",","),SEARCH("""usd"":",SUBSTITUTE(Z54,"}",","))+6,SEARCH(",",SUBSTITUTE(Z54,"}",",")&amp;",",SEARCH("""usd"":",SUBSTITUTE(Z54,"}",","))+6)-SEARCH("""usd"":",SUBSTITUTE(Z54,"}",","))-6),".",",")),""))</f>
        <v/>
      </c>
      <c r="AB54" s="85" t="str">
        <f>IF(A54="","",ROUND(MAX(0,N(G54)*($L$6+$X$7)-L54),2))</f>
        <v/>
      </c>
      <c r="AC54" s="85" t="str">
        <f>IF(A54="","",IF(AND(N54&gt;0,N54&gt;=p_DifMin),AB54,0))</f>
        <v/>
      </c>
      <c r="AD54" s="85" t="str">
        <f>IF(A54="","",IF(AND(AC54&gt;0,N(P54)&lt;=p_MaxAtivos),AC54,0))</f>
        <v/>
      </c>
      <c r="AE54" s="85" t="str">
        <f>IF(A54="","",IF(OR(R54&lt;=0,R54&lt;p_CompraMin,N(I54)&lt;=0,N(X54)&lt;=0),0,IF($X$3="Sim",TRUNC(ROUND(MAX(0,(R54-p_CorrFixa)/(I54*X54*$X$6)),9),$X$4),TRUNC(ROUND(MAX(0,(R54-p_CorrFixa)/(I54*X54*$X$6)),9)/$X$5)*$X$5)))</f>
        <v/>
      </c>
      <c r="AF54" s="85" t="str">
        <f>IF(A54="","",IF(N(AE54)&gt;0,AE54*I54*X54*$X$6+p_CorrFixa,0))</f>
        <v/>
      </c>
      <c r="AG54" s="85" t="str">
        <f>IF(A54="","",IF(OR($Z$1&lt;=0,N(I54)&lt;=0,N(X54)&lt;=0,N(AC54)&lt;=0),0,IF($X$3="Sim",TRUNC(ROUND(MAX(0,($Z$1-IF(N(AE54)&gt;0,0,p_CorrFixa))/(I54*X54*$X$6)),9),$X$4),TRUNC(ROUND(MAX(0,($Z$1-IF(N(AE54)&gt;0,0,p_CorrFixa))/(I54*X54*$X$6)),9)/$X$5)*$X$5)))</f>
        <v/>
      </c>
      <c r="AH54" s="85" t="str">
        <f>IF(A54="","",IF(AND(N(AE54)=0,N(AG54)*(I54*X54*$X$6)+p_CorrFixa&lt;p_CompraMin),0,AG54))</f>
        <v/>
      </c>
      <c r="AI54" s="85" t="str">
        <f>IF(A54="","",IF(N(AH54)&gt;0,AC54,0))</f>
        <v/>
      </c>
      <c r="AJ54" s="85" t="str">
        <f>IF(A54="","",IF(AND(AI54&gt;0,AI54=$AI$6,COUNTIF($AI$9:AI54,AI54)=1),1,0))</f>
        <v/>
      </c>
    </row>
    <row r="55">
      <c r="A55" s="96" t="n"/>
      <c r="B55" s="96" t="n"/>
      <c r="C55" s="96" t="n"/>
      <c r="D55" s="96" t="n"/>
      <c r="E55" s="97" t="n"/>
      <c r="F55" s="98" t="n"/>
      <c r="G55" s="99" t="n"/>
      <c r="H55" s="100" t="n"/>
      <c r="I55" s="101" t="str">
        <f>IF(A55="","",IF(AND(p_ModoCot="Automático",ISNUMBER(AA55)),AA55,IF(N(H55)&gt;0,H55,0)))</f>
        <v/>
      </c>
      <c r="J55" s="73" t="str">
        <f>IF(A55="","",IF(X55=0,"Sem câmbio",IF(AND(p_ModoCot="Automático",ISNUMBER(AA55)),"Auto",IF(N(H55)&gt;0,"Manual","Sem cotação"))))</f>
        <v/>
      </c>
      <c r="K55" s="102" t="str">
        <f>IF(A55="","",N(F55)*I55)</f>
        <v/>
      </c>
      <c r="L55" s="70" t="str">
        <f>IF(A55="","",K55*X55)</f>
        <v/>
      </c>
      <c r="M55" s="30" t="str">
        <f>IF(A55="","",IF($L$6&gt;0,L55/$L$6,0))</f>
        <v/>
      </c>
      <c r="N55" s="72" t="str">
        <f>IF(A55="","",N(G55)-M55)</f>
        <v/>
      </c>
      <c r="O55" s="30" t="str">
        <f>IF(A55="","",IF($AC$6&gt;0,AC55/$AC$6,0))</f>
        <v/>
      </c>
      <c r="P55" s="74" t="str">
        <f>IF(A55="","",IF(AC55&lt;=0,"",COUNTIF($AC$9:$AC$68,"&gt;"&amp;AC55)+COUNTIF($AC$9:AC55,AC55)))</f>
        <v/>
      </c>
      <c r="Q55" s="73" t="str">
        <f>IF(A55="","",IF(R55&gt;0,"BUY","HOLD"))</f>
        <v/>
      </c>
      <c r="R55" s="70" t="str">
        <f>IF(A55="","",IF($X$7&lt;=0,0,IF($AD$6&gt;0,$X$7*AD55/$AD$6,IF($G$6&gt;0,$X$7*N(G55)/$G$6,0))))</f>
        <v/>
      </c>
      <c r="S55" s="103" t="str">
        <f>IF(A55="","",N(AE55)+IF(AJ55=1,N(AH55),0))</f>
        <v/>
      </c>
      <c r="T55" s="103" t="str">
        <f>IF(A55="","",N(F55)+N(S55))</f>
        <v/>
      </c>
      <c r="U55" s="70" t="str">
        <f>IF(A55="","",IF(N(S55)&gt;0,S55*I55*X55*$X$6+p_CorrFixa,0))</f>
        <v/>
      </c>
      <c r="W55" s="85" t="str">
        <f>IF(A55="","",IF(E55="",$X$1,E55))</f>
        <v/>
      </c>
      <c r="X55" s="85" t="str">
        <f>IF(A55="","",IFERROR(INDEX(moeda_fx,MATCH(W55,moeda_cod,0)),0))</f>
        <v/>
      </c>
      <c r="Y55" s="85" t="str">
        <f>IF(A55="","",IF($X$2="",UPPER(TRIM(A55)),IF(RIGHT(UPPER(TRIM(A55)),LEN($X$2))=$X$2,UPPER(TRIM(A55)),UPPER(TRIM(A55))&amp;$X$2)))</f>
        <v/>
      </c>
      <c r="Z55" s="85" t="str">
        <f>IF(OR(A55="",p_ModoCot&lt;&gt;"Automático"),"",IF(AND(p_FonteCripto="CoinGecko",TRIM(D55)&lt;&gt;""),IFERROR(_xlfn.WEBSERVICE("https://api.coingecko.com/api/v3/simple/price?ids="&amp;LOWER(TRIM(D55))&amp;"&amp;vs_currencies=usd"),""),IFERROR(_xlfn.WEBSERVICE("https://query1.finance.yahoo.com/v8/finance/chart/"&amp;Y55&amp;"?range=1d&amp;interval=1d"),"")))</f>
        <v/>
      </c>
      <c r="AA55" s="85" t="str">
        <f>IF(Z55="","",IFERROR(IF(ISNUMBER(SEARCH("regularMarketPrice",Z55)),_xlfn.NUMBERVALUE(MID(Z55,SEARCH("""regularMarketPrice"":",Z55)+21,SEARCH(",",Z55&amp;",",SEARCH("""regularMarketPrice"":",Z55)+21)-SEARCH("""regularMarketPrice"":",Z55)-21),".",","),_xlfn.NUMBERVALUE(MID(SUBSTITUTE(Z55,"}",","),SEARCH("""usd"":",SUBSTITUTE(Z55,"}",","))+6,SEARCH(",",SUBSTITUTE(Z55,"}",",")&amp;",",SEARCH("""usd"":",SUBSTITUTE(Z55,"}",","))+6)-SEARCH("""usd"":",SUBSTITUTE(Z55,"}",","))-6),".",",")),""))</f>
        <v/>
      </c>
      <c r="AB55" s="85" t="str">
        <f>IF(A55="","",ROUND(MAX(0,N(G55)*($L$6+$X$7)-L55),2))</f>
        <v/>
      </c>
      <c r="AC55" s="85" t="str">
        <f>IF(A55="","",IF(AND(N55&gt;0,N55&gt;=p_DifMin),AB55,0))</f>
        <v/>
      </c>
      <c r="AD55" s="85" t="str">
        <f>IF(A55="","",IF(AND(AC55&gt;0,N(P55)&lt;=p_MaxAtivos),AC55,0))</f>
        <v/>
      </c>
      <c r="AE55" s="85" t="str">
        <f>IF(A55="","",IF(OR(R55&lt;=0,R55&lt;p_CompraMin,N(I55)&lt;=0,N(X55)&lt;=0),0,IF($X$3="Sim",TRUNC(ROUND(MAX(0,(R55-p_CorrFixa)/(I55*X55*$X$6)),9),$X$4),TRUNC(ROUND(MAX(0,(R55-p_CorrFixa)/(I55*X55*$X$6)),9)/$X$5)*$X$5)))</f>
        <v/>
      </c>
      <c r="AF55" s="85" t="str">
        <f>IF(A55="","",IF(N(AE55)&gt;0,AE55*I55*X55*$X$6+p_CorrFixa,0))</f>
        <v/>
      </c>
      <c r="AG55" s="85" t="str">
        <f>IF(A55="","",IF(OR($Z$1&lt;=0,N(I55)&lt;=0,N(X55)&lt;=0,N(AC55)&lt;=0),0,IF($X$3="Sim",TRUNC(ROUND(MAX(0,($Z$1-IF(N(AE55)&gt;0,0,p_CorrFixa))/(I55*X55*$X$6)),9),$X$4),TRUNC(ROUND(MAX(0,($Z$1-IF(N(AE55)&gt;0,0,p_CorrFixa))/(I55*X55*$X$6)),9)/$X$5)*$X$5)))</f>
        <v/>
      </c>
      <c r="AH55" s="85" t="str">
        <f>IF(A55="","",IF(AND(N(AE55)=0,N(AG55)*(I55*X55*$X$6)+p_CorrFixa&lt;p_CompraMin),0,AG55))</f>
        <v/>
      </c>
      <c r="AI55" s="85" t="str">
        <f>IF(A55="","",IF(N(AH55)&gt;0,AC55,0))</f>
        <v/>
      </c>
      <c r="AJ55" s="85" t="str">
        <f>IF(A55="","",IF(AND(AI55&gt;0,AI55=$AI$6,COUNTIF($AI$9:AI55,AI55)=1),1,0))</f>
        <v/>
      </c>
    </row>
    <row r="56">
      <c r="A56" s="96" t="n"/>
      <c r="B56" s="96" t="n"/>
      <c r="C56" s="96" t="n"/>
      <c r="D56" s="96" t="n"/>
      <c r="E56" s="97" t="n"/>
      <c r="F56" s="98" t="n"/>
      <c r="G56" s="99" t="n"/>
      <c r="H56" s="100" t="n"/>
      <c r="I56" s="104" t="str">
        <f>IF(A56="","",IF(AND(p_ModoCot="Automático",ISNUMBER(AA56)),AA56,IF(N(H56)&gt;0,H56,0)))</f>
        <v/>
      </c>
      <c r="J56" s="105" t="str">
        <f>IF(A56="","",IF(X56=0,"Sem câmbio",IF(AND(p_ModoCot="Automático",ISNUMBER(AA56)),"Auto",IF(N(H56)&gt;0,"Manual","Sem cotação"))))</f>
        <v/>
      </c>
      <c r="K56" s="106" t="str">
        <f>IF(A56="","",N(F56)*I56)</f>
        <v/>
      </c>
      <c r="L56" s="107" t="str">
        <f>IF(A56="","",K56*X56)</f>
        <v/>
      </c>
      <c r="M56" s="108" t="str">
        <f>IF(A56="","",IF($L$6&gt;0,L56/$L$6,0))</f>
        <v/>
      </c>
      <c r="N56" s="109" t="str">
        <f>IF(A56="","",N(G56)-M56)</f>
        <v/>
      </c>
      <c r="O56" s="108" t="str">
        <f>IF(A56="","",IF($AC$6&gt;0,AC56/$AC$6,0))</f>
        <v/>
      </c>
      <c r="P56" s="110" t="str">
        <f>IF(A56="","",IF(AC56&lt;=0,"",COUNTIF($AC$9:$AC$68,"&gt;"&amp;AC56)+COUNTIF($AC$9:AC56,AC56)))</f>
        <v/>
      </c>
      <c r="Q56" s="105" t="str">
        <f>IF(A56="","",IF(R56&gt;0,"BUY","HOLD"))</f>
        <v/>
      </c>
      <c r="R56" s="107" t="str">
        <f>IF(A56="","",IF($X$7&lt;=0,0,IF($AD$6&gt;0,$X$7*AD56/$AD$6,IF($G$6&gt;0,$X$7*N(G56)/$G$6,0))))</f>
        <v/>
      </c>
      <c r="S56" s="111" t="str">
        <f>IF(A56="","",N(AE56)+IF(AJ56=1,N(AH56),0))</f>
        <v/>
      </c>
      <c r="T56" s="111" t="str">
        <f>IF(A56="","",N(F56)+N(S56))</f>
        <v/>
      </c>
      <c r="U56" s="107" t="str">
        <f>IF(A56="","",IF(N(S56)&gt;0,S56*I56*X56*$X$6+p_CorrFixa,0))</f>
        <v/>
      </c>
      <c r="W56" s="85" t="str">
        <f>IF(A56="","",IF(E56="",$X$1,E56))</f>
        <v/>
      </c>
      <c r="X56" s="85" t="str">
        <f>IF(A56="","",IFERROR(INDEX(moeda_fx,MATCH(W56,moeda_cod,0)),0))</f>
        <v/>
      </c>
      <c r="Y56" s="85" t="str">
        <f>IF(A56="","",IF($X$2="",UPPER(TRIM(A56)),IF(RIGHT(UPPER(TRIM(A56)),LEN($X$2))=$X$2,UPPER(TRIM(A56)),UPPER(TRIM(A56))&amp;$X$2)))</f>
        <v/>
      </c>
      <c r="Z56" s="85" t="str">
        <f>IF(OR(A56="",p_ModoCot&lt;&gt;"Automático"),"",IF(AND(p_FonteCripto="CoinGecko",TRIM(D56)&lt;&gt;""),IFERROR(_xlfn.WEBSERVICE("https://api.coingecko.com/api/v3/simple/price?ids="&amp;LOWER(TRIM(D56))&amp;"&amp;vs_currencies=usd"),""),IFERROR(_xlfn.WEBSERVICE("https://query1.finance.yahoo.com/v8/finance/chart/"&amp;Y56&amp;"?range=1d&amp;interval=1d"),"")))</f>
        <v/>
      </c>
      <c r="AA56" s="85" t="str">
        <f>IF(Z56="","",IFERROR(IF(ISNUMBER(SEARCH("regularMarketPrice",Z56)),_xlfn.NUMBERVALUE(MID(Z56,SEARCH("""regularMarketPrice"":",Z56)+21,SEARCH(",",Z56&amp;",",SEARCH("""regularMarketPrice"":",Z56)+21)-SEARCH("""regularMarketPrice"":",Z56)-21),".",","),_xlfn.NUMBERVALUE(MID(SUBSTITUTE(Z56,"}",","),SEARCH("""usd"":",SUBSTITUTE(Z56,"}",","))+6,SEARCH(",",SUBSTITUTE(Z56,"}",",")&amp;",",SEARCH("""usd"":",SUBSTITUTE(Z56,"}",","))+6)-SEARCH("""usd"":",SUBSTITUTE(Z56,"}",","))-6),".",",")),""))</f>
        <v/>
      </c>
      <c r="AB56" s="85" t="str">
        <f>IF(A56="","",ROUND(MAX(0,N(G56)*($L$6+$X$7)-L56),2))</f>
        <v/>
      </c>
      <c r="AC56" s="85" t="str">
        <f>IF(A56="","",IF(AND(N56&gt;0,N56&gt;=p_DifMin),AB56,0))</f>
        <v/>
      </c>
      <c r="AD56" s="85" t="str">
        <f>IF(A56="","",IF(AND(AC56&gt;0,N(P56)&lt;=p_MaxAtivos),AC56,0))</f>
        <v/>
      </c>
      <c r="AE56" s="85" t="str">
        <f>IF(A56="","",IF(OR(R56&lt;=0,R56&lt;p_CompraMin,N(I56)&lt;=0,N(X56)&lt;=0),0,IF($X$3="Sim",TRUNC(ROUND(MAX(0,(R56-p_CorrFixa)/(I56*X56*$X$6)),9),$X$4),TRUNC(ROUND(MAX(0,(R56-p_CorrFixa)/(I56*X56*$X$6)),9)/$X$5)*$X$5)))</f>
        <v/>
      </c>
      <c r="AF56" s="85" t="str">
        <f>IF(A56="","",IF(N(AE56)&gt;0,AE56*I56*X56*$X$6+p_CorrFixa,0))</f>
        <v/>
      </c>
      <c r="AG56" s="85" t="str">
        <f>IF(A56="","",IF(OR($Z$1&lt;=0,N(I56)&lt;=0,N(X56)&lt;=0,N(AC56)&lt;=0),0,IF($X$3="Sim",TRUNC(ROUND(MAX(0,($Z$1-IF(N(AE56)&gt;0,0,p_CorrFixa))/(I56*X56*$X$6)),9),$X$4),TRUNC(ROUND(MAX(0,($Z$1-IF(N(AE56)&gt;0,0,p_CorrFixa))/(I56*X56*$X$6)),9)/$X$5)*$X$5)))</f>
        <v/>
      </c>
      <c r="AH56" s="85" t="str">
        <f>IF(A56="","",IF(AND(N(AE56)=0,N(AG56)*(I56*X56*$X$6)+p_CorrFixa&lt;p_CompraMin),0,AG56))</f>
        <v/>
      </c>
      <c r="AI56" s="85" t="str">
        <f>IF(A56="","",IF(N(AH56)&gt;0,AC56,0))</f>
        <v/>
      </c>
      <c r="AJ56" s="85" t="str">
        <f>IF(A56="","",IF(AND(AI56&gt;0,AI56=$AI$6,COUNTIF($AI$9:AI56,AI56)=1),1,0))</f>
        <v/>
      </c>
    </row>
    <row r="57">
      <c r="A57" s="96" t="n"/>
      <c r="B57" s="96" t="n"/>
      <c r="C57" s="96" t="n"/>
      <c r="D57" s="96" t="n"/>
      <c r="E57" s="97" t="n"/>
      <c r="F57" s="98" t="n"/>
      <c r="G57" s="99" t="n"/>
      <c r="H57" s="100" t="n"/>
      <c r="I57" s="101" t="str">
        <f>IF(A57="","",IF(AND(p_ModoCot="Automático",ISNUMBER(AA57)),AA57,IF(N(H57)&gt;0,H57,0)))</f>
        <v/>
      </c>
      <c r="J57" s="73" t="str">
        <f>IF(A57="","",IF(X57=0,"Sem câmbio",IF(AND(p_ModoCot="Automático",ISNUMBER(AA57)),"Auto",IF(N(H57)&gt;0,"Manual","Sem cotação"))))</f>
        <v/>
      </c>
      <c r="K57" s="102" t="str">
        <f>IF(A57="","",N(F57)*I57)</f>
        <v/>
      </c>
      <c r="L57" s="70" t="str">
        <f>IF(A57="","",K57*X57)</f>
        <v/>
      </c>
      <c r="M57" s="30" t="str">
        <f>IF(A57="","",IF($L$6&gt;0,L57/$L$6,0))</f>
        <v/>
      </c>
      <c r="N57" s="72" t="str">
        <f>IF(A57="","",N(G57)-M57)</f>
        <v/>
      </c>
      <c r="O57" s="30" t="str">
        <f>IF(A57="","",IF($AC$6&gt;0,AC57/$AC$6,0))</f>
        <v/>
      </c>
      <c r="P57" s="74" t="str">
        <f>IF(A57="","",IF(AC57&lt;=0,"",COUNTIF($AC$9:$AC$68,"&gt;"&amp;AC57)+COUNTIF($AC$9:AC57,AC57)))</f>
        <v/>
      </c>
      <c r="Q57" s="73" t="str">
        <f>IF(A57="","",IF(R57&gt;0,"BUY","HOLD"))</f>
        <v/>
      </c>
      <c r="R57" s="70" t="str">
        <f>IF(A57="","",IF($X$7&lt;=0,0,IF($AD$6&gt;0,$X$7*AD57/$AD$6,IF($G$6&gt;0,$X$7*N(G57)/$G$6,0))))</f>
        <v/>
      </c>
      <c r="S57" s="103" t="str">
        <f>IF(A57="","",N(AE57)+IF(AJ57=1,N(AH57),0))</f>
        <v/>
      </c>
      <c r="T57" s="103" t="str">
        <f>IF(A57="","",N(F57)+N(S57))</f>
        <v/>
      </c>
      <c r="U57" s="70" t="str">
        <f>IF(A57="","",IF(N(S57)&gt;0,S57*I57*X57*$X$6+p_CorrFixa,0))</f>
        <v/>
      </c>
      <c r="W57" s="85" t="str">
        <f>IF(A57="","",IF(E57="",$X$1,E57))</f>
        <v/>
      </c>
      <c r="X57" s="85" t="str">
        <f>IF(A57="","",IFERROR(INDEX(moeda_fx,MATCH(W57,moeda_cod,0)),0))</f>
        <v/>
      </c>
      <c r="Y57" s="85" t="str">
        <f>IF(A57="","",IF($X$2="",UPPER(TRIM(A57)),IF(RIGHT(UPPER(TRIM(A57)),LEN($X$2))=$X$2,UPPER(TRIM(A57)),UPPER(TRIM(A57))&amp;$X$2)))</f>
        <v/>
      </c>
      <c r="Z57" s="85" t="str">
        <f>IF(OR(A57="",p_ModoCot&lt;&gt;"Automático"),"",IF(AND(p_FonteCripto="CoinGecko",TRIM(D57)&lt;&gt;""),IFERROR(_xlfn.WEBSERVICE("https://api.coingecko.com/api/v3/simple/price?ids="&amp;LOWER(TRIM(D57))&amp;"&amp;vs_currencies=usd"),""),IFERROR(_xlfn.WEBSERVICE("https://query1.finance.yahoo.com/v8/finance/chart/"&amp;Y57&amp;"?range=1d&amp;interval=1d"),"")))</f>
        <v/>
      </c>
      <c r="AA57" s="85" t="str">
        <f>IF(Z57="","",IFERROR(IF(ISNUMBER(SEARCH("regularMarketPrice",Z57)),_xlfn.NUMBERVALUE(MID(Z57,SEARCH("""regularMarketPrice"":",Z57)+21,SEARCH(",",Z57&amp;",",SEARCH("""regularMarketPrice"":",Z57)+21)-SEARCH("""regularMarketPrice"":",Z57)-21),".",","),_xlfn.NUMBERVALUE(MID(SUBSTITUTE(Z57,"}",","),SEARCH("""usd"":",SUBSTITUTE(Z57,"}",","))+6,SEARCH(",",SUBSTITUTE(Z57,"}",",")&amp;",",SEARCH("""usd"":",SUBSTITUTE(Z57,"}",","))+6)-SEARCH("""usd"":",SUBSTITUTE(Z57,"}",","))-6),".",",")),""))</f>
        <v/>
      </c>
      <c r="AB57" s="85" t="str">
        <f>IF(A57="","",ROUND(MAX(0,N(G57)*($L$6+$X$7)-L57),2))</f>
        <v/>
      </c>
      <c r="AC57" s="85" t="str">
        <f>IF(A57="","",IF(AND(N57&gt;0,N57&gt;=p_DifMin),AB57,0))</f>
        <v/>
      </c>
      <c r="AD57" s="85" t="str">
        <f>IF(A57="","",IF(AND(AC57&gt;0,N(P57)&lt;=p_MaxAtivos),AC57,0))</f>
        <v/>
      </c>
      <c r="AE57" s="85" t="str">
        <f>IF(A57="","",IF(OR(R57&lt;=0,R57&lt;p_CompraMin,N(I57)&lt;=0,N(X57)&lt;=0),0,IF($X$3="Sim",TRUNC(ROUND(MAX(0,(R57-p_CorrFixa)/(I57*X57*$X$6)),9),$X$4),TRUNC(ROUND(MAX(0,(R57-p_CorrFixa)/(I57*X57*$X$6)),9)/$X$5)*$X$5)))</f>
        <v/>
      </c>
      <c r="AF57" s="85" t="str">
        <f>IF(A57="","",IF(N(AE57)&gt;0,AE57*I57*X57*$X$6+p_CorrFixa,0))</f>
        <v/>
      </c>
      <c r="AG57" s="85" t="str">
        <f>IF(A57="","",IF(OR($Z$1&lt;=0,N(I57)&lt;=0,N(X57)&lt;=0,N(AC57)&lt;=0),0,IF($X$3="Sim",TRUNC(ROUND(MAX(0,($Z$1-IF(N(AE57)&gt;0,0,p_CorrFixa))/(I57*X57*$X$6)),9),$X$4),TRUNC(ROUND(MAX(0,($Z$1-IF(N(AE57)&gt;0,0,p_CorrFixa))/(I57*X57*$X$6)),9)/$X$5)*$X$5)))</f>
        <v/>
      </c>
      <c r="AH57" s="85" t="str">
        <f>IF(A57="","",IF(AND(N(AE57)=0,N(AG57)*(I57*X57*$X$6)+p_CorrFixa&lt;p_CompraMin),0,AG57))</f>
        <v/>
      </c>
      <c r="AI57" s="85" t="str">
        <f>IF(A57="","",IF(N(AH57)&gt;0,AC57,0))</f>
        <v/>
      </c>
      <c r="AJ57" s="85" t="str">
        <f>IF(A57="","",IF(AND(AI57&gt;0,AI57=$AI$6,COUNTIF($AI$9:AI57,AI57)=1),1,0))</f>
        <v/>
      </c>
    </row>
    <row r="58">
      <c r="A58" s="96" t="n"/>
      <c r="B58" s="96" t="n"/>
      <c r="C58" s="96" t="n"/>
      <c r="D58" s="96" t="n"/>
      <c r="E58" s="97" t="n"/>
      <c r="F58" s="98" t="n"/>
      <c r="G58" s="99" t="n"/>
      <c r="H58" s="100" t="n"/>
      <c r="I58" s="104" t="str">
        <f>IF(A58="","",IF(AND(p_ModoCot="Automático",ISNUMBER(AA58)),AA58,IF(N(H58)&gt;0,H58,0)))</f>
        <v/>
      </c>
      <c r="J58" s="105" t="str">
        <f>IF(A58="","",IF(X58=0,"Sem câmbio",IF(AND(p_ModoCot="Automático",ISNUMBER(AA58)),"Auto",IF(N(H58)&gt;0,"Manual","Sem cotação"))))</f>
        <v/>
      </c>
      <c r="K58" s="106" t="str">
        <f>IF(A58="","",N(F58)*I58)</f>
        <v/>
      </c>
      <c r="L58" s="107" t="str">
        <f>IF(A58="","",K58*X58)</f>
        <v/>
      </c>
      <c r="M58" s="108" t="str">
        <f>IF(A58="","",IF($L$6&gt;0,L58/$L$6,0))</f>
        <v/>
      </c>
      <c r="N58" s="109" t="str">
        <f>IF(A58="","",N(G58)-M58)</f>
        <v/>
      </c>
      <c r="O58" s="108" t="str">
        <f>IF(A58="","",IF($AC$6&gt;0,AC58/$AC$6,0))</f>
        <v/>
      </c>
      <c r="P58" s="110" t="str">
        <f>IF(A58="","",IF(AC58&lt;=0,"",COUNTIF($AC$9:$AC$68,"&gt;"&amp;AC58)+COUNTIF($AC$9:AC58,AC58)))</f>
        <v/>
      </c>
      <c r="Q58" s="105" t="str">
        <f>IF(A58="","",IF(R58&gt;0,"BUY","HOLD"))</f>
        <v/>
      </c>
      <c r="R58" s="107" t="str">
        <f>IF(A58="","",IF($X$7&lt;=0,0,IF($AD$6&gt;0,$X$7*AD58/$AD$6,IF($G$6&gt;0,$X$7*N(G58)/$G$6,0))))</f>
        <v/>
      </c>
      <c r="S58" s="111" t="str">
        <f>IF(A58="","",N(AE58)+IF(AJ58=1,N(AH58),0))</f>
        <v/>
      </c>
      <c r="T58" s="111" t="str">
        <f>IF(A58="","",N(F58)+N(S58))</f>
        <v/>
      </c>
      <c r="U58" s="107" t="str">
        <f>IF(A58="","",IF(N(S58)&gt;0,S58*I58*X58*$X$6+p_CorrFixa,0))</f>
        <v/>
      </c>
      <c r="W58" s="85" t="str">
        <f>IF(A58="","",IF(E58="",$X$1,E58))</f>
        <v/>
      </c>
      <c r="X58" s="85" t="str">
        <f>IF(A58="","",IFERROR(INDEX(moeda_fx,MATCH(W58,moeda_cod,0)),0))</f>
        <v/>
      </c>
      <c r="Y58" s="85" t="str">
        <f>IF(A58="","",IF($X$2="",UPPER(TRIM(A58)),IF(RIGHT(UPPER(TRIM(A58)),LEN($X$2))=$X$2,UPPER(TRIM(A58)),UPPER(TRIM(A58))&amp;$X$2)))</f>
        <v/>
      </c>
      <c r="Z58" s="85" t="str">
        <f>IF(OR(A58="",p_ModoCot&lt;&gt;"Automático"),"",IF(AND(p_FonteCripto="CoinGecko",TRIM(D58)&lt;&gt;""),IFERROR(_xlfn.WEBSERVICE("https://api.coingecko.com/api/v3/simple/price?ids="&amp;LOWER(TRIM(D58))&amp;"&amp;vs_currencies=usd"),""),IFERROR(_xlfn.WEBSERVICE("https://query1.finance.yahoo.com/v8/finance/chart/"&amp;Y58&amp;"?range=1d&amp;interval=1d"),"")))</f>
        <v/>
      </c>
      <c r="AA58" s="85" t="str">
        <f>IF(Z58="","",IFERROR(IF(ISNUMBER(SEARCH("regularMarketPrice",Z58)),_xlfn.NUMBERVALUE(MID(Z58,SEARCH("""regularMarketPrice"":",Z58)+21,SEARCH(",",Z58&amp;",",SEARCH("""regularMarketPrice"":",Z58)+21)-SEARCH("""regularMarketPrice"":",Z58)-21),".",","),_xlfn.NUMBERVALUE(MID(SUBSTITUTE(Z58,"}",","),SEARCH("""usd"":",SUBSTITUTE(Z58,"}",","))+6,SEARCH(",",SUBSTITUTE(Z58,"}",",")&amp;",",SEARCH("""usd"":",SUBSTITUTE(Z58,"}",","))+6)-SEARCH("""usd"":",SUBSTITUTE(Z58,"}",","))-6),".",",")),""))</f>
        <v/>
      </c>
      <c r="AB58" s="85" t="str">
        <f>IF(A58="","",ROUND(MAX(0,N(G58)*($L$6+$X$7)-L58),2))</f>
        <v/>
      </c>
      <c r="AC58" s="85" t="str">
        <f>IF(A58="","",IF(AND(N58&gt;0,N58&gt;=p_DifMin),AB58,0))</f>
        <v/>
      </c>
      <c r="AD58" s="85" t="str">
        <f>IF(A58="","",IF(AND(AC58&gt;0,N(P58)&lt;=p_MaxAtivos),AC58,0))</f>
        <v/>
      </c>
      <c r="AE58" s="85" t="str">
        <f>IF(A58="","",IF(OR(R58&lt;=0,R58&lt;p_CompraMin,N(I58)&lt;=0,N(X58)&lt;=0),0,IF($X$3="Sim",TRUNC(ROUND(MAX(0,(R58-p_CorrFixa)/(I58*X58*$X$6)),9),$X$4),TRUNC(ROUND(MAX(0,(R58-p_CorrFixa)/(I58*X58*$X$6)),9)/$X$5)*$X$5)))</f>
        <v/>
      </c>
      <c r="AF58" s="85" t="str">
        <f>IF(A58="","",IF(N(AE58)&gt;0,AE58*I58*X58*$X$6+p_CorrFixa,0))</f>
        <v/>
      </c>
      <c r="AG58" s="85" t="str">
        <f>IF(A58="","",IF(OR($Z$1&lt;=0,N(I58)&lt;=0,N(X58)&lt;=0,N(AC58)&lt;=0),0,IF($X$3="Sim",TRUNC(ROUND(MAX(0,($Z$1-IF(N(AE58)&gt;0,0,p_CorrFixa))/(I58*X58*$X$6)),9),$X$4),TRUNC(ROUND(MAX(0,($Z$1-IF(N(AE58)&gt;0,0,p_CorrFixa))/(I58*X58*$X$6)),9)/$X$5)*$X$5)))</f>
        <v/>
      </c>
      <c r="AH58" s="85" t="str">
        <f>IF(A58="","",IF(AND(N(AE58)=0,N(AG58)*(I58*X58*$X$6)+p_CorrFixa&lt;p_CompraMin),0,AG58))</f>
        <v/>
      </c>
      <c r="AI58" s="85" t="str">
        <f>IF(A58="","",IF(N(AH58)&gt;0,AC58,0))</f>
        <v/>
      </c>
      <c r="AJ58" s="85" t="str">
        <f>IF(A58="","",IF(AND(AI58&gt;0,AI58=$AI$6,COUNTIF($AI$9:AI58,AI58)=1),1,0))</f>
        <v/>
      </c>
    </row>
    <row r="59">
      <c r="A59" s="96" t="n"/>
      <c r="B59" s="96" t="n"/>
      <c r="C59" s="96" t="n"/>
      <c r="D59" s="96" t="n"/>
      <c r="E59" s="97" t="n"/>
      <c r="F59" s="98" t="n"/>
      <c r="G59" s="99" t="n"/>
      <c r="H59" s="100" t="n"/>
      <c r="I59" s="101" t="str">
        <f>IF(A59="","",IF(AND(p_ModoCot="Automático",ISNUMBER(AA59)),AA59,IF(N(H59)&gt;0,H59,0)))</f>
        <v/>
      </c>
      <c r="J59" s="73" t="str">
        <f>IF(A59="","",IF(X59=0,"Sem câmbio",IF(AND(p_ModoCot="Automático",ISNUMBER(AA59)),"Auto",IF(N(H59)&gt;0,"Manual","Sem cotação"))))</f>
        <v/>
      </c>
      <c r="K59" s="102" t="str">
        <f>IF(A59="","",N(F59)*I59)</f>
        <v/>
      </c>
      <c r="L59" s="70" t="str">
        <f>IF(A59="","",K59*X59)</f>
        <v/>
      </c>
      <c r="M59" s="30" t="str">
        <f>IF(A59="","",IF($L$6&gt;0,L59/$L$6,0))</f>
        <v/>
      </c>
      <c r="N59" s="72" t="str">
        <f>IF(A59="","",N(G59)-M59)</f>
        <v/>
      </c>
      <c r="O59" s="30" t="str">
        <f>IF(A59="","",IF($AC$6&gt;0,AC59/$AC$6,0))</f>
        <v/>
      </c>
      <c r="P59" s="74" t="str">
        <f>IF(A59="","",IF(AC59&lt;=0,"",COUNTIF($AC$9:$AC$68,"&gt;"&amp;AC59)+COUNTIF($AC$9:AC59,AC59)))</f>
        <v/>
      </c>
      <c r="Q59" s="73" t="str">
        <f>IF(A59="","",IF(R59&gt;0,"BUY","HOLD"))</f>
        <v/>
      </c>
      <c r="R59" s="70" t="str">
        <f>IF(A59="","",IF($X$7&lt;=0,0,IF($AD$6&gt;0,$X$7*AD59/$AD$6,IF($G$6&gt;0,$X$7*N(G59)/$G$6,0))))</f>
        <v/>
      </c>
      <c r="S59" s="103" t="str">
        <f>IF(A59="","",N(AE59)+IF(AJ59=1,N(AH59),0))</f>
        <v/>
      </c>
      <c r="T59" s="103" t="str">
        <f>IF(A59="","",N(F59)+N(S59))</f>
        <v/>
      </c>
      <c r="U59" s="70" t="str">
        <f>IF(A59="","",IF(N(S59)&gt;0,S59*I59*X59*$X$6+p_CorrFixa,0))</f>
        <v/>
      </c>
      <c r="W59" s="85" t="str">
        <f>IF(A59="","",IF(E59="",$X$1,E59))</f>
        <v/>
      </c>
      <c r="X59" s="85" t="str">
        <f>IF(A59="","",IFERROR(INDEX(moeda_fx,MATCH(W59,moeda_cod,0)),0))</f>
        <v/>
      </c>
      <c r="Y59" s="85" t="str">
        <f>IF(A59="","",IF($X$2="",UPPER(TRIM(A59)),IF(RIGHT(UPPER(TRIM(A59)),LEN($X$2))=$X$2,UPPER(TRIM(A59)),UPPER(TRIM(A59))&amp;$X$2)))</f>
        <v/>
      </c>
      <c r="Z59" s="85" t="str">
        <f>IF(OR(A59="",p_ModoCot&lt;&gt;"Automático"),"",IF(AND(p_FonteCripto="CoinGecko",TRIM(D59)&lt;&gt;""),IFERROR(_xlfn.WEBSERVICE("https://api.coingecko.com/api/v3/simple/price?ids="&amp;LOWER(TRIM(D59))&amp;"&amp;vs_currencies=usd"),""),IFERROR(_xlfn.WEBSERVICE("https://query1.finance.yahoo.com/v8/finance/chart/"&amp;Y59&amp;"?range=1d&amp;interval=1d"),"")))</f>
        <v/>
      </c>
      <c r="AA59" s="85" t="str">
        <f>IF(Z59="","",IFERROR(IF(ISNUMBER(SEARCH("regularMarketPrice",Z59)),_xlfn.NUMBERVALUE(MID(Z59,SEARCH("""regularMarketPrice"":",Z59)+21,SEARCH(",",Z59&amp;",",SEARCH("""regularMarketPrice"":",Z59)+21)-SEARCH("""regularMarketPrice"":",Z59)-21),".",","),_xlfn.NUMBERVALUE(MID(SUBSTITUTE(Z59,"}",","),SEARCH("""usd"":",SUBSTITUTE(Z59,"}",","))+6,SEARCH(",",SUBSTITUTE(Z59,"}",",")&amp;",",SEARCH("""usd"":",SUBSTITUTE(Z59,"}",","))+6)-SEARCH("""usd"":",SUBSTITUTE(Z59,"}",","))-6),".",",")),""))</f>
        <v/>
      </c>
      <c r="AB59" s="85" t="str">
        <f>IF(A59="","",ROUND(MAX(0,N(G59)*($L$6+$X$7)-L59),2))</f>
        <v/>
      </c>
      <c r="AC59" s="85" t="str">
        <f>IF(A59="","",IF(AND(N59&gt;0,N59&gt;=p_DifMin),AB59,0))</f>
        <v/>
      </c>
      <c r="AD59" s="85" t="str">
        <f>IF(A59="","",IF(AND(AC59&gt;0,N(P59)&lt;=p_MaxAtivos),AC59,0))</f>
        <v/>
      </c>
      <c r="AE59" s="85" t="str">
        <f>IF(A59="","",IF(OR(R59&lt;=0,R59&lt;p_CompraMin,N(I59)&lt;=0,N(X59)&lt;=0),0,IF($X$3="Sim",TRUNC(ROUND(MAX(0,(R59-p_CorrFixa)/(I59*X59*$X$6)),9),$X$4),TRUNC(ROUND(MAX(0,(R59-p_CorrFixa)/(I59*X59*$X$6)),9)/$X$5)*$X$5)))</f>
        <v/>
      </c>
      <c r="AF59" s="85" t="str">
        <f>IF(A59="","",IF(N(AE59)&gt;0,AE59*I59*X59*$X$6+p_CorrFixa,0))</f>
        <v/>
      </c>
      <c r="AG59" s="85" t="str">
        <f>IF(A59="","",IF(OR($Z$1&lt;=0,N(I59)&lt;=0,N(X59)&lt;=0,N(AC59)&lt;=0),0,IF($X$3="Sim",TRUNC(ROUND(MAX(0,($Z$1-IF(N(AE59)&gt;0,0,p_CorrFixa))/(I59*X59*$X$6)),9),$X$4),TRUNC(ROUND(MAX(0,($Z$1-IF(N(AE59)&gt;0,0,p_CorrFixa))/(I59*X59*$X$6)),9)/$X$5)*$X$5)))</f>
        <v/>
      </c>
      <c r="AH59" s="85" t="str">
        <f>IF(A59="","",IF(AND(N(AE59)=0,N(AG59)*(I59*X59*$X$6)+p_CorrFixa&lt;p_CompraMin),0,AG59))</f>
        <v/>
      </c>
      <c r="AI59" s="85" t="str">
        <f>IF(A59="","",IF(N(AH59)&gt;0,AC59,0))</f>
        <v/>
      </c>
      <c r="AJ59" s="85" t="str">
        <f>IF(A59="","",IF(AND(AI59&gt;0,AI59=$AI$6,COUNTIF($AI$9:AI59,AI59)=1),1,0))</f>
        <v/>
      </c>
    </row>
    <row r="60">
      <c r="A60" s="96" t="n"/>
      <c r="B60" s="96" t="n"/>
      <c r="C60" s="96" t="n"/>
      <c r="D60" s="96" t="n"/>
      <c r="E60" s="97" t="n"/>
      <c r="F60" s="98" t="n"/>
      <c r="G60" s="99" t="n"/>
      <c r="H60" s="100" t="n"/>
      <c r="I60" s="104" t="str">
        <f>IF(A60="","",IF(AND(p_ModoCot="Automático",ISNUMBER(AA60)),AA60,IF(N(H60)&gt;0,H60,0)))</f>
        <v/>
      </c>
      <c r="J60" s="105" t="str">
        <f>IF(A60="","",IF(X60=0,"Sem câmbio",IF(AND(p_ModoCot="Automático",ISNUMBER(AA60)),"Auto",IF(N(H60)&gt;0,"Manual","Sem cotação"))))</f>
        <v/>
      </c>
      <c r="K60" s="106" t="str">
        <f>IF(A60="","",N(F60)*I60)</f>
        <v/>
      </c>
      <c r="L60" s="107" t="str">
        <f>IF(A60="","",K60*X60)</f>
        <v/>
      </c>
      <c r="M60" s="108" t="str">
        <f>IF(A60="","",IF($L$6&gt;0,L60/$L$6,0))</f>
        <v/>
      </c>
      <c r="N60" s="109" t="str">
        <f>IF(A60="","",N(G60)-M60)</f>
        <v/>
      </c>
      <c r="O60" s="108" t="str">
        <f>IF(A60="","",IF($AC$6&gt;0,AC60/$AC$6,0))</f>
        <v/>
      </c>
      <c r="P60" s="110" t="str">
        <f>IF(A60="","",IF(AC60&lt;=0,"",COUNTIF($AC$9:$AC$68,"&gt;"&amp;AC60)+COUNTIF($AC$9:AC60,AC60)))</f>
        <v/>
      </c>
      <c r="Q60" s="105" t="str">
        <f>IF(A60="","",IF(R60&gt;0,"BUY","HOLD"))</f>
        <v/>
      </c>
      <c r="R60" s="107" t="str">
        <f>IF(A60="","",IF($X$7&lt;=0,0,IF($AD$6&gt;0,$X$7*AD60/$AD$6,IF($G$6&gt;0,$X$7*N(G60)/$G$6,0))))</f>
        <v/>
      </c>
      <c r="S60" s="111" t="str">
        <f>IF(A60="","",N(AE60)+IF(AJ60=1,N(AH60),0))</f>
        <v/>
      </c>
      <c r="T60" s="111" t="str">
        <f>IF(A60="","",N(F60)+N(S60))</f>
        <v/>
      </c>
      <c r="U60" s="107" t="str">
        <f>IF(A60="","",IF(N(S60)&gt;0,S60*I60*X60*$X$6+p_CorrFixa,0))</f>
        <v/>
      </c>
      <c r="W60" s="85" t="str">
        <f>IF(A60="","",IF(E60="",$X$1,E60))</f>
        <v/>
      </c>
      <c r="X60" s="85" t="str">
        <f>IF(A60="","",IFERROR(INDEX(moeda_fx,MATCH(W60,moeda_cod,0)),0))</f>
        <v/>
      </c>
      <c r="Y60" s="85" t="str">
        <f>IF(A60="","",IF($X$2="",UPPER(TRIM(A60)),IF(RIGHT(UPPER(TRIM(A60)),LEN($X$2))=$X$2,UPPER(TRIM(A60)),UPPER(TRIM(A60))&amp;$X$2)))</f>
        <v/>
      </c>
      <c r="Z60" s="85" t="str">
        <f>IF(OR(A60="",p_ModoCot&lt;&gt;"Automático"),"",IF(AND(p_FonteCripto="CoinGecko",TRIM(D60)&lt;&gt;""),IFERROR(_xlfn.WEBSERVICE("https://api.coingecko.com/api/v3/simple/price?ids="&amp;LOWER(TRIM(D60))&amp;"&amp;vs_currencies=usd"),""),IFERROR(_xlfn.WEBSERVICE("https://query1.finance.yahoo.com/v8/finance/chart/"&amp;Y60&amp;"?range=1d&amp;interval=1d"),"")))</f>
        <v/>
      </c>
      <c r="AA60" s="85" t="str">
        <f>IF(Z60="","",IFERROR(IF(ISNUMBER(SEARCH("regularMarketPrice",Z60)),_xlfn.NUMBERVALUE(MID(Z60,SEARCH("""regularMarketPrice"":",Z60)+21,SEARCH(",",Z60&amp;",",SEARCH("""regularMarketPrice"":",Z60)+21)-SEARCH("""regularMarketPrice"":",Z60)-21),".",","),_xlfn.NUMBERVALUE(MID(SUBSTITUTE(Z60,"}",","),SEARCH("""usd"":",SUBSTITUTE(Z60,"}",","))+6,SEARCH(",",SUBSTITUTE(Z60,"}",",")&amp;",",SEARCH("""usd"":",SUBSTITUTE(Z60,"}",","))+6)-SEARCH("""usd"":",SUBSTITUTE(Z60,"}",","))-6),".",",")),""))</f>
        <v/>
      </c>
      <c r="AB60" s="85" t="str">
        <f>IF(A60="","",ROUND(MAX(0,N(G60)*($L$6+$X$7)-L60),2))</f>
        <v/>
      </c>
      <c r="AC60" s="85" t="str">
        <f>IF(A60="","",IF(AND(N60&gt;0,N60&gt;=p_DifMin),AB60,0))</f>
        <v/>
      </c>
      <c r="AD60" s="85" t="str">
        <f>IF(A60="","",IF(AND(AC60&gt;0,N(P60)&lt;=p_MaxAtivos),AC60,0))</f>
        <v/>
      </c>
      <c r="AE60" s="85" t="str">
        <f>IF(A60="","",IF(OR(R60&lt;=0,R60&lt;p_CompraMin,N(I60)&lt;=0,N(X60)&lt;=0),0,IF($X$3="Sim",TRUNC(ROUND(MAX(0,(R60-p_CorrFixa)/(I60*X60*$X$6)),9),$X$4),TRUNC(ROUND(MAX(0,(R60-p_CorrFixa)/(I60*X60*$X$6)),9)/$X$5)*$X$5)))</f>
        <v/>
      </c>
      <c r="AF60" s="85" t="str">
        <f>IF(A60="","",IF(N(AE60)&gt;0,AE60*I60*X60*$X$6+p_CorrFixa,0))</f>
        <v/>
      </c>
      <c r="AG60" s="85" t="str">
        <f>IF(A60="","",IF(OR($Z$1&lt;=0,N(I60)&lt;=0,N(X60)&lt;=0,N(AC60)&lt;=0),0,IF($X$3="Sim",TRUNC(ROUND(MAX(0,($Z$1-IF(N(AE60)&gt;0,0,p_CorrFixa))/(I60*X60*$X$6)),9),$X$4),TRUNC(ROUND(MAX(0,($Z$1-IF(N(AE60)&gt;0,0,p_CorrFixa))/(I60*X60*$X$6)),9)/$X$5)*$X$5)))</f>
        <v/>
      </c>
      <c r="AH60" s="85" t="str">
        <f>IF(A60="","",IF(AND(N(AE60)=0,N(AG60)*(I60*X60*$X$6)+p_CorrFixa&lt;p_CompraMin),0,AG60))</f>
        <v/>
      </c>
      <c r="AI60" s="85" t="str">
        <f>IF(A60="","",IF(N(AH60)&gt;0,AC60,0))</f>
        <v/>
      </c>
      <c r="AJ60" s="85" t="str">
        <f>IF(A60="","",IF(AND(AI60&gt;0,AI60=$AI$6,COUNTIF($AI$9:AI60,AI60)=1),1,0))</f>
        <v/>
      </c>
    </row>
    <row r="61">
      <c r="A61" s="96" t="n"/>
      <c r="B61" s="96" t="n"/>
      <c r="C61" s="96" t="n"/>
      <c r="D61" s="96" t="n"/>
      <c r="E61" s="97" t="n"/>
      <c r="F61" s="98" t="n"/>
      <c r="G61" s="99" t="n"/>
      <c r="H61" s="100" t="n"/>
      <c r="I61" s="101" t="str">
        <f>IF(A61="","",IF(AND(p_ModoCot="Automático",ISNUMBER(AA61)),AA61,IF(N(H61)&gt;0,H61,0)))</f>
        <v/>
      </c>
      <c r="J61" s="73" t="str">
        <f>IF(A61="","",IF(X61=0,"Sem câmbio",IF(AND(p_ModoCot="Automático",ISNUMBER(AA61)),"Auto",IF(N(H61)&gt;0,"Manual","Sem cotação"))))</f>
        <v/>
      </c>
      <c r="K61" s="102" t="str">
        <f>IF(A61="","",N(F61)*I61)</f>
        <v/>
      </c>
      <c r="L61" s="70" t="str">
        <f>IF(A61="","",K61*X61)</f>
        <v/>
      </c>
      <c r="M61" s="30" t="str">
        <f>IF(A61="","",IF($L$6&gt;0,L61/$L$6,0))</f>
        <v/>
      </c>
      <c r="N61" s="72" t="str">
        <f>IF(A61="","",N(G61)-M61)</f>
        <v/>
      </c>
      <c r="O61" s="30" t="str">
        <f>IF(A61="","",IF($AC$6&gt;0,AC61/$AC$6,0))</f>
        <v/>
      </c>
      <c r="P61" s="74" t="str">
        <f>IF(A61="","",IF(AC61&lt;=0,"",COUNTIF($AC$9:$AC$68,"&gt;"&amp;AC61)+COUNTIF($AC$9:AC61,AC61)))</f>
        <v/>
      </c>
      <c r="Q61" s="73" t="str">
        <f>IF(A61="","",IF(R61&gt;0,"BUY","HOLD"))</f>
        <v/>
      </c>
      <c r="R61" s="70" t="str">
        <f>IF(A61="","",IF($X$7&lt;=0,0,IF($AD$6&gt;0,$X$7*AD61/$AD$6,IF($G$6&gt;0,$X$7*N(G61)/$G$6,0))))</f>
        <v/>
      </c>
      <c r="S61" s="103" t="str">
        <f>IF(A61="","",N(AE61)+IF(AJ61=1,N(AH61),0))</f>
        <v/>
      </c>
      <c r="T61" s="103" t="str">
        <f>IF(A61="","",N(F61)+N(S61))</f>
        <v/>
      </c>
      <c r="U61" s="70" t="str">
        <f>IF(A61="","",IF(N(S61)&gt;0,S61*I61*X61*$X$6+p_CorrFixa,0))</f>
        <v/>
      </c>
      <c r="W61" s="85" t="str">
        <f>IF(A61="","",IF(E61="",$X$1,E61))</f>
        <v/>
      </c>
      <c r="X61" s="85" t="str">
        <f>IF(A61="","",IFERROR(INDEX(moeda_fx,MATCH(W61,moeda_cod,0)),0))</f>
        <v/>
      </c>
      <c r="Y61" s="85" t="str">
        <f>IF(A61="","",IF($X$2="",UPPER(TRIM(A61)),IF(RIGHT(UPPER(TRIM(A61)),LEN($X$2))=$X$2,UPPER(TRIM(A61)),UPPER(TRIM(A61))&amp;$X$2)))</f>
        <v/>
      </c>
      <c r="Z61" s="85" t="str">
        <f>IF(OR(A61="",p_ModoCot&lt;&gt;"Automático"),"",IF(AND(p_FonteCripto="CoinGecko",TRIM(D61)&lt;&gt;""),IFERROR(_xlfn.WEBSERVICE("https://api.coingecko.com/api/v3/simple/price?ids="&amp;LOWER(TRIM(D61))&amp;"&amp;vs_currencies=usd"),""),IFERROR(_xlfn.WEBSERVICE("https://query1.finance.yahoo.com/v8/finance/chart/"&amp;Y61&amp;"?range=1d&amp;interval=1d"),"")))</f>
        <v/>
      </c>
      <c r="AA61" s="85" t="str">
        <f>IF(Z61="","",IFERROR(IF(ISNUMBER(SEARCH("regularMarketPrice",Z61)),_xlfn.NUMBERVALUE(MID(Z61,SEARCH("""regularMarketPrice"":",Z61)+21,SEARCH(",",Z61&amp;",",SEARCH("""regularMarketPrice"":",Z61)+21)-SEARCH("""regularMarketPrice"":",Z61)-21),".",","),_xlfn.NUMBERVALUE(MID(SUBSTITUTE(Z61,"}",","),SEARCH("""usd"":",SUBSTITUTE(Z61,"}",","))+6,SEARCH(",",SUBSTITUTE(Z61,"}",",")&amp;",",SEARCH("""usd"":",SUBSTITUTE(Z61,"}",","))+6)-SEARCH("""usd"":",SUBSTITUTE(Z61,"}",","))-6),".",",")),""))</f>
        <v/>
      </c>
      <c r="AB61" s="85" t="str">
        <f>IF(A61="","",ROUND(MAX(0,N(G61)*($L$6+$X$7)-L61),2))</f>
        <v/>
      </c>
      <c r="AC61" s="85" t="str">
        <f>IF(A61="","",IF(AND(N61&gt;0,N61&gt;=p_DifMin),AB61,0))</f>
        <v/>
      </c>
      <c r="AD61" s="85" t="str">
        <f>IF(A61="","",IF(AND(AC61&gt;0,N(P61)&lt;=p_MaxAtivos),AC61,0))</f>
        <v/>
      </c>
      <c r="AE61" s="85" t="str">
        <f>IF(A61="","",IF(OR(R61&lt;=0,R61&lt;p_CompraMin,N(I61)&lt;=0,N(X61)&lt;=0),0,IF($X$3="Sim",TRUNC(ROUND(MAX(0,(R61-p_CorrFixa)/(I61*X61*$X$6)),9),$X$4),TRUNC(ROUND(MAX(0,(R61-p_CorrFixa)/(I61*X61*$X$6)),9)/$X$5)*$X$5)))</f>
        <v/>
      </c>
      <c r="AF61" s="85" t="str">
        <f>IF(A61="","",IF(N(AE61)&gt;0,AE61*I61*X61*$X$6+p_CorrFixa,0))</f>
        <v/>
      </c>
      <c r="AG61" s="85" t="str">
        <f>IF(A61="","",IF(OR($Z$1&lt;=0,N(I61)&lt;=0,N(X61)&lt;=0,N(AC61)&lt;=0),0,IF($X$3="Sim",TRUNC(ROUND(MAX(0,($Z$1-IF(N(AE61)&gt;0,0,p_CorrFixa))/(I61*X61*$X$6)),9),$X$4),TRUNC(ROUND(MAX(0,($Z$1-IF(N(AE61)&gt;0,0,p_CorrFixa))/(I61*X61*$X$6)),9)/$X$5)*$X$5)))</f>
        <v/>
      </c>
      <c r="AH61" s="85" t="str">
        <f>IF(A61="","",IF(AND(N(AE61)=0,N(AG61)*(I61*X61*$X$6)+p_CorrFixa&lt;p_CompraMin),0,AG61))</f>
        <v/>
      </c>
      <c r="AI61" s="85" t="str">
        <f>IF(A61="","",IF(N(AH61)&gt;0,AC61,0))</f>
        <v/>
      </c>
      <c r="AJ61" s="85" t="str">
        <f>IF(A61="","",IF(AND(AI61&gt;0,AI61=$AI$6,COUNTIF($AI$9:AI61,AI61)=1),1,0))</f>
        <v/>
      </c>
    </row>
    <row r="62">
      <c r="A62" s="96" t="n"/>
      <c r="B62" s="96" t="n"/>
      <c r="C62" s="96" t="n"/>
      <c r="D62" s="96" t="n"/>
      <c r="E62" s="97" t="n"/>
      <c r="F62" s="98" t="n"/>
      <c r="G62" s="99" t="n"/>
      <c r="H62" s="100" t="n"/>
      <c r="I62" s="104" t="str">
        <f>IF(A62="","",IF(AND(p_ModoCot="Automático",ISNUMBER(AA62)),AA62,IF(N(H62)&gt;0,H62,0)))</f>
        <v/>
      </c>
      <c r="J62" s="105" t="str">
        <f>IF(A62="","",IF(X62=0,"Sem câmbio",IF(AND(p_ModoCot="Automático",ISNUMBER(AA62)),"Auto",IF(N(H62)&gt;0,"Manual","Sem cotação"))))</f>
        <v/>
      </c>
      <c r="K62" s="106" t="str">
        <f>IF(A62="","",N(F62)*I62)</f>
        <v/>
      </c>
      <c r="L62" s="107" t="str">
        <f>IF(A62="","",K62*X62)</f>
        <v/>
      </c>
      <c r="M62" s="108" t="str">
        <f>IF(A62="","",IF($L$6&gt;0,L62/$L$6,0))</f>
        <v/>
      </c>
      <c r="N62" s="109" t="str">
        <f>IF(A62="","",N(G62)-M62)</f>
        <v/>
      </c>
      <c r="O62" s="108" t="str">
        <f>IF(A62="","",IF($AC$6&gt;0,AC62/$AC$6,0))</f>
        <v/>
      </c>
      <c r="P62" s="110" t="str">
        <f>IF(A62="","",IF(AC62&lt;=0,"",COUNTIF($AC$9:$AC$68,"&gt;"&amp;AC62)+COUNTIF($AC$9:AC62,AC62)))</f>
        <v/>
      </c>
      <c r="Q62" s="105" t="str">
        <f>IF(A62="","",IF(R62&gt;0,"BUY","HOLD"))</f>
        <v/>
      </c>
      <c r="R62" s="107" t="str">
        <f>IF(A62="","",IF($X$7&lt;=0,0,IF($AD$6&gt;0,$X$7*AD62/$AD$6,IF($G$6&gt;0,$X$7*N(G62)/$G$6,0))))</f>
        <v/>
      </c>
      <c r="S62" s="111" t="str">
        <f>IF(A62="","",N(AE62)+IF(AJ62=1,N(AH62),0))</f>
        <v/>
      </c>
      <c r="T62" s="111" t="str">
        <f>IF(A62="","",N(F62)+N(S62))</f>
        <v/>
      </c>
      <c r="U62" s="107" t="str">
        <f>IF(A62="","",IF(N(S62)&gt;0,S62*I62*X62*$X$6+p_CorrFixa,0))</f>
        <v/>
      </c>
      <c r="W62" s="85" t="str">
        <f>IF(A62="","",IF(E62="",$X$1,E62))</f>
        <v/>
      </c>
      <c r="X62" s="85" t="str">
        <f>IF(A62="","",IFERROR(INDEX(moeda_fx,MATCH(W62,moeda_cod,0)),0))</f>
        <v/>
      </c>
      <c r="Y62" s="85" t="str">
        <f>IF(A62="","",IF($X$2="",UPPER(TRIM(A62)),IF(RIGHT(UPPER(TRIM(A62)),LEN($X$2))=$X$2,UPPER(TRIM(A62)),UPPER(TRIM(A62))&amp;$X$2)))</f>
        <v/>
      </c>
      <c r="Z62" s="85" t="str">
        <f>IF(OR(A62="",p_ModoCot&lt;&gt;"Automático"),"",IF(AND(p_FonteCripto="CoinGecko",TRIM(D62)&lt;&gt;""),IFERROR(_xlfn.WEBSERVICE("https://api.coingecko.com/api/v3/simple/price?ids="&amp;LOWER(TRIM(D62))&amp;"&amp;vs_currencies=usd"),""),IFERROR(_xlfn.WEBSERVICE("https://query1.finance.yahoo.com/v8/finance/chart/"&amp;Y62&amp;"?range=1d&amp;interval=1d"),"")))</f>
        <v/>
      </c>
      <c r="AA62" s="85" t="str">
        <f>IF(Z62="","",IFERROR(IF(ISNUMBER(SEARCH("regularMarketPrice",Z62)),_xlfn.NUMBERVALUE(MID(Z62,SEARCH("""regularMarketPrice"":",Z62)+21,SEARCH(",",Z62&amp;",",SEARCH("""regularMarketPrice"":",Z62)+21)-SEARCH("""regularMarketPrice"":",Z62)-21),".",","),_xlfn.NUMBERVALUE(MID(SUBSTITUTE(Z62,"}",","),SEARCH("""usd"":",SUBSTITUTE(Z62,"}",","))+6,SEARCH(",",SUBSTITUTE(Z62,"}",",")&amp;",",SEARCH("""usd"":",SUBSTITUTE(Z62,"}",","))+6)-SEARCH("""usd"":",SUBSTITUTE(Z62,"}",","))-6),".",",")),""))</f>
        <v/>
      </c>
      <c r="AB62" s="85" t="str">
        <f>IF(A62="","",ROUND(MAX(0,N(G62)*($L$6+$X$7)-L62),2))</f>
        <v/>
      </c>
      <c r="AC62" s="85" t="str">
        <f>IF(A62="","",IF(AND(N62&gt;0,N62&gt;=p_DifMin),AB62,0))</f>
        <v/>
      </c>
      <c r="AD62" s="85" t="str">
        <f>IF(A62="","",IF(AND(AC62&gt;0,N(P62)&lt;=p_MaxAtivos),AC62,0))</f>
        <v/>
      </c>
      <c r="AE62" s="85" t="str">
        <f>IF(A62="","",IF(OR(R62&lt;=0,R62&lt;p_CompraMin,N(I62)&lt;=0,N(X62)&lt;=0),0,IF($X$3="Sim",TRUNC(ROUND(MAX(0,(R62-p_CorrFixa)/(I62*X62*$X$6)),9),$X$4),TRUNC(ROUND(MAX(0,(R62-p_CorrFixa)/(I62*X62*$X$6)),9)/$X$5)*$X$5)))</f>
        <v/>
      </c>
      <c r="AF62" s="85" t="str">
        <f>IF(A62="","",IF(N(AE62)&gt;0,AE62*I62*X62*$X$6+p_CorrFixa,0))</f>
        <v/>
      </c>
      <c r="AG62" s="85" t="str">
        <f>IF(A62="","",IF(OR($Z$1&lt;=0,N(I62)&lt;=0,N(X62)&lt;=0,N(AC62)&lt;=0),0,IF($X$3="Sim",TRUNC(ROUND(MAX(0,($Z$1-IF(N(AE62)&gt;0,0,p_CorrFixa))/(I62*X62*$X$6)),9),$X$4),TRUNC(ROUND(MAX(0,($Z$1-IF(N(AE62)&gt;0,0,p_CorrFixa))/(I62*X62*$X$6)),9)/$X$5)*$X$5)))</f>
        <v/>
      </c>
      <c r="AH62" s="85" t="str">
        <f>IF(A62="","",IF(AND(N(AE62)=0,N(AG62)*(I62*X62*$X$6)+p_CorrFixa&lt;p_CompraMin),0,AG62))</f>
        <v/>
      </c>
      <c r="AI62" s="85" t="str">
        <f>IF(A62="","",IF(N(AH62)&gt;0,AC62,0))</f>
        <v/>
      </c>
      <c r="AJ62" s="85" t="str">
        <f>IF(A62="","",IF(AND(AI62&gt;0,AI62=$AI$6,COUNTIF($AI$9:AI62,AI62)=1),1,0))</f>
        <v/>
      </c>
    </row>
    <row r="63">
      <c r="A63" s="96" t="n"/>
      <c r="B63" s="96" t="n"/>
      <c r="C63" s="96" t="n"/>
      <c r="D63" s="96" t="n"/>
      <c r="E63" s="97" t="n"/>
      <c r="F63" s="98" t="n"/>
      <c r="G63" s="99" t="n"/>
      <c r="H63" s="100" t="n"/>
      <c r="I63" s="101" t="str">
        <f>IF(A63="","",IF(AND(p_ModoCot="Automático",ISNUMBER(AA63)),AA63,IF(N(H63)&gt;0,H63,0)))</f>
        <v/>
      </c>
      <c r="J63" s="73" t="str">
        <f>IF(A63="","",IF(X63=0,"Sem câmbio",IF(AND(p_ModoCot="Automático",ISNUMBER(AA63)),"Auto",IF(N(H63)&gt;0,"Manual","Sem cotação"))))</f>
        <v/>
      </c>
      <c r="K63" s="102" t="str">
        <f>IF(A63="","",N(F63)*I63)</f>
        <v/>
      </c>
      <c r="L63" s="70" t="str">
        <f>IF(A63="","",K63*X63)</f>
        <v/>
      </c>
      <c r="M63" s="30" t="str">
        <f>IF(A63="","",IF($L$6&gt;0,L63/$L$6,0))</f>
        <v/>
      </c>
      <c r="N63" s="72" t="str">
        <f>IF(A63="","",N(G63)-M63)</f>
        <v/>
      </c>
      <c r="O63" s="30" t="str">
        <f>IF(A63="","",IF($AC$6&gt;0,AC63/$AC$6,0))</f>
        <v/>
      </c>
      <c r="P63" s="74" t="str">
        <f>IF(A63="","",IF(AC63&lt;=0,"",COUNTIF($AC$9:$AC$68,"&gt;"&amp;AC63)+COUNTIF($AC$9:AC63,AC63)))</f>
        <v/>
      </c>
      <c r="Q63" s="73" t="str">
        <f>IF(A63="","",IF(R63&gt;0,"BUY","HOLD"))</f>
        <v/>
      </c>
      <c r="R63" s="70" t="str">
        <f>IF(A63="","",IF($X$7&lt;=0,0,IF($AD$6&gt;0,$X$7*AD63/$AD$6,IF($G$6&gt;0,$X$7*N(G63)/$G$6,0))))</f>
        <v/>
      </c>
      <c r="S63" s="103" t="str">
        <f>IF(A63="","",N(AE63)+IF(AJ63=1,N(AH63),0))</f>
        <v/>
      </c>
      <c r="T63" s="103" t="str">
        <f>IF(A63="","",N(F63)+N(S63))</f>
        <v/>
      </c>
      <c r="U63" s="70" t="str">
        <f>IF(A63="","",IF(N(S63)&gt;0,S63*I63*X63*$X$6+p_CorrFixa,0))</f>
        <v/>
      </c>
      <c r="W63" s="85" t="str">
        <f>IF(A63="","",IF(E63="",$X$1,E63))</f>
        <v/>
      </c>
      <c r="X63" s="85" t="str">
        <f>IF(A63="","",IFERROR(INDEX(moeda_fx,MATCH(W63,moeda_cod,0)),0))</f>
        <v/>
      </c>
      <c r="Y63" s="85" t="str">
        <f>IF(A63="","",IF($X$2="",UPPER(TRIM(A63)),IF(RIGHT(UPPER(TRIM(A63)),LEN($X$2))=$X$2,UPPER(TRIM(A63)),UPPER(TRIM(A63))&amp;$X$2)))</f>
        <v/>
      </c>
      <c r="Z63" s="85" t="str">
        <f>IF(OR(A63="",p_ModoCot&lt;&gt;"Automático"),"",IF(AND(p_FonteCripto="CoinGecko",TRIM(D63)&lt;&gt;""),IFERROR(_xlfn.WEBSERVICE("https://api.coingecko.com/api/v3/simple/price?ids="&amp;LOWER(TRIM(D63))&amp;"&amp;vs_currencies=usd"),""),IFERROR(_xlfn.WEBSERVICE("https://query1.finance.yahoo.com/v8/finance/chart/"&amp;Y63&amp;"?range=1d&amp;interval=1d"),"")))</f>
        <v/>
      </c>
      <c r="AA63" s="85" t="str">
        <f>IF(Z63="","",IFERROR(IF(ISNUMBER(SEARCH("regularMarketPrice",Z63)),_xlfn.NUMBERVALUE(MID(Z63,SEARCH("""regularMarketPrice"":",Z63)+21,SEARCH(",",Z63&amp;",",SEARCH("""regularMarketPrice"":",Z63)+21)-SEARCH("""regularMarketPrice"":",Z63)-21),".",","),_xlfn.NUMBERVALUE(MID(SUBSTITUTE(Z63,"}",","),SEARCH("""usd"":",SUBSTITUTE(Z63,"}",","))+6,SEARCH(",",SUBSTITUTE(Z63,"}",",")&amp;",",SEARCH("""usd"":",SUBSTITUTE(Z63,"}",","))+6)-SEARCH("""usd"":",SUBSTITUTE(Z63,"}",","))-6),".",",")),""))</f>
        <v/>
      </c>
      <c r="AB63" s="85" t="str">
        <f>IF(A63="","",ROUND(MAX(0,N(G63)*($L$6+$X$7)-L63),2))</f>
        <v/>
      </c>
      <c r="AC63" s="85" t="str">
        <f>IF(A63="","",IF(AND(N63&gt;0,N63&gt;=p_DifMin),AB63,0))</f>
        <v/>
      </c>
      <c r="AD63" s="85" t="str">
        <f>IF(A63="","",IF(AND(AC63&gt;0,N(P63)&lt;=p_MaxAtivos),AC63,0))</f>
        <v/>
      </c>
      <c r="AE63" s="85" t="str">
        <f>IF(A63="","",IF(OR(R63&lt;=0,R63&lt;p_CompraMin,N(I63)&lt;=0,N(X63)&lt;=0),0,IF($X$3="Sim",TRUNC(ROUND(MAX(0,(R63-p_CorrFixa)/(I63*X63*$X$6)),9),$X$4),TRUNC(ROUND(MAX(0,(R63-p_CorrFixa)/(I63*X63*$X$6)),9)/$X$5)*$X$5)))</f>
        <v/>
      </c>
      <c r="AF63" s="85" t="str">
        <f>IF(A63="","",IF(N(AE63)&gt;0,AE63*I63*X63*$X$6+p_CorrFixa,0))</f>
        <v/>
      </c>
      <c r="AG63" s="85" t="str">
        <f>IF(A63="","",IF(OR($Z$1&lt;=0,N(I63)&lt;=0,N(X63)&lt;=0,N(AC63)&lt;=0),0,IF($X$3="Sim",TRUNC(ROUND(MAX(0,($Z$1-IF(N(AE63)&gt;0,0,p_CorrFixa))/(I63*X63*$X$6)),9),$X$4),TRUNC(ROUND(MAX(0,($Z$1-IF(N(AE63)&gt;0,0,p_CorrFixa))/(I63*X63*$X$6)),9)/$X$5)*$X$5)))</f>
        <v/>
      </c>
      <c r="AH63" s="85" t="str">
        <f>IF(A63="","",IF(AND(N(AE63)=0,N(AG63)*(I63*X63*$X$6)+p_CorrFixa&lt;p_CompraMin),0,AG63))</f>
        <v/>
      </c>
      <c r="AI63" s="85" t="str">
        <f>IF(A63="","",IF(N(AH63)&gt;0,AC63,0))</f>
        <v/>
      </c>
      <c r="AJ63" s="85" t="str">
        <f>IF(A63="","",IF(AND(AI63&gt;0,AI63=$AI$6,COUNTIF($AI$9:AI63,AI63)=1),1,0))</f>
        <v/>
      </c>
    </row>
    <row r="64">
      <c r="A64" s="96" t="n"/>
      <c r="B64" s="96" t="n"/>
      <c r="C64" s="96" t="n"/>
      <c r="D64" s="96" t="n"/>
      <c r="E64" s="97" t="n"/>
      <c r="F64" s="98" t="n"/>
      <c r="G64" s="99" t="n"/>
      <c r="H64" s="100" t="n"/>
      <c r="I64" s="104" t="str">
        <f>IF(A64="","",IF(AND(p_ModoCot="Automático",ISNUMBER(AA64)),AA64,IF(N(H64)&gt;0,H64,0)))</f>
        <v/>
      </c>
      <c r="J64" s="105" t="str">
        <f>IF(A64="","",IF(X64=0,"Sem câmbio",IF(AND(p_ModoCot="Automático",ISNUMBER(AA64)),"Auto",IF(N(H64)&gt;0,"Manual","Sem cotação"))))</f>
        <v/>
      </c>
      <c r="K64" s="106" t="str">
        <f>IF(A64="","",N(F64)*I64)</f>
        <v/>
      </c>
      <c r="L64" s="107" t="str">
        <f>IF(A64="","",K64*X64)</f>
        <v/>
      </c>
      <c r="M64" s="108" t="str">
        <f>IF(A64="","",IF($L$6&gt;0,L64/$L$6,0))</f>
        <v/>
      </c>
      <c r="N64" s="109" t="str">
        <f>IF(A64="","",N(G64)-M64)</f>
        <v/>
      </c>
      <c r="O64" s="108" t="str">
        <f>IF(A64="","",IF($AC$6&gt;0,AC64/$AC$6,0))</f>
        <v/>
      </c>
      <c r="P64" s="110" t="str">
        <f>IF(A64="","",IF(AC64&lt;=0,"",COUNTIF($AC$9:$AC$68,"&gt;"&amp;AC64)+COUNTIF($AC$9:AC64,AC64)))</f>
        <v/>
      </c>
      <c r="Q64" s="105" t="str">
        <f>IF(A64="","",IF(R64&gt;0,"BUY","HOLD"))</f>
        <v/>
      </c>
      <c r="R64" s="107" t="str">
        <f>IF(A64="","",IF($X$7&lt;=0,0,IF($AD$6&gt;0,$X$7*AD64/$AD$6,IF($G$6&gt;0,$X$7*N(G64)/$G$6,0))))</f>
        <v/>
      </c>
      <c r="S64" s="111" t="str">
        <f>IF(A64="","",N(AE64)+IF(AJ64=1,N(AH64),0))</f>
        <v/>
      </c>
      <c r="T64" s="111" t="str">
        <f>IF(A64="","",N(F64)+N(S64))</f>
        <v/>
      </c>
      <c r="U64" s="107" t="str">
        <f>IF(A64="","",IF(N(S64)&gt;0,S64*I64*X64*$X$6+p_CorrFixa,0))</f>
        <v/>
      </c>
      <c r="W64" s="85" t="str">
        <f>IF(A64="","",IF(E64="",$X$1,E64))</f>
        <v/>
      </c>
      <c r="X64" s="85" t="str">
        <f>IF(A64="","",IFERROR(INDEX(moeda_fx,MATCH(W64,moeda_cod,0)),0))</f>
        <v/>
      </c>
      <c r="Y64" s="85" t="str">
        <f>IF(A64="","",IF($X$2="",UPPER(TRIM(A64)),IF(RIGHT(UPPER(TRIM(A64)),LEN($X$2))=$X$2,UPPER(TRIM(A64)),UPPER(TRIM(A64))&amp;$X$2)))</f>
        <v/>
      </c>
      <c r="Z64" s="85" t="str">
        <f>IF(OR(A64="",p_ModoCot&lt;&gt;"Automático"),"",IF(AND(p_FonteCripto="CoinGecko",TRIM(D64)&lt;&gt;""),IFERROR(_xlfn.WEBSERVICE("https://api.coingecko.com/api/v3/simple/price?ids="&amp;LOWER(TRIM(D64))&amp;"&amp;vs_currencies=usd"),""),IFERROR(_xlfn.WEBSERVICE("https://query1.finance.yahoo.com/v8/finance/chart/"&amp;Y64&amp;"?range=1d&amp;interval=1d"),"")))</f>
        <v/>
      </c>
      <c r="AA64" s="85" t="str">
        <f>IF(Z64="","",IFERROR(IF(ISNUMBER(SEARCH("regularMarketPrice",Z64)),_xlfn.NUMBERVALUE(MID(Z64,SEARCH("""regularMarketPrice"":",Z64)+21,SEARCH(",",Z64&amp;",",SEARCH("""regularMarketPrice"":",Z64)+21)-SEARCH("""regularMarketPrice"":",Z64)-21),".",","),_xlfn.NUMBERVALUE(MID(SUBSTITUTE(Z64,"}",","),SEARCH("""usd"":",SUBSTITUTE(Z64,"}",","))+6,SEARCH(",",SUBSTITUTE(Z64,"}",",")&amp;",",SEARCH("""usd"":",SUBSTITUTE(Z64,"}",","))+6)-SEARCH("""usd"":",SUBSTITUTE(Z64,"}",","))-6),".",",")),""))</f>
        <v/>
      </c>
      <c r="AB64" s="85" t="str">
        <f>IF(A64="","",ROUND(MAX(0,N(G64)*($L$6+$X$7)-L64),2))</f>
        <v/>
      </c>
      <c r="AC64" s="85" t="str">
        <f>IF(A64="","",IF(AND(N64&gt;0,N64&gt;=p_DifMin),AB64,0))</f>
        <v/>
      </c>
      <c r="AD64" s="85" t="str">
        <f>IF(A64="","",IF(AND(AC64&gt;0,N(P64)&lt;=p_MaxAtivos),AC64,0))</f>
        <v/>
      </c>
      <c r="AE64" s="85" t="str">
        <f>IF(A64="","",IF(OR(R64&lt;=0,R64&lt;p_CompraMin,N(I64)&lt;=0,N(X64)&lt;=0),0,IF($X$3="Sim",TRUNC(ROUND(MAX(0,(R64-p_CorrFixa)/(I64*X64*$X$6)),9),$X$4),TRUNC(ROUND(MAX(0,(R64-p_CorrFixa)/(I64*X64*$X$6)),9)/$X$5)*$X$5)))</f>
        <v/>
      </c>
      <c r="AF64" s="85" t="str">
        <f>IF(A64="","",IF(N(AE64)&gt;0,AE64*I64*X64*$X$6+p_CorrFixa,0))</f>
        <v/>
      </c>
      <c r="AG64" s="85" t="str">
        <f>IF(A64="","",IF(OR($Z$1&lt;=0,N(I64)&lt;=0,N(X64)&lt;=0,N(AC64)&lt;=0),0,IF($X$3="Sim",TRUNC(ROUND(MAX(0,($Z$1-IF(N(AE64)&gt;0,0,p_CorrFixa))/(I64*X64*$X$6)),9),$X$4),TRUNC(ROUND(MAX(0,($Z$1-IF(N(AE64)&gt;0,0,p_CorrFixa))/(I64*X64*$X$6)),9)/$X$5)*$X$5)))</f>
        <v/>
      </c>
      <c r="AH64" s="85" t="str">
        <f>IF(A64="","",IF(AND(N(AE64)=0,N(AG64)*(I64*X64*$X$6)+p_CorrFixa&lt;p_CompraMin),0,AG64))</f>
        <v/>
      </c>
      <c r="AI64" s="85" t="str">
        <f>IF(A64="","",IF(N(AH64)&gt;0,AC64,0))</f>
        <v/>
      </c>
      <c r="AJ64" s="85" t="str">
        <f>IF(A64="","",IF(AND(AI64&gt;0,AI64=$AI$6,COUNTIF($AI$9:AI64,AI64)=1),1,0))</f>
        <v/>
      </c>
    </row>
    <row r="65">
      <c r="A65" s="96" t="n"/>
      <c r="B65" s="96" t="n"/>
      <c r="C65" s="96" t="n"/>
      <c r="D65" s="96" t="n"/>
      <c r="E65" s="97" t="n"/>
      <c r="F65" s="98" t="n"/>
      <c r="G65" s="99" t="n"/>
      <c r="H65" s="100" t="n"/>
      <c r="I65" s="101" t="str">
        <f>IF(A65="","",IF(AND(p_ModoCot="Automático",ISNUMBER(AA65)),AA65,IF(N(H65)&gt;0,H65,0)))</f>
        <v/>
      </c>
      <c r="J65" s="73" t="str">
        <f>IF(A65="","",IF(X65=0,"Sem câmbio",IF(AND(p_ModoCot="Automático",ISNUMBER(AA65)),"Auto",IF(N(H65)&gt;0,"Manual","Sem cotação"))))</f>
        <v/>
      </c>
      <c r="K65" s="102" t="str">
        <f>IF(A65="","",N(F65)*I65)</f>
        <v/>
      </c>
      <c r="L65" s="70" t="str">
        <f>IF(A65="","",K65*X65)</f>
        <v/>
      </c>
      <c r="M65" s="30" t="str">
        <f>IF(A65="","",IF($L$6&gt;0,L65/$L$6,0))</f>
        <v/>
      </c>
      <c r="N65" s="72" t="str">
        <f>IF(A65="","",N(G65)-M65)</f>
        <v/>
      </c>
      <c r="O65" s="30" t="str">
        <f>IF(A65="","",IF($AC$6&gt;0,AC65/$AC$6,0))</f>
        <v/>
      </c>
      <c r="P65" s="74" t="str">
        <f>IF(A65="","",IF(AC65&lt;=0,"",COUNTIF($AC$9:$AC$68,"&gt;"&amp;AC65)+COUNTIF($AC$9:AC65,AC65)))</f>
        <v/>
      </c>
      <c r="Q65" s="73" t="str">
        <f>IF(A65="","",IF(R65&gt;0,"BUY","HOLD"))</f>
        <v/>
      </c>
      <c r="R65" s="70" t="str">
        <f>IF(A65="","",IF($X$7&lt;=0,0,IF($AD$6&gt;0,$X$7*AD65/$AD$6,IF($G$6&gt;0,$X$7*N(G65)/$G$6,0))))</f>
        <v/>
      </c>
      <c r="S65" s="103" t="str">
        <f>IF(A65="","",N(AE65)+IF(AJ65=1,N(AH65),0))</f>
        <v/>
      </c>
      <c r="T65" s="103" t="str">
        <f>IF(A65="","",N(F65)+N(S65))</f>
        <v/>
      </c>
      <c r="U65" s="70" t="str">
        <f>IF(A65="","",IF(N(S65)&gt;0,S65*I65*X65*$X$6+p_CorrFixa,0))</f>
        <v/>
      </c>
      <c r="W65" s="85" t="str">
        <f>IF(A65="","",IF(E65="",$X$1,E65))</f>
        <v/>
      </c>
      <c r="X65" s="85" t="str">
        <f>IF(A65="","",IFERROR(INDEX(moeda_fx,MATCH(W65,moeda_cod,0)),0))</f>
        <v/>
      </c>
      <c r="Y65" s="85" t="str">
        <f>IF(A65="","",IF($X$2="",UPPER(TRIM(A65)),IF(RIGHT(UPPER(TRIM(A65)),LEN($X$2))=$X$2,UPPER(TRIM(A65)),UPPER(TRIM(A65))&amp;$X$2)))</f>
        <v/>
      </c>
      <c r="Z65" s="85" t="str">
        <f>IF(OR(A65="",p_ModoCot&lt;&gt;"Automático"),"",IF(AND(p_FonteCripto="CoinGecko",TRIM(D65)&lt;&gt;""),IFERROR(_xlfn.WEBSERVICE("https://api.coingecko.com/api/v3/simple/price?ids="&amp;LOWER(TRIM(D65))&amp;"&amp;vs_currencies=usd"),""),IFERROR(_xlfn.WEBSERVICE("https://query1.finance.yahoo.com/v8/finance/chart/"&amp;Y65&amp;"?range=1d&amp;interval=1d"),"")))</f>
        <v/>
      </c>
      <c r="AA65" s="85" t="str">
        <f>IF(Z65="","",IFERROR(IF(ISNUMBER(SEARCH("regularMarketPrice",Z65)),_xlfn.NUMBERVALUE(MID(Z65,SEARCH("""regularMarketPrice"":",Z65)+21,SEARCH(",",Z65&amp;",",SEARCH("""regularMarketPrice"":",Z65)+21)-SEARCH("""regularMarketPrice"":",Z65)-21),".",","),_xlfn.NUMBERVALUE(MID(SUBSTITUTE(Z65,"}",","),SEARCH("""usd"":",SUBSTITUTE(Z65,"}",","))+6,SEARCH(",",SUBSTITUTE(Z65,"}",",")&amp;",",SEARCH("""usd"":",SUBSTITUTE(Z65,"}",","))+6)-SEARCH("""usd"":",SUBSTITUTE(Z65,"}",","))-6),".",",")),""))</f>
        <v/>
      </c>
      <c r="AB65" s="85" t="str">
        <f>IF(A65="","",ROUND(MAX(0,N(G65)*($L$6+$X$7)-L65),2))</f>
        <v/>
      </c>
      <c r="AC65" s="85" t="str">
        <f>IF(A65="","",IF(AND(N65&gt;0,N65&gt;=p_DifMin),AB65,0))</f>
        <v/>
      </c>
      <c r="AD65" s="85" t="str">
        <f>IF(A65="","",IF(AND(AC65&gt;0,N(P65)&lt;=p_MaxAtivos),AC65,0))</f>
        <v/>
      </c>
      <c r="AE65" s="85" t="str">
        <f>IF(A65="","",IF(OR(R65&lt;=0,R65&lt;p_CompraMin,N(I65)&lt;=0,N(X65)&lt;=0),0,IF($X$3="Sim",TRUNC(ROUND(MAX(0,(R65-p_CorrFixa)/(I65*X65*$X$6)),9),$X$4),TRUNC(ROUND(MAX(0,(R65-p_CorrFixa)/(I65*X65*$X$6)),9)/$X$5)*$X$5)))</f>
        <v/>
      </c>
      <c r="AF65" s="85" t="str">
        <f>IF(A65="","",IF(N(AE65)&gt;0,AE65*I65*X65*$X$6+p_CorrFixa,0))</f>
        <v/>
      </c>
      <c r="AG65" s="85" t="str">
        <f>IF(A65="","",IF(OR($Z$1&lt;=0,N(I65)&lt;=0,N(X65)&lt;=0,N(AC65)&lt;=0),0,IF($X$3="Sim",TRUNC(ROUND(MAX(0,($Z$1-IF(N(AE65)&gt;0,0,p_CorrFixa))/(I65*X65*$X$6)),9),$X$4),TRUNC(ROUND(MAX(0,($Z$1-IF(N(AE65)&gt;0,0,p_CorrFixa))/(I65*X65*$X$6)),9)/$X$5)*$X$5)))</f>
        <v/>
      </c>
      <c r="AH65" s="85" t="str">
        <f>IF(A65="","",IF(AND(N(AE65)=0,N(AG65)*(I65*X65*$X$6)+p_CorrFixa&lt;p_CompraMin),0,AG65))</f>
        <v/>
      </c>
      <c r="AI65" s="85" t="str">
        <f>IF(A65="","",IF(N(AH65)&gt;0,AC65,0))</f>
        <v/>
      </c>
      <c r="AJ65" s="85" t="str">
        <f>IF(A65="","",IF(AND(AI65&gt;0,AI65=$AI$6,COUNTIF($AI$9:AI65,AI65)=1),1,0))</f>
        <v/>
      </c>
    </row>
    <row r="66">
      <c r="A66" s="96" t="n"/>
      <c r="B66" s="96" t="n"/>
      <c r="C66" s="96" t="n"/>
      <c r="D66" s="96" t="n"/>
      <c r="E66" s="97" t="n"/>
      <c r="F66" s="98" t="n"/>
      <c r="G66" s="99" t="n"/>
      <c r="H66" s="100" t="n"/>
      <c r="I66" s="104" t="str">
        <f>IF(A66="","",IF(AND(p_ModoCot="Automático",ISNUMBER(AA66)),AA66,IF(N(H66)&gt;0,H66,0)))</f>
        <v/>
      </c>
      <c r="J66" s="105" t="str">
        <f>IF(A66="","",IF(X66=0,"Sem câmbio",IF(AND(p_ModoCot="Automático",ISNUMBER(AA66)),"Auto",IF(N(H66)&gt;0,"Manual","Sem cotação"))))</f>
        <v/>
      </c>
      <c r="K66" s="106" t="str">
        <f>IF(A66="","",N(F66)*I66)</f>
        <v/>
      </c>
      <c r="L66" s="107" t="str">
        <f>IF(A66="","",K66*X66)</f>
        <v/>
      </c>
      <c r="M66" s="108" t="str">
        <f>IF(A66="","",IF($L$6&gt;0,L66/$L$6,0))</f>
        <v/>
      </c>
      <c r="N66" s="109" t="str">
        <f>IF(A66="","",N(G66)-M66)</f>
        <v/>
      </c>
      <c r="O66" s="108" t="str">
        <f>IF(A66="","",IF($AC$6&gt;0,AC66/$AC$6,0))</f>
        <v/>
      </c>
      <c r="P66" s="110" t="str">
        <f>IF(A66="","",IF(AC66&lt;=0,"",COUNTIF($AC$9:$AC$68,"&gt;"&amp;AC66)+COUNTIF($AC$9:AC66,AC66)))</f>
        <v/>
      </c>
      <c r="Q66" s="105" t="str">
        <f>IF(A66="","",IF(R66&gt;0,"BUY","HOLD"))</f>
        <v/>
      </c>
      <c r="R66" s="107" t="str">
        <f>IF(A66="","",IF($X$7&lt;=0,0,IF($AD$6&gt;0,$X$7*AD66/$AD$6,IF($G$6&gt;0,$X$7*N(G66)/$G$6,0))))</f>
        <v/>
      </c>
      <c r="S66" s="111" t="str">
        <f>IF(A66="","",N(AE66)+IF(AJ66=1,N(AH66),0))</f>
        <v/>
      </c>
      <c r="T66" s="111" t="str">
        <f>IF(A66="","",N(F66)+N(S66))</f>
        <v/>
      </c>
      <c r="U66" s="107" t="str">
        <f>IF(A66="","",IF(N(S66)&gt;0,S66*I66*X66*$X$6+p_CorrFixa,0))</f>
        <v/>
      </c>
      <c r="W66" s="85" t="str">
        <f>IF(A66="","",IF(E66="",$X$1,E66))</f>
        <v/>
      </c>
      <c r="X66" s="85" t="str">
        <f>IF(A66="","",IFERROR(INDEX(moeda_fx,MATCH(W66,moeda_cod,0)),0))</f>
        <v/>
      </c>
      <c r="Y66" s="85" t="str">
        <f>IF(A66="","",IF($X$2="",UPPER(TRIM(A66)),IF(RIGHT(UPPER(TRIM(A66)),LEN($X$2))=$X$2,UPPER(TRIM(A66)),UPPER(TRIM(A66))&amp;$X$2)))</f>
        <v/>
      </c>
      <c r="Z66" s="85" t="str">
        <f>IF(OR(A66="",p_ModoCot&lt;&gt;"Automático"),"",IF(AND(p_FonteCripto="CoinGecko",TRIM(D66)&lt;&gt;""),IFERROR(_xlfn.WEBSERVICE("https://api.coingecko.com/api/v3/simple/price?ids="&amp;LOWER(TRIM(D66))&amp;"&amp;vs_currencies=usd"),""),IFERROR(_xlfn.WEBSERVICE("https://query1.finance.yahoo.com/v8/finance/chart/"&amp;Y66&amp;"?range=1d&amp;interval=1d"),"")))</f>
        <v/>
      </c>
      <c r="AA66" s="85" t="str">
        <f>IF(Z66="","",IFERROR(IF(ISNUMBER(SEARCH("regularMarketPrice",Z66)),_xlfn.NUMBERVALUE(MID(Z66,SEARCH("""regularMarketPrice"":",Z66)+21,SEARCH(",",Z66&amp;",",SEARCH("""regularMarketPrice"":",Z66)+21)-SEARCH("""regularMarketPrice"":",Z66)-21),".",","),_xlfn.NUMBERVALUE(MID(SUBSTITUTE(Z66,"}",","),SEARCH("""usd"":",SUBSTITUTE(Z66,"}",","))+6,SEARCH(",",SUBSTITUTE(Z66,"}",",")&amp;",",SEARCH("""usd"":",SUBSTITUTE(Z66,"}",","))+6)-SEARCH("""usd"":",SUBSTITUTE(Z66,"}",","))-6),".",",")),""))</f>
        <v/>
      </c>
      <c r="AB66" s="85" t="str">
        <f>IF(A66="","",ROUND(MAX(0,N(G66)*($L$6+$X$7)-L66),2))</f>
        <v/>
      </c>
      <c r="AC66" s="85" t="str">
        <f>IF(A66="","",IF(AND(N66&gt;0,N66&gt;=p_DifMin),AB66,0))</f>
        <v/>
      </c>
      <c r="AD66" s="85" t="str">
        <f>IF(A66="","",IF(AND(AC66&gt;0,N(P66)&lt;=p_MaxAtivos),AC66,0))</f>
        <v/>
      </c>
      <c r="AE66" s="85" t="str">
        <f>IF(A66="","",IF(OR(R66&lt;=0,R66&lt;p_CompraMin,N(I66)&lt;=0,N(X66)&lt;=0),0,IF($X$3="Sim",TRUNC(ROUND(MAX(0,(R66-p_CorrFixa)/(I66*X66*$X$6)),9),$X$4),TRUNC(ROUND(MAX(0,(R66-p_CorrFixa)/(I66*X66*$X$6)),9)/$X$5)*$X$5)))</f>
        <v/>
      </c>
      <c r="AF66" s="85" t="str">
        <f>IF(A66="","",IF(N(AE66)&gt;0,AE66*I66*X66*$X$6+p_CorrFixa,0))</f>
        <v/>
      </c>
      <c r="AG66" s="85" t="str">
        <f>IF(A66="","",IF(OR($Z$1&lt;=0,N(I66)&lt;=0,N(X66)&lt;=0,N(AC66)&lt;=0),0,IF($X$3="Sim",TRUNC(ROUND(MAX(0,($Z$1-IF(N(AE66)&gt;0,0,p_CorrFixa))/(I66*X66*$X$6)),9),$X$4),TRUNC(ROUND(MAX(0,($Z$1-IF(N(AE66)&gt;0,0,p_CorrFixa))/(I66*X66*$X$6)),9)/$X$5)*$X$5)))</f>
        <v/>
      </c>
      <c r="AH66" s="85" t="str">
        <f>IF(A66="","",IF(AND(N(AE66)=0,N(AG66)*(I66*X66*$X$6)+p_CorrFixa&lt;p_CompraMin),0,AG66))</f>
        <v/>
      </c>
      <c r="AI66" s="85" t="str">
        <f>IF(A66="","",IF(N(AH66)&gt;0,AC66,0))</f>
        <v/>
      </c>
      <c r="AJ66" s="85" t="str">
        <f>IF(A66="","",IF(AND(AI66&gt;0,AI66=$AI$6,COUNTIF($AI$9:AI66,AI66)=1),1,0))</f>
        <v/>
      </c>
    </row>
    <row r="67">
      <c r="A67" s="96" t="n"/>
      <c r="B67" s="96" t="n"/>
      <c r="C67" s="96" t="n"/>
      <c r="D67" s="96" t="n"/>
      <c r="E67" s="97" t="n"/>
      <c r="F67" s="98" t="n"/>
      <c r="G67" s="99" t="n"/>
      <c r="H67" s="100" t="n"/>
      <c r="I67" s="101" t="str">
        <f>IF(A67="","",IF(AND(p_ModoCot="Automático",ISNUMBER(AA67)),AA67,IF(N(H67)&gt;0,H67,0)))</f>
        <v/>
      </c>
      <c r="J67" s="73" t="str">
        <f>IF(A67="","",IF(X67=0,"Sem câmbio",IF(AND(p_ModoCot="Automático",ISNUMBER(AA67)),"Auto",IF(N(H67)&gt;0,"Manual","Sem cotação"))))</f>
        <v/>
      </c>
      <c r="K67" s="102" t="str">
        <f>IF(A67="","",N(F67)*I67)</f>
        <v/>
      </c>
      <c r="L67" s="70" t="str">
        <f>IF(A67="","",K67*X67)</f>
        <v/>
      </c>
      <c r="M67" s="30" t="str">
        <f>IF(A67="","",IF($L$6&gt;0,L67/$L$6,0))</f>
        <v/>
      </c>
      <c r="N67" s="72" t="str">
        <f>IF(A67="","",N(G67)-M67)</f>
        <v/>
      </c>
      <c r="O67" s="30" t="str">
        <f>IF(A67="","",IF($AC$6&gt;0,AC67/$AC$6,0))</f>
        <v/>
      </c>
      <c r="P67" s="74" t="str">
        <f>IF(A67="","",IF(AC67&lt;=0,"",COUNTIF($AC$9:$AC$68,"&gt;"&amp;AC67)+COUNTIF($AC$9:AC67,AC67)))</f>
        <v/>
      </c>
      <c r="Q67" s="73" t="str">
        <f>IF(A67="","",IF(R67&gt;0,"BUY","HOLD"))</f>
        <v/>
      </c>
      <c r="R67" s="70" t="str">
        <f>IF(A67="","",IF($X$7&lt;=0,0,IF($AD$6&gt;0,$X$7*AD67/$AD$6,IF($G$6&gt;0,$X$7*N(G67)/$G$6,0))))</f>
        <v/>
      </c>
      <c r="S67" s="103" t="str">
        <f>IF(A67="","",N(AE67)+IF(AJ67=1,N(AH67),0))</f>
        <v/>
      </c>
      <c r="T67" s="103" t="str">
        <f>IF(A67="","",N(F67)+N(S67))</f>
        <v/>
      </c>
      <c r="U67" s="70" t="str">
        <f>IF(A67="","",IF(N(S67)&gt;0,S67*I67*X67*$X$6+p_CorrFixa,0))</f>
        <v/>
      </c>
      <c r="W67" s="85" t="str">
        <f>IF(A67="","",IF(E67="",$X$1,E67))</f>
        <v/>
      </c>
      <c r="X67" s="85" t="str">
        <f>IF(A67="","",IFERROR(INDEX(moeda_fx,MATCH(W67,moeda_cod,0)),0))</f>
        <v/>
      </c>
      <c r="Y67" s="85" t="str">
        <f>IF(A67="","",IF($X$2="",UPPER(TRIM(A67)),IF(RIGHT(UPPER(TRIM(A67)),LEN($X$2))=$X$2,UPPER(TRIM(A67)),UPPER(TRIM(A67))&amp;$X$2)))</f>
        <v/>
      </c>
      <c r="Z67" s="85" t="str">
        <f>IF(OR(A67="",p_ModoCot&lt;&gt;"Automático"),"",IF(AND(p_FonteCripto="CoinGecko",TRIM(D67)&lt;&gt;""),IFERROR(_xlfn.WEBSERVICE("https://api.coingecko.com/api/v3/simple/price?ids="&amp;LOWER(TRIM(D67))&amp;"&amp;vs_currencies=usd"),""),IFERROR(_xlfn.WEBSERVICE("https://query1.finance.yahoo.com/v8/finance/chart/"&amp;Y67&amp;"?range=1d&amp;interval=1d"),"")))</f>
        <v/>
      </c>
      <c r="AA67" s="85" t="str">
        <f>IF(Z67="","",IFERROR(IF(ISNUMBER(SEARCH("regularMarketPrice",Z67)),_xlfn.NUMBERVALUE(MID(Z67,SEARCH("""regularMarketPrice"":",Z67)+21,SEARCH(",",Z67&amp;",",SEARCH("""regularMarketPrice"":",Z67)+21)-SEARCH("""regularMarketPrice"":",Z67)-21),".",","),_xlfn.NUMBERVALUE(MID(SUBSTITUTE(Z67,"}",","),SEARCH("""usd"":",SUBSTITUTE(Z67,"}",","))+6,SEARCH(",",SUBSTITUTE(Z67,"}",",")&amp;",",SEARCH("""usd"":",SUBSTITUTE(Z67,"}",","))+6)-SEARCH("""usd"":",SUBSTITUTE(Z67,"}",","))-6),".",",")),""))</f>
        <v/>
      </c>
      <c r="AB67" s="85" t="str">
        <f>IF(A67="","",ROUND(MAX(0,N(G67)*($L$6+$X$7)-L67),2))</f>
        <v/>
      </c>
      <c r="AC67" s="85" t="str">
        <f>IF(A67="","",IF(AND(N67&gt;0,N67&gt;=p_DifMin),AB67,0))</f>
        <v/>
      </c>
      <c r="AD67" s="85" t="str">
        <f>IF(A67="","",IF(AND(AC67&gt;0,N(P67)&lt;=p_MaxAtivos),AC67,0))</f>
        <v/>
      </c>
      <c r="AE67" s="85" t="str">
        <f>IF(A67="","",IF(OR(R67&lt;=0,R67&lt;p_CompraMin,N(I67)&lt;=0,N(X67)&lt;=0),0,IF($X$3="Sim",TRUNC(ROUND(MAX(0,(R67-p_CorrFixa)/(I67*X67*$X$6)),9),$X$4),TRUNC(ROUND(MAX(0,(R67-p_CorrFixa)/(I67*X67*$X$6)),9)/$X$5)*$X$5)))</f>
        <v/>
      </c>
      <c r="AF67" s="85" t="str">
        <f>IF(A67="","",IF(N(AE67)&gt;0,AE67*I67*X67*$X$6+p_CorrFixa,0))</f>
        <v/>
      </c>
      <c r="AG67" s="85" t="str">
        <f>IF(A67="","",IF(OR($Z$1&lt;=0,N(I67)&lt;=0,N(X67)&lt;=0,N(AC67)&lt;=0),0,IF($X$3="Sim",TRUNC(ROUND(MAX(0,($Z$1-IF(N(AE67)&gt;0,0,p_CorrFixa))/(I67*X67*$X$6)),9),$X$4),TRUNC(ROUND(MAX(0,($Z$1-IF(N(AE67)&gt;0,0,p_CorrFixa))/(I67*X67*$X$6)),9)/$X$5)*$X$5)))</f>
        <v/>
      </c>
      <c r="AH67" s="85" t="str">
        <f>IF(A67="","",IF(AND(N(AE67)=0,N(AG67)*(I67*X67*$X$6)+p_CorrFixa&lt;p_CompraMin),0,AG67))</f>
        <v/>
      </c>
      <c r="AI67" s="85" t="str">
        <f>IF(A67="","",IF(N(AH67)&gt;0,AC67,0))</f>
        <v/>
      </c>
      <c r="AJ67" s="85" t="str">
        <f>IF(A67="","",IF(AND(AI67&gt;0,AI67=$AI$6,COUNTIF($AI$9:AI67,AI67)=1),1,0))</f>
        <v/>
      </c>
    </row>
    <row r="68">
      <c r="A68" s="96" t="n"/>
      <c r="B68" s="96" t="n"/>
      <c r="C68" s="96" t="n"/>
      <c r="D68" s="96" t="n"/>
      <c r="E68" s="97" t="n"/>
      <c r="F68" s="98" t="n"/>
      <c r="G68" s="99" t="n"/>
      <c r="H68" s="100" t="n"/>
      <c r="I68" s="104" t="str">
        <f>IF(A68="","",IF(AND(p_ModoCot="Automático",ISNUMBER(AA68)),AA68,IF(N(H68)&gt;0,H68,0)))</f>
        <v/>
      </c>
      <c r="J68" s="105" t="str">
        <f>IF(A68="","",IF(X68=0,"Sem câmbio",IF(AND(p_ModoCot="Automático",ISNUMBER(AA68)),"Auto",IF(N(H68)&gt;0,"Manual","Sem cotação"))))</f>
        <v/>
      </c>
      <c r="K68" s="106" t="str">
        <f>IF(A68="","",N(F68)*I68)</f>
        <v/>
      </c>
      <c r="L68" s="107" t="str">
        <f>IF(A68="","",K68*X68)</f>
        <v/>
      </c>
      <c r="M68" s="108" t="str">
        <f>IF(A68="","",IF($L$6&gt;0,L68/$L$6,0))</f>
        <v/>
      </c>
      <c r="N68" s="109" t="str">
        <f>IF(A68="","",N(G68)-M68)</f>
        <v/>
      </c>
      <c r="O68" s="108" t="str">
        <f>IF(A68="","",IF($AC$6&gt;0,AC68/$AC$6,0))</f>
        <v/>
      </c>
      <c r="P68" s="110" t="str">
        <f>IF(A68="","",IF(AC68&lt;=0,"",COUNTIF($AC$9:$AC$68,"&gt;"&amp;AC68)+COUNTIF($AC$9:AC68,AC68)))</f>
        <v/>
      </c>
      <c r="Q68" s="105" t="str">
        <f>IF(A68="","",IF(R68&gt;0,"BUY","HOLD"))</f>
        <v/>
      </c>
      <c r="R68" s="107" t="str">
        <f>IF(A68="","",IF($X$7&lt;=0,0,IF($AD$6&gt;0,$X$7*AD68/$AD$6,IF($G$6&gt;0,$X$7*N(G68)/$G$6,0))))</f>
        <v/>
      </c>
      <c r="S68" s="111" t="str">
        <f>IF(A68="","",N(AE68)+IF(AJ68=1,N(AH68),0))</f>
        <v/>
      </c>
      <c r="T68" s="111" t="str">
        <f>IF(A68="","",N(F68)+N(S68))</f>
        <v/>
      </c>
      <c r="U68" s="107" t="str">
        <f>IF(A68="","",IF(N(S68)&gt;0,S68*I68*X68*$X$6+p_CorrFixa,0))</f>
        <v/>
      </c>
      <c r="W68" s="85" t="str">
        <f>IF(A68="","",IF(E68="",$X$1,E68))</f>
        <v/>
      </c>
      <c r="X68" s="85" t="str">
        <f>IF(A68="","",IFERROR(INDEX(moeda_fx,MATCH(W68,moeda_cod,0)),0))</f>
        <v/>
      </c>
      <c r="Y68" s="85" t="str">
        <f>IF(A68="","",IF($X$2="",UPPER(TRIM(A68)),IF(RIGHT(UPPER(TRIM(A68)),LEN($X$2))=$X$2,UPPER(TRIM(A68)),UPPER(TRIM(A68))&amp;$X$2)))</f>
        <v/>
      </c>
      <c r="Z68" s="85" t="str">
        <f>IF(OR(A68="",p_ModoCot&lt;&gt;"Automático"),"",IF(AND(p_FonteCripto="CoinGecko",TRIM(D68)&lt;&gt;""),IFERROR(_xlfn.WEBSERVICE("https://api.coingecko.com/api/v3/simple/price?ids="&amp;LOWER(TRIM(D68))&amp;"&amp;vs_currencies=usd"),""),IFERROR(_xlfn.WEBSERVICE("https://query1.finance.yahoo.com/v8/finance/chart/"&amp;Y68&amp;"?range=1d&amp;interval=1d"),"")))</f>
        <v/>
      </c>
      <c r="AA68" s="85" t="str">
        <f>IF(Z68="","",IFERROR(IF(ISNUMBER(SEARCH("regularMarketPrice",Z68)),_xlfn.NUMBERVALUE(MID(Z68,SEARCH("""regularMarketPrice"":",Z68)+21,SEARCH(",",Z68&amp;",",SEARCH("""regularMarketPrice"":",Z68)+21)-SEARCH("""regularMarketPrice"":",Z68)-21),".",","),_xlfn.NUMBERVALUE(MID(SUBSTITUTE(Z68,"}",","),SEARCH("""usd"":",SUBSTITUTE(Z68,"}",","))+6,SEARCH(",",SUBSTITUTE(Z68,"}",",")&amp;",",SEARCH("""usd"":",SUBSTITUTE(Z68,"}",","))+6)-SEARCH("""usd"":",SUBSTITUTE(Z68,"}",","))-6),".",",")),""))</f>
        <v/>
      </c>
      <c r="AB68" s="85" t="str">
        <f>IF(A68="","",ROUND(MAX(0,N(G68)*($L$6+$X$7)-L68),2))</f>
        <v/>
      </c>
      <c r="AC68" s="85" t="str">
        <f>IF(A68="","",IF(AND(N68&gt;0,N68&gt;=p_DifMin),AB68,0))</f>
        <v/>
      </c>
      <c r="AD68" s="85" t="str">
        <f>IF(A68="","",IF(AND(AC68&gt;0,N(P68)&lt;=p_MaxAtivos),AC68,0))</f>
        <v/>
      </c>
      <c r="AE68" s="85" t="str">
        <f>IF(A68="","",IF(OR(R68&lt;=0,R68&lt;p_CompraMin,N(I68)&lt;=0,N(X68)&lt;=0),0,IF($X$3="Sim",TRUNC(ROUND(MAX(0,(R68-p_CorrFixa)/(I68*X68*$X$6)),9),$X$4),TRUNC(ROUND(MAX(0,(R68-p_CorrFixa)/(I68*X68*$X$6)),9)/$X$5)*$X$5)))</f>
        <v/>
      </c>
      <c r="AF68" s="85" t="str">
        <f>IF(A68="","",IF(N(AE68)&gt;0,AE68*I68*X68*$X$6+p_CorrFixa,0))</f>
        <v/>
      </c>
      <c r="AG68" s="85" t="str">
        <f>IF(A68="","",IF(OR($Z$1&lt;=0,N(I68)&lt;=0,N(X68)&lt;=0,N(AC68)&lt;=0),0,IF($X$3="Sim",TRUNC(ROUND(MAX(0,($Z$1-IF(N(AE68)&gt;0,0,p_CorrFixa))/(I68*X68*$X$6)),9),$X$4),TRUNC(ROUND(MAX(0,($Z$1-IF(N(AE68)&gt;0,0,p_CorrFixa))/(I68*X68*$X$6)),9)/$X$5)*$X$5)))</f>
        <v/>
      </c>
      <c r="AH68" s="85" t="str">
        <f>IF(A68="","",IF(AND(N(AE68)=0,N(AG68)*(I68*X68*$X$6)+p_CorrFixa&lt;p_CompraMin),0,AG68))</f>
        <v/>
      </c>
      <c r="AI68" s="85" t="str">
        <f>IF(A68="","",IF(N(AH68)&gt;0,AC68,0))</f>
        <v/>
      </c>
      <c r="AJ68" s="85" t="str">
        <f>IF(A68="","",IF(AND(AI68&gt;0,AI68=$AI$6,COUNTIF($AI$9:AI68,AI68)=1),1,0))</f>
        <v/>
      </c>
    </row>
  </sheetData>
  <mergeCells count="12">
    <mergeCell ref="A4:B4"/>
    <mergeCell ref="K4:N4"/>
    <mergeCell ref="C3:F3"/>
    <mergeCell ref="G3:J3"/>
    <mergeCell ref="O3:S3"/>
    <mergeCell ref="K3:N3"/>
    <mergeCell ref="C4:F4"/>
    <mergeCell ref="G4:J4"/>
    <mergeCell ref="T3:U3"/>
    <mergeCell ref="A3:B3"/>
    <mergeCell ref="O4:S4"/>
    <mergeCell ref="T4:U4"/>
  </mergeCells>
  <conditionalFormatting sqref="T4">
    <cfRule type="expression" priority="1" dxfId="5">
      <formula>ABS(T4-1)&gt;0.0001</formula>
    </cfRule>
    <cfRule type="expression" priority="2" dxfId="6">
      <formula>ABS(T4-1)&lt;=0.0001</formula>
    </cfRule>
  </conditionalFormatting>
  <conditionalFormatting sqref="Q9:Q68">
    <cfRule type="cellIs" priority="3" operator="equal" dxfId="1">
      <formula>"BUY"</formula>
    </cfRule>
    <cfRule type="cellIs" priority="4" operator="equal" dxfId="2">
      <formula>"HOLD"</formula>
    </cfRule>
  </conditionalFormatting>
  <conditionalFormatting sqref="N9:N68">
    <cfRule type="expression" priority="5" dxfId="8">
      <formula>AND(ISNUMBER(N9),N9&lt;0)</formula>
    </cfRule>
    <cfRule type="expression" priority="6" dxfId="9">
      <formula>AND(ISNUMBER(N9),N9&gt;0)</formula>
    </cfRule>
  </conditionalFormatting>
  <conditionalFormatting sqref="J9:J68">
    <cfRule type="expression" priority="7" dxfId="3">
      <formula>OR(J9="Sem cotação",J9="Sem câmbio")</formula>
    </cfRule>
    <cfRule type="expression" priority="8" dxfId="9">
      <formula>J9="Auto"</formula>
    </cfRule>
  </conditionalFormatting>
  <conditionalFormatting sqref="S9:S68">
    <cfRule type="expression" priority="9" dxfId="4">
      <formula>AND(ISNUMBER(S9),S9&gt;0)</formula>
    </cfRule>
  </conditionalFormatting>
  <dataValidations count="5">
    <dataValidation sqref="E9:E68" showDropDown="0" showInputMessage="0" showErrorMessage="0" allowBlank="1" errorTitle="Moeda inválida" error="Moeda não cadastrada em Configurações &gt; Câmbio e Moedas." type="list">
      <formula1>='10 Configurações'!$B$21:$B$30</formula1>
    </dataValidation>
    <dataValidation sqref="C9:C68" showDropDown="0" showInputMessage="0" showErrorMessage="0" allowBlank="1" errorTitle="Valor fora da lista" error="Esse valor não está na lista da aba Auxiliar. Deseja manter?" type="list" errorStyle="warning">
      <formula1>='11 Auxiliar'!$I$5:$I$44</formula1>
    </dataValidation>
    <dataValidation sqref="G9:G6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F9:F6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H9:H6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U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U68"/>
  <sheetViews>
    <sheetView showGridLines="0" tabSelected="0" zoomScale="9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6" customWidth="1" style="1" min="1" max="1"/>
    <col width="24" customWidth="1" style="1" min="2" max="2"/>
    <col width="18" customWidth="1" style="1" min="3" max="3"/>
    <col width="13" customWidth="1" style="1" min="4" max="4"/>
    <col width="8" customWidth="1" style="1" min="5" max="5"/>
    <col width="15" customWidth="1" style="1" min="6" max="6"/>
    <col width="12" customWidth="1" style="1" min="7" max="7"/>
    <col width="15" customWidth="1" style="1" min="8" max="8"/>
    <col width="10" customWidth="1" style="1" min="9" max="9"/>
    <col width="10" customWidth="1" style="1" min="10" max="10"/>
    <col width="11" customWidth="1" style="1" min="11" max="11"/>
    <col width="7" customWidth="1" style="1" min="12" max="12"/>
    <col width="9" customWidth="1" style="1" min="13" max="13"/>
    <col width="14" customWidth="1" style="1" min="14" max="14"/>
    <col width="14" customWidth="1" style="1" min="15" max="15"/>
    <col width="3" customWidth="1" style="1" min="16" max="16"/>
    <col hidden="1" outlineLevel="1" width="16" customWidth="1" style="1" min="17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ATIVOS ILÍQUIDOS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inlineStr">
        <is>
          <t>◄ Dashboard</t>
        </is>
      </c>
      <c r="Q1" s="85" t="inlineStr">
        <is>
          <t>Moeda padrão da classe</t>
        </is>
      </c>
      <c r="R1" s="86" t="str">
        <f>INDEX('10 Configurações'!$D$35:$D$41,MATCH("Ativos Ilíquidos",'10 Configurações'!$B$35:$B$41,0))&amp;""</f>
        <v>BRL</v>
      </c>
    </row>
    <row r="2" ht="18" customHeight="1">
      <c r="A2" s="63" t="str">
        <f>"Moeda padrão: "&amp;$R$1&amp;"   ·   Valores atualizados manualmente (Valor Atual)   ·   Compra mínima: R$ "&amp;FIXED(p_CompraMin,2)</f>
        <v>Moeda padrão: BRL   ·   Valores atualizados manualmente (Valor Atual)   ·   Compra mínima: R$ 10.00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Q2" s="85" t="inlineStr">
        <is>
          <t>Sufixo Yahoo</t>
        </is>
      </c>
      <c r="R2" s="86" t="str">
        <f>INDEX('10 Configurações'!$E$35:$E$41,MATCH("Ativos Ilíquidos",'10 Configurações'!$B$35:$B$41,0))&amp;""</f>
        <v/>
      </c>
    </row>
    <row r="3" ht="16" customHeight="1">
      <c r="A3" s="11" t="inlineStr">
        <is>
          <t>VALOR DA CLASSE (R$)</t>
        </is>
      </c>
      <c r="B3" s="12" t="n"/>
      <c r="C3" s="11" t="inlineStr">
        <is>
          <t>Nº DE ATIVOS</t>
        </is>
      </c>
      <c r="D3" s="12" t="n"/>
      <c r="E3" s="13" t="inlineStr">
        <is>
          <t>APORTE DESTINADO (R$)</t>
        </is>
      </c>
      <c r="F3" s="14" t="n"/>
      <c r="G3" s="14" t="n"/>
      <c r="H3" s="13" t="inlineStr">
        <is>
          <t>COMPRA EFETIVA (R$)</t>
        </is>
      </c>
      <c r="I3" s="14" t="n"/>
      <c r="J3" s="14" t="n"/>
      <c r="K3" s="15" t="inlineStr">
        <is>
          <t>SOBRA DA CLASSE (R$)</t>
        </is>
      </c>
      <c r="L3" s="16" t="n"/>
      <c r="M3" s="16" t="n"/>
      <c r="N3" s="16" t="n"/>
      <c r="O3" s="15" t="inlineStr">
        <is>
          <t>SOMA DOS OBJETIVOS</t>
        </is>
      </c>
      <c r="Q3" s="85" t="inlineStr">
        <is>
          <t>Permite fração?</t>
        </is>
      </c>
      <c r="R3" s="86" t="str">
        <f>INDEX('10 Configurações'!$G$35:$G$41,MATCH("Ativos Ilíquidos",'10 Configurações'!$B$35:$B$41,0))&amp;""</f>
        <v>Não</v>
      </c>
    </row>
    <row r="4" ht="26" customHeight="1">
      <c r="A4" s="64">
        <f>$H$6</f>
        <v>0</v>
      </c>
      <c r="B4" s="1" t="n"/>
      <c r="C4" s="65">
        <f>SUMPRODUCT(--($A$9:$A$68&lt;&gt;""))</f>
        <v>0</v>
      </c>
      <c r="D4" s="1" t="n"/>
      <c r="E4" s="64">
        <f>$R$7</f>
        <v>0</v>
      </c>
      <c r="F4" s="1" t="n"/>
      <c r="G4" s="1" t="n"/>
      <c r="H4" s="64">
        <f>$O$6</f>
        <v>0</v>
      </c>
      <c r="I4" s="1" t="n"/>
      <c r="J4" s="1" t="n"/>
      <c r="K4" s="64">
        <f>$R$7-$O$6</f>
        <v>0</v>
      </c>
      <c r="L4" s="1" t="n"/>
      <c r="M4" s="1" t="n"/>
      <c r="N4" s="1" t="n"/>
      <c r="O4" s="66">
        <f>$G$6</f>
        <v>0</v>
      </c>
      <c r="Q4" s="85" t="inlineStr">
        <is>
          <t>Casas decimais</t>
        </is>
      </c>
      <c r="R4" s="86">
        <f>N(INDEX('10 Configurações'!$H$35:$H$41,MATCH("Ativos Ilíquidos",'10 Configurações'!$B$35:$B$41,0)))</f>
        <v>0</v>
      </c>
    </row>
    <row r="5" ht="14" customHeight="1">
      <c r="A5" s="87" t="inlineStr">
        <is>
          <t>■ Azul = entrada de dados (você só altera Quantidade, Objetivo e, se quiser, Cotação Manual)     ■ Demais células = fórmulas     ■ Depois de comprar: some o valor investido ao 'Valor Atual'</t>
        </is>
      </c>
      <c r="Q5" s="85" t="inlineStr">
        <is>
          <t>Lote efetivo</t>
        </is>
      </c>
      <c r="R5" s="86">
        <f>IF(INDEX('10 Configurações'!$I$35:$I$41,MATCH("Ativos Ilíquidos",'10 Configurações'!$B$35:$B$41,0))="Sim",MAX(1,N(INDEX('10 Configurações'!$J$35:$J$41,MATCH("Ativos Ilíquidos",'10 Configurações'!$B$35:$B$41,0)))),1)</f>
        <v>1</v>
      </c>
    </row>
    <row r="6" ht="24" customHeight="1">
      <c r="A6" s="88" t="inlineStr">
        <is>
          <t>TOTAL</t>
        </is>
      </c>
      <c r="B6" s="31" t="n"/>
      <c r="C6" s="31" t="n"/>
      <c r="D6" s="31" t="n"/>
      <c r="E6" s="31" t="n"/>
      <c r="F6" s="31" t="n"/>
      <c r="G6" s="55">
        <f>SUM($G$9:$G$68)</f>
        <v>0</v>
      </c>
      <c r="H6" s="75">
        <f>SUM($H$9:$H$68)</f>
        <v>0</v>
      </c>
      <c r="I6" s="55">
        <f>SUM($I$9:$I$68)</f>
        <v>0</v>
      </c>
      <c r="J6" s="31" t="n"/>
      <c r="K6" s="55">
        <f>SUM($K$9:$K$68)</f>
        <v>0</v>
      </c>
      <c r="L6" s="31" t="n"/>
      <c r="M6" s="31" t="n"/>
      <c r="N6" s="75">
        <f>SUM($N$9:$N$68)</f>
        <v>0</v>
      </c>
      <c r="O6" s="75">
        <f>SUM($O$9:$O$68)</f>
        <v>0</v>
      </c>
      <c r="Q6" s="85" t="inlineStr">
        <is>
          <t>Fator de custo (1 + custos)</t>
        </is>
      </c>
      <c r="R6" s="86">
        <f>1+N(INDEX('10 Configurações'!$K$35:$K$41,MATCH("Ativos Ilíquidos",'10 Configurações'!$B$35:$B$41,0)))</f>
        <v>1</v>
      </c>
      <c r="T6" s="89">
        <f>SUM($T$9:$T$68)</f>
        <v>0</v>
      </c>
      <c r="U6" s="89">
        <f>SUM($U$9:$U$68)</f>
        <v>0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0" t="n"/>
      <c r="F7" s="91" t="inlineStr">
        <is>
          <t>POSIÇÃO E OBJETIVO</t>
        </is>
      </c>
      <c r="G7" s="91" t="n"/>
      <c r="H7" s="93" t="inlineStr">
        <is>
          <t>VALOR</t>
        </is>
      </c>
      <c r="I7" s="93" t="n"/>
      <c r="J7" s="94" t="inlineStr">
        <is>
          <t>REBALANCEAMENTO</t>
        </is>
      </c>
      <c r="K7" s="94" t="n"/>
      <c r="L7" s="94" t="n"/>
      <c r="M7" s="94" t="n"/>
      <c r="N7" s="94" t="n"/>
      <c r="O7" s="94" t="n"/>
      <c r="Q7" s="85" t="inlineStr">
        <is>
          <t>Aporte destinado à classe (R$)</t>
        </is>
      </c>
      <c r="R7" s="86">
        <f>'02 Macro Alocação'!$M$15</f>
        <v>0</v>
      </c>
    </row>
    <row r="8" ht="34" customHeight="1">
      <c r="A8" s="68" t="inlineStr">
        <is>
          <t>Ativo</t>
        </is>
      </c>
      <c r="B8" s="68" t="inlineStr">
        <is>
          <t>Descrição / Localização</t>
        </is>
      </c>
      <c r="C8" s="68" t="inlineStr">
        <is>
          <t>Categoria</t>
        </is>
      </c>
      <c r="D8" s="68" t="inlineStr">
        <is>
          <t>Data de Aquisição</t>
        </is>
      </c>
      <c r="E8" s="68" t="inlineStr">
        <is>
          <t>Moeda</t>
        </is>
      </c>
      <c r="F8" s="68" t="inlineStr">
        <is>
          <t>Valor Atual (Moeda)</t>
        </is>
      </c>
      <c r="G8" s="68" t="inlineStr">
        <is>
          <t>Objetivo (% da classe)</t>
        </is>
      </c>
      <c r="H8" s="67" t="inlineStr">
        <is>
          <t>Valor Atual (R$)</t>
        </is>
      </c>
      <c r="I8" s="67" t="inlineStr">
        <is>
          <t>Part. na Classe</t>
        </is>
      </c>
      <c r="J8" s="67" t="inlineStr">
        <is>
          <t>Diferença</t>
        </is>
      </c>
      <c r="K8" s="67" t="inlineStr">
        <is>
          <t>Rebalance Score</t>
        </is>
      </c>
      <c r="L8" s="67" t="inlineStr">
        <is>
          <t>Prior.</t>
        </is>
      </c>
      <c r="M8" s="67" t="inlineStr">
        <is>
          <t>Ação</t>
        </is>
      </c>
      <c r="N8" s="67" t="inlineStr">
        <is>
          <t>Valor Sugerido (R$)</t>
        </is>
      </c>
      <c r="O8" s="67" t="inlineStr">
        <is>
          <t>Valor Efetivo (R$)</t>
        </is>
      </c>
      <c r="Q8" s="95" t="inlineStr">
        <is>
          <t>Moeda efetiva</t>
        </is>
      </c>
      <c r="R8" s="95" t="inlineStr">
        <is>
          <t>Câmbio (R$)</t>
        </is>
      </c>
      <c r="S8" s="95" t="inlineStr">
        <is>
          <t>Déficit (R$)</t>
        </is>
      </c>
      <c r="T8" s="95" t="inlineStr">
        <is>
          <t>Déficit elegível</t>
        </is>
      </c>
      <c r="U8" s="95" t="inlineStr">
        <is>
          <t>Déficit final</t>
        </is>
      </c>
    </row>
    <row r="9">
      <c r="A9" s="96" t="n"/>
      <c r="B9" s="96" t="n"/>
      <c r="C9" s="96" t="n"/>
      <c r="D9" s="112" t="n"/>
      <c r="E9" s="97" t="n"/>
      <c r="F9" s="113" t="n"/>
      <c r="G9" s="99" t="n"/>
      <c r="H9" s="70" t="str">
        <f>IF(A9="","",N(F9)*R9)</f>
        <v/>
      </c>
      <c r="I9" s="30" t="str">
        <f>IF(A9="","",IF($H$6&gt;0,H9/$H$6,0))</f>
        <v/>
      </c>
      <c r="J9" s="72" t="str">
        <f>IF(A9="","",N(G9)-I9)</f>
        <v/>
      </c>
      <c r="K9" s="30" t="str">
        <f>IF(A9="","",IF($T$6&gt;0,T9/$T$6,0))</f>
        <v/>
      </c>
      <c r="L9" s="74" t="str">
        <f>IF(A9="","",IF(T9&lt;=0,"",COUNTIF($T$9:$T$68,"&gt;"&amp;T9)+COUNTIF($T$9:T9,T9)))</f>
        <v/>
      </c>
      <c r="M9" s="73" t="str">
        <f>IF(A9="","",IF(N9&gt;0,"BUY","HOLD"))</f>
        <v/>
      </c>
      <c r="N9" s="70" t="str">
        <f>IF(A9="","",IF($R$7&lt;=0,0,IF($U$6&gt;0,$R$7*U9/$U$6,IF($G$6&gt;0,$R$7*N(G9)/$G$6,0))))</f>
        <v/>
      </c>
      <c r="O9" s="70" t="str">
        <f>IF(A9="","",IF(AND(N9&gt;0,N9&gt;=p_CompraMin),N9,0))</f>
        <v/>
      </c>
      <c r="Q9" s="85" t="str">
        <f>IF(A9="","",IF(E9="",$R$1,E9))</f>
        <v/>
      </c>
      <c r="R9" s="85" t="str">
        <f>IF(A9="","",IFERROR(INDEX(moeda_fx,MATCH(Q9,moeda_cod,0)),0))</f>
        <v/>
      </c>
      <c r="S9" s="85" t="str">
        <f>IF(A9="","",ROUND(MAX(0,N(G9)*($H$6+$R$7)-H9),2))</f>
        <v/>
      </c>
      <c r="T9" s="85" t="str">
        <f>IF(A9="","",IF(AND(J9&gt;0,J9&gt;=p_DifMin),S9,0))</f>
        <v/>
      </c>
      <c r="U9" s="85" t="str">
        <f>IF(A9="","",IF(AND(T9&gt;0,N(L9)&lt;=p_MaxAtivos),T9,0))</f>
        <v/>
      </c>
    </row>
    <row r="10">
      <c r="A10" s="96" t="n"/>
      <c r="B10" s="96" t="n"/>
      <c r="C10" s="96" t="n"/>
      <c r="D10" s="112" t="n"/>
      <c r="E10" s="97" t="n"/>
      <c r="F10" s="113" t="n"/>
      <c r="G10" s="99" t="n"/>
      <c r="H10" s="107" t="str">
        <f>IF(A10="","",N(F10)*R10)</f>
        <v/>
      </c>
      <c r="I10" s="108" t="str">
        <f>IF(A10="","",IF($H$6&gt;0,H10/$H$6,0))</f>
        <v/>
      </c>
      <c r="J10" s="109" t="str">
        <f>IF(A10="","",N(G10)-I10)</f>
        <v/>
      </c>
      <c r="K10" s="108" t="str">
        <f>IF(A10="","",IF($T$6&gt;0,T10/$T$6,0))</f>
        <v/>
      </c>
      <c r="L10" s="110" t="str">
        <f>IF(A10="","",IF(T10&lt;=0,"",COUNTIF($T$9:$T$68,"&gt;"&amp;T10)+COUNTIF($T$9:T10,T10)))</f>
        <v/>
      </c>
      <c r="M10" s="105" t="str">
        <f>IF(A10="","",IF(N10&gt;0,"BUY","HOLD"))</f>
        <v/>
      </c>
      <c r="N10" s="107" t="str">
        <f>IF(A10="","",IF($R$7&lt;=0,0,IF($U$6&gt;0,$R$7*U10/$U$6,IF($G$6&gt;0,$R$7*N(G10)/$G$6,0))))</f>
        <v/>
      </c>
      <c r="O10" s="107" t="str">
        <f>IF(A10="","",IF(AND(N10&gt;0,N10&gt;=p_CompraMin),N10,0))</f>
        <v/>
      </c>
      <c r="Q10" s="85" t="str">
        <f>IF(A10="","",IF(E10="",$R$1,E10))</f>
        <v/>
      </c>
      <c r="R10" s="85" t="str">
        <f>IF(A10="","",IFERROR(INDEX(moeda_fx,MATCH(Q10,moeda_cod,0)),0))</f>
        <v/>
      </c>
      <c r="S10" s="85" t="str">
        <f>IF(A10="","",ROUND(MAX(0,N(G10)*($H$6+$R$7)-H10),2))</f>
        <v/>
      </c>
      <c r="T10" s="85" t="str">
        <f>IF(A10="","",IF(AND(J10&gt;0,J10&gt;=p_DifMin),S10,0))</f>
        <v/>
      </c>
      <c r="U10" s="85" t="str">
        <f>IF(A10="","",IF(AND(T10&gt;0,N(L10)&lt;=p_MaxAtivos),T10,0))</f>
        <v/>
      </c>
    </row>
    <row r="11">
      <c r="A11" s="96" t="n"/>
      <c r="B11" s="96" t="n"/>
      <c r="C11" s="96" t="n"/>
      <c r="D11" s="112" t="n"/>
      <c r="E11" s="97" t="n"/>
      <c r="F11" s="113" t="n"/>
      <c r="G11" s="99" t="n"/>
      <c r="H11" s="70" t="str">
        <f>IF(A11="","",N(F11)*R11)</f>
        <v/>
      </c>
      <c r="I11" s="30" t="str">
        <f>IF(A11="","",IF($H$6&gt;0,H11/$H$6,0))</f>
        <v/>
      </c>
      <c r="J11" s="72" t="str">
        <f>IF(A11="","",N(G11)-I11)</f>
        <v/>
      </c>
      <c r="K11" s="30" t="str">
        <f>IF(A11="","",IF($T$6&gt;0,T11/$T$6,0))</f>
        <v/>
      </c>
      <c r="L11" s="74" t="str">
        <f>IF(A11="","",IF(T11&lt;=0,"",COUNTIF($T$9:$T$68,"&gt;"&amp;T11)+COUNTIF($T$9:T11,T11)))</f>
        <v/>
      </c>
      <c r="M11" s="73" t="str">
        <f>IF(A11="","",IF(N11&gt;0,"BUY","HOLD"))</f>
        <v/>
      </c>
      <c r="N11" s="70" t="str">
        <f>IF(A11="","",IF($R$7&lt;=0,0,IF($U$6&gt;0,$R$7*U11/$U$6,IF($G$6&gt;0,$R$7*N(G11)/$G$6,0))))</f>
        <v/>
      </c>
      <c r="O11" s="70" t="str">
        <f>IF(A11="","",IF(AND(N11&gt;0,N11&gt;=p_CompraMin),N11,0))</f>
        <v/>
      </c>
      <c r="Q11" s="85" t="str">
        <f>IF(A11="","",IF(E11="",$R$1,E11))</f>
        <v/>
      </c>
      <c r="R11" s="85" t="str">
        <f>IF(A11="","",IFERROR(INDEX(moeda_fx,MATCH(Q11,moeda_cod,0)),0))</f>
        <v/>
      </c>
      <c r="S11" s="85" t="str">
        <f>IF(A11="","",ROUND(MAX(0,N(G11)*($H$6+$R$7)-H11),2))</f>
        <v/>
      </c>
      <c r="T11" s="85" t="str">
        <f>IF(A11="","",IF(AND(J11&gt;0,J11&gt;=p_DifMin),S11,0))</f>
        <v/>
      </c>
      <c r="U11" s="85" t="str">
        <f>IF(A11="","",IF(AND(T11&gt;0,N(L11)&lt;=p_MaxAtivos),T11,0))</f>
        <v/>
      </c>
    </row>
    <row r="12">
      <c r="A12" s="96" t="n"/>
      <c r="B12" s="96" t="n"/>
      <c r="C12" s="96" t="n"/>
      <c r="D12" s="112" t="n"/>
      <c r="E12" s="97" t="n"/>
      <c r="F12" s="113" t="n"/>
      <c r="G12" s="99" t="n"/>
      <c r="H12" s="107" t="str">
        <f>IF(A12="","",N(F12)*R12)</f>
        <v/>
      </c>
      <c r="I12" s="108" t="str">
        <f>IF(A12="","",IF($H$6&gt;0,H12/$H$6,0))</f>
        <v/>
      </c>
      <c r="J12" s="109" t="str">
        <f>IF(A12="","",N(G12)-I12)</f>
        <v/>
      </c>
      <c r="K12" s="108" t="str">
        <f>IF(A12="","",IF($T$6&gt;0,T12/$T$6,0))</f>
        <v/>
      </c>
      <c r="L12" s="110" t="str">
        <f>IF(A12="","",IF(T12&lt;=0,"",COUNTIF($T$9:$T$68,"&gt;"&amp;T12)+COUNTIF($T$9:T12,T12)))</f>
        <v/>
      </c>
      <c r="M12" s="105" t="str">
        <f>IF(A12="","",IF(N12&gt;0,"BUY","HOLD"))</f>
        <v/>
      </c>
      <c r="N12" s="107" t="str">
        <f>IF(A12="","",IF($R$7&lt;=0,0,IF($U$6&gt;0,$R$7*U12/$U$6,IF($G$6&gt;0,$R$7*N(G12)/$G$6,0))))</f>
        <v/>
      </c>
      <c r="O12" s="107" t="str">
        <f>IF(A12="","",IF(AND(N12&gt;0,N12&gt;=p_CompraMin),N12,0))</f>
        <v/>
      </c>
      <c r="Q12" s="85" t="str">
        <f>IF(A12="","",IF(E12="",$R$1,E12))</f>
        <v/>
      </c>
      <c r="R12" s="85" t="str">
        <f>IF(A12="","",IFERROR(INDEX(moeda_fx,MATCH(Q12,moeda_cod,0)),0))</f>
        <v/>
      </c>
      <c r="S12" s="85" t="str">
        <f>IF(A12="","",ROUND(MAX(0,N(G12)*($H$6+$R$7)-H12),2))</f>
        <v/>
      </c>
      <c r="T12" s="85" t="str">
        <f>IF(A12="","",IF(AND(J12&gt;0,J12&gt;=p_DifMin),S12,0))</f>
        <v/>
      </c>
      <c r="U12" s="85" t="str">
        <f>IF(A12="","",IF(AND(T12&gt;0,N(L12)&lt;=p_MaxAtivos),T12,0))</f>
        <v/>
      </c>
    </row>
    <row r="13">
      <c r="A13" s="96" t="n"/>
      <c r="B13" s="96" t="n"/>
      <c r="C13" s="96" t="n"/>
      <c r="D13" s="112" t="n"/>
      <c r="E13" s="97" t="n"/>
      <c r="F13" s="113" t="n"/>
      <c r="G13" s="99" t="n"/>
      <c r="H13" s="70" t="str">
        <f>IF(A13="","",N(F13)*R13)</f>
        <v/>
      </c>
      <c r="I13" s="30" t="str">
        <f>IF(A13="","",IF($H$6&gt;0,H13/$H$6,0))</f>
        <v/>
      </c>
      <c r="J13" s="72" t="str">
        <f>IF(A13="","",N(G13)-I13)</f>
        <v/>
      </c>
      <c r="K13" s="30" t="str">
        <f>IF(A13="","",IF($T$6&gt;0,T13/$T$6,0))</f>
        <v/>
      </c>
      <c r="L13" s="74" t="str">
        <f>IF(A13="","",IF(T13&lt;=0,"",COUNTIF($T$9:$T$68,"&gt;"&amp;T13)+COUNTIF($T$9:T13,T13)))</f>
        <v/>
      </c>
      <c r="M13" s="73" t="str">
        <f>IF(A13="","",IF(N13&gt;0,"BUY","HOLD"))</f>
        <v/>
      </c>
      <c r="N13" s="70" t="str">
        <f>IF(A13="","",IF($R$7&lt;=0,0,IF($U$6&gt;0,$R$7*U13/$U$6,IF($G$6&gt;0,$R$7*N(G13)/$G$6,0))))</f>
        <v/>
      </c>
      <c r="O13" s="70" t="str">
        <f>IF(A13="","",IF(AND(N13&gt;0,N13&gt;=p_CompraMin),N13,0))</f>
        <v/>
      </c>
      <c r="Q13" s="85" t="str">
        <f>IF(A13="","",IF(E13="",$R$1,E13))</f>
        <v/>
      </c>
      <c r="R13" s="85" t="str">
        <f>IF(A13="","",IFERROR(INDEX(moeda_fx,MATCH(Q13,moeda_cod,0)),0))</f>
        <v/>
      </c>
      <c r="S13" s="85" t="str">
        <f>IF(A13="","",ROUND(MAX(0,N(G13)*($H$6+$R$7)-H13),2))</f>
        <v/>
      </c>
      <c r="T13" s="85" t="str">
        <f>IF(A13="","",IF(AND(J13&gt;0,J13&gt;=p_DifMin),S13,0))</f>
        <v/>
      </c>
      <c r="U13" s="85" t="str">
        <f>IF(A13="","",IF(AND(T13&gt;0,N(L13)&lt;=p_MaxAtivos),T13,0))</f>
        <v/>
      </c>
    </row>
    <row r="14">
      <c r="A14" s="96" t="n"/>
      <c r="B14" s="96" t="n"/>
      <c r="C14" s="96" t="n"/>
      <c r="D14" s="112" t="n"/>
      <c r="E14" s="97" t="n"/>
      <c r="F14" s="113" t="n"/>
      <c r="G14" s="99" t="n"/>
      <c r="H14" s="107" t="str">
        <f>IF(A14="","",N(F14)*R14)</f>
        <v/>
      </c>
      <c r="I14" s="108" t="str">
        <f>IF(A14="","",IF($H$6&gt;0,H14/$H$6,0))</f>
        <v/>
      </c>
      <c r="J14" s="109" t="str">
        <f>IF(A14="","",N(G14)-I14)</f>
        <v/>
      </c>
      <c r="K14" s="108" t="str">
        <f>IF(A14="","",IF($T$6&gt;0,T14/$T$6,0))</f>
        <v/>
      </c>
      <c r="L14" s="110" t="str">
        <f>IF(A14="","",IF(T14&lt;=0,"",COUNTIF($T$9:$T$68,"&gt;"&amp;T14)+COUNTIF($T$9:T14,T14)))</f>
        <v/>
      </c>
      <c r="M14" s="105" t="str">
        <f>IF(A14="","",IF(N14&gt;0,"BUY","HOLD"))</f>
        <v/>
      </c>
      <c r="N14" s="107" t="str">
        <f>IF(A14="","",IF($R$7&lt;=0,0,IF($U$6&gt;0,$R$7*U14/$U$6,IF($G$6&gt;0,$R$7*N(G14)/$G$6,0))))</f>
        <v/>
      </c>
      <c r="O14" s="107" t="str">
        <f>IF(A14="","",IF(AND(N14&gt;0,N14&gt;=p_CompraMin),N14,0))</f>
        <v/>
      </c>
      <c r="Q14" s="85" t="str">
        <f>IF(A14="","",IF(E14="",$R$1,E14))</f>
        <v/>
      </c>
      <c r="R14" s="85" t="str">
        <f>IF(A14="","",IFERROR(INDEX(moeda_fx,MATCH(Q14,moeda_cod,0)),0))</f>
        <v/>
      </c>
      <c r="S14" s="85" t="str">
        <f>IF(A14="","",ROUND(MAX(0,N(G14)*($H$6+$R$7)-H14),2))</f>
        <v/>
      </c>
      <c r="T14" s="85" t="str">
        <f>IF(A14="","",IF(AND(J14&gt;0,J14&gt;=p_DifMin),S14,0))</f>
        <v/>
      </c>
      <c r="U14" s="85" t="str">
        <f>IF(A14="","",IF(AND(T14&gt;0,N(L14)&lt;=p_MaxAtivos),T14,0))</f>
        <v/>
      </c>
    </row>
    <row r="15">
      <c r="A15" s="96" t="n"/>
      <c r="B15" s="96" t="n"/>
      <c r="C15" s="96" t="n"/>
      <c r="D15" s="112" t="n"/>
      <c r="E15" s="97" t="n"/>
      <c r="F15" s="113" t="n"/>
      <c r="G15" s="99" t="n"/>
      <c r="H15" s="70" t="str">
        <f>IF(A15="","",N(F15)*R15)</f>
        <v/>
      </c>
      <c r="I15" s="30" t="str">
        <f>IF(A15="","",IF($H$6&gt;0,H15/$H$6,0))</f>
        <v/>
      </c>
      <c r="J15" s="72" t="str">
        <f>IF(A15="","",N(G15)-I15)</f>
        <v/>
      </c>
      <c r="K15" s="30" t="str">
        <f>IF(A15="","",IF($T$6&gt;0,T15/$T$6,0))</f>
        <v/>
      </c>
      <c r="L15" s="74" t="str">
        <f>IF(A15="","",IF(T15&lt;=0,"",COUNTIF($T$9:$T$68,"&gt;"&amp;T15)+COUNTIF($T$9:T15,T15)))</f>
        <v/>
      </c>
      <c r="M15" s="73" t="str">
        <f>IF(A15="","",IF(N15&gt;0,"BUY","HOLD"))</f>
        <v/>
      </c>
      <c r="N15" s="70" t="str">
        <f>IF(A15="","",IF($R$7&lt;=0,0,IF($U$6&gt;0,$R$7*U15/$U$6,IF($G$6&gt;0,$R$7*N(G15)/$G$6,0))))</f>
        <v/>
      </c>
      <c r="O15" s="70" t="str">
        <f>IF(A15="","",IF(AND(N15&gt;0,N15&gt;=p_CompraMin),N15,0))</f>
        <v/>
      </c>
      <c r="Q15" s="85" t="str">
        <f>IF(A15="","",IF(E15="",$R$1,E15))</f>
        <v/>
      </c>
      <c r="R15" s="85" t="str">
        <f>IF(A15="","",IFERROR(INDEX(moeda_fx,MATCH(Q15,moeda_cod,0)),0))</f>
        <v/>
      </c>
      <c r="S15" s="85" t="str">
        <f>IF(A15="","",ROUND(MAX(0,N(G15)*($H$6+$R$7)-H15),2))</f>
        <v/>
      </c>
      <c r="T15" s="85" t="str">
        <f>IF(A15="","",IF(AND(J15&gt;0,J15&gt;=p_DifMin),S15,0))</f>
        <v/>
      </c>
      <c r="U15" s="85" t="str">
        <f>IF(A15="","",IF(AND(T15&gt;0,N(L15)&lt;=p_MaxAtivos),T15,0))</f>
        <v/>
      </c>
    </row>
    <row r="16">
      <c r="A16" s="96" t="n"/>
      <c r="B16" s="96" t="n"/>
      <c r="C16" s="96" t="n"/>
      <c r="D16" s="112" t="n"/>
      <c r="E16" s="97" t="n"/>
      <c r="F16" s="113" t="n"/>
      <c r="G16" s="99" t="n"/>
      <c r="H16" s="107" t="str">
        <f>IF(A16="","",N(F16)*R16)</f>
        <v/>
      </c>
      <c r="I16" s="108" t="str">
        <f>IF(A16="","",IF($H$6&gt;0,H16/$H$6,0))</f>
        <v/>
      </c>
      <c r="J16" s="109" t="str">
        <f>IF(A16="","",N(G16)-I16)</f>
        <v/>
      </c>
      <c r="K16" s="108" t="str">
        <f>IF(A16="","",IF($T$6&gt;0,T16/$T$6,0))</f>
        <v/>
      </c>
      <c r="L16" s="110" t="str">
        <f>IF(A16="","",IF(T16&lt;=0,"",COUNTIF($T$9:$T$68,"&gt;"&amp;T16)+COUNTIF($T$9:T16,T16)))</f>
        <v/>
      </c>
      <c r="M16" s="105" t="str">
        <f>IF(A16="","",IF(N16&gt;0,"BUY","HOLD"))</f>
        <v/>
      </c>
      <c r="N16" s="107" t="str">
        <f>IF(A16="","",IF($R$7&lt;=0,0,IF($U$6&gt;0,$R$7*U16/$U$6,IF($G$6&gt;0,$R$7*N(G16)/$G$6,0))))</f>
        <v/>
      </c>
      <c r="O16" s="107" t="str">
        <f>IF(A16="","",IF(AND(N16&gt;0,N16&gt;=p_CompraMin),N16,0))</f>
        <v/>
      </c>
      <c r="Q16" s="85" t="str">
        <f>IF(A16="","",IF(E16="",$R$1,E16))</f>
        <v/>
      </c>
      <c r="R16" s="85" t="str">
        <f>IF(A16="","",IFERROR(INDEX(moeda_fx,MATCH(Q16,moeda_cod,0)),0))</f>
        <v/>
      </c>
      <c r="S16" s="85" t="str">
        <f>IF(A16="","",ROUND(MAX(0,N(G16)*($H$6+$R$7)-H16),2))</f>
        <v/>
      </c>
      <c r="T16" s="85" t="str">
        <f>IF(A16="","",IF(AND(J16&gt;0,J16&gt;=p_DifMin),S16,0))</f>
        <v/>
      </c>
      <c r="U16" s="85" t="str">
        <f>IF(A16="","",IF(AND(T16&gt;0,N(L16)&lt;=p_MaxAtivos),T16,0))</f>
        <v/>
      </c>
    </row>
    <row r="17">
      <c r="A17" s="96" t="n"/>
      <c r="B17" s="96" t="n"/>
      <c r="C17" s="96" t="n"/>
      <c r="D17" s="112" t="n"/>
      <c r="E17" s="97" t="n"/>
      <c r="F17" s="113" t="n"/>
      <c r="G17" s="99" t="n"/>
      <c r="H17" s="70" t="str">
        <f>IF(A17="","",N(F17)*R17)</f>
        <v/>
      </c>
      <c r="I17" s="30" t="str">
        <f>IF(A17="","",IF($H$6&gt;0,H17/$H$6,0))</f>
        <v/>
      </c>
      <c r="J17" s="72" t="str">
        <f>IF(A17="","",N(G17)-I17)</f>
        <v/>
      </c>
      <c r="K17" s="30" t="str">
        <f>IF(A17="","",IF($T$6&gt;0,T17/$T$6,0))</f>
        <v/>
      </c>
      <c r="L17" s="74" t="str">
        <f>IF(A17="","",IF(T17&lt;=0,"",COUNTIF($T$9:$T$68,"&gt;"&amp;T17)+COUNTIF($T$9:T17,T17)))</f>
        <v/>
      </c>
      <c r="M17" s="73" t="str">
        <f>IF(A17="","",IF(N17&gt;0,"BUY","HOLD"))</f>
        <v/>
      </c>
      <c r="N17" s="70" t="str">
        <f>IF(A17="","",IF($R$7&lt;=0,0,IF($U$6&gt;0,$R$7*U17/$U$6,IF($G$6&gt;0,$R$7*N(G17)/$G$6,0))))</f>
        <v/>
      </c>
      <c r="O17" s="70" t="str">
        <f>IF(A17="","",IF(AND(N17&gt;0,N17&gt;=p_CompraMin),N17,0))</f>
        <v/>
      </c>
      <c r="Q17" s="85" t="str">
        <f>IF(A17="","",IF(E17="",$R$1,E17))</f>
        <v/>
      </c>
      <c r="R17" s="85" t="str">
        <f>IF(A17="","",IFERROR(INDEX(moeda_fx,MATCH(Q17,moeda_cod,0)),0))</f>
        <v/>
      </c>
      <c r="S17" s="85" t="str">
        <f>IF(A17="","",ROUND(MAX(0,N(G17)*($H$6+$R$7)-H17),2))</f>
        <v/>
      </c>
      <c r="T17" s="85" t="str">
        <f>IF(A17="","",IF(AND(J17&gt;0,J17&gt;=p_DifMin),S17,0))</f>
        <v/>
      </c>
      <c r="U17" s="85" t="str">
        <f>IF(A17="","",IF(AND(T17&gt;0,N(L17)&lt;=p_MaxAtivos),T17,0))</f>
        <v/>
      </c>
    </row>
    <row r="18">
      <c r="A18" s="96" t="n"/>
      <c r="B18" s="96" t="n"/>
      <c r="C18" s="96" t="n"/>
      <c r="D18" s="112" t="n"/>
      <c r="E18" s="97" t="n"/>
      <c r="F18" s="113" t="n"/>
      <c r="G18" s="99" t="n"/>
      <c r="H18" s="107" t="str">
        <f>IF(A18="","",N(F18)*R18)</f>
        <v/>
      </c>
      <c r="I18" s="108" t="str">
        <f>IF(A18="","",IF($H$6&gt;0,H18/$H$6,0))</f>
        <v/>
      </c>
      <c r="J18" s="109" t="str">
        <f>IF(A18="","",N(G18)-I18)</f>
        <v/>
      </c>
      <c r="K18" s="108" t="str">
        <f>IF(A18="","",IF($T$6&gt;0,T18/$T$6,0))</f>
        <v/>
      </c>
      <c r="L18" s="110" t="str">
        <f>IF(A18="","",IF(T18&lt;=0,"",COUNTIF($T$9:$T$68,"&gt;"&amp;T18)+COUNTIF($T$9:T18,T18)))</f>
        <v/>
      </c>
      <c r="M18" s="105" t="str">
        <f>IF(A18="","",IF(N18&gt;0,"BUY","HOLD"))</f>
        <v/>
      </c>
      <c r="N18" s="107" t="str">
        <f>IF(A18="","",IF($R$7&lt;=0,0,IF($U$6&gt;0,$R$7*U18/$U$6,IF($G$6&gt;0,$R$7*N(G18)/$G$6,0))))</f>
        <v/>
      </c>
      <c r="O18" s="107" t="str">
        <f>IF(A18="","",IF(AND(N18&gt;0,N18&gt;=p_CompraMin),N18,0))</f>
        <v/>
      </c>
      <c r="Q18" s="85" t="str">
        <f>IF(A18="","",IF(E18="",$R$1,E18))</f>
        <v/>
      </c>
      <c r="R18" s="85" t="str">
        <f>IF(A18="","",IFERROR(INDEX(moeda_fx,MATCH(Q18,moeda_cod,0)),0))</f>
        <v/>
      </c>
      <c r="S18" s="85" t="str">
        <f>IF(A18="","",ROUND(MAX(0,N(G18)*($H$6+$R$7)-H18),2))</f>
        <v/>
      </c>
      <c r="T18" s="85" t="str">
        <f>IF(A18="","",IF(AND(J18&gt;0,J18&gt;=p_DifMin),S18,0))</f>
        <v/>
      </c>
      <c r="U18" s="85" t="str">
        <f>IF(A18="","",IF(AND(T18&gt;0,N(L18)&lt;=p_MaxAtivos),T18,0))</f>
        <v/>
      </c>
    </row>
    <row r="19">
      <c r="A19" s="96" t="n"/>
      <c r="B19" s="96" t="n"/>
      <c r="C19" s="96" t="n"/>
      <c r="D19" s="112" t="n"/>
      <c r="E19" s="97" t="n"/>
      <c r="F19" s="113" t="n"/>
      <c r="G19" s="99" t="n"/>
      <c r="H19" s="70" t="str">
        <f>IF(A19="","",N(F19)*R19)</f>
        <v/>
      </c>
      <c r="I19" s="30" t="str">
        <f>IF(A19="","",IF($H$6&gt;0,H19/$H$6,0))</f>
        <v/>
      </c>
      <c r="J19" s="72" t="str">
        <f>IF(A19="","",N(G19)-I19)</f>
        <v/>
      </c>
      <c r="K19" s="30" t="str">
        <f>IF(A19="","",IF($T$6&gt;0,T19/$T$6,0))</f>
        <v/>
      </c>
      <c r="L19" s="74" t="str">
        <f>IF(A19="","",IF(T19&lt;=0,"",COUNTIF($T$9:$T$68,"&gt;"&amp;T19)+COUNTIF($T$9:T19,T19)))</f>
        <v/>
      </c>
      <c r="M19" s="73" t="str">
        <f>IF(A19="","",IF(N19&gt;0,"BUY","HOLD"))</f>
        <v/>
      </c>
      <c r="N19" s="70" t="str">
        <f>IF(A19="","",IF($R$7&lt;=0,0,IF($U$6&gt;0,$R$7*U19/$U$6,IF($G$6&gt;0,$R$7*N(G19)/$G$6,0))))</f>
        <v/>
      </c>
      <c r="O19" s="70" t="str">
        <f>IF(A19="","",IF(AND(N19&gt;0,N19&gt;=p_CompraMin),N19,0))</f>
        <v/>
      </c>
      <c r="Q19" s="85" t="str">
        <f>IF(A19="","",IF(E19="",$R$1,E19))</f>
        <v/>
      </c>
      <c r="R19" s="85" t="str">
        <f>IF(A19="","",IFERROR(INDEX(moeda_fx,MATCH(Q19,moeda_cod,0)),0))</f>
        <v/>
      </c>
      <c r="S19" s="85" t="str">
        <f>IF(A19="","",ROUND(MAX(0,N(G19)*($H$6+$R$7)-H19),2))</f>
        <v/>
      </c>
      <c r="T19" s="85" t="str">
        <f>IF(A19="","",IF(AND(J19&gt;0,J19&gt;=p_DifMin),S19,0))</f>
        <v/>
      </c>
      <c r="U19" s="85" t="str">
        <f>IF(A19="","",IF(AND(T19&gt;0,N(L19)&lt;=p_MaxAtivos),T19,0))</f>
        <v/>
      </c>
    </row>
    <row r="20">
      <c r="A20" s="96" t="n"/>
      <c r="B20" s="96" t="n"/>
      <c r="C20" s="96" t="n"/>
      <c r="D20" s="112" t="n"/>
      <c r="E20" s="97" t="n"/>
      <c r="F20" s="113" t="n"/>
      <c r="G20" s="99" t="n"/>
      <c r="H20" s="107" t="str">
        <f>IF(A20="","",N(F20)*R20)</f>
        <v/>
      </c>
      <c r="I20" s="108" t="str">
        <f>IF(A20="","",IF($H$6&gt;0,H20/$H$6,0))</f>
        <v/>
      </c>
      <c r="J20" s="109" t="str">
        <f>IF(A20="","",N(G20)-I20)</f>
        <v/>
      </c>
      <c r="K20" s="108" t="str">
        <f>IF(A20="","",IF($T$6&gt;0,T20/$T$6,0))</f>
        <v/>
      </c>
      <c r="L20" s="110" t="str">
        <f>IF(A20="","",IF(T20&lt;=0,"",COUNTIF($T$9:$T$68,"&gt;"&amp;T20)+COUNTIF($T$9:T20,T20)))</f>
        <v/>
      </c>
      <c r="M20" s="105" t="str">
        <f>IF(A20="","",IF(N20&gt;0,"BUY","HOLD"))</f>
        <v/>
      </c>
      <c r="N20" s="107" t="str">
        <f>IF(A20="","",IF($R$7&lt;=0,0,IF($U$6&gt;0,$R$7*U20/$U$6,IF($G$6&gt;0,$R$7*N(G20)/$G$6,0))))</f>
        <v/>
      </c>
      <c r="O20" s="107" t="str">
        <f>IF(A20="","",IF(AND(N20&gt;0,N20&gt;=p_CompraMin),N20,0))</f>
        <v/>
      </c>
      <c r="Q20" s="85" t="str">
        <f>IF(A20="","",IF(E20="",$R$1,E20))</f>
        <v/>
      </c>
      <c r="R20" s="85" t="str">
        <f>IF(A20="","",IFERROR(INDEX(moeda_fx,MATCH(Q20,moeda_cod,0)),0))</f>
        <v/>
      </c>
      <c r="S20" s="85" t="str">
        <f>IF(A20="","",ROUND(MAX(0,N(G20)*($H$6+$R$7)-H20),2))</f>
        <v/>
      </c>
      <c r="T20" s="85" t="str">
        <f>IF(A20="","",IF(AND(J20&gt;0,J20&gt;=p_DifMin),S20,0))</f>
        <v/>
      </c>
      <c r="U20" s="85" t="str">
        <f>IF(A20="","",IF(AND(T20&gt;0,N(L20)&lt;=p_MaxAtivos),T20,0))</f>
        <v/>
      </c>
    </row>
    <row r="21">
      <c r="A21" s="96" t="n"/>
      <c r="B21" s="96" t="n"/>
      <c r="C21" s="96" t="n"/>
      <c r="D21" s="112" t="n"/>
      <c r="E21" s="97" t="n"/>
      <c r="F21" s="113" t="n"/>
      <c r="G21" s="99" t="n"/>
      <c r="H21" s="70" t="str">
        <f>IF(A21="","",N(F21)*R21)</f>
        <v/>
      </c>
      <c r="I21" s="30" t="str">
        <f>IF(A21="","",IF($H$6&gt;0,H21/$H$6,0))</f>
        <v/>
      </c>
      <c r="J21" s="72" t="str">
        <f>IF(A21="","",N(G21)-I21)</f>
        <v/>
      </c>
      <c r="K21" s="30" t="str">
        <f>IF(A21="","",IF($T$6&gt;0,T21/$T$6,0))</f>
        <v/>
      </c>
      <c r="L21" s="74" t="str">
        <f>IF(A21="","",IF(T21&lt;=0,"",COUNTIF($T$9:$T$68,"&gt;"&amp;T21)+COUNTIF($T$9:T21,T21)))</f>
        <v/>
      </c>
      <c r="M21" s="73" t="str">
        <f>IF(A21="","",IF(N21&gt;0,"BUY","HOLD"))</f>
        <v/>
      </c>
      <c r="N21" s="70" t="str">
        <f>IF(A21="","",IF($R$7&lt;=0,0,IF($U$6&gt;0,$R$7*U21/$U$6,IF($G$6&gt;0,$R$7*N(G21)/$G$6,0))))</f>
        <v/>
      </c>
      <c r="O21" s="70" t="str">
        <f>IF(A21="","",IF(AND(N21&gt;0,N21&gt;=p_CompraMin),N21,0))</f>
        <v/>
      </c>
      <c r="Q21" s="85" t="str">
        <f>IF(A21="","",IF(E21="",$R$1,E21))</f>
        <v/>
      </c>
      <c r="R21" s="85" t="str">
        <f>IF(A21="","",IFERROR(INDEX(moeda_fx,MATCH(Q21,moeda_cod,0)),0))</f>
        <v/>
      </c>
      <c r="S21" s="85" t="str">
        <f>IF(A21="","",ROUND(MAX(0,N(G21)*($H$6+$R$7)-H21),2))</f>
        <v/>
      </c>
      <c r="T21" s="85" t="str">
        <f>IF(A21="","",IF(AND(J21&gt;0,J21&gt;=p_DifMin),S21,0))</f>
        <v/>
      </c>
      <c r="U21" s="85" t="str">
        <f>IF(A21="","",IF(AND(T21&gt;0,N(L21)&lt;=p_MaxAtivos),T21,0))</f>
        <v/>
      </c>
    </row>
    <row r="22">
      <c r="A22" s="96" t="n"/>
      <c r="B22" s="96" t="n"/>
      <c r="C22" s="96" t="n"/>
      <c r="D22" s="112" t="n"/>
      <c r="E22" s="97" t="n"/>
      <c r="F22" s="113" t="n"/>
      <c r="G22" s="99" t="n"/>
      <c r="H22" s="107" t="str">
        <f>IF(A22="","",N(F22)*R22)</f>
        <v/>
      </c>
      <c r="I22" s="108" t="str">
        <f>IF(A22="","",IF($H$6&gt;0,H22/$H$6,0))</f>
        <v/>
      </c>
      <c r="J22" s="109" t="str">
        <f>IF(A22="","",N(G22)-I22)</f>
        <v/>
      </c>
      <c r="K22" s="108" t="str">
        <f>IF(A22="","",IF($T$6&gt;0,T22/$T$6,0))</f>
        <v/>
      </c>
      <c r="L22" s="110" t="str">
        <f>IF(A22="","",IF(T22&lt;=0,"",COUNTIF($T$9:$T$68,"&gt;"&amp;T22)+COUNTIF($T$9:T22,T22)))</f>
        <v/>
      </c>
      <c r="M22" s="105" t="str">
        <f>IF(A22="","",IF(N22&gt;0,"BUY","HOLD"))</f>
        <v/>
      </c>
      <c r="N22" s="107" t="str">
        <f>IF(A22="","",IF($R$7&lt;=0,0,IF($U$6&gt;0,$R$7*U22/$U$6,IF($G$6&gt;0,$R$7*N(G22)/$G$6,0))))</f>
        <v/>
      </c>
      <c r="O22" s="107" t="str">
        <f>IF(A22="","",IF(AND(N22&gt;0,N22&gt;=p_CompraMin),N22,0))</f>
        <v/>
      </c>
      <c r="Q22" s="85" t="str">
        <f>IF(A22="","",IF(E22="",$R$1,E22))</f>
        <v/>
      </c>
      <c r="R22" s="85" t="str">
        <f>IF(A22="","",IFERROR(INDEX(moeda_fx,MATCH(Q22,moeda_cod,0)),0))</f>
        <v/>
      </c>
      <c r="S22" s="85" t="str">
        <f>IF(A22="","",ROUND(MAX(0,N(G22)*($H$6+$R$7)-H22),2))</f>
        <v/>
      </c>
      <c r="T22" s="85" t="str">
        <f>IF(A22="","",IF(AND(J22&gt;0,J22&gt;=p_DifMin),S22,0))</f>
        <v/>
      </c>
      <c r="U22" s="85" t="str">
        <f>IF(A22="","",IF(AND(T22&gt;0,N(L22)&lt;=p_MaxAtivos),T22,0))</f>
        <v/>
      </c>
    </row>
    <row r="23">
      <c r="A23" s="96" t="n"/>
      <c r="B23" s="96" t="n"/>
      <c r="C23" s="96" t="n"/>
      <c r="D23" s="112" t="n"/>
      <c r="E23" s="97" t="n"/>
      <c r="F23" s="113" t="n"/>
      <c r="G23" s="99" t="n"/>
      <c r="H23" s="70" t="str">
        <f>IF(A23="","",N(F23)*R23)</f>
        <v/>
      </c>
      <c r="I23" s="30" t="str">
        <f>IF(A23="","",IF($H$6&gt;0,H23/$H$6,0))</f>
        <v/>
      </c>
      <c r="J23" s="72" t="str">
        <f>IF(A23="","",N(G23)-I23)</f>
        <v/>
      </c>
      <c r="K23" s="30" t="str">
        <f>IF(A23="","",IF($T$6&gt;0,T23/$T$6,0))</f>
        <v/>
      </c>
      <c r="L23" s="74" t="str">
        <f>IF(A23="","",IF(T23&lt;=0,"",COUNTIF($T$9:$T$68,"&gt;"&amp;T23)+COUNTIF($T$9:T23,T23)))</f>
        <v/>
      </c>
      <c r="M23" s="73" t="str">
        <f>IF(A23="","",IF(N23&gt;0,"BUY","HOLD"))</f>
        <v/>
      </c>
      <c r="N23" s="70" t="str">
        <f>IF(A23="","",IF($R$7&lt;=0,0,IF($U$6&gt;0,$R$7*U23/$U$6,IF($G$6&gt;0,$R$7*N(G23)/$G$6,0))))</f>
        <v/>
      </c>
      <c r="O23" s="70" t="str">
        <f>IF(A23="","",IF(AND(N23&gt;0,N23&gt;=p_CompraMin),N23,0))</f>
        <v/>
      </c>
      <c r="Q23" s="85" t="str">
        <f>IF(A23="","",IF(E23="",$R$1,E23))</f>
        <v/>
      </c>
      <c r="R23" s="85" t="str">
        <f>IF(A23="","",IFERROR(INDEX(moeda_fx,MATCH(Q23,moeda_cod,0)),0))</f>
        <v/>
      </c>
      <c r="S23" s="85" t="str">
        <f>IF(A23="","",ROUND(MAX(0,N(G23)*($H$6+$R$7)-H23),2))</f>
        <v/>
      </c>
      <c r="T23" s="85" t="str">
        <f>IF(A23="","",IF(AND(J23&gt;0,J23&gt;=p_DifMin),S23,0))</f>
        <v/>
      </c>
      <c r="U23" s="85" t="str">
        <f>IF(A23="","",IF(AND(T23&gt;0,N(L23)&lt;=p_MaxAtivos),T23,0))</f>
        <v/>
      </c>
    </row>
    <row r="24">
      <c r="A24" s="96" t="n"/>
      <c r="B24" s="96" t="n"/>
      <c r="C24" s="96" t="n"/>
      <c r="D24" s="112" t="n"/>
      <c r="E24" s="97" t="n"/>
      <c r="F24" s="113" t="n"/>
      <c r="G24" s="99" t="n"/>
      <c r="H24" s="107" t="str">
        <f>IF(A24="","",N(F24)*R24)</f>
        <v/>
      </c>
      <c r="I24" s="108" t="str">
        <f>IF(A24="","",IF($H$6&gt;0,H24/$H$6,0))</f>
        <v/>
      </c>
      <c r="J24" s="109" t="str">
        <f>IF(A24="","",N(G24)-I24)</f>
        <v/>
      </c>
      <c r="K24" s="108" t="str">
        <f>IF(A24="","",IF($T$6&gt;0,T24/$T$6,0))</f>
        <v/>
      </c>
      <c r="L24" s="110" t="str">
        <f>IF(A24="","",IF(T24&lt;=0,"",COUNTIF($T$9:$T$68,"&gt;"&amp;T24)+COUNTIF($T$9:T24,T24)))</f>
        <v/>
      </c>
      <c r="M24" s="105" t="str">
        <f>IF(A24="","",IF(N24&gt;0,"BUY","HOLD"))</f>
        <v/>
      </c>
      <c r="N24" s="107" t="str">
        <f>IF(A24="","",IF($R$7&lt;=0,0,IF($U$6&gt;0,$R$7*U24/$U$6,IF($G$6&gt;0,$R$7*N(G24)/$G$6,0))))</f>
        <v/>
      </c>
      <c r="O24" s="107" t="str">
        <f>IF(A24="","",IF(AND(N24&gt;0,N24&gt;=p_CompraMin),N24,0))</f>
        <v/>
      </c>
      <c r="Q24" s="85" t="str">
        <f>IF(A24="","",IF(E24="",$R$1,E24))</f>
        <v/>
      </c>
      <c r="R24" s="85" t="str">
        <f>IF(A24="","",IFERROR(INDEX(moeda_fx,MATCH(Q24,moeda_cod,0)),0))</f>
        <v/>
      </c>
      <c r="S24" s="85" t="str">
        <f>IF(A24="","",ROUND(MAX(0,N(G24)*($H$6+$R$7)-H24),2))</f>
        <v/>
      </c>
      <c r="T24" s="85" t="str">
        <f>IF(A24="","",IF(AND(J24&gt;0,J24&gt;=p_DifMin),S24,0))</f>
        <v/>
      </c>
      <c r="U24" s="85" t="str">
        <f>IF(A24="","",IF(AND(T24&gt;0,N(L24)&lt;=p_MaxAtivos),T24,0))</f>
        <v/>
      </c>
    </row>
    <row r="25">
      <c r="A25" s="96" t="n"/>
      <c r="B25" s="96" t="n"/>
      <c r="C25" s="96" t="n"/>
      <c r="D25" s="112" t="n"/>
      <c r="E25" s="97" t="n"/>
      <c r="F25" s="113" t="n"/>
      <c r="G25" s="99" t="n"/>
      <c r="H25" s="70" t="str">
        <f>IF(A25="","",N(F25)*R25)</f>
        <v/>
      </c>
      <c r="I25" s="30" t="str">
        <f>IF(A25="","",IF($H$6&gt;0,H25/$H$6,0))</f>
        <v/>
      </c>
      <c r="J25" s="72" t="str">
        <f>IF(A25="","",N(G25)-I25)</f>
        <v/>
      </c>
      <c r="K25" s="30" t="str">
        <f>IF(A25="","",IF($T$6&gt;0,T25/$T$6,0))</f>
        <v/>
      </c>
      <c r="L25" s="74" t="str">
        <f>IF(A25="","",IF(T25&lt;=0,"",COUNTIF($T$9:$T$68,"&gt;"&amp;T25)+COUNTIF($T$9:T25,T25)))</f>
        <v/>
      </c>
      <c r="M25" s="73" t="str">
        <f>IF(A25="","",IF(N25&gt;0,"BUY","HOLD"))</f>
        <v/>
      </c>
      <c r="N25" s="70" t="str">
        <f>IF(A25="","",IF($R$7&lt;=0,0,IF($U$6&gt;0,$R$7*U25/$U$6,IF($G$6&gt;0,$R$7*N(G25)/$G$6,0))))</f>
        <v/>
      </c>
      <c r="O25" s="70" t="str">
        <f>IF(A25="","",IF(AND(N25&gt;0,N25&gt;=p_CompraMin),N25,0))</f>
        <v/>
      </c>
      <c r="Q25" s="85" t="str">
        <f>IF(A25="","",IF(E25="",$R$1,E25))</f>
        <v/>
      </c>
      <c r="R25" s="85" t="str">
        <f>IF(A25="","",IFERROR(INDEX(moeda_fx,MATCH(Q25,moeda_cod,0)),0))</f>
        <v/>
      </c>
      <c r="S25" s="85" t="str">
        <f>IF(A25="","",ROUND(MAX(0,N(G25)*($H$6+$R$7)-H25),2))</f>
        <v/>
      </c>
      <c r="T25" s="85" t="str">
        <f>IF(A25="","",IF(AND(J25&gt;0,J25&gt;=p_DifMin),S25,0))</f>
        <v/>
      </c>
      <c r="U25" s="85" t="str">
        <f>IF(A25="","",IF(AND(T25&gt;0,N(L25)&lt;=p_MaxAtivos),T25,0))</f>
        <v/>
      </c>
    </row>
    <row r="26">
      <c r="A26" s="96" t="n"/>
      <c r="B26" s="96" t="n"/>
      <c r="C26" s="96" t="n"/>
      <c r="D26" s="112" t="n"/>
      <c r="E26" s="97" t="n"/>
      <c r="F26" s="113" t="n"/>
      <c r="G26" s="99" t="n"/>
      <c r="H26" s="107" t="str">
        <f>IF(A26="","",N(F26)*R26)</f>
        <v/>
      </c>
      <c r="I26" s="108" t="str">
        <f>IF(A26="","",IF($H$6&gt;0,H26/$H$6,0))</f>
        <v/>
      </c>
      <c r="J26" s="109" t="str">
        <f>IF(A26="","",N(G26)-I26)</f>
        <v/>
      </c>
      <c r="K26" s="108" t="str">
        <f>IF(A26="","",IF($T$6&gt;0,T26/$T$6,0))</f>
        <v/>
      </c>
      <c r="L26" s="110" t="str">
        <f>IF(A26="","",IF(T26&lt;=0,"",COUNTIF($T$9:$T$68,"&gt;"&amp;T26)+COUNTIF($T$9:T26,T26)))</f>
        <v/>
      </c>
      <c r="M26" s="105" t="str">
        <f>IF(A26="","",IF(N26&gt;0,"BUY","HOLD"))</f>
        <v/>
      </c>
      <c r="N26" s="107" t="str">
        <f>IF(A26="","",IF($R$7&lt;=0,0,IF($U$6&gt;0,$R$7*U26/$U$6,IF($G$6&gt;0,$R$7*N(G26)/$G$6,0))))</f>
        <v/>
      </c>
      <c r="O26" s="107" t="str">
        <f>IF(A26="","",IF(AND(N26&gt;0,N26&gt;=p_CompraMin),N26,0))</f>
        <v/>
      </c>
      <c r="Q26" s="85" t="str">
        <f>IF(A26="","",IF(E26="",$R$1,E26))</f>
        <v/>
      </c>
      <c r="R26" s="85" t="str">
        <f>IF(A26="","",IFERROR(INDEX(moeda_fx,MATCH(Q26,moeda_cod,0)),0))</f>
        <v/>
      </c>
      <c r="S26" s="85" t="str">
        <f>IF(A26="","",ROUND(MAX(0,N(G26)*($H$6+$R$7)-H26),2))</f>
        <v/>
      </c>
      <c r="T26" s="85" t="str">
        <f>IF(A26="","",IF(AND(J26&gt;0,J26&gt;=p_DifMin),S26,0))</f>
        <v/>
      </c>
      <c r="U26" s="85" t="str">
        <f>IF(A26="","",IF(AND(T26&gt;0,N(L26)&lt;=p_MaxAtivos),T26,0))</f>
        <v/>
      </c>
    </row>
    <row r="27">
      <c r="A27" s="96" t="n"/>
      <c r="B27" s="96" t="n"/>
      <c r="C27" s="96" t="n"/>
      <c r="D27" s="112" t="n"/>
      <c r="E27" s="97" t="n"/>
      <c r="F27" s="113" t="n"/>
      <c r="G27" s="99" t="n"/>
      <c r="H27" s="70" t="str">
        <f>IF(A27="","",N(F27)*R27)</f>
        <v/>
      </c>
      <c r="I27" s="30" t="str">
        <f>IF(A27="","",IF($H$6&gt;0,H27/$H$6,0))</f>
        <v/>
      </c>
      <c r="J27" s="72" t="str">
        <f>IF(A27="","",N(G27)-I27)</f>
        <v/>
      </c>
      <c r="K27" s="30" t="str">
        <f>IF(A27="","",IF($T$6&gt;0,T27/$T$6,0))</f>
        <v/>
      </c>
      <c r="L27" s="74" t="str">
        <f>IF(A27="","",IF(T27&lt;=0,"",COUNTIF($T$9:$T$68,"&gt;"&amp;T27)+COUNTIF($T$9:T27,T27)))</f>
        <v/>
      </c>
      <c r="M27" s="73" t="str">
        <f>IF(A27="","",IF(N27&gt;0,"BUY","HOLD"))</f>
        <v/>
      </c>
      <c r="N27" s="70" t="str">
        <f>IF(A27="","",IF($R$7&lt;=0,0,IF($U$6&gt;0,$R$7*U27/$U$6,IF($G$6&gt;0,$R$7*N(G27)/$G$6,0))))</f>
        <v/>
      </c>
      <c r="O27" s="70" t="str">
        <f>IF(A27="","",IF(AND(N27&gt;0,N27&gt;=p_CompraMin),N27,0))</f>
        <v/>
      </c>
      <c r="Q27" s="85" t="str">
        <f>IF(A27="","",IF(E27="",$R$1,E27))</f>
        <v/>
      </c>
      <c r="R27" s="85" t="str">
        <f>IF(A27="","",IFERROR(INDEX(moeda_fx,MATCH(Q27,moeda_cod,0)),0))</f>
        <v/>
      </c>
      <c r="S27" s="85" t="str">
        <f>IF(A27="","",ROUND(MAX(0,N(G27)*($H$6+$R$7)-H27),2))</f>
        <v/>
      </c>
      <c r="T27" s="85" t="str">
        <f>IF(A27="","",IF(AND(J27&gt;0,J27&gt;=p_DifMin),S27,0))</f>
        <v/>
      </c>
      <c r="U27" s="85" t="str">
        <f>IF(A27="","",IF(AND(T27&gt;0,N(L27)&lt;=p_MaxAtivos),T27,0))</f>
        <v/>
      </c>
    </row>
    <row r="28">
      <c r="A28" s="96" t="n"/>
      <c r="B28" s="96" t="n"/>
      <c r="C28" s="96" t="n"/>
      <c r="D28" s="112" t="n"/>
      <c r="E28" s="97" t="n"/>
      <c r="F28" s="113" t="n"/>
      <c r="G28" s="99" t="n"/>
      <c r="H28" s="107" t="str">
        <f>IF(A28="","",N(F28)*R28)</f>
        <v/>
      </c>
      <c r="I28" s="108" t="str">
        <f>IF(A28="","",IF($H$6&gt;0,H28/$H$6,0))</f>
        <v/>
      </c>
      <c r="J28" s="109" t="str">
        <f>IF(A28="","",N(G28)-I28)</f>
        <v/>
      </c>
      <c r="K28" s="108" t="str">
        <f>IF(A28="","",IF($T$6&gt;0,T28/$T$6,0))</f>
        <v/>
      </c>
      <c r="L28" s="110" t="str">
        <f>IF(A28="","",IF(T28&lt;=0,"",COUNTIF($T$9:$T$68,"&gt;"&amp;T28)+COUNTIF($T$9:T28,T28)))</f>
        <v/>
      </c>
      <c r="M28" s="105" t="str">
        <f>IF(A28="","",IF(N28&gt;0,"BUY","HOLD"))</f>
        <v/>
      </c>
      <c r="N28" s="107" t="str">
        <f>IF(A28="","",IF($R$7&lt;=0,0,IF($U$6&gt;0,$R$7*U28/$U$6,IF($G$6&gt;0,$R$7*N(G28)/$G$6,0))))</f>
        <v/>
      </c>
      <c r="O28" s="107" t="str">
        <f>IF(A28="","",IF(AND(N28&gt;0,N28&gt;=p_CompraMin),N28,0))</f>
        <v/>
      </c>
      <c r="Q28" s="85" t="str">
        <f>IF(A28="","",IF(E28="",$R$1,E28))</f>
        <v/>
      </c>
      <c r="R28" s="85" t="str">
        <f>IF(A28="","",IFERROR(INDEX(moeda_fx,MATCH(Q28,moeda_cod,0)),0))</f>
        <v/>
      </c>
      <c r="S28" s="85" t="str">
        <f>IF(A28="","",ROUND(MAX(0,N(G28)*($H$6+$R$7)-H28),2))</f>
        <v/>
      </c>
      <c r="T28" s="85" t="str">
        <f>IF(A28="","",IF(AND(J28&gt;0,J28&gt;=p_DifMin),S28,0))</f>
        <v/>
      </c>
      <c r="U28" s="85" t="str">
        <f>IF(A28="","",IF(AND(T28&gt;0,N(L28)&lt;=p_MaxAtivos),T28,0))</f>
        <v/>
      </c>
    </row>
    <row r="29">
      <c r="A29" s="96" t="n"/>
      <c r="B29" s="96" t="n"/>
      <c r="C29" s="96" t="n"/>
      <c r="D29" s="112" t="n"/>
      <c r="E29" s="97" t="n"/>
      <c r="F29" s="113" t="n"/>
      <c r="G29" s="99" t="n"/>
      <c r="H29" s="70" t="str">
        <f>IF(A29="","",N(F29)*R29)</f>
        <v/>
      </c>
      <c r="I29" s="30" t="str">
        <f>IF(A29="","",IF($H$6&gt;0,H29/$H$6,0))</f>
        <v/>
      </c>
      <c r="J29" s="72" t="str">
        <f>IF(A29="","",N(G29)-I29)</f>
        <v/>
      </c>
      <c r="K29" s="30" t="str">
        <f>IF(A29="","",IF($T$6&gt;0,T29/$T$6,0))</f>
        <v/>
      </c>
      <c r="L29" s="74" t="str">
        <f>IF(A29="","",IF(T29&lt;=0,"",COUNTIF($T$9:$T$68,"&gt;"&amp;T29)+COUNTIF($T$9:T29,T29)))</f>
        <v/>
      </c>
      <c r="M29" s="73" t="str">
        <f>IF(A29="","",IF(N29&gt;0,"BUY","HOLD"))</f>
        <v/>
      </c>
      <c r="N29" s="70" t="str">
        <f>IF(A29="","",IF($R$7&lt;=0,0,IF($U$6&gt;0,$R$7*U29/$U$6,IF($G$6&gt;0,$R$7*N(G29)/$G$6,0))))</f>
        <v/>
      </c>
      <c r="O29" s="70" t="str">
        <f>IF(A29="","",IF(AND(N29&gt;0,N29&gt;=p_CompraMin),N29,0))</f>
        <v/>
      </c>
      <c r="Q29" s="85" t="str">
        <f>IF(A29="","",IF(E29="",$R$1,E29))</f>
        <v/>
      </c>
      <c r="R29" s="85" t="str">
        <f>IF(A29="","",IFERROR(INDEX(moeda_fx,MATCH(Q29,moeda_cod,0)),0))</f>
        <v/>
      </c>
      <c r="S29" s="85" t="str">
        <f>IF(A29="","",ROUND(MAX(0,N(G29)*($H$6+$R$7)-H29),2))</f>
        <v/>
      </c>
      <c r="T29" s="85" t="str">
        <f>IF(A29="","",IF(AND(J29&gt;0,J29&gt;=p_DifMin),S29,0))</f>
        <v/>
      </c>
      <c r="U29" s="85" t="str">
        <f>IF(A29="","",IF(AND(T29&gt;0,N(L29)&lt;=p_MaxAtivos),T29,0))</f>
        <v/>
      </c>
    </row>
    <row r="30">
      <c r="A30" s="96" t="n"/>
      <c r="B30" s="96" t="n"/>
      <c r="C30" s="96" t="n"/>
      <c r="D30" s="112" t="n"/>
      <c r="E30" s="97" t="n"/>
      <c r="F30" s="113" t="n"/>
      <c r="G30" s="99" t="n"/>
      <c r="H30" s="107" t="str">
        <f>IF(A30="","",N(F30)*R30)</f>
        <v/>
      </c>
      <c r="I30" s="108" t="str">
        <f>IF(A30="","",IF($H$6&gt;0,H30/$H$6,0))</f>
        <v/>
      </c>
      <c r="J30" s="109" t="str">
        <f>IF(A30="","",N(G30)-I30)</f>
        <v/>
      </c>
      <c r="K30" s="108" t="str">
        <f>IF(A30="","",IF($T$6&gt;0,T30/$T$6,0))</f>
        <v/>
      </c>
      <c r="L30" s="110" t="str">
        <f>IF(A30="","",IF(T30&lt;=0,"",COUNTIF($T$9:$T$68,"&gt;"&amp;T30)+COUNTIF($T$9:T30,T30)))</f>
        <v/>
      </c>
      <c r="M30" s="105" t="str">
        <f>IF(A30="","",IF(N30&gt;0,"BUY","HOLD"))</f>
        <v/>
      </c>
      <c r="N30" s="107" t="str">
        <f>IF(A30="","",IF($R$7&lt;=0,0,IF($U$6&gt;0,$R$7*U30/$U$6,IF($G$6&gt;0,$R$7*N(G30)/$G$6,0))))</f>
        <v/>
      </c>
      <c r="O30" s="107" t="str">
        <f>IF(A30="","",IF(AND(N30&gt;0,N30&gt;=p_CompraMin),N30,0))</f>
        <v/>
      </c>
      <c r="Q30" s="85" t="str">
        <f>IF(A30="","",IF(E30="",$R$1,E30))</f>
        <v/>
      </c>
      <c r="R30" s="85" t="str">
        <f>IF(A30="","",IFERROR(INDEX(moeda_fx,MATCH(Q30,moeda_cod,0)),0))</f>
        <v/>
      </c>
      <c r="S30" s="85" t="str">
        <f>IF(A30="","",ROUND(MAX(0,N(G30)*($H$6+$R$7)-H30),2))</f>
        <v/>
      </c>
      <c r="T30" s="85" t="str">
        <f>IF(A30="","",IF(AND(J30&gt;0,J30&gt;=p_DifMin),S30,0))</f>
        <v/>
      </c>
      <c r="U30" s="85" t="str">
        <f>IF(A30="","",IF(AND(T30&gt;0,N(L30)&lt;=p_MaxAtivos),T30,0))</f>
        <v/>
      </c>
    </row>
    <row r="31">
      <c r="A31" s="96" t="n"/>
      <c r="B31" s="96" t="n"/>
      <c r="C31" s="96" t="n"/>
      <c r="D31" s="112" t="n"/>
      <c r="E31" s="97" t="n"/>
      <c r="F31" s="113" t="n"/>
      <c r="G31" s="99" t="n"/>
      <c r="H31" s="70" t="str">
        <f>IF(A31="","",N(F31)*R31)</f>
        <v/>
      </c>
      <c r="I31" s="30" t="str">
        <f>IF(A31="","",IF($H$6&gt;0,H31/$H$6,0))</f>
        <v/>
      </c>
      <c r="J31" s="72" t="str">
        <f>IF(A31="","",N(G31)-I31)</f>
        <v/>
      </c>
      <c r="K31" s="30" t="str">
        <f>IF(A31="","",IF($T$6&gt;0,T31/$T$6,0))</f>
        <v/>
      </c>
      <c r="L31" s="74" t="str">
        <f>IF(A31="","",IF(T31&lt;=0,"",COUNTIF($T$9:$T$68,"&gt;"&amp;T31)+COUNTIF($T$9:T31,T31)))</f>
        <v/>
      </c>
      <c r="M31" s="73" t="str">
        <f>IF(A31="","",IF(N31&gt;0,"BUY","HOLD"))</f>
        <v/>
      </c>
      <c r="N31" s="70" t="str">
        <f>IF(A31="","",IF($R$7&lt;=0,0,IF($U$6&gt;0,$R$7*U31/$U$6,IF($G$6&gt;0,$R$7*N(G31)/$G$6,0))))</f>
        <v/>
      </c>
      <c r="O31" s="70" t="str">
        <f>IF(A31="","",IF(AND(N31&gt;0,N31&gt;=p_CompraMin),N31,0))</f>
        <v/>
      </c>
      <c r="Q31" s="85" t="str">
        <f>IF(A31="","",IF(E31="",$R$1,E31))</f>
        <v/>
      </c>
      <c r="R31" s="85" t="str">
        <f>IF(A31="","",IFERROR(INDEX(moeda_fx,MATCH(Q31,moeda_cod,0)),0))</f>
        <v/>
      </c>
      <c r="S31" s="85" t="str">
        <f>IF(A31="","",ROUND(MAX(0,N(G31)*($H$6+$R$7)-H31),2))</f>
        <v/>
      </c>
      <c r="T31" s="85" t="str">
        <f>IF(A31="","",IF(AND(J31&gt;0,J31&gt;=p_DifMin),S31,0))</f>
        <v/>
      </c>
      <c r="U31" s="85" t="str">
        <f>IF(A31="","",IF(AND(T31&gt;0,N(L31)&lt;=p_MaxAtivos),T31,0))</f>
        <v/>
      </c>
    </row>
    <row r="32">
      <c r="A32" s="96" t="n"/>
      <c r="B32" s="96" t="n"/>
      <c r="C32" s="96" t="n"/>
      <c r="D32" s="112" t="n"/>
      <c r="E32" s="97" t="n"/>
      <c r="F32" s="113" t="n"/>
      <c r="G32" s="99" t="n"/>
      <c r="H32" s="107" t="str">
        <f>IF(A32="","",N(F32)*R32)</f>
        <v/>
      </c>
      <c r="I32" s="108" t="str">
        <f>IF(A32="","",IF($H$6&gt;0,H32/$H$6,0))</f>
        <v/>
      </c>
      <c r="J32" s="109" t="str">
        <f>IF(A32="","",N(G32)-I32)</f>
        <v/>
      </c>
      <c r="K32" s="108" t="str">
        <f>IF(A32="","",IF($T$6&gt;0,T32/$T$6,0))</f>
        <v/>
      </c>
      <c r="L32" s="110" t="str">
        <f>IF(A32="","",IF(T32&lt;=0,"",COUNTIF($T$9:$T$68,"&gt;"&amp;T32)+COUNTIF($T$9:T32,T32)))</f>
        <v/>
      </c>
      <c r="M32" s="105" t="str">
        <f>IF(A32="","",IF(N32&gt;0,"BUY","HOLD"))</f>
        <v/>
      </c>
      <c r="N32" s="107" t="str">
        <f>IF(A32="","",IF($R$7&lt;=0,0,IF($U$6&gt;0,$R$7*U32/$U$6,IF($G$6&gt;0,$R$7*N(G32)/$G$6,0))))</f>
        <v/>
      </c>
      <c r="O32" s="107" t="str">
        <f>IF(A32="","",IF(AND(N32&gt;0,N32&gt;=p_CompraMin),N32,0))</f>
        <v/>
      </c>
      <c r="Q32" s="85" t="str">
        <f>IF(A32="","",IF(E32="",$R$1,E32))</f>
        <v/>
      </c>
      <c r="R32" s="85" t="str">
        <f>IF(A32="","",IFERROR(INDEX(moeda_fx,MATCH(Q32,moeda_cod,0)),0))</f>
        <v/>
      </c>
      <c r="S32" s="85" t="str">
        <f>IF(A32="","",ROUND(MAX(0,N(G32)*($H$6+$R$7)-H32),2))</f>
        <v/>
      </c>
      <c r="T32" s="85" t="str">
        <f>IF(A32="","",IF(AND(J32&gt;0,J32&gt;=p_DifMin),S32,0))</f>
        <v/>
      </c>
      <c r="U32" s="85" t="str">
        <f>IF(A32="","",IF(AND(T32&gt;0,N(L32)&lt;=p_MaxAtivos),T32,0))</f>
        <v/>
      </c>
    </row>
    <row r="33">
      <c r="A33" s="96" t="n"/>
      <c r="B33" s="96" t="n"/>
      <c r="C33" s="96" t="n"/>
      <c r="D33" s="112" t="n"/>
      <c r="E33" s="97" t="n"/>
      <c r="F33" s="113" t="n"/>
      <c r="G33" s="99" t="n"/>
      <c r="H33" s="70" t="str">
        <f>IF(A33="","",N(F33)*R33)</f>
        <v/>
      </c>
      <c r="I33" s="30" t="str">
        <f>IF(A33="","",IF($H$6&gt;0,H33/$H$6,0))</f>
        <v/>
      </c>
      <c r="J33" s="72" t="str">
        <f>IF(A33="","",N(G33)-I33)</f>
        <v/>
      </c>
      <c r="K33" s="30" t="str">
        <f>IF(A33="","",IF($T$6&gt;0,T33/$T$6,0))</f>
        <v/>
      </c>
      <c r="L33" s="74" t="str">
        <f>IF(A33="","",IF(T33&lt;=0,"",COUNTIF($T$9:$T$68,"&gt;"&amp;T33)+COUNTIF($T$9:T33,T33)))</f>
        <v/>
      </c>
      <c r="M33" s="73" t="str">
        <f>IF(A33="","",IF(N33&gt;0,"BUY","HOLD"))</f>
        <v/>
      </c>
      <c r="N33" s="70" t="str">
        <f>IF(A33="","",IF($R$7&lt;=0,0,IF($U$6&gt;0,$R$7*U33/$U$6,IF($G$6&gt;0,$R$7*N(G33)/$G$6,0))))</f>
        <v/>
      </c>
      <c r="O33" s="70" t="str">
        <f>IF(A33="","",IF(AND(N33&gt;0,N33&gt;=p_CompraMin),N33,0))</f>
        <v/>
      </c>
      <c r="Q33" s="85" t="str">
        <f>IF(A33="","",IF(E33="",$R$1,E33))</f>
        <v/>
      </c>
      <c r="R33" s="85" t="str">
        <f>IF(A33="","",IFERROR(INDEX(moeda_fx,MATCH(Q33,moeda_cod,0)),0))</f>
        <v/>
      </c>
      <c r="S33" s="85" t="str">
        <f>IF(A33="","",ROUND(MAX(0,N(G33)*($H$6+$R$7)-H33),2))</f>
        <v/>
      </c>
      <c r="T33" s="85" t="str">
        <f>IF(A33="","",IF(AND(J33&gt;0,J33&gt;=p_DifMin),S33,0))</f>
        <v/>
      </c>
      <c r="U33" s="85" t="str">
        <f>IF(A33="","",IF(AND(T33&gt;0,N(L33)&lt;=p_MaxAtivos),T33,0))</f>
        <v/>
      </c>
    </row>
    <row r="34">
      <c r="A34" s="96" t="n"/>
      <c r="B34" s="96" t="n"/>
      <c r="C34" s="96" t="n"/>
      <c r="D34" s="112" t="n"/>
      <c r="E34" s="97" t="n"/>
      <c r="F34" s="113" t="n"/>
      <c r="G34" s="99" t="n"/>
      <c r="H34" s="107" t="str">
        <f>IF(A34="","",N(F34)*R34)</f>
        <v/>
      </c>
      <c r="I34" s="108" t="str">
        <f>IF(A34="","",IF($H$6&gt;0,H34/$H$6,0))</f>
        <v/>
      </c>
      <c r="J34" s="109" t="str">
        <f>IF(A34="","",N(G34)-I34)</f>
        <v/>
      </c>
      <c r="K34" s="108" t="str">
        <f>IF(A34="","",IF($T$6&gt;0,T34/$T$6,0))</f>
        <v/>
      </c>
      <c r="L34" s="110" t="str">
        <f>IF(A34="","",IF(T34&lt;=0,"",COUNTIF($T$9:$T$68,"&gt;"&amp;T34)+COUNTIF($T$9:T34,T34)))</f>
        <v/>
      </c>
      <c r="M34" s="105" t="str">
        <f>IF(A34="","",IF(N34&gt;0,"BUY","HOLD"))</f>
        <v/>
      </c>
      <c r="N34" s="107" t="str">
        <f>IF(A34="","",IF($R$7&lt;=0,0,IF($U$6&gt;0,$R$7*U34/$U$6,IF($G$6&gt;0,$R$7*N(G34)/$G$6,0))))</f>
        <v/>
      </c>
      <c r="O34" s="107" t="str">
        <f>IF(A34="","",IF(AND(N34&gt;0,N34&gt;=p_CompraMin),N34,0))</f>
        <v/>
      </c>
      <c r="Q34" s="85" t="str">
        <f>IF(A34="","",IF(E34="",$R$1,E34))</f>
        <v/>
      </c>
      <c r="R34" s="85" t="str">
        <f>IF(A34="","",IFERROR(INDEX(moeda_fx,MATCH(Q34,moeda_cod,0)),0))</f>
        <v/>
      </c>
      <c r="S34" s="85" t="str">
        <f>IF(A34="","",ROUND(MAX(0,N(G34)*($H$6+$R$7)-H34),2))</f>
        <v/>
      </c>
      <c r="T34" s="85" t="str">
        <f>IF(A34="","",IF(AND(J34&gt;0,J34&gt;=p_DifMin),S34,0))</f>
        <v/>
      </c>
      <c r="U34" s="85" t="str">
        <f>IF(A34="","",IF(AND(T34&gt;0,N(L34)&lt;=p_MaxAtivos),T34,0))</f>
        <v/>
      </c>
    </row>
    <row r="35">
      <c r="A35" s="96" t="n"/>
      <c r="B35" s="96" t="n"/>
      <c r="C35" s="96" t="n"/>
      <c r="D35" s="112" t="n"/>
      <c r="E35" s="97" t="n"/>
      <c r="F35" s="113" t="n"/>
      <c r="G35" s="99" t="n"/>
      <c r="H35" s="70" t="str">
        <f>IF(A35="","",N(F35)*R35)</f>
        <v/>
      </c>
      <c r="I35" s="30" t="str">
        <f>IF(A35="","",IF($H$6&gt;0,H35/$H$6,0))</f>
        <v/>
      </c>
      <c r="J35" s="72" t="str">
        <f>IF(A35="","",N(G35)-I35)</f>
        <v/>
      </c>
      <c r="K35" s="30" t="str">
        <f>IF(A35="","",IF($T$6&gt;0,T35/$T$6,0))</f>
        <v/>
      </c>
      <c r="L35" s="74" t="str">
        <f>IF(A35="","",IF(T35&lt;=0,"",COUNTIF($T$9:$T$68,"&gt;"&amp;T35)+COUNTIF($T$9:T35,T35)))</f>
        <v/>
      </c>
      <c r="M35" s="73" t="str">
        <f>IF(A35="","",IF(N35&gt;0,"BUY","HOLD"))</f>
        <v/>
      </c>
      <c r="N35" s="70" t="str">
        <f>IF(A35="","",IF($R$7&lt;=0,0,IF($U$6&gt;0,$R$7*U35/$U$6,IF($G$6&gt;0,$R$7*N(G35)/$G$6,0))))</f>
        <v/>
      </c>
      <c r="O35" s="70" t="str">
        <f>IF(A35="","",IF(AND(N35&gt;0,N35&gt;=p_CompraMin),N35,0))</f>
        <v/>
      </c>
      <c r="Q35" s="85" t="str">
        <f>IF(A35="","",IF(E35="",$R$1,E35))</f>
        <v/>
      </c>
      <c r="R35" s="85" t="str">
        <f>IF(A35="","",IFERROR(INDEX(moeda_fx,MATCH(Q35,moeda_cod,0)),0))</f>
        <v/>
      </c>
      <c r="S35" s="85" t="str">
        <f>IF(A35="","",ROUND(MAX(0,N(G35)*($H$6+$R$7)-H35),2))</f>
        <v/>
      </c>
      <c r="T35" s="85" t="str">
        <f>IF(A35="","",IF(AND(J35&gt;0,J35&gt;=p_DifMin),S35,0))</f>
        <v/>
      </c>
      <c r="U35" s="85" t="str">
        <f>IF(A35="","",IF(AND(T35&gt;0,N(L35)&lt;=p_MaxAtivos),T35,0))</f>
        <v/>
      </c>
    </row>
    <row r="36">
      <c r="A36" s="96" t="n"/>
      <c r="B36" s="96" t="n"/>
      <c r="C36" s="96" t="n"/>
      <c r="D36" s="112" t="n"/>
      <c r="E36" s="97" t="n"/>
      <c r="F36" s="113" t="n"/>
      <c r="G36" s="99" t="n"/>
      <c r="H36" s="107" t="str">
        <f>IF(A36="","",N(F36)*R36)</f>
        <v/>
      </c>
      <c r="I36" s="108" t="str">
        <f>IF(A36="","",IF($H$6&gt;0,H36/$H$6,0))</f>
        <v/>
      </c>
      <c r="J36" s="109" t="str">
        <f>IF(A36="","",N(G36)-I36)</f>
        <v/>
      </c>
      <c r="K36" s="108" t="str">
        <f>IF(A36="","",IF($T$6&gt;0,T36/$T$6,0))</f>
        <v/>
      </c>
      <c r="L36" s="110" t="str">
        <f>IF(A36="","",IF(T36&lt;=0,"",COUNTIF($T$9:$T$68,"&gt;"&amp;T36)+COUNTIF($T$9:T36,T36)))</f>
        <v/>
      </c>
      <c r="M36" s="105" t="str">
        <f>IF(A36="","",IF(N36&gt;0,"BUY","HOLD"))</f>
        <v/>
      </c>
      <c r="N36" s="107" t="str">
        <f>IF(A36="","",IF($R$7&lt;=0,0,IF($U$6&gt;0,$R$7*U36/$U$6,IF($G$6&gt;0,$R$7*N(G36)/$G$6,0))))</f>
        <v/>
      </c>
      <c r="O36" s="107" t="str">
        <f>IF(A36="","",IF(AND(N36&gt;0,N36&gt;=p_CompraMin),N36,0))</f>
        <v/>
      </c>
      <c r="Q36" s="85" t="str">
        <f>IF(A36="","",IF(E36="",$R$1,E36))</f>
        <v/>
      </c>
      <c r="R36" s="85" t="str">
        <f>IF(A36="","",IFERROR(INDEX(moeda_fx,MATCH(Q36,moeda_cod,0)),0))</f>
        <v/>
      </c>
      <c r="S36" s="85" t="str">
        <f>IF(A36="","",ROUND(MAX(0,N(G36)*($H$6+$R$7)-H36),2))</f>
        <v/>
      </c>
      <c r="T36" s="85" t="str">
        <f>IF(A36="","",IF(AND(J36&gt;0,J36&gt;=p_DifMin),S36,0))</f>
        <v/>
      </c>
      <c r="U36" s="85" t="str">
        <f>IF(A36="","",IF(AND(T36&gt;0,N(L36)&lt;=p_MaxAtivos),T36,0))</f>
        <v/>
      </c>
    </row>
    <row r="37">
      <c r="A37" s="96" t="n"/>
      <c r="B37" s="96" t="n"/>
      <c r="C37" s="96" t="n"/>
      <c r="D37" s="112" t="n"/>
      <c r="E37" s="97" t="n"/>
      <c r="F37" s="113" t="n"/>
      <c r="G37" s="99" t="n"/>
      <c r="H37" s="70" t="str">
        <f>IF(A37="","",N(F37)*R37)</f>
        <v/>
      </c>
      <c r="I37" s="30" t="str">
        <f>IF(A37="","",IF($H$6&gt;0,H37/$H$6,0))</f>
        <v/>
      </c>
      <c r="J37" s="72" t="str">
        <f>IF(A37="","",N(G37)-I37)</f>
        <v/>
      </c>
      <c r="K37" s="30" t="str">
        <f>IF(A37="","",IF($T$6&gt;0,T37/$T$6,0))</f>
        <v/>
      </c>
      <c r="L37" s="74" t="str">
        <f>IF(A37="","",IF(T37&lt;=0,"",COUNTIF($T$9:$T$68,"&gt;"&amp;T37)+COUNTIF($T$9:T37,T37)))</f>
        <v/>
      </c>
      <c r="M37" s="73" t="str">
        <f>IF(A37="","",IF(N37&gt;0,"BUY","HOLD"))</f>
        <v/>
      </c>
      <c r="N37" s="70" t="str">
        <f>IF(A37="","",IF($R$7&lt;=0,0,IF($U$6&gt;0,$R$7*U37/$U$6,IF($G$6&gt;0,$R$7*N(G37)/$G$6,0))))</f>
        <v/>
      </c>
      <c r="O37" s="70" t="str">
        <f>IF(A37="","",IF(AND(N37&gt;0,N37&gt;=p_CompraMin),N37,0))</f>
        <v/>
      </c>
      <c r="Q37" s="85" t="str">
        <f>IF(A37="","",IF(E37="",$R$1,E37))</f>
        <v/>
      </c>
      <c r="R37" s="85" t="str">
        <f>IF(A37="","",IFERROR(INDEX(moeda_fx,MATCH(Q37,moeda_cod,0)),0))</f>
        <v/>
      </c>
      <c r="S37" s="85" t="str">
        <f>IF(A37="","",ROUND(MAX(0,N(G37)*($H$6+$R$7)-H37),2))</f>
        <v/>
      </c>
      <c r="T37" s="85" t="str">
        <f>IF(A37="","",IF(AND(J37&gt;0,J37&gt;=p_DifMin),S37,0))</f>
        <v/>
      </c>
      <c r="U37" s="85" t="str">
        <f>IF(A37="","",IF(AND(T37&gt;0,N(L37)&lt;=p_MaxAtivos),T37,0))</f>
        <v/>
      </c>
    </row>
    <row r="38">
      <c r="A38" s="96" t="n"/>
      <c r="B38" s="96" t="n"/>
      <c r="C38" s="96" t="n"/>
      <c r="D38" s="112" t="n"/>
      <c r="E38" s="97" t="n"/>
      <c r="F38" s="113" t="n"/>
      <c r="G38" s="99" t="n"/>
      <c r="H38" s="107" t="str">
        <f>IF(A38="","",N(F38)*R38)</f>
        <v/>
      </c>
      <c r="I38" s="108" t="str">
        <f>IF(A38="","",IF($H$6&gt;0,H38/$H$6,0))</f>
        <v/>
      </c>
      <c r="J38" s="109" t="str">
        <f>IF(A38="","",N(G38)-I38)</f>
        <v/>
      </c>
      <c r="K38" s="108" t="str">
        <f>IF(A38="","",IF($T$6&gt;0,T38/$T$6,0))</f>
        <v/>
      </c>
      <c r="L38" s="110" t="str">
        <f>IF(A38="","",IF(T38&lt;=0,"",COUNTIF($T$9:$T$68,"&gt;"&amp;T38)+COUNTIF($T$9:T38,T38)))</f>
        <v/>
      </c>
      <c r="M38" s="105" t="str">
        <f>IF(A38="","",IF(N38&gt;0,"BUY","HOLD"))</f>
        <v/>
      </c>
      <c r="N38" s="107" t="str">
        <f>IF(A38="","",IF($R$7&lt;=0,0,IF($U$6&gt;0,$R$7*U38/$U$6,IF($G$6&gt;0,$R$7*N(G38)/$G$6,0))))</f>
        <v/>
      </c>
      <c r="O38" s="107" t="str">
        <f>IF(A38="","",IF(AND(N38&gt;0,N38&gt;=p_CompraMin),N38,0))</f>
        <v/>
      </c>
      <c r="Q38" s="85" t="str">
        <f>IF(A38="","",IF(E38="",$R$1,E38))</f>
        <v/>
      </c>
      <c r="R38" s="85" t="str">
        <f>IF(A38="","",IFERROR(INDEX(moeda_fx,MATCH(Q38,moeda_cod,0)),0))</f>
        <v/>
      </c>
      <c r="S38" s="85" t="str">
        <f>IF(A38="","",ROUND(MAX(0,N(G38)*($H$6+$R$7)-H38),2))</f>
        <v/>
      </c>
      <c r="T38" s="85" t="str">
        <f>IF(A38="","",IF(AND(J38&gt;0,J38&gt;=p_DifMin),S38,0))</f>
        <v/>
      </c>
      <c r="U38" s="85" t="str">
        <f>IF(A38="","",IF(AND(T38&gt;0,N(L38)&lt;=p_MaxAtivos),T38,0))</f>
        <v/>
      </c>
    </row>
    <row r="39">
      <c r="A39" s="96" t="n"/>
      <c r="B39" s="96" t="n"/>
      <c r="C39" s="96" t="n"/>
      <c r="D39" s="112" t="n"/>
      <c r="E39" s="97" t="n"/>
      <c r="F39" s="113" t="n"/>
      <c r="G39" s="99" t="n"/>
      <c r="H39" s="70" t="str">
        <f>IF(A39="","",N(F39)*R39)</f>
        <v/>
      </c>
      <c r="I39" s="30" t="str">
        <f>IF(A39="","",IF($H$6&gt;0,H39/$H$6,0))</f>
        <v/>
      </c>
      <c r="J39" s="72" t="str">
        <f>IF(A39="","",N(G39)-I39)</f>
        <v/>
      </c>
      <c r="K39" s="30" t="str">
        <f>IF(A39="","",IF($T$6&gt;0,T39/$T$6,0))</f>
        <v/>
      </c>
      <c r="L39" s="74" t="str">
        <f>IF(A39="","",IF(T39&lt;=0,"",COUNTIF($T$9:$T$68,"&gt;"&amp;T39)+COUNTIF($T$9:T39,T39)))</f>
        <v/>
      </c>
      <c r="M39" s="73" t="str">
        <f>IF(A39="","",IF(N39&gt;0,"BUY","HOLD"))</f>
        <v/>
      </c>
      <c r="N39" s="70" t="str">
        <f>IF(A39="","",IF($R$7&lt;=0,0,IF($U$6&gt;0,$R$7*U39/$U$6,IF($G$6&gt;0,$R$7*N(G39)/$G$6,0))))</f>
        <v/>
      </c>
      <c r="O39" s="70" t="str">
        <f>IF(A39="","",IF(AND(N39&gt;0,N39&gt;=p_CompraMin),N39,0))</f>
        <v/>
      </c>
      <c r="Q39" s="85" t="str">
        <f>IF(A39="","",IF(E39="",$R$1,E39))</f>
        <v/>
      </c>
      <c r="R39" s="85" t="str">
        <f>IF(A39="","",IFERROR(INDEX(moeda_fx,MATCH(Q39,moeda_cod,0)),0))</f>
        <v/>
      </c>
      <c r="S39" s="85" t="str">
        <f>IF(A39="","",ROUND(MAX(0,N(G39)*($H$6+$R$7)-H39),2))</f>
        <v/>
      </c>
      <c r="T39" s="85" t="str">
        <f>IF(A39="","",IF(AND(J39&gt;0,J39&gt;=p_DifMin),S39,0))</f>
        <v/>
      </c>
      <c r="U39" s="85" t="str">
        <f>IF(A39="","",IF(AND(T39&gt;0,N(L39)&lt;=p_MaxAtivos),T39,0))</f>
        <v/>
      </c>
    </row>
    <row r="40">
      <c r="A40" s="96" t="n"/>
      <c r="B40" s="96" t="n"/>
      <c r="C40" s="96" t="n"/>
      <c r="D40" s="112" t="n"/>
      <c r="E40" s="97" t="n"/>
      <c r="F40" s="113" t="n"/>
      <c r="G40" s="99" t="n"/>
      <c r="H40" s="107" t="str">
        <f>IF(A40="","",N(F40)*R40)</f>
        <v/>
      </c>
      <c r="I40" s="108" t="str">
        <f>IF(A40="","",IF($H$6&gt;0,H40/$H$6,0))</f>
        <v/>
      </c>
      <c r="J40" s="109" t="str">
        <f>IF(A40="","",N(G40)-I40)</f>
        <v/>
      </c>
      <c r="K40" s="108" t="str">
        <f>IF(A40="","",IF($T$6&gt;0,T40/$T$6,0))</f>
        <v/>
      </c>
      <c r="L40" s="110" t="str">
        <f>IF(A40="","",IF(T40&lt;=0,"",COUNTIF($T$9:$T$68,"&gt;"&amp;T40)+COUNTIF($T$9:T40,T40)))</f>
        <v/>
      </c>
      <c r="M40" s="105" t="str">
        <f>IF(A40="","",IF(N40&gt;0,"BUY","HOLD"))</f>
        <v/>
      </c>
      <c r="N40" s="107" t="str">
        <f>IF(A40="","",IF($R$7&lt;=0,0,IF($U$6&gt;0,$R$7*U40/$U$6,IF($G$6&gt;0,$R$7*N(G40)/$G$6,0))))</f>
        <v/>
      </c>
      <c r="O40" s="107" t="str">
        <f>IF(A40="","",IF(AND(N40&gt;0,N40&gt;=p_CompraMin),N40,0))</f>
        <v/>
      </c>
      <c r="Q40" s="85" t="str">
        <f>IF(A40="","",IF(E40="",$R$1,E40))</f>
        <v/>
      </c>
      <c r="R40" s="85" t="str">
        <f>IF(A40="","",IFERROR(INDEX(moeda_fx,MATCH(Q40,moeda_cod,0)),0))</f>
        <v/>
      </c>
      <c r="S40" s="85" t="str">
        <f>IF(A40="","",ROUND(MAX(0,N(G40)*($H$6+$R$7)-H40),2))</f>
        <v/>
      </c>
      <c r="T40" s="85" t="str">
        <f>IF(A40="","",IF(AND(J40&gt;0,J40&gt;=p_DifMin),S40,0))</f>
        <v/>
      </c>
      <c r="U40" s="85" t="str">
        <f>IF(A40="","",IF(AND(T40&gt;0,N(L40)&lt;=p_MaxAtivos),T40,0))</f>
        <v/>
      </c>
    </row>
    <row r="41">
      <c r="A41" s="96" t="n"/>
      <c r="B41" s="96" t="n"/>
      <c r="C41" s="96" t="n"/>
      <c r="D41" s="112" t="n"/>
      <c r="E41" s="97" t="n"/>
      <c r="F41" s="113" t="n"/>
      <c r="G41" s="99" t="n"/>
      <c r="H41" s="70" t="str">
        <f>IF(A41="","",N(F41)*R41)</f>
        <v/>
      </c>
      <c r="I41" s="30" t="str">
        <f>IF(A41="","",IF($H$6&gt;0,H41/$H$6,0))</f>
        <v/>
      </c>
      <c r="J41" s="72" t="str">
        <f>IF(A41="","",N(G41)-I41)</f>
        <v/>
      </c>
      <c r="K41" s="30" t="str">
        <f>IF(A41="","",IF($T$6&gt;0,T41/$T$6,0))</f>
        <v/>
      </c>
      <c r="L41" s="74" t="str">
        <f>IF(A41="","",IF(T41&lt;=0,"",COUNTIF($T$9:$T$68,"&gt;"&amp;T41)+COUNTIF($T$9:T41,T41)))</f>
        <v/>
      </c>
      <c r="M41" s="73" t="str">
        <f>IF(A41="","",IF(N41&gt;0,"BUY","HOLD"))</f>
        <v/>
      </c>
      <c r="N41" s="70" t="str">
        <f>IF(A41="","",IF($R$7&lt;=0,0,IF($U$6&gt;0,$R$7*U41/$U$6,IF($G$6&gt;0,$R$7*N(G41)/$G$6,0))))</f>
        <v/>
      </c>
      <c r="O41" s="70" t="str">
        <f>IF(A41="","",IF(AND(N41&gt;0,N41&gt;=p_CompraMin),N41,0))</f>
        <v/>
      </c>
      <c r="Q41" s="85" t="str">
        <f>IF(A41="","",IF(E41="",$R$1,E41))</f>
        <v/>
      </c>
      <c r="R41" s="85" t="str">
        <f>IF(A41="","",IFERROR(INDEX(moeda_fx,MATCH(Q41,moeda_cod,0)),0))</f>
        <v/>
      </c>
      <c r="S41" s="85" t="str">
        <f>IF(A41="","",ROUND(MAX(0,N(G41)*($H$6+$R$7)-H41),2))</f>
        <v/>
      </c>
      <c r="T41" s="85" t="str">
        <f>IF(A41="","",IF(AND(J41&gt;0,J41&gt;=p_DifMin),S41,0))</f>
        <v/>
      </c>
      <c r="U41" s="85" t="str">
        <f>IF(A41="","",IF(AND(T41&gt;0,N(L41)&lt;=p_MaxAtivos),T41,0))</f>
        <v/>
      </c>
    </row>
    <row r="42">
      <c r="A42" s="96" t="n"/>
      <c r="B42" s="96" t="n"/>
      <c r="C42" s="96" t="n"/>
      <c r="D42" s="112" t="n"/>
      <c r="E42" s="97" t="n"/>
      <c r="F42" s="113" t="n"/>
      <c r="G42" s="99" t="n"/>
      <c r="H42" s="107" t="str">
        <f>IF(A42="","",N(F42)*R42)</f>
        <v/>
      </c>
      <c r="I42" s="108" t="str">
        <f>IF(A42="","",IF($H$6&gt;0,H42/$H$6,0))</f>
        <v/>
      </c>
      <c r="J42" s="109" t="str">
        <f>IF(A42="","",N(G42)-I42)</f>
        <v/>
      </c>
      <c r="K42" s="108" t="str">
        <f>IF(A42="","",IF($T$6&gt;0,T42/$T$6,0))</f>
        <v/>
      </c>
      <c r="L42" s="110" t="str">
        <f>IF(A42="","",IF(T42&lt;=0,"",COUNTIF($T$9:$T$68,"&gt;"&amp;T42)+COUNTIF($T$9:T42,T42)))</f>
        <v/>
      </c>
      <c r="M42" s="105" t="str">
        <f>IF(A42="","",IF(N42&gt;0,"BUY","HOLD"))</f>
        <v/>
      </c>
      <c r="N42" s="107" t="str">
        <f>IF(A42="","",IF($R$7&lt;=0,0,IF($U$6&gt;0,$R$7*U42/$U$6,IF($G$6&gt;0,$R$7*N(G42)/$G$6,0))))</f>
        <v/>
      </c>
      <c r="O42" s="107" t="str">
        <f>IF(A42="","",IF(AND(N42&gt;0,N42&gt;=p_CompraMin),N42,0))</f>
        <v/>
      </c>
      <c r="Q42" s="85" t="str">
        <f>IF(A42="","",IF(E42="",$R$1,E42))</f>
        <v/>
      </c>
      <c r="R42" s="85" t="str">
        <f>IF(A42="","",IFERROR(INDEX(moeda_fx,MATCH(Q42,moeda_cod,0)),0))</f>
        <v/>
      </c>
      <c r="S42" s="85" t="str">
        <f>IF(A42="","",ROUND(MAX(0,N(G42)*($H$6+$R$7)-H42),2))</f>
        <v/>
      </c>
      <c r="T42" s="85" t="str">
        <f>IF(A42="","",IF(AND(J42&gt;0,J42&gt;=p_DifMin),S42,0))</f>
        <v/>
      </c>
      <c r="U42" s="85" t="str">
        <f>IF(A42="","",IF(AND(T42&gt;0,N(L42)&lt;=p_MaxAtivos),T42,0))</f>
        <v/>
      </c>
    </row>
    <row r="43">
      <c r="A43" s="96" t="n"/>
      <c r="B43" s="96" t="n"/>
      <c r="C43" s="96" t="n"/>
      <c r="D43" s="112" t="n"/>
      <c r="E43" s="97" t="n"/>
      <c r="F43" s="113" t="n"/>
      <c r="G43" s="99" t="n"/>
      <c r="H43" s="70" t="str">
        <f>IF(A43="","",N(F43)*R43)</f>
        <v/>
      </c>
      <c r="I43" s="30" t="str">
        <f>IF(A43="","",IF($H$6&gt;0,H43/$H$6,0))</f>
        <v/>
      </c>
      <c r="J43" s="72" t="str">
        <f>IF(A43="","",N(G43)-I43)</f>
        <v/>
      </c>
      <c r="K43" s="30" t="str">
        <f>IF(A43="","",IF($T$6&gt;0,T43/$T$6,0))</f>
        <v/>
      </c>
      <c r="L43" s="74" t="str">
        <f>IF(A43="","",IF(T43&lt;=0,"",COUNTIF($T$9:$T$68,"&gt;"&amp;T43)+COUNTIF($T$9:T43,T43)))</f>
        <v/>
      </c>
      <c r="M43" s="73" t="str">
        <f>IF(A43="","",IF(N43&gt;0,"BUY","HOLD"))</f>
        <v/>
      </c>
      <c r="N43" s="70" t="str">
        <f>IF(A43="","",IF($R$7&lt;=0,0,IF($U$6&gt;0,$R$7*U43/$U$6,IF($G$6&gt;0,$R$7*N(G43)/$G$6,0))))</f>
        <v/>
      </c>
      <c r="O43" s="70" t="str">
        <f>IF(A43="","",IF(AND(N43&gt;0,N43&gt;=p_CompraMin),N43,0))</f>
        <v/>
      </c>
      <c r="Q43" s="85" t="str">
        <f>IF(A43="","",IF(E43="",$R$1,E43))</f>
        <v/>
      </c>
      <c r="R43" s="85" t="str">
        <f>IF(A43="","",IFERROR(INDEX(moeda_fx,MATCH(Q43,moeda_cod,0)),0))</f>
        <v/>
      </c>
      <c r="S43" s="85" t="str">
        <f>IF(A43="","",ROUND(MAX(0,N(G43)*($H$6+$R$7)-H43),2))</f>
        <v/>
      </c>
      <c r="T43" s="85" t="str">
        <f>IF(A43="","",IF(AND(J43&gt;0,J43&gt;=p_DifMin),S43,0))</f>
        <v/>
      </c>
      <c r="U43" s="85" t="str">
        <f>IF(A43="","",IF(AND(T43&gt;0,N(L43)&lt;=p_MaxAtivos),T43,0))</f>
        <v/>
      </c>
    </row>
    <row r="44">
      <c r="A44" s="96" t="n"/>
      <c r="B44" s="96" t="n"/>
      <c r="C44" s="96" t="n"/>
      <c r="D44" s="112" t="n"/>
      <c r="E44" s="97" t="n"/>
      <c r="F44" s="113" t="n"/>
      <c r="G44" s="99" t="n"/>
      <c r="H44" s="107" t="str">
        <f>IF(A44="","",N(F44)*R44)</f>
        <v/>
      </c>
      <c r="I44" s="108" t="str">
        <f>IF(A44="","",IF($H$6&gt;0,H44/$H$6,0))</f>
        <v/>
      </c>
      <c r="J44" s="109" t="str">
        <f>IF(A44="","",N(G44)-I44)</f>
        <v/>
      </c>
      <c r="K44" s="108" t="str">
        <f>IF(A44="","",IF($T$6&gt;0,T44/$T$6,0))</f>
        <v/>
      </c>
      <c r="L44" s="110" t="str">
        <f>IF(A44="","",IF(T44&lt;=0,"",COUNTIF($T$9:$T$68,"&gt;"&amp;T44)+COUNTIF($T$9:T44,T44)))</f>
        <v/>
      </c>
      <c r="M44" s="105" t="str">
        <f>IF(A44="","",IF(N44&gt;0,"BUY","HOLD"))</f>
        <v/>
      </c>
      <c r="N44" s="107" t="str">
        <f>IF(A44="","",IF($R$7&lt;=0,0,IF($U$6&gt;0,$R$7*U44/$U$6,IF($G$6&gt;0,$R$7*N(G44)/$G$6,0))))</f>
        <v/>
      </c>
      <c r="O44" s="107" t="str">
        <f>IF(A44="","",IF(AND(N44&gt;0,N44&gt;=p_CompraMin),N44,0))</f>
        <v/>
      </c>
      <c r="Q44" s="85" t="str">
        <f>IF(A44="","",IF(E44="",$R$1,E44))</f>
        <v/>
      </c>
      <c r="R44" s="85" t="str">
        <f>IF(A44="","",IFERROR(INDEX(moeda_fx,MATCH(Q44,moeda_cod,0)),0))</f>
        <v/>
      </c>
      <c r="S44" s="85" t="str">
        <f>IF(A44="","",ROUND(MAX(0,N(G44)*($H$6+$R$7)-H44),2))</f>
        <v/>
      </c>
      <c r="T44" s="85" t="str">
        <f>IF(A44="","",IF(AND(J44&gt;0,J44&gt;=p_DifMin),S44,0))</f>
        <v/>
      </c>
      <c r="U44" s="85" t="str">
        <f>IF(A44="","",IF(AND(T44&gt;0,N(L44)&lt;=p_MaxAtivos),T44,0))</f>
        <v/>
      </c>
    </row>
    <row r="45">
      <c r="A45" s="96" t="n"/>
      <c r="B45" s="96" t="n"/>
      <c r="C45" s="96" t="n"/>
      <c r="D45" s="112" t="n"/>
      <c r="E45" s="97" t="n"/>
      <c r="F45" s="113" t="n"/>
      <c r="G45" s="99" t="n"/>
      <c r="H45" s="70" t="str">
        <f>IF(A45="","",N(F45)*R45)</f>
        <v/>
      </c>
      <c r="I45" s="30" t="str">
        <f>IF(A45="","",IF($H$6&gt;0,H45/$H$6,0))</f>
        <v/>
      </c>
      <c r="J45" s="72" t="str">
        <f>IF(A45="","",N(G45)-I45)</f>
        <v/>
      </c>
      <c r="K45" s="30" t="str">
        <f>IF(A45="","",IF($T$6&gt;0,T45/$T$6,0))</f>
        <v/>
      </c>
      <c r="L45" s="74" t="str">
        <f>IF(A45="","",IF(T45&lt;=0,"",COUNTIF($T$9:$T$68,"&gt;"&amp;T45)+COUNTIF($T$9:T45,T45)))</f>
        <v/>
      </c>
      <c r="M45" s="73" t="str">
        <f>IF(A45="","",IF(N45&gt;0,"BUY","HOLD"))</f>
        <v/>
      </c>
      <c r="N45" s="70" t="str">
        <f>IF(A45="","",IF($R$7&lt;=0,0,IF($U$6&gt;0,$R$7*U45/$U$6,IF($G$6&gt;0,$R$7*N(G45)/$G$6,0))))</f>
        <v/>
      </c>
      <c r="O45" s="70" t="str">
        <f>IF(A45="","",IF(AND(N45&gt;0,N45&gt;=p_CompraMin),N45,0))</f>
        <v/>
      </c>
      <c r="Q45" s="85" t="str">
        <f>IF(A45="","",IF(E45="",$R$1,E45))</f>
        <v/>
      </c>
      <c r="R45" s="85" t="str">
        <f>IF(A45="","",IFERROR(INDEX(moeda_fx,MATCH(Q45,moeda_cod,0)),0))</f>
        <v/>
      </c>
      <c r="S45" s="85" t="str">
        <f>IF(A45="","",ROUND(MAX(0,N(G45)*($H$6+$R$7)-H45),2))</f>
        <v/>
      </c>
      <c r="T45" s="85" t="str">
        <f>IF(A45="","",IF(AND(J45&gt;0,J45&gt;=p_DifMin),S45,0))</f>
        <v/>
      </c>
      <c r="U45" s="85" t="str">
        <f>IF(A45="","",IF(AND(T45&gt;0,N(L45)&lt;=p_MaxAtivos),T45,0))</f>
        <v/>
      </c>
    </row>
    <row r="46">
      <c r="A46" s="96" t="n"/>
      <c r="B46" s="96" t="n"/>
      <c r="C46" s="96" t="n"/>
      <c r="D46" s="112" t="n"/>
      <c r="E46" s="97" t="n"/>
      <c r="F46" s="113" t="n"/>
      <c r="G46" s="99" t="n"/>
      <c r="H46" s="107" t="str">
        <f>IF(A46="","",N(F46)*R46)</f>
        <v/>
      </c>
      <c r="I46" s="108" t="str">
        <f>IF(A46="","",IF($H$6&gt;0,H46/$H$6,0))</f>
        <v/>
      </c>
      <c r="J46" s="109" t="str">
        <f>IF(A46="","",N(G46)-I46)</f>
        <v/>
      </c>
      <c r="K46" s="108" t="str">
        <f>IF(A46="","",IF($T$6&gt;0,T46/$T$6,0))</f>
        <v/>
      </c>
      <c r="L46" s="110" t="str">
        <f>IF(A46="","",IF(T46&lt;=0,"",COUNTIF($T$9:$T$68,"&gt;"&amp;T46)+COUNTIF($T$9:T46,T46)))</f>
        <v/>
      </c>
      <c r="M46" s="105" t="str">
        <f>IF(A46="","",IF(N46&gt;0,"BUY","HOLD"))</f>
        <v/>
      </c>
      <c r="N46" s="107" t="str">
        <f>IF(A46="","",IF($R$7&lt;=0,0,IF($U$6&gt;0,$R$7*U46/$U$6,IF($G$6&gt;0,$R$7*N(G46)/$G$6,0))))</f>
        <v/>
      </c>
      <c r="O46" s="107" t="str">
        <f>IF(A46="","",IF(AND(N46&gt;0,N46&gt;=p_CompraMin),N46,0))</f>
        <v/>
      </c>
      <c r="Q46" s="85" t="str">
        <f>IF(A46="","",IF(E46="",$R$1,E46))</f>
        <v/>
      </c>
      <c r="R46" s="85" t="str">
        <f>IF(A46="","",IFERROR(INDEX(moeda_fx,MATCH(Q46,moeda_cod,0)),0))</f>
        <v/>
      </c>
      <c r="S46" s="85" t="str">
        <f>IF(A46="","",ROUND(MAX(0,N(G46)*($H$6+$R$7)-H46),2))</f>
        <v/>
      </c>
      <c r="T46" s="85" t="str">
        <f>IF(A46="","",IF(AND(J46&gt;0,J46&gt;=p_DifMin),S46,0))</f>
        <v/>
      </c>
      <c r="U46" s="85" t="str">
        <f>IF(A46="","",IF(AND(T46&gt;0,N(L46)&lt;=p_MaxAtivos),T46,0))</f>
        <v/>
      </c>
    </row>
    <row r="47">
      <c r="A47" s="96" t="n"/>
      <c r="B47" s="96" t="n"/>
      <c r="C47" s="96" t="n"/>
      <c r="D47" s="112" t="n"/>
      <c r="E47" s="97" t="n"/>
      <c r="F47" s="113" t="n"/>
      <c r="G47" s="99" t="n"/>
      <c r="H47" s="70" t="str">
        <f>IF(A47="","",N(F47)*R47)</f>
        <v/>
      </c>
      <c r="I47" s="30" t="str">
        <f>IF(A47="","",IF($H$6&gt;0,H47/$H$6,0))</f>
        <v/>
      </c>
      <c r="J47" s="72" t="str">
        <f>IF(A47="","",N(G47)-I47)</f>
        <v/>
      </c>
      <c r="K47" s="30" t="str">
        <f>IF(A47="","",IF($T$6&gt;0,T47/$T$6,0))</f>
        <v/>
      </c>
      <c r="L47" s="74" t="str">
        <f>IF(A47="","",IF(T47&lt;=0,"",COUNTIF($T$9:$T$68,"&gt;"&amp;T47)+COUNTIF($T$9:T47,T47)))</f>
        <v/>
      </c>
      <c r="M47" s="73" t="str">
        <f>IF(A47="","",IF(N47&gt;0,"BUY","HOLD"))</f>
        <v/>
      </c>
      <c r="N47" s="70" t="str">
        <f>IF(A47="","",IF($R$7&lt;=0,0,IF($U$6&gt;0,$R$7*U47/$U$6,IF($G$6&gt;0,$R$7*N(G47)/$G$6,0))))</f>
        <v/>
      </c>
      <c r="O47" s="70" t="str">
        <f>IF(A47="","",IF(AND(N47&gt;0,N47&gt;=p_CompraMin),N47,0))</f>
        <v/>
      </c>
      <c r="Q47" s="85" t="str">
        <f>IF(A47="","",IF(E47="",$R$1,E47))</f>
        <v/>
      </c>
      <c r="R47" s="85" t="str">
        <f>IF(A47="","",IFERROR(INDEX(moeda_fx,MATCH(Q47,moeda_cod,0)),0))</f>
        <v/>
      </c>
      <c r="S47" s="85" t="str">
        <f>IF(A47="","",ROUND(MAX(0,N(G47)*($H$6+$R$7)-H47),2))</f>
        <v/>
      </c>
      <c r="T47" s="85" t="str">
        <f>IF(A47="","",IF(AND(J47&gt;0,J47&gt;=p_DifMin),S47,0))</f>
        <v/>
      </c>
      <c r="U47" s="85" t="str">
        <f>IF(A47="","",IF(AND(T47&gt;0,N(L47)&lt;=p_MaxAtivos),T47,0))</f>
        <v/>
      </c>
    </row>
    <row r="48">
      <c r="A48" s="96" t="n"/>
      <c r="B48" s="96" t="n"/>
      <c r="C48" s="96" t="n"/>
      <c r="D48" s="112" t="n"/>
      <c r="E48" s="97" t="n"/>
      <c r="F48" s="113" t="n"/>
      <c r="G48" s="99" t="n"/>
      <c r="H48" s="107" t="str">
        <f>IF(A48="","",N(F48)*R48)</f>
        <v/>
      </c>
      <c r="I48" s="108" t="str">
        <f>IF(A48="","",IF($H$6&gt;0,H48/$H$6,0))</f>
        <v/>
      </c>
      <c r="J48" s="109" t="str">
        <f>IF(A48="","",N(G48)-I48)</f>
        <v/>
      </c>
      <c r="K48" s="108" t="str">
        <f>IF(A48="","",IF($T$6&gt;0,T48/$T$6,0))</f>
        <v/>
      </c>
      <c r="L48" s="110" t="str">
        <f>IF(A48="","",IF(T48&lt;=0,"",COUNTIF($T$9:$T$68,"&gt;"&amp;T48)+COUNTIF($T$9:T48,T48)))</f>
        <v/>
      </c>
      <c r="M48" s="105" t="str">
        <f>IF(A48="","",IF(N48&gt;0,"BUY","HOLD"))</f>
        <v/>
      </c>
      <c r="N48" s="107" t="str">
        <f>IF(A48="","",IF($R$7&lt;=0,0,IF($U$6&gt;0,$R$7*U48/$U$6,IF($G$6&gt;0,$R$7*N(G48)/$G$6,0))))</f>
        <v/>
      </c>
      <c r="O48" s="107" t="str">
        <f>IF(A48="","",IF(AND(N48&gt;0,N48&gt;=p_CompraMin),N48,0))</f>
        <v/>
      </c>
      <c r="Q48" s="85" t="str">
        <f>IF(A48="","",IF(E48="",$R$1,E48))</f>
        <v/>
      </c>
      <c r="R48" s="85" t="str">
        <f>IF(A48="","",IFERROR(INDEX(moeda_fx,MATCH(Q48,moeda_cod,0)),0))</f>
        <v/>
      </c>
      <c r="S48" s="85" t="str">
        <f>IF(A48="","",ROUND(MAX(0,N(G48)*($H$6+$R$7)-H48),2))</f>
        <v/>
      </c>
      <c r="T48" s="85" t="str">
        <f>IF(A48="","",IF(AND(J48&gt;0,J48&gt;=p_DifMin),S48,0))</f>
        <v/>
      </c>
      <c r="U48" s="85" t="str">
        <f>IF(A48="","",IF(AND(T48&gt;0,N(L48)&lt;=p_MaxAtivos),T48,0))</f>
        <v/>
      </c>
    </row>
    <row r="49">
      <c r="A49" s="96" t="n"/>
      <c r="B49" s="96" t="n"/>
      <c r="C49" s="96" t="n"/>
      <c r="D49" s="112" t="n"/>
      <c r="E49" s="97" t="n"/>
      <c r="F49" s="113" t="n"/>
      <c r="G49" s="99" t="n"/>
      <c r="H49" s="70" t="str">
        <f>IF(A49="","",N(F49)*R49)</f>
        <v/>
      </c>
      <c r="I49" s="30" t="str">
        <f>IF(A49="","",IF($H$6&gt;0,H49/$H$6,0))</f>
        <v/>
      </c>
      <c r="J49" s="72" t="str">
        <f>IF(A49="","",N(G49)-I49)</f>
        <v/>
      </c>
      <c r="K49" s="30" t="str">
        <f>IF(A49="","",IF($T$6&gt;0,T49/$T$6,0))</f>
        <v/>
      </c>
      <c r="L49" s="74" t="str">
        <f>IF(A49="","",IF(T49&lt;=0,"",COUNTIF($T$9:$T$68,"&gt;"&amp;T49)+COUNTIF($T$9:T49,T49)))</f>
        <v/>
      </c>
      <c r="M49" s="73" t="str">
        <f>IF(A49="","",IF(N49&gt;0,"BUY","HOLD"))</f>
        <v/>
      </c>
      <c r="N49" s="70" t="str">
        <f>IF(A49="","",IF($R$7&lt;=0,0,IF($U$6&gt;0,$R$7*U49/$U$6,IF($G$6&gt;0,$R$7*N(G49)/$G$6,0))))</f>
        <v/>
      </c>
      <c r="O49" s="70" t="str">
        <f>IF(A49="","",IF(AND(N49&gt;0,N49&gt;=p_CompraMin),N49,0))</f>
        <v/>
      </c>
      <c r="Q49" s="85" t="str">
        <f>IF(A49="","",IF(E49="",$R$1,E49))</f>
        <v/>
      </c>
      <c r="R49" s="85" t="str">
        <f>IF(A49="","",IFERROR(INDEX(moeda_fx,MATCH(Q49,moeda_cod,0)),0))</f>
        <v/>
      </c>
      <c r="S49" s="85" t="str">
        <f>IF(A49="","",ROUND(MAX(0,N(G49)*($H$6+$R$7)-H49),2))</f>
        <v/>
      </c>
      <c r="T49" s="85" t="str">
        <f>IF(A49="","",IF(AND(J49&gt;0,J49&gt;=p_DifMin),S49,0))</f>
        <v/>
      </c>
      <c r="U49" s="85" t="str">
        <f>IF(A49="","",IF(AND(T49&gt;0,N(L49)&lt;=p_MaxAtivos),T49,0))</f>
        <v/>
      </c>
    </row>
    <row r="50">
      <c r="A50" s="96" t="n"/>
      <c r="B50" s="96" t="n"/>
      <c r="C50" s="96" t="n"/>
      <c r="D50" s="112" t="n"/>
      <c r="E50" s="97" t="n"/>
      <c r="F50" s="113" t="n"/>
      <c r="G50" s="99" t="n"/>
      <c r="H50" s="107" t="str">
        <f>IF(A50="","",N(F50)*R50)</f>
        <v/>
      </c>
      <c r="I50" s="108" t="str">
        <f>IF(A50="","",IF($H$6&gt;0,H50/$H$6,0))</f>
        <v/>
      </c>
      <c r="J50" s="109" t="str">
        <f>IF(A50="","",N(G50)-I50)</f>
        <v/>
      </c>
      <c r="K50" s="108" t="str">
        <f>IF(A50="","",IF($T$6&gt;0,T50/$T$6,0))</f>
        <v/>
      </c>
      <c r="L50" s="110" t="str">
        <f>IF(A50="","",IF(T50&lt;=0,"",COUNTIF($T$9:$T$68,"&gt;"&amp;T50)+COUNTIF($T$9:T50,T50)))</f>
        <v/>
      </c>
      <c r="M50" s="105" t="str">
        <f>IF(A50="","",IF(N50&gt;0,"BUY","HOLD"))</f>
        <v/>
      </c>
      <c r="N50" s="107" t="str">
        <f>IF(A50="","",IF($R$7&lt;=0,0,IF($U$6&gt;0,$R$7*U50/$U$6,IF($G$6&gt;0,$R$7*N(G50)/$G$6,0))))</f>
        <v/>
      </c>
      <c r="O50" s="107" t="str">
        <f>IF(A50="","",IF(AND(N50&gt;0,N50&gt;=p_CompraMin),N50,0))</f>
        <v/>
      </c>
      <c r="Q50" s="85" t="str">
        <f>IF(A50="","",IF(E50="",$R$1,E50))</f>
        <v/>
      </c>
      <c r="R50" s="85" t="str">
        <f>IF(A50="","",IFERROR(INDEX(moeda_fx,MATCH(Q50,moeda_cod,0)),0))</f>
        <v/>
      </c>
      <c r="S50" s="85" t="str">
        <f>IF(A50="","",ROUND(MAX(0,N(G50)*($H$6+$R$7)-H50),2))</f>
        <v/>
      </c>
      <c r="T50" s="85" t="str">
        <f>IF(A50="","",IF(AND(J50&gt;0,J50&gt;=p_DifMin),S50,0))</f>
        <v/>
      </c>
      <c r="U50" s="85" t="str">
        <f>IF(A50="","",IF(AND(T50&gt;0,N(L50)&lt;=p_MaxAtivos),T50,0))</f>
        <v/>
      </c>
    </row>
    <row r="51">
      <c r="A51" s="96" t="n"/>
      <c r="B51" s="96" t="n"/>
      <c r="C51" s="96" t="n"/>
      <c r="D51" s="112" t="n"/>
      <c r="E51" s="97" t="n"/>
      <c r="F51" s="113" t="n"/>
      <c r="G51" s="99" t="n"/>
      <c r="H51" s="70" t="str">
        <f>IF(A51="","",N(F51)*R51)</f>
        <v/>
      </c>
      <c r="I51" s="30" t="str">
        <f>IF(A51="","",IF($H$6&gt;0,H51/$H$6,0))</f>
        <v/>
      </c>
      <c r="J51" s="72" t="str">
        <f>IF(A51="","",N(G51)-I51)</f>
        <v/>
      </c>
      <c r="K51" s="30" t="str">
        <f>IF(A51="","",IF($T$6&gt;0,T51/$T$6,0))</f>
        <v/>
      </c>
      <c r="L51" s="74" t="str">
        <f>IF(A51="","",IF(T51&lt;=0,"",COUNTIF($T$9:$T$68,"&gt;"&amp;T51)+COUNTIF($T$9:T51,T51)))</f>
        <v/>
      </c>
      <c r="M51" s="73" t="str">
        <f>IF(A51="","",IF(N51&gt;0,"BUY","HOLD"))</f>
        <v/>
      </c>
      <c r="N51" s="70" t="str">
        <f>IF(A51="","",IF($R$7&lt;=0,0,IF($U$6&gt;0,$R$7*U51/$U$6,IF($G$6&gt;0,$R$7*N(G51)/$G$6,0))))</f>
        <v/>
      </c>
      <c r="O51" s="70" t="str">
        <f>IF(A51="","",IF(AND(N51&gt;0,N51&gt;=p_CompraMin),N51,0))</f>
        <v/>
      </c>
      <c r="Q51" s="85" t="str">
        <f>IF(A51="","",IF(E51="",$R$1,E51))</f>
        <v/>
      </c>
      <c r="R51" s="85" t="str">
        <f>IF(A51="","",IFERROR(INDEX(moeda_fx,MATCH(Q51,moeda_cod,0)),0))</f>
        <v/>
      </c>
      <c r="S51" s="85" t="str">
        <f>IF(A51="","",ROUND(MAX(0,N(G51)*($H$6+$R$7)-H51),2))</f>
        <v/>
      </c>
      <c r="T51" s="85" t="str">
        <f>IF(A51="","",IF(AND(J51&gt;0,J51&gt;=p_DifMin),S51,0))</f>
        <v/>
      </c>
      <c r="U51" s="85" t="str">
        <f>IF(A51="","",IF(AND(T51&gt;0,N(L51)&lt;=p_MaxAtivos),T51,0))</f>
        <v/>
      </c>
    </row>
    <row r="52">
      <c r="A52" s="96" t="n"/>
      <c r="B52" s="96" t="n"/>
      <c r="C52" s="96" t="n"/>
      <c r="D52" s="112" t="n"/>
      <c r="E52" s="97" t="n"/>
      <c r="F52" s="113" t="n"/>
      <c r="G52" s="99" t="n"/>
      <c r="H52" s="107" t="str">
        <f>IF(A52="","",N(F52)*R52)</f>
        <v/>
      </c>
      <c r="I52" s="108" t="str">
        <f>IF(A52="","",IF($H$6&gt;0,H52/$H$6,0))</f>
        <v/>
      </c>
      <c r="J52" s="109" t="str">
        <f>IF(A52="","",N(G52)-I52)</f>
        <v/>
      </c>
      <c r="K52" s="108" t="str">
        <f>IF(A52="","",IF($T$6&gt;0,T52/$T$6,0))</f>
        <v/>
      </c>
      <c r="L52" s="110" t="str">
        <f>IF(A52="","",IF(T52&lt;=0,"",COUNTIF($T$9:$T$68,"&gt;"&amp;T52)+COUNTIF($T$9:T52,T52)))</f>
        <v/>
      </c>
      <c r="M52" s="105" t="str">
        <f>IF(A52="","",IF(N52&gt;0,"BUY","HOLD"))</f>
        <v/>
      </c>
      <c r="N52" s="107" t="str">
        <f>IF(A52="","",IF($R$7&lt;=0,0,IF($U$6&gt;0,$R$7*U52/$U$6,IF($G$6&gt;0,$R$7*N(G52)/$G$6,0))))</f>
        <v/>
      </c>
      <c r="O52" s="107" t="str">
        <f>IF(A52="","",IF(AND(N52&gt;0,N52&gt;=p_CompraMin),N52,0))</f>
        <v/>
      </c>
      <c r="Q52" s="85" t="str">
        <f>IF(A52="","",IF(E52="",$R$1,E52))</f>
        <v/>
      </c>
      <c r="R52" s="85" t="str">
        <f>IF(A52="","",IFERROR(INDEX(moeda_fx,MATCH(Q52,moeda_cod,0)),0))</f>
        <v/>
      </c>
      <c r="S52" s="85" t="str">
        <f>IF(A52="","",ROUND(MAX(0,N(G52)*($H$6+$R$7)-H52),2))</f>
        <v/>
      </c>
      <c r="T52" s="85" t="str">
        <f>IF(A52="","",IF(AND(J52&gt;0,J52&gt;=p_DifMin),S52,0))</f>
        <v/>
      </c>
      <c r="U52" s="85" t="str">
        <f>IF(A52="","",IF(AND(T52&gt;0,N(L52)&lt;=p_MaxAtivos),T52,0))</f>
        <v/>
      </c>
    </row>
    <row r="53">
      <c r="A53" s="96" t="n"/>
      <c r="B53" s="96" t="n"/>
      <c r="C53" s="96" t="n"/>
      <c r="D53" s="112" t="n"/>
      <c r="E53" s="97" t="n"/>
      <c r="F53" s="113" t="n"/>
      <c r="G53" s="99" t="n"/>
      <c r="H53" s="70" t="str">
        <f>IF(A53="","",N(F53)*R53)</f>
        <v/>
      </c>
      <c r="I53" s="30" t="str">
        <f>IF(A53="","",IF($H$6&gt;0,H53/$H$6,0))</f>
        <v/>
      </c>
      <c r="J53" s="72" t="str">
        <f>IF(A53="","",N(G53)-I53)</f>
        <v/>
      </c>
      <c r="K53" s="30" t="str">
        <f>IF(A53="","",IF($T$6&gt;0,T53/$T$6,0))</f>
        <v/>
      </c>
      <c r="L53" s="74" t="str">
        <f>IF(A53="","",IF(T53&lt;=0,"",COUNTIF($T$9:$T$68,"&gt;"&amp;T53)+COUNTIF($T$9:T53,T53)))</f>
        <v/>
      </c>
      <c r="M53" s="73" t="str">
        <f>IF(A53="","",IF(N53&gt;0,"BUY","HOLD"))</f>
        <v/>
      </c>
      <c r="N53" s="70" t="str">
        <f>IF(A53="","",IF($R$7&lt;=0,0,IF($U$6&gt;0,$R$7*U53/$U$6,IF($G$6&gt;0,$R$7*N(G53)/$G$6,0))))</f>
        <v/>
      </c>
      <c r="O53" s="70" t="str">
        <f>IF(A53="","",IF(AND(N53&gt;0,N53&gt;=p_CompraMin),N53,0))</f>
        <v/>
      </c>
      <c r="Q53" s="85" t="str">
        <f>IF(A53="","",IF(E53="",$R$1,E53))</f>
        <v/>
      </c>
      <c r="R53" s="85" t="str">
        <f>IF(A53="","",IFERROR(INDEX(moeda_fx,MATCH(Q53,moeda_cod,0)),0))</f>
        <v/>
      </c>
      <c r="S53" s="85" t="str">
        <f>IF(A53="","",ROUND(MAX(0,N(G53)*($H$6+$R$7)-H53),2))</f>
        <v/>
      </c>
      <c r="T53" s="85" t="str">
        <f>IF(A53="","",IF(AND(J53&gt;0,J53&gt;=p_DifMin),S53,0))</f>
        <v/>
      </c>
      <c r="U53" s="85" t="str">
        <f>IF(A53="","",IF(AND(T53&gt;0,N(L53)&lt;=p_MaxAtivos),T53,0))</f>
        <v/>
      </c>
    </row>
    <row r="54">
      <c r="A54" s="96" t="n"/>
      <c r="B54" s="96" t="n"/>
      <c r="C54" s="96" t="n"/>
      <c r="D54" s="112" t="n"/>
      <c r="E54" s="97" t="n"/>
      <c r="F54" s="113" t="n"/>
      <c r="G54" s="99" t="n"/>
      <c r="H54" s="107" t="str">
        <f>IF(A54="","",N(F54)*R54)</f>
        <v/>
      </c>
      <c r="I54" s="108" t="str">
        <f>IF(A54="","",IF($H$6&gt;0,H54/$H$6,0))</f>
        <v/>
      </c>
      <c r="J54" s="109" t="str">
        <f>IF(A54="","",N(G54)-I54)</f>
        <v/>
      </c>
      <c r="K54" s="108" t="str">
        <f>IF(A54="","",IF($T$6&gt;0,T54/$T$6,0))</f>
        <v/>
      </c>
      <c r="L54" s="110" t="str">
        <f>IF(A54="","",IF(T54&lt;=0,"",COUNTIF($T$9:$T$68,"&gt;"&amp;T54)+COUNTIF($T$9:T54,T54)))</f>
        <v/>
      </c>
      <c r="M54" s="105" t="str">
        <f>IF(A54="","",IF(N54&gt;0,"BUY","HOLD"))</f>
        <v/>
      </c>
      <c r="N54" s="107" t="str">
        <f>IF(A54="","",IF($R$7&lt;=0,0,IF($U$6&gt;0,$R$7*U54/$U$6,IF($G$6&gt;0,$R$7*N(G54)/$G$6,0))))</f>
        <v/>
      </c>
      <c r="O54" s="107" t="str">
        <f>IF(A54="","",IF(AND(N54&gt;0,N54&gt;=p_CompraMin),N54,0))</f>
        <v/>
      </c>
      <c r="Q54" s="85" t="str">
        <f>IF(A54="","",IF(E54="",$R$1,E54))</f>
        <v/>
      </c>
      <c r="R54" s="85" t="str">
        <f>IF(A54="","",IFERROR(INDEX(moeda_fx,MATCH(Q54,moeda_cod,0)),0))</f>
        <v/>
      </c>
      <c r="S54" s="85" t="str">
        <f>IF(A54="","",ROUND(MAX(0,N(G54)*($H$6+$R$7)-H54),2))</f>
        <v/>
      </c>
      <c r="T54" s="85" t="str">
        <f>IF(A54="","",IF(AND(J54&gt;0,J54&gt;=p_DifMin),S54,0))</f>
        <v/>
      </c>
      <c r="U54" s="85" t="str">
        <f>IF(A54="","",IF(AND(T54&gt;0,N(L54)&lt;=p_MaxAtivos),T54,0))</f>
        <v/>
      </c>
    </row>
    <row r="55">
      <c r="A55" s="96" t="n"/>
      <c r="B55" s="96" t="n"/>
      <c r="C55" s="96" t="n"/>
      <c r="D55" s="112" t="n"/>
      <c r="E55" s="97" t="n"/>
      <c r="F55" s="113" t="n"/>
      <c r="G55" s="99" t="n"/>
      <c r="H55" s="70" t="str">
        <f>IF(A55="","",N(F55)*R55)</f>
        <v/>
      </c>
      <c r="I55" s="30" t="str">
        <f>IF(A55="","",IF($H$6&gt;0,H55/$H$6,0))</f>
        <v/>
      </c>
      <c r="J55" s="72" t="str">
        <f>IF(A55="","",N(G55)-I55)</f>
        <v/>
      </c>
      <c r="K55" s="30" t="str">
        <f>IF(A55="","",IF($T$6&gt;0,T55/$T$6,0))</f>
        <v/>
      </c>
      <c r="L55" s="74" t="str">
        <f>IF(A55="","",IF(T55&lt;=0,"",COUNTIF($T$9:$T$68,"&gt;"&amp;T55)+COUNTIF($T$9:T55,T55)))</f>
        <v/>
      </c>
      <c r="M55" s="73" t="str">
        <f>IF(A55="","",IF(N55&gt;0,"BUY","HOLD"))</f>
        <v/>
      </c>
      <c r="N55" s="70" t="str">
        <f>IF(A55="","",IF($R$7&lt;=0,0,IF($U$6&gt;0,$R$7*U55/$U$6,IF($G$6&gt;0,$R$7*N(G55)/$G$6,0))))</f>
        <v/>
      </c>
      <c r="O55" s="70" t="str">
        <f>IF(A55="","",IF(AND(N55&gt;0,N55&gt;=p_CompraMin),N55,0))</f>
        <v/>
      </c>
      <c r="Q55" s="85" t="str">
        <f>IF(A55="","",IF(E55="",$R$1,E55))</f>
        <v/>
      </c>
      <c r="R55" s="85" t="str">
        <f>IF(A55="","",IFERROR(INDEX(moeda_fx,MATCH(Q55,moeda_cod,0)),0))</f>
        <v/>
      </c>
      <c r="S55" s="85" t="str">
        <f>IF(A55="","",ROUND(MAX(0,N(G55)*($H$6+$R$7)-H55),2))</f>
        <v/>
      </c>
      <c r="T55" s="85" t="str">
        <f>IF(A55="","",IF(AND(J55&gt;0,J55&gt;=p_DifMin),S55,0))</f>
        <v/>
      </c>
      <c r="U55" s="85" t="str">
        <f>IF(A55="","",IF(AND(T55&gt;0,N(L55)&lt;=p_MaxAtivos),T55,0))</f>
        <v/>
      </c>
    </row>
    <row r="56">
      <c r="A56" s="96" t="n"/>
      <c r="B56" s="96" t="n"/>
      <c r="C56" s="96" t="n"/>
      <c r="D56" s="112" t="n"/>
      <c r="E56" s="97" t="n"/>
      <c r="F56" s="113" t="n"/>
      <c r="G56" s="99" t="n"/>
      <c r="H56" s="107" t="str">
        <f>IF(A56="","",N(F56)*R56)</f>
        <v/>
      </c>
      <c r="I56" s="108" t="str">
        <f>IF(A56="","",IF($H$6&gt;0,H56/$H$6,0))</f>
        <v/>
      </c>
      <c r="J56" s="109" t="str">
        <f>IF(A56="","",N(G56)-I56)</f>
        <v/>
      </c>
      <c r="K56" s="108" t="str">
        <f>IF(A56="","",IF($T$6&gt;0,T56/$T$6,0))</f>
        <v/>
      </c>
      <c r="L56" s="110" t="str">
        <f>IF(A56="","",IF(T56&lt;=0,"",COUNTIF($T$9:$T$68,"&gt;"&amp;T56)+COUNTIF($T$9:T56,T56)))</f>
        <v/>
      </c>
      <c r="M56" s="105" t="str">
        <f>IF(A56="","",IF(N56&gt;0,"BUY","HOLD"))</f>
        <v/>
      </c>
      <c r="N56" s="107" t="str">
        <f>IF(A56="","",IF($R$7&lt;=0,0,IF($U$6&gt;0,$R$7*U56/$U$6,IF($G$6&gt;0,$R$7*N(G56)/$G$6,0))))</f>
        <v/>
      </c>
      <c r="O56" s="107" t="str">
        <f>IF(A56="","",IF(AND(N56&gt;0,N56&gt;=p_CompraMin),N56,0))</f>
        <v/>
      </c>
      <c r="Q56" s="85" t="str">
        <f>IF(A56="","",IF(E56="",$R$1,E56))</f>
        <v/>
      </c>
      <c r="R56" s="85" t="str">
        <f>IF(A56="","",IFERROR(INDEX(moeda_fx,MATCH(Q56,moeda_cod,0)),0))</f>
        <v/>
      </c>
      <c r="S56" s="85" t="str">
        <f>IF(A56="","",ROUND(MAX(0,N(G56)*($H$6+$R$7)-H56),2))</f>
        <v/>
      </c>
      <c r="T56" s="85" t="str">
        <f>IF(A56="","",IF(AND(J56&gt;0,J56&gt;=p_DifMin),S56,0))</f>
        <v/>
      </c>
      <c r="U56" s="85" t="str">
        <f>IF(A56="","",IF(AND(T56&gt;0,N(L56)&lt;=p_MaxAtivos),T56,0))</f>
        <v/>
      </c>
    </row>
    <row r="57">
      <c r="A57" s="96" t="n"/>
      <c r="B57" s="96" t="n"/>
      <c r="C57" s="96" t="n"/>
      <c r="D57" s="112" t="n"/>
      <c r="E57" s="97" t="n"/>
      <c r="F57" s="113" t="n"/>
      <c r="G57" s="99" t="n"/>
      <c r="H57" s="70" t="str">
        <f>IF(A57="","",N(F57)*R57)</f>
        <v/>
      </c>
      <c r="I57" s="30" t="str">
        <f>IF(A57="","",IF($H$6&gt;0,H57/$H$6,0))</f>
        <v/>
      </c>
      <c r="J57" s="72" t="str">
        <f>IF(A57="","",N(G57)-I57)</f>
        <v/>
      </c>
      <c r="K57" s="30" t="str">
        <f>IF(A57="","",IF($T$6&gt;0,T57/$T$6,0))</f>
        <v/>
      </c>
      <c r="L57" s="74" t="str">
        <f>IF(A57="","",IF(T57&lt;=0,"",COUNTIF($T$9:$T$68,"&gt;"&amp;T57)+COUNTIF($T$9:T57,T57)))</f>
        <v/>
      </c>
      <c r="M57" s="73" t="str">
        <f>IF(A57="","",IF(N57&gt;0,"BUY","HOLD"))</f>
        <v/>
      </c>
      <c r="N57" s="70" t="str">
        <f>IF(A57="","",IF($R$7&lt;=0,0,IF($U$6&gt;0,$R$7*U57/$U$6,IF($G$6&gt;0,$R$7*N(G57)/$G$6,0))))</f>
        <v/>
      </c>
      <c r="O57" s="70" t="str">
        <f>IF(A57="","",IF(AND(N57&gt;0,N57&gt;=p_CompraMin),N57,0))</f>
        <v/>
      </c>
      <c r="Q57" s="85" t="str">
        <f>IF(A57="","",IF(E57="",$R$1,E57))</f>
        <v/>
      </c>
      <c r="R57" s="85" t="str">
        <f>IF(A57="","",IFERROR(INDEX(moeda_fx,MATCH(Q57,moeda_cod,0)),0))</f>
        <v/>
      </c>
      <c r="S57" s="85" t="str">
        <f>IF(A57="","",ROUND(MAX(0,N(G57)*($H$6+$R$7)-H57),2))</f>
        <v/>
      </c>
      <c r="T57" s="85" t="str">
        <f>IF(A57="","",IF(AND(J57&gt;0,J57&gt;=p_DifMin),S57,0))</f>
        <v/>
      </c>
      <c r="U57" s="85" t="str">
        <f>IF(A57="","",IF(AND(T57&gt;0,N(L57)&lt;=p_MaxAtivos),T57,0))</f>
        <v/>
      </c>
    </row>
    <row r="58">
      <c r="A58" s="96" t="n"/>
      <c r="B58" s="96" t="n"/>
      <c r="C58" s="96" t="n"/>
      <c r="D58" s="112" t="n"/>
      <c r="E58" s="97" t="n"/>
      <c r="F58" s="113" t="n"/>
      <c r="G58" s="99" t="n"/>
      <c r="H58" s="107" t="str">
        <f>IF(A58="","",N(F58)*R58)</f>
        <v/>
      </c>
      <c r="I58" s="108" t="str">
        <f>IF(A58="","",IF($H$6&gt;0,H58/$H$6,0))</f>
        <v/>
      </c>
      <c r="J58" s="109" t="str">
        <f>IF(A58="","",N(G58)-I58)</f>
        <v/>
      </c>
      <c r="K58" s="108" t="str">
        <f>IF(A58="","",IF($T$6&gt;0,T58/$T$6,0))</f>
        <v/>
      </c>
      <c r="L58" s="110" t="str">
        <f>IF(A58="","",IF(T58&lt;=0,"",COUNTIF($T$9:$T$68,"&gt;"&amp;T58)+COUNTIF($T$9:T58,T58)))</f>
        <v/>
      </c>
      <c r="M58" s="105" t="str">
        <f>IF(A58="","",IF(N58&gt;0,"BUY","HOLD"))</f>
        <v/>
      </c>
      <c r="N58" s="107" t="str">
        <f>IF(A58="","",IF($R$7&lt;=0,0,IF($U$6&gt;0,$R$7*U58/$U$6,IF($G$6&gt;0,$R$7*N(G58)/$G$6,0))))</f>
        <v/>
      </c>
      <c r="O58" s="107" t="str">
        <f>IF(A58="","",IF(AND(N58&gt;0,N58&gt;=p_CompraMin),N58,0))</f>
        <v/>
      </c>
      <c r="Q58" s="85" t="str">
        <f>IF(A58="","",IF(E58="",$R$1,E58))</f>
        <v/>
      </c>
      <c r="R58" s="85" t="str">
        <f>IF(A58="","",IFERROR(INDEX(moeda_fx,MATCH(Q58,moeda_cod,0)),0))</f>
        <v/>
      </c>
      <c r="S58" s="85" t="str">
        <f>IF(A58="","",ROUND(MAX(0,N(G58)*($H$6+$R$7)-H58),2))</f>
        <v/>
      </c>
      <c r="T58" s="85" t="str">
        <f>IF(A58="","",IF(AND(J58&gt;0,J58&gt;=p_DifMin),S58,0))</f>
        <v/>
      </c>
      <c r="U58" s="85" t="str">
        <f>IF(A58="","",IF(AND(T58&gt;0,N(L58)&lt;=p_MaxAtivos),T58,0))</f>
        <v/>
      </c>
    </row>
    <row r="59">
      <c r="A59" s="96" t="n"/>
      <c r="B59" s="96" t="n"/>
      <c r="C59" s="96" t="n"/>
      <c r="D59" s="112" t="n"/>
      <c r="E59" s="97" t="n"/>
      <c r="F59" s="113" t="n"/>
      <c r="G59" s="99" t="n"/>
      <c r="H59" s="70" t="str">
        <f>IF(A59="","",N(F59)*R59)</f>
        <v/>
      </c>
      <c r="I59" s="30" t="str">
        <f>IF(A59="","",IF($H$6&gt;0,H59/$H$6,0))</f>
        <v/>
      </c>
      <c r="J59" s="72" t="str">
        <f>IF(A59="","",N(G59)-I59)</f>
        <v/>
      </c>
      <c r="K59" s="30" t="str">
        <f>IF(A59="","",IF($T$6&gt;0,T59/$T$6,0))</f>
        <v/>
      </c>
      <c r="L59" s="74" t="str">
        <f>IF(A59="","",IF(T59&lt;=0,"",COUNTIF($T$9:$T$68,"&gt;"&amp;T59)+COUNTIF($T$9:T59,T59)))</f>
        <v/>
      </c>
      <c r="M59" s="73" t="str">
        <f>IF(A59="","",IF(N59&gt;0,"BUY","HOLD"))</f>
        <v/>
      </c>
      <c r="N59" s="70" t="str">
        <f>IF(A59="","",IF($R$7&lt;=0,0,IF($U$6&gt;0,$R$7*U59/$U$6,IF($G$6&gt;0,$R$7*N(G59)/$G$6,0))))</f>
        <v/>
      </c>
      <c r="O59" s="70" t="str">
        <f>IF(A59="","",IF(AND(N59&gt;0,N59&gt;=p_CompraMin),N59,0))</f>
        <v/>
      </c>
      <c r="Q59" s="85" t="str">
        <f>IF(A59="","",IF(E59="",$R$1,E59))</f>
        <v/>
      </c>
      <c r="R59" s="85" t="str">
        <f>IF(A59="","",IFERROR(INDEX(moeda_fx,MATCH(Q59,moeda_cod,0)),0))</f>
        <v/>
      </c>
      <c r="S59" s="85" t="str">
        <f>IF(A59="","",ROUND(MAX(0,N(G59)*($H$6+$R$7)-H59),2))</f>
        <v/>
      </c>
      <c r="T59" s="85" t="str">
        <f>IF(A59="","",IF(AND(J59&gt;0,J59&gt;=p_DifMin),S59,0))</f>
        <v/>
      </c>
      <c r="U59" s="85" t="str">
        <f>IF(A59="","",IF(AND(T59&gt;0,N(L59)&lt;=p_MaxAtivos),T59,0))</f>
        <v/>
      </c>
    </row>
    <row r="60">
      <c r="A60" s="96" t="n"/>
      <c r="B60" s="96" t="n"/>
      <c r="C60" s="96" t="n"/>
      <c r="D60" s="112" t="n"/>
      <c r="E60" s="97" t="n"/>
      <c r="F60" s="113" t="n"/>
      <c r="G60" s="99" t="n"/>
      <c r="H60" s="107" t="str">
        <f>IF(A60="","",N(F60)*R60)</f>
        <v/>
      </c>
      <c r="I60" s="108" t="str">
        <f>IF(A60="","",IF($H$6&gt;0,H60/$H$6,0))</f>
        <v/>
      </c>
      <c r="J60" s="109" t="str">
        <f>IF(A60="","",N(G60)-I60)</f>
        <v/>
      </c>
      <c r="K60" s="108" t="str">
        <f>IF(A60="","",IF($T$6&gt;0,T60/$T$6,0))</f>
        <v/>
      </c>
      <c r="L60" s="110" t="str">
        <f>IF(A60="","",IF(T60&lt;=0,"",COUNTIF($T$9:$T$68,"&gt;"&amp;T60)+COUNTIF($T$9:T60,T60)))</f>
        <v/>
      </c>
      <c r="M60" s="105" t="str">
        <f>IF(A60="","",IF(N60&gt;0,"BUY","HOLD"))</f>
        <v/>
      </c>
      <c r="N60" s="107" t="str">
        <f>IF(A60="","",IF($R$7&lt;=0,0,IF($U$6&gt;0,$R$7*U60/$U$6,IF($G$6&gt;0,$R$7*N(G60)/$G$6,0))))</f>
        <v/>
      </c>
      <c r="O60" s="107" t="str">
        <f>IF(A60="","",IF(AND(N60&gt;0,N60&gt;=p_CompraMin),N60,0))</f>
        <v/>
      </c>
      <c r="Q60" s="85" t="str">
        <f>IF(A60="","",IF(E60="",$R$1,E60))</f>
        <v/>
      </c>
      <c r="R60" s="85" t="str">
        <f>IF(A60="","",IFERROR(INDEX(moeda_fx,MATCH(Q60,moeda_cod,0)),0))</f>
        <v/>
      </c>
      <c r="S60" s="85" t="str">
        <f>IF(A60="","",ROUND(MAX(0,N(G60)*($H$6+$R$7)-H60),2))</f>
        <v/>
      </c>
      <c r="T60" s="85" t="str">
        <f>IF(A60="","",IF(AND(J60&gt;0,J60&gt;=p_DifMin),S60,0))</f>
        <v/>
      </c>
      <c r="U60" s="85" t="str">
        <f>IF(A60="","",IF(AND(T60&gt;0,N(L60)&lt;=p_MaxAtivos),T60,0))</f>
        <v/>
      </c>
    </row>
    <row r="61">
      <c r="A61" s="96" t="n"/>
      <c r="B61" s="96" t="n"/>
      <c r="C61" s="96" t="n"/>
      <c r="D61" s="112" t="n"/>
      <c r="E61" s="97" t="n"/>
      <c r="F61" s="113" t="n"/>
      <c r="G61" s="99" t="n"/>
      <c r="H61" s="70" t="str">
        <f>IF(A61="","",N(F61)*R61)</f>
        <v/>
      </c>
      <c r="I61" s="30" t="str">
        <f>IF(A61="","",IF($H$6&gt;0,H61/$H$6,0))</f>
        <v/>
      </c>
      <c r="J61" s="72" t="str">
        <f>IF(A61="","",N(G61)-I61)</f>
        <v/>
      </c>
      <c r="K61" s="30" t="str">
        <f>IF(A61="","",IF($T$6&gt;0,T61/$T$6,0))</f>
        <v/>
      </c>
      <c r="L61" s="74" t="str">
        <f>IF(A61="","",IF(T61&lt;=0,"",COUNTIF($T$9:$T$68,"&gt;"&amp;T61)+COUNTIF($T$9:T61,T61)))</f>
        <v/>
      </c>
      <c r="M61" s="73" t="str">
        <f>IF(A61="","",IF(N61&gt;0,"BUY","HOLD"))</f>
        <v/>
      </c>
      <c r="N61" s="70" t="str">
        <f>IF(A61="","",IF($R$7&lt;=0,0,IF($U$6&gt;0,$R$7*U61/$U$6,IF($G$6&gt;0,$R$7*N(G61)/$G$6,0))))</f>
        <v/>
      </c>
      <c r="O61" s="70" t="str">
        <f>IF(A61="","",IF(AND(N61&gt;0,N61&gt;=p_CompraMin),N61,0))</f>
        <v/>
      </c>
      <c r="Q61" s="85" t="str">
        <f>IF(A61="","",IF(E61="",$R$1,E61))</f>
        <v/>
      </c>
      <c r="R61" s="85" t="str">
        <f>IF(A61="","",IFERROR(INDEX(moeda_fx,MATCH(Q61,moeda_cod,0)),0))</f>
        <v/>
      </c>
      <c r="S61" s="85" t="str">
        <f>IF(A61="","",ROUND(MAX(0,N(G61)*($H$6+$R$7)-H61),2))</f>
        <v/>
      </c>
      <c r="T61" s="85" t="str">
        <f>IF(A61="","",IF(AND(J61&gt;0,J61&gt;=p_DifMin),S61,0))</f>
        <v/>
      </c>
      <c r="U61" s="85" t="str">
        <f>IF(A61="","",IF(AND(T61&gt;0,N(L61)&lt;=p_MaxAtivos),T61,0))</f>
        <v/>
      </c>
    </row>
    <row r="62">
      <c r="A62" s="96" t="n"/>
      <c r="B62" s="96" t="n"/>
      <c r="C62" s="96" t="n"/>
      <c r="D62" s="112" t="n"/>
      <c r="E62" s="97" t="n"/>
      <c r="F62" s="113" t="n"/>
      <c r="G62" s="99" t="n"/>
      <c r="H62" s="107" t="str">
        <f>IF(A62="","",N(F62)*R62)</f>
        <v/>
      </c>
      <c r="I62" s="108" t="str">
        <f>IF(A62="","",IF($H$6&gt;0,H62/$H$6,0))</f>
        <v/>
      </c>
      <c r="J62" s="109" t="str">
        <f>IF(A62="","",N(G62)-I62)</f>
        <v/>
      </c>
      <c r="K62" s="108" t="str">
        <f>IF(A62="","",IF($T$6&gt;0,T62/$T$6,0))</f>
        <v/>
      </c>
      <c r="L62" s="110" t="str">
        <f>IF(A62="","",IF(T62&lt;=0,"",COUNTIF($T$9:$T$68,"&gt;"&amp;T62)+COUNTIF($T$9:T62,T62)))</f>
        <v/>
      </c>
      <c r="M62" s="105" t="str">
        <f>IF(A62="","",IF(N62&gt;0,"BUY","HOLD"))</f>
        <v/>
      </c>
      <c r="N62" s="107" t="str">
        <f>IF(A62="","",IF($R$7&lt;=0,0,IF($U$6&gt;0,$R$7*U62/$U$6,IF($G$6&gt;0,$R$7*N(G62)/$G$6,0))))</f>
        <v/>
      </c>
      <c r="O62" s="107" t="str">
        <f>IF(A62="","",IF(AND(N62&gt;0,N62&gt;=p_CompraMin),N62,0))</f>
        <v/>
      </c>
      <c r="Q62" s="85" t="str">
        <f>IF(A62="","",IF(E62="",$R$1,E62))</f>
        <v/>
      </c>
      <c r="R62" s="85" t="str">
        <f>IF(A62="","",IFERROR(INDEX(moeda_fx,MATCH(Q62,moeda_cod,0)),0))</f>
        <v/>
      </c>
      <c r="S62" s="85" t="str">
        <f>IF(A62="","",ROUND(MAX(0,N(G62)*($H$6+$R$7)-H62),2))</f>
        <v/>
      </c>
      <c r="T62" s="85" t="str">
        <f>IF(A62="","",IF(AND(J62&gt;0,J62&gt;=p_DifMin),S62,0))</f>
        <v/>
      </c>
      <c r="U62" s="85" t="str">
        <f>IF(A62="","",IF(AND(T62&gt;0,N(L62)&lt;=p_MaxAtivos),T62,0))</f>
        <v/>
      </c>
    </row>
    <row r="63">
      <c r="A63" s="96" t="n"/>
      <c r="B63" s="96" t="n"/>
      <c r="C63" s="96" t="n"/>
      <c r="D63" s="112" t="n"/>
      <c r="E63" s="97" t="n"/>
      <c r="F63" s="113" t="n"/>
      <c r="G63" s="99" t="n"/>
      <c r="H63" s="70" t="str">
        <f>IF(A63="","",N(F63)*R63)</f>
        <v/>
      </c>
      <c r="I63" s="30" t="str">
        <f>IF(A63="","",IF($H$6&gt;0,H63/$H$6,0))</f>
        <v/>
      </c>
      <c r="J63" s="72" t="str">
        <f>IF(A63="","",N(G63)-I63)</f>
        <v/>
      </c>
      <c r="K63" s="30" t="str">
        <f>IF(A63="","",IF($T$6&gt;0,T63/$T$6,0))</f>
        <v/>
      </c>
      <c r="L63" s="74" t="str">
        <f>IF(A63="","",IF(T63&lt;=0,"",COUNTIF($T$9:$T$68,"&gt;"&amp;T63)+COUNTIF($T$9:T63,T63)))</f>
        <v/>
      </c>
      <c r="M63" s="73" t="str">
        <f>IF(A63="","",IF(N63&gt;0,"BUY","HOLD"))</f>
        <v/>
      </c>
      <c r="N63" s="70" t="str">
        <f>IF(A63="","",IF($R$7&lt;=0,0,IF($U$6&gt;0,$R$7*U63/$U$6,IF($G$6&gt;0,$R$7*N(G63)/$G$6,0))))</f>
        <v/>
      </c>
      <c r="O63" s="70" t="str">
        <f>IF(A63="","",IF(AND(N63&gt;0,N63&gt;=p_CompraMin),N63,0))</f>
        <v/>
      </c>
      <c r="Q63" s="85" t="str">
        <f>IF(A63="","",IF(E63="",$R$1,E63))</f>
        <v/>
      </c>
      <c r="R63" s="85" t="str">
        <f>IF(A63="","",IFERROR(INDEX(moeda_fx,MATCH(Q63,moeda_cod,0)),0))</f>
        <v/>
      </c>
      <c r="S63" s="85" t="str">
        <f>IF(A63="","",ROUND(MAX(0,N(G63)*($H$6+$R$7)-H63),2))</f>
        <v/>
      </c>
      <c r="T63" s="85" t="str">
        <f>IF(A63="","",IF(AND(J63&gt;0,J63&gt;=p_DifMin),S63,0))</f>
        <v/>
      </c>
      <c r="U63" s="85" t="str">
        <f>IF(A63="","",IF(AND(T63&gt;0,N(L63)&lt;=p_MaxAtivos),T63,0))</f>
        <v/>
      </c>
    </row>
    <row r="64">
      <c r="A64" s="96" t="n"/>
      <c r="B64" s="96" t="n"/>
      <c r="C64" s="96" t="n"/>
      <c r="D64" s="112" t="n"/>
      <c r="E64" s="97" t="n"/>
      <c r="F64" s="113" t="n"/>
      <c r="G64" s="99" t="n"/>
      <c r="H64" s="107" t="str">
        <f>IF(A64="","",N(F64)*R64)</f>
        <v/>
      </c>
      <c r="I64" s="108" t="str">
        <f>IF(A64="","",IF($H$6&gt;0,H64/$H$6,0))</f>
        <v/>
      </c>
      <c r="J64" s="109" t="str">
        <f>IF(A64="","",N(G64)-I64)</f>
        <v/>
      </c>
      <c r="K64" s="108" t="str">
        <f>IF(A64="","",IF($T$6&gt;0,T64/$T$6,0))</f>
        <v/>
      </c>
      <c r="L64" s="110" t="str">
        <f>IF(A64="","",IF(T64&lt;=0,"",COUNTIF($T$9:$T$68,"&gt;"&amp;T64)+COUNTIF($T$9:T64,T64)))</f>
        <v/>
      </c>
      <c r="M64" s="105" t="str">
        <f>IF(A64="","",IF(N64&gt;0,"BUY","HOLD"))</f>
        <v/>
      </c>
      <c r="N64" s="107" t="str">
        <f>IF(A64="","",IF($R$7&lt;=0,0,IF($U$6&gt;0,$R$7*U64/$U$6,IF($G$6&gt;0,$R$7*N(G64)/$G$6,0))))</f>
        <v/>
      </c>
      <c r="O64" s="107" t="str">
        <f>IF(A64="","",IF(AND(N64&gt;0,N64&gt;=p_CompraMin),N64,0))</f>
        <v/>
      </c>
      <c r="Q64" s="85" t="str">
        <f>IF(A64="","",IF(E64="",$R$1,E64))</f>
        <v/>
      </c>
      <c r="R64" s="85" t="str">
        <f>IF(A64="","",IFERROR(INDEX(moeda_fx,MATCH(Q64,moeda_cod,0)),0))</f>
        <v/>
      </c>
      <c r="S64" s="85" t="str">
        <f>IF(A64="","",ROUND(MAX(0,N(G64)*($H$6+$R$7)-H64),2))</f>
        <v/>
      </c>
      <c r="T64" s="85" t="str">
        <f>IF(A64="","",IF(AND(J64&gt;0,J64&gt;=p_DifMin),S64,0))</f>
        <v/>
      </c>
      <c r="U64" s="85" t="str">
        <f>IF(A64="","",IF(AND(T64&gt;0,N(L64)&lt;=p_MaxAtivos),T64,0))</f>
        <v/>
      </c>
    </row>
    <row r="65">
      <c r="A65" s="96" t="n"/>
      <c r="B65" s="96" t="n"/>
      <c r="C65" s="96" t="n"/>
      <c r="D65" s="112" t="n"/>
      <c r="E65" s="97" t="n"/>
      <c r="F65" s="113" t="n"/>
      <c r="G65" s="99" t="n"/>
      <c r="H65" s="70" t="str">
        <f>IF(A65="","",N(F65)*R65)</f>
        <v/>
      </c>
      <c r="I65" s="30" t="str">
        <f>IF(A65="","",IF($H$6&gt;0,H65/$H$6,0))</f>
        <v/>
      </c>
      <c r="J65" s="72" t="str">
        <f>IF(A65="","",N(G65)-I65)</f>
        <v/>
      </c>
      <c r="K65" s="30" t="str">
        <f>IF(A65="","",IF($T$6&gt;0,T65/$T$6,0))</f>
        <v/>
      </c>
      <c r="L65" s="74" t="str">
        <f>IF(A65="","",IF(T65&lt;=0,"",COUNTIF($T$9:$T$68,"&gt;"&amp;T65)+COUNTIF($T$9:T65,T65)))</f>
        <v/>
      </c>
      <c r="M65" s="73" t="str">
        <f>IF(A65="","",IF(N65&gt;0,"BUY","HOLD"))</f>
        <v/>
      </c>
      <c r="N65" s="70" t="str">
        <f>IF(A65="","",IF($R$7&lt;=0,0,IF($U$6&gt;0,$R$7*U65/$U$6,IF($G$6&gt;0,$R$7*N(G65)/$G$6,0))))</f>
        <v/>
      </c>
      <c r="O65" s="70" t="str">
        <f>IF(A65="","",IF(AND(N65&gt;0,N65&gt;=p_CompraMin),N65,0))</f>
        <v/>
      </c>
      <c r="Q65" s="85" t="str">
        <f>IF(A65="","",IF(E65="",$R$1,E65))</f>
        <v/>
      </c>
      <c r="R65" s="85" t="str">
        <f>IF(A65="","",IFERROR(INDEX(moeda_fx,MATCH(Q65,moeda_cod,0)),0))</f>
        <v/>
      </c>
      <c r="S65" s="85" t="str">
        <f>IF(A65="","",ROUND(MAX(0,N(G65)*($H$6+$R$7)-H65),2))</f>
        <v/>
      </c>
      <c r="T65" s="85" t="str">
        <f>IF(A65="","",IF(AND(J65&gt;0,J65&gt;=p_DifMin),S65,0))</f>
        <v/>
      </c>
      <c r="U65" s="85" t="str">
        <f>IF(A65="","",IF(AND(T65&gt;0,N(L65)&lt;=p_MaxAtivos),T65,0))</f>
        <v/>
      </c>
    </row>
    <row r="66">
      <c r="A66" s="96" t="n"/>
      <c r="B66" s="96" t="n"/>
      <c r="C66" s="96" t="n"/>
      <c r="D66" s="112" t="n"/>
      <c r="E66" s="97" t="n"/>
      <c r="F66" s="113" t="n"/>
      <c r="G66" s="99" t="n"/>
      <c r="H66" s="107" t="str">
        <f>IF(A66="","",N(F66)*R66)</f>
        <v/>
      </c>
      <c r="I66" s="108" t="str">
        <f>IF(A66="","",IF($H$6&gt;0,H66/$H$6,0))</f>
        <v/>
      </c>
      <c r="J66" s="109" t="str">
        <f>IF(A66="","",N(G66)-I66)</f>
        <v/>
      </c>
      <c r="K66" s="108" t="str">
        <f>IF(A66="","",IF($T$6&gt;0,T66/$T$6,0))</f>
        <v/>
      </c>
      <c r="L66" s="110" t="str">
        <f>IF(A66="","",IF(T66&lt;=0,"",COUNTIF($T$9:$T$68,"&gt;"&amp;T66)+COUNTIF($T$9:T66,T66)))</f>
        <v/>
      </c>
      <c r="M66" s="105" t="str">
        <f>IF(A66="","",IF(N66&gt;0,"BUY","HOLD"))</f>
        <v/>
      </c>
      <c r="N66" s="107" t="str">
        <f>IF(A66="","",IF($R$7&lt;=0,0,IF($U$6&gt;0,$R$7*U66/$U$6,IF($G$6&gt;0,$R$7*N(G66)/$G$6,0))))</f>
        <v/>
      </c>
      <c r="O66" s="107" t="str">
        <f>IF(A66="","",IF(AND(N66&gt;0,N66&gt;=p_CompraMin),N66,0))</f>
        <v/>
      </c>
      <c r="Q66" s="85" t="str">
        <f>IF(A66="","",IF(E66="",$R$1,E66))</f>
        <v/>
      </c>
      <c r="R66" s="85" t="str">
        <f>IF(A66="","",IFERROR(INDEX(moeda_fx,MATCH(Q66,moeda_cod,0)),0))</f>
        <v/>
      </c>
      <c r="S66" s="85" t="str">
        <f>IF(A66="","",ROUND(MAX(0,N(G66)*($H$6+$R$7)-H66),2))</f>
        <v/>
      </c>
      <c r="T66" s="85" t="str">
        <f>IF(A66="","",IF(AND(J66&gt;0,J66&gt;=p_DifMin),S66,0))</f>
        <v/>
      </c>
      <c r="U66" s="85" t="str">
        <f>IF(A66="","",IF(AND(T66&gt;0,N(L66)&lt;=p_MaxAtivos),T66,0))</f>
        <v/>
      </c>
    </row>
    <row r="67">
      <c r="A67" s="96" t="n"/>
      <c r="B67" s="96" t="n"/>
      <c r="C67" s="96" t="n"/>
      <c r="D67" s="112" t="n"/>
      <c r="E67" s="97" t="n"/>
      <c r="F67" s="113" t="n"/>
      <c r="G67" s="99" t="n"/>
      <c r="H67" s="70" t="str">
        <f>IF(A67="","",N(F67)*R67)</f>
        <v/>
      </c>
      <c r="I67" s="30" t="str">
        <f>IF(A67="","",IF($H$6&gt;0,H67/$H$6,0))</f>
        <v/>
      </c>
      <c r="J67" s="72" t="str">
        <f>IF(A67="","",N(G67)-I67)</f>
        <v/>
      </c>
      <c r="K67" s="30" t="str">
        <f>IF(A67="","",IF($T$6&gt;0,T67/$T$6,0))</f>
        <v/>
      </c>
      <c r="L67" s="74" t="str">
        <f>IF(A67="","",IF(T67&lt;=0,"",COUNTIF($T$9:$T$68,"&gt;"&amp;T67)+COUNTIF($T$9:T67,T67)))</f>
        <v/>
      </c>
      <c r="M67" s="73" t="str">
        <f>IF(A67="","",IF(N67&gt;0,"BUY","HOLD"))</f>
        <v/>
      </c>
      <c r="N67" s="70" t="str">
        <f>IF(A67="","",IF($R$7&lt;=0,0,IF($U$6&gt;0,$R$7*U67/$U$6,IF($G$6&gt;0,$R$7*N(G67)/$G$6,0))))</f>
        <v/>
      </c>
      <c r="O67" s="70" t="str">
        <f>IF(A67="","",IF(AND(N67&gt;0,N67&gt;=p_CompraMin),N67,0))</f>
        <v/>
      </c>
      <c r="Q67" s="85" t="str">
        <f>IF(A67="","",IF(E67="",$R$1,E67))</f>
        <v/>
      </c>
      <c r="R67" s="85" t="str">
        <f>IF(A67="","",IFERROR(INDEX(moeda_fx,MATCH(Q67,moeda_cod,0)),0))</f>
        <v/>
      </c>
      <c r="S67" s="85" t="str">
        <f>IF(A67="","",ROUND(MAX(0,N(G67)*($H$6+$R$7)-H67),2))</f>
        <v/>
      </c>
      <c r="T67" s="85" t="str">
        <f>IF(A67="","",IF(AND(J67&gt;0,J67&gt;=p_DifMin),S67,0))</f>
        <v/>
      </c>
      <c r="U67" s="85" t="str">
        <f>IF(A67="","",IF(AND(T67&gt;0,N(L67)&lt;=p_MaxAtivos),T67,0))</f>
        <v/>
      </c>
    </row>
    <row r="68">
      <c r="A68" s="96" t="n"/>
      <c r="B68" s="96" t="n"/>
      <c r="C68" s="96" t="n"/>
      <c r="D68" s="112" t="n"/>
      <c r="E68" s="97" t="n"/>
      <c r="F68" s="113" t="n"/>
      <c r="G68" s="99" t="n"/>
      <c r="H68" s="107" t="str">
        <f>IF(A68="","",N(F68)*R68)</f>
        <v/>
      </c>
      <c r="I68" s="108" t="str">
        <f>IF(A68="","",IF($H$6&gt;0,H68/$H$6,0))</f>
        <v/>
      </c>
      <c r="J68" s="109" t="str">
        <f>IF(A68="","",N(G68)-I68)</f>
        <v/>
      </c>
      <c r="K68" s="108" t="str">
        <f>IF(A68="","",IF($T$6&gt;0,T68/$T$6,0))</f>
        <v/>
      </c>
      <c r="L68" s="110" t="str">
        <f>IF(A68="","",IF(T68&lt;=0,"",COUNTIF($T$9:$T$68,"&gt;"&amp;T68)+COUNTIF($T$9:T68,T68)))</f>
        <v/>
      </c>
      <c r="M68" s="105" t="str">
        <f>IF(A68="","",IF(N68&gt;0,"BUY","HOLD"))</f>
        <v/>
      </c>
      <c r="N68" s="107" t="str">
        <f>IF(A68="","",IF($R$7&lt;=0,0,IF($U$6&gt;0,$R$7*U68/$U$6,IF($G$6&gt;0,$R$7*N(G68)/$G$6,0))))</f>
        <v/>
      </c>
      <c r="O68" s="107" t="str">
        <f>IF(A68="","",IF(AND(N68&gt;0,N68&gt;=p_CompraMin),N68,0))</f>
        <v/>
      </c>
      <c r="Q68" s="85" t="str">
        <f>IF(A68="","",IF(E68="",$R$1,E68))</f>
        <v/>
      </c>
      <c r="R68" s="85" t="str">
        <f>IF(A68="","",IFERROR(INDEX(moeda_fx,MATCH(Q68,moeda_cod,0)),0))</f>
        <v/>
      </c>
      <c r="S68" s="85" t="str">
        <f>IF(A68="","",ROUND(MAX(0,N(G68)*($H$6+$R$7)-H68),2))</f>
        <v/>
      </c>
      <c r="T68" s="85" t="str">
        <f>IF(A68="","",IF(AND(J68&gt;0,J68&gt;=p_DifMin),S68,0))</f>
        <v/>
      </c>
      <c r="U68" s="85" t="str">
        <f>IF(A68="","",IF(AND(T68&gt;0,N(L68)&lt;=p_MaxAtivos),T68,0))</f>
        <v/>
      </c>
    </row>
  </sheetData>
  <mergeCells count="10">
    <mergeCell ref="A4:B4"/>
    <mergeCell ref="K4:N4"/>
    <mergeCell ref="K3:N3"/>
    <mergeCell ref="H4:J4"/>
    <mergeCell ref="E4:G4"/>
    <mergeCell ref="E3:G3"/>
    <mergeCell ref="H3:J3"/>
    <mergeCell ref="C3:D3"/>
    <mergeCell ref="A3:B3"/>
    <mergeCell ref="C4:D4"/>
  </mergeCells>
  <conditionalFormatting sqref="O4">
    <cfRule type="expression" priority="1" dxfId="5">
      <formula>ABS(O4-1)&gt;0.0001</formula>
    </cfRule>
    <cfRule type="expression" priority="2" dxfId="6">
      <formula>ABS(O4-1)&lt;=0.0001</formula>
    </cfRule>
  </conditionalFormatting>
  <conditionalFormatting sqref="M9:M68">
    <cfRule type="cellIs" priority="3" operator="equal" dxfId="1">
      <formula>"BUY"</formula>
    </cfRule>
    <cfRule type="cellIs" priority="4" operator="equal" dxfId="2">
      <formula>"HOLD"</formula>
    </cfRule>
  </conditionalFormatting>
  <conditionalFormatting sqref="J9:J68">
    <cfRule type="expression" priority="5" dxfId="8">
      <formula>AND(ISNUMBER(J9),J9&lt;0)</formula>
    </cfRule>
    <cfRule type="expression" priority="6" dxfId="9">
      <formula>AND(ISNUMBER(J9),J9&gt;0)</formula>
    </cfRule>
  </conditionalFormatting>
  <dataValidations count="4">
    <dataValidation sqref="E9:E68" showDropDown="0" showInputMessage="0" showErrorMessage="0" allowBlank="1" errorTitle="Moeda inválida" error="Moeda não cadastrada em Configurações &gt; Câmbio e Moedas." type="list">
      <formula1>='10 Configurações'!$B$21:$B$30</formula1>
    </dataValidation>
    <dataValidation sqref="C9:C68" showDropDown="0" showInputMessage="0" showErrorMessage="0" allowBlank="1" errorTitle="Valor fora da lista" error="Esse valor não está na lista da aba Auxiliar. Deseja manter?" type="list" errorStyle="warning">
      <formula1>='11 Auxiliar'!$Q$5:$Q$12</formula1>
    </dataValidation>
    <dataValidation sqref="G9:G6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F9:F6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O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A1:K49"/>
  <sheetViews>
    <sheetView showGridLines="0" tabSelected="0" zoomScale="100" workbookViewId="0">
      <pane ySplit="3" topLeftCell="A4" activePane="bottomLeft" state="frozen"/>
      <selection pane="bottomLeft" activeCell="A1" sqref="A1"/>
    </sheetView>
  </sheetViews>
  <sheetFormatPr baseColWidth="8" defaultRowHeight="16"/>
  <cols>
    <col width="2" customWidth="1" style="1" min="1" max="1"/>
    <col width="36" customWidth="1" style="1" min="2" max="2"/>
    <col width="20" customWidth="1" style="1" min="3" max="3"/>
    <col width="18" customWidth="1" style="1" min="4" max="4"/>
    <col width="16" customWidth="1" style="1" min="5" max="5"/>
    <col width="16" customWidth="1" style="1" min="6" max="6"/>
    <col width="18" customWidth="1" style="1" min="7" max="7"/>
    <col width="14" customWidth="1" style="1" min="8" max="8"/>
    <col width="14" customWidth="1" style="1" min="9" max="9"/>
    <col width="14" customWidth="1" style="1" min="10" max="10"/>
    <col width="16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CONFIGURAÇÕES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62" t="inlineStr">
        <is>
          <t>◄ Dashboard</t>
        </is>
      </c>
    </row>
    <row r="2" ht="18" customHeight="1">
      <c r="A2" s="63" t="inlineStr">
        <is>
          <t>Custos, câmbio e regras de compra por classe. Altere somente as células em azul. O valor do aporte é digitado no topo do Dashboard.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 ht="22" customHeight="1">
      <c r="B4" s="23" t="inlineStr">
        <is>
          <t>PARÂMETROS GERAIS</t>
        </is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</row>
    <row r="5" ht="20" customHeight="1">
      <c r="B5" s="116" t="inlineStr">
        <is>
          <t>Valor do aporte (R$)</t>
        </is>
      </c>
      <c r="C5" s="75">
        <f>p_Aporte</f>
        <v>500</v>
      </c>
      <c r="D5" s="117" t="inlineStr">
        <is>
          <t>Somente leitura aqui: digite o aporte na célula azul no topo do Dashboard.</t>
        </is>
      </c>
      <c r="E5" s="1" t="n"/>
      <c r="F5" s="1" t="n"/>
      <c r="G5" s="1" t="n"/>
      <c r="H5" s="1" t="n"/>
      <c r="I5" s="1" t="n"/>
      <c r="J5" s="1" t="n"/>
      <c r="K5" s="1" t="n"/>
    </row>
    <row r="6" ht="20" customHeight="1">
      <c r="B6" s="116" t="inlineStr">
        <is>
          <t>Modo de cotações</t>
        </is>
      </c>
      <c r="C6" s="98" t="inlineStr">
        <is>
          <t>Automático</t>
        </is>
      </c>
      <c r="D6" s="118" t="inlineStr">
        <is>
          <t>Automático = Yahoo Finance / CoinGecko via WEBSERVICE (Excel Windows e LibreOffice). Manual = usa as colunas 'Cotação Manual'.</t>
        </is>
      </c>
      <c r="E6" s="1" t="n"/>
      <c r="F6" s="1" t="n"/>
      <c r="G6" s="1" t="n"/>
      <c r="H6" s="1" t="n"/>
      <c r="I6" s="1" t="n"/>
      <c r="J6" s="1" t="n"/>
      <c r="K6" s="1" t="n"/>
    </row>
    <row r="7" ht="20" customHeight="1">
      <c r="B7" s="116" t="inlineStr">
        <is>
          <t>Fonte das criptomoedas</t>
        </is>
      </c>
      <c r="C7" s="98" t="inlineStr">
        <is>
          <t>Yahoo Finance</t>
        </is>
      </c>
      <c r="D7" s="118" t="inlineStr">
        <is>
          <t>Yahoo Finance (ticker BTC-USD) ou CoinGecko (informe o ID na aba Criptomoedas).</t>
        </is>
      </c>
      <c r="E7" s="1" t="n"/>
      <c r="F7" s="1" t="n"/>
      <c r="G7" s="1" t="n"/>
      <c r="H7" s="1" t="n"/>
      <c r="I7" s="1" t="n"/>
      <c r="J7" s="1" t="n"/>
      <c r="K7" s="1" t="n"/>
    </row>
    <row r="8" ht="20" customHeight="1">
      <c r="B8" s="116" t="inlineStr">
        <is>
          <t>IOF de câmbio (%)</t>
        </is>
      </c>
      <c r="C8" s="119" t="n">
        <v>0.0038</v>
      </c>
      <c r="D8" s="118" t="inlineStr">
        <is>
          <t>Aplicado nas compras de classes com 'Aplica câmbio = Sim'. Confirme o valor vigente com sua corretora.</t>
        </is>
      </c>
      <c r="E8" s="1" t="n"/>
      <c r="F8" s="1" t="n"/>
      <c r="G8" s="1" t="n"/>
      <c r="H8" s="1" t="n"/>
      <c r="I8" s="1" t="n"/>
      <c r="J8" s="1" t="n"/>
      <c r="K8" s="1" t="n"/>
    </row>
    <row r="9" ht="20" customHeight="1">
      <c r="B9" s="116" t="inlineStr">
        <is>
          <t>Spread cambial (%)</t>
        </is>
      </c>
      <c r="C9" s="119" t="n">
        <v>0.015</v>
      </c>
      <c r="D9" s="118" t="inlineStr">
        <is>
          <t>Custo adicional de conversão R$ → moeda do ativo. Confirme com sua corretora.</t>
        </is>
      </c>
      <c r="E9" s="1" t="n"/>
      <c r="F9" s="1" t="n"/>
      <c r="G9" s="1" t="n"/>
      <c r="H9" s="1" t="n"/>
      <c r="I9" s="1" t="n"/>
      <c r="J9" s="1" t="n"/>
      <c r="K9" s="1" t="n"/>
    </row>
    <row r="10" ht="20" customHeight="1">
      <c r="B10" s="116" t="inlineStr">
        <is>
          <t>Corretagem variável (% da ordem)</t>
        </is>
      </c>
      <c r="C10" s="119" t="n">
        <v>0</v>
      </c>
      <c r="D10" s="118" t="inlineStr">
        <is>
          <t>Percentual cobrado sobre cada compra (0 se não houver).</t>
        </is>
      </c>
      <c r="E10" s="1" t="n"/>
      <c r="F10" s="1" t="n"/>
      <c r="G10" s="1" t="n"/>
      <c r="H10" s="1" t="n"/>
      <c r="I10" s="1" t="n"/>
      <c r="J10" s="1" t="n"/>
      <c r="K10" s="1" t="n"/>
    </row>
    <row r="11" ht="20" customHeight="1">
      <c r="B11" s="116" t="inlineStr">
        <is>
          <t>Corretagem fixa por ordem (R$)</t>
        </is>
      </c>
      <c r="C11" s="120" t="n">
        <v>0</v>
      </c>
      <c r="D11" s="118" t="inlineStr">
        <is>
          <t>Valor fixo por ordem de compra (0 se não houver).</t>
        </is>
      </c>
      <c r="E11" s="1" t="n"/>
      <c r="F11" s="1" t="n"/>
      <c r="G11" s="1" t="n"/>
      <c r="H11" s="1" t="n"/>
      <c r="I11" s="1" t="n"/>
      <c r="J11" s="1" t="n"/>
      <c r="K11" s="1" t="n"/>
    </row>
    <row r="12" ht="20" customHeight="1">
      <c r="B12" s="116" t="inlineStr">
        <is>
          <t>Compra mínima por ordem (R$)</t>
        </is>
      </c>
      <c r="C12" s="120" t="n">
        <v>10</v>
      </c>
      <c r="D12" s="118" t="inlineStr">
        <is>
          <t>Ordens sugeridas abaixo deste valor são ignoradas (ficam como sobra).</t>
        </is>
      </c>
      <c r="E12" s="1" t="n"/>
      <c r="F12" s="1" t="n"/>
      <c r="G12" s="1" t="n"/>
      <c r="H12" s="1" t="n"/>
      <c r="I12" s="1" t="n"/>
      <c r="J12" s="1" t="n"/>
      <c r="K12" s="1" t="n"/>
    </row>
    <row r="13" ht="20" customHeight="1">
      <c r="B13" s="116" t="inlineStr">
        <is>
          <t>Valor mínimo de diferença (p.p.)</t>
        </is>
      </c>
      <c r="C13" s="119" t="n">
        <v>0.005</v>
      </c>
      <c r="D13" s="118" t="inlineStr">
        <is>
          <t>Diferenças abaixo disso (objetivo - atual) são tratadas como 'Alinhado' e não recebem aporte.</t>
        </is>
      </c>
      <c r="E13" s="1" t="n"/>
      <c r="F13" s="1" t="n"/>
      <c r="G13" s="1" t="n"/>
      <c r="H13" s="1" t="n"/>
      <c r="I13" s="1" t="n"/>
      <c r="J13" s="1" t="n"/>
      <c r="K13" s="1" t="n"/>
    </row>
    <row r="14" ht="20" customHeight="1">
      <c r="B14" s="116" t="inlineStr">
        <is>
          <t>Máx. classes a aportar</t>
        </is>
      </c>
      <c r="C14" s="121" t="n">
        <v>7</v>
      </c>
      <c r="D14" s="118" t="inlineStr">
        <is>
          <t>Limita o aporte às N classes mais distantes do objetivo (7 = sem limite).</t>
        </is>
      </c>
      <c r="E14" s="1" t="n"/>
      <c r="F14" s="1" t="n"/>
      <c r="G14" s="1" t="n"/>
      <c r="H14" s="1" t="n"/>
      <c r="I14" s="1" t="n"/>
      <c r="J14" s="1" t="n"/>
      <c r="K14" s="1" t="n"/>
    </row>
    <row r="15" ht="20" customHeight="1">
      <c r="B15" s="116" t="inlineStr">
        <is>
          <t>Máx. ativos a comprar por classe</t>
        </is>
      </c>
      <c r="C15" s="121" t="n">
        <v>5</v>
      </c>
      <c r="D15" s="118" t="inlineStr">
        <is>
          <t>Limita as compras aos N ativos de maior Rebalance Score em cada classe.</t>
        </is>
      </c>
      <c r="E15" s="1" t="n"/>
      <c r="F15" s="1" t="n"/>
      <c r="G15" s="1" t="n"/>
      <c r="H15" s="1" t="n"/>
      <c r="I15" s="1" t="n"/>
      <c r="J15" s="1" t="n"/>
      <c r="K15" s="1" t="n"/>
    </row>
    <row r="16" ht="20" customHeight="1">
      <c r="B16" s="116" t="inlineStr">
        <is>
          <t>Limite de concentração por ativo</t>
        </is>
      </c>
      <c r="C16" s="122" t="n">
        <v>0.1</v>
      </c>
      <c r="D16" s="118" t="inlineStr">
        <is>
          <t>Acima deste percentual do patrimônio o Dashboard sinaliza alerta.</t>
        </is>
      </c>
      <c r="E16" s="1" t="n"/>
      <c r="F16" s="1" t="n"/>
      <c r="G16" s="1" t="n"/>
      <c r="H16" s="1" t="n"/>
      <c r="I16" s="1" t="n"/>
      <c r="J16" s="1" t="n"/>
      <c r="K16" s="1" t="n"/>
    </row>
    <row r="17" ht="20" customHeight="1">
      <c r="B17" s="116" t="inlineStr">
        <is>
          <t>Limite de concentração por setor</t>
        </is>
      </c>
      <c r="C17" s="122" t="n">
        <v>0.3</v>
      </c>
      <c r="D17" s="118" t="inlineStr">
        <is>
          <t>Acima deste percentual do patrimônio o Dashboard sinaliza alerta.</t>
        </is>
      </c>
      <c r="E17" s="1" t="n"/>
      <c r="F17" s="1" t="n"/>
      <c r="G17" s="1" t="n"/>
      <c r="H17" s="1" t="n"/>
      <c r="I17" s="1" t="n"/>
      <c r="J17" s="1" t="n"/>
      <c r="K17" s="1" t="n"/>
    </row>
    <row r="19" ht="22" customHeight="1">
      <c r="B19" s="23" t="inlineStr">
        <is>
          <t>CÂMBIO E MOEDAS  (cotação em R$ por 1 unidade da moeda)</t>
        </is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</row>
    <row r="20" ht="30" customHeight="1">
      <c r="B20" s="68" t="inlineStr">
        <is>
          <t>Código</t>
        </is>
      </c>
      <c r="C20" s="68" t="inlineStr">
        <is>
          <t>Moeda</t>
        </is>
      </c>
      <c r="D20" s="68" t="inlineStr">
        <is>
          <t>Par Yahoo Finance</t>
        </is>
      </c>
      <c r="E20" s="67" t="inlineStr">
        <is>
          <t>Cotação Automática</t>
        </is>
      </c>
      <c r="F20" s="68" t="inlineStr">
        <is>
          <t>Cotação Manual</t>
        </is>
      </c>
      <c r="G20" s="67" t="inlineStr">
        <is>
          <t>Cotação Usada (R$)</t>
        </is>
      </c>
      <c r="H20" s="67" t="inlineStr">
        <is>
          <t>Fonte</t>
        </is>
      </c>
      <c r="I20" s="67" t="inlineStr">
        <is>
          <t>Resposta API (aux.)</t>
        </is>
      </c>
    </row>
    <row r="21">
      <c r="B21" s="97" t="inlineStr">
        <is>
          <t>BRL</t>
        </is>
      </c>
      <c r="C21" s="96" t="inlineStr">
        <is>
          <t>Real brasileiro</t>
        </is>
      </c>
      <c r="D21" s="96" t="n"/>
      <c r="E21" s="123" t="str">
        <f>IF($I21="","",IFERROR(_xlfn.NUMBERVALUE(MID($I21,SEARCH("""regularMarketPrice"":",$I21)+21,SEARCH(",",$I21&amp;",",SEARCH("""regularMarketPrice"":",$I21)+21)-SEARCH("""regularMarketPrice"":",$I21)-21),".",","),""))</f>
        <v/>
      </c>
      <c r="F21" s="124" t="n"/>
      <c r="G21" s="125">
        <f>IF(B21="","",IF(B21="BRL",1,IF(AND(p_ModoCot="Automático",ISNUMBER(E21)),E21,N(F21))))</f>
        <v>1</v>
      </c>
      <c r="H21" s="73" t="str">
        <f>IF(B21="","",IF(B21="BRL","Base",IF(AND(p_ModoCot="Automático",ISNUMBER(E21)),"Auto",IF(N(F21)&gt;0,"Manual","Sem cotação"))))</f>
        <v>Base</v>
      </c>
      <c r="I21" s="126" t="str">
        <f>IF(OR(D21="",p_ModoCot&lt;&gt;"Automático"),"",IFERROR(_xlfn.WEBSERVICE("https://query1.finance.yahoo.com/v8/finance/chart/"&amp;D21&amp;"?range=1d&amp;interval=1d"),""))</f>
        <v/>
      </c>
    </row>
    <row r="22">
      <c r="B22" s="97" t="inlineStr">
        <is>
          <t>USD</t>
        </is>
      </c>
      <c r="C22" s="96" t="inlineStr">
        <is>
          <t>Dólar americano</t>
        </is>
      </c>
      <c r="D22" s="96" t="inlineStr">
        <is>
          <t>BRL=X</t>
        </is>
      </c>
      <c r="E22" s="123" t="str">
        <f>IF($I22="","",IFERROR(_xlfn.NUMBERVALUE(MID($I22,SEARCH("""regularMarketPrice"":",$I22)+21,SEARCH(",",$I22&amp;",",SEARCH("""regularMarketPrice"":",$I22)+21)-SEARCH("""regularMarketPrice"":",$I22)-21),".",","),""))</f>
        <v/>
      </c>
      <c r="F22" s="124" t="n">
        <v>5.45</v>
      </c>
      <c r="G22" s="125">
        <f>IF(B22="","",IF(B22="BRL",1,IF(AND(p_ModoCot="Automático",ISNUMBER(E22)),E22,N(F22))))</f>
        <v>5.45</v>
      </c>
      <c r="H22" s="73" t="str">
        <f>IF(B22="","",IF(B22="BRL","Base",IF(AND(p_ModoCot="Automático",ISNUMBER(E22)),"Auto",IF(N(F22)&gt;0,"Manual","Sem cotação"))))</f>
        <v>Manual</v>
      </c>
      <c r="I22" s="126" t="str">
        <f>IF(OR(D22="",p_ModoCot&lt;&gt;"Automático"),"",IFERROR(_xlfn.WEBSERVICE("https://query1.finance.yahoo.com/v8/finance/chart/"&amp;D22&amp;"?range=1d&amp;interval=1d"),""))</f>
        <v/>
      </c>
    </row>
    <row r="23">
      <c r="B23" s="97" t="inlineStr">
        <is>
          <t>EUR</t>
        </is>
      </c>
      <c r="C23" s="96" t="inlineStr">
        <is>
          <t>Euro</t>
        </is>
      </c>
      <c r="D23" s="96" t="inlineStr">
        <is>
          <t>EURBRL=X</t>
        </is>
      </c>
      <c r="E23" s="123" t="str">
        <f>IF($I23="","",IFERROR(_xlfn.NUMBERVALUE(MID($I23,SEARCH("""regularMarketPrice"":",$I23)+21,SEARCH(",",$I23&amp;",",SEARCH("""regularMarketPrice"":",$I23)+21)-SEARCH("""regularMarketPrice"":",$I23)-21),".",","),""))</f>
        <v/>
      </c>
      <c r="F23" s="124" t="n">
        <v>6.3</v>
      </c>
      <c r="G23" s="125">
        <f>IF(B23="","",IF(B23="BRL",1,IF(AND(p_ModoCot="Automático",ISNUMBER(E23)),E23,N(F23))))</f>
        <v>6.3</v>
      </c>
      <c r="H23" s="73" t="str">
        <f>IF(B23="","",IF(B23="BRL","Base",IF(AND(p_ModoCot="Automático",ISNUMBER(E23)),"Auto",IF(N(F23)&gt;0,"Manual","Sem cotação"))))</f>
        <v>Manual</v>
      </c>
      <c r="I23" s="126" t="str">
        <f>IF(OR(D23="",p_ModoCot&lt;&gt;"Automático"),"",IFERROR(_xlfn.WEBSERVICE("https://query1.finance.yahoo.com/v8/finance/chart/"&amp;D23&amp;"?range=1d&amp;interval=1d"),""))</f>
        <v/>
      </c>
    </row>
    <row r="24">
      <c r="B24" s="97" t="inlineStr">
        <is>
          <t>GBP</t>
        </is>
      </c>
      <c r="C24" s="96" t="inlineStr">
        <is>
          <t>Libra esterlina</t>
        </is>
      </c>
      <c r="D24" s="96" t="inlineStr">
        <is>
          <t>GBPBRL=X</t>
        </is>
      </c>
      <c r="E24" s="123" t="str">
        <f>IF($I24="","",IFERROR(_xlfn.NUMBERVALUE(MID($I24,SEARCH("""regularMarketPrice"":",$I24)+21,SEARCH(",",$I24&amp;",",SEARCH("""regularMarketPrice"":",$I24)+21)-SEARCH("""regularMarketPrice"":",$I24)-21),".",","),""))</f>
        <v/>
      </c>
      <c r="F24" s="124" t="n">
        <v>7.3</v>
      </c>
      <c r="G24" s="125">
        <f>IF(B24="","",IF(B24="BRL",1,IF(AND(p_ModoCot="Automático",ISNUMBER(E24)),E24,N(F24))))</f>
        <v>7.3</v>
      </c>
      <c r="H24" s="73" t="str">
        <f>IF(B24="","",IF(B24="BRL","Base",IF(AND(p_ModoCot="Automático",ISNUMBER(E24)),"Auto",IF(N(F24)&gt;0,"Manual","Sem cotação"))))</f>
        <v>Manual</v>
      </c>
      <c r="I24" s="126" t="str">
        <f>IF(OR(D24="",p_ModoCot&lt;&gt;"Automático"),"",IFERROR(_xlfn.WEBSERVICE("https://query1.finance.yahoo.com/v8/finance/chart/"&amp;D24&amp;"?range=1d&amp;interval=1d"),""))</f>
        <v/>
      </c>
    </row>
    <row r="25">
      <c r="B25" s="97" t="inlineStr">
        <is>
          <t>CAD</t>
        </is>
      </c>
      <c r="C25" s="96" t="inlineStr">
        <is>
          <t>Dólar canadense</t>
        </is>
      </c>
      <c r="D25" s="96" t="inlineStr">
        <is>
          <t>CADBRL=X</t>
        </is>
      </c>
      <c r="E25" s="123" t="str">
        <f>IF($I25="","",IFERROR(_xlfn.NUMBERVALUE(MID($I25,SEARCH("""regularMarketPrice"":",$I25)+21,SEARCH(",",$I25&amp;",",SEARCH("""regularMarketPrice"":",$I25)+21)-SEARCH("""regularMarketPrice"":",$I25)-21),".",","),""))</f>
        <v/>
      </c>
      <c r="F25" s="124" t="n">
        <v>3.95</v>
      </c>
      <c r="G25" s="125">
        <f>IF(B25="","",IF(B25="BRL",1,IF(AND(p_ModoCot="Automático",ISNUMBER(E25)),E25,N(F25))))</f>
        <v>3.95</v>
      </c>
      <c r="H25" s="73" t="str">
        <f>IF(B25="","",IF(B25="BRL","Base",IF(AND(p_ModoCot="Automático",ISNUMBER(E25)),"Auto",IF(N(F25)&gt;0,"Manual","Sem cotação"))))</f>
        <v>Manual</v>
      </c>
      <c r="I25" s="126" t="str">
        <f>IF(OR(D25="",p_ModoCot&lt;&gt;"Automático"),"",IFERROR(_xlfn.WEBSERVICE("https://query1.finance.yahoo.com/v8/finance/chart/"&amp;D25&amp;"?range=1d&amp;interval=1d"),""))</f>
        <v/>
      </c>
    </row>
    <row r="26">
      <c r="B26" s="97" t="inlineStr">
        <is>
          <t>CHF</t>
        </is>
      </c>
      <c r="C26" s="96" t="inlineStr">
        <is>
          <t>Franco suíço</t>
        </is>
      </c>
      <c r="D26" s="96" t="inlineStr">
        <is>
          <t>CHFBRL=X</t>
        </is>
      </c>
      <c r="E26" s="123" t="str">
        <f>IF($I26="","",IFERROR(_xlfn.NUMBERVALUE(MID($I26,SEARCH("""regularMarketPrice"":",$I26)+21,SEARCH(",",$I26&amp;",",SEARCH("""regularMarketPrice"":",$I26)+21)-SEARCH("""regularMarketPrice"":",$I26)-21),".",","),""))</f>
        <v/>
      </c>
      <c r="F26" s="124" t="n">
        <v>6.7</v>
      </c>
      <c r="G26" s="125">
        <f>IF(B26="","",IF(B26="BRL",1,IF(AND(p_ModoCot="Automático",ISNUMBER(E26)),E26,N(F26))))</f>
        <v>6.7</v>
      </c>
      <c r="H26" s="73" t="str">
        <f>IF(B26="","",IF(B26="BRL","Base",IF(AND(p_ModoCot="Automático",ISNUMBER(E26)),"Auto",IF(N(F26)&gt;0,"Manual","Sem cotação"))))</f>
        <v>Manual</v>
      </c>
      <c r="I26" s="126" t="str">
        <f>IF(OR(D26="",p_ModoCot&lt;&gt;"Automático"),"",IFERROR(_xlfn.WEBSERVICE("https://query1.finance.yahoo.com/v8/finance/chart/"&amp;D26&amp;"?range=1d&amp;interval=1d"),""))</f>
        <v/>
      </c>
    </row>
    <row r="27">
      <c r="B27" s="97" t="inlineStr">
        <is>
          <t>JPY</t>
        </is>
      </c>
      <c r="C27" s="96" t="inlineStr">
        <is>
          <t>Iene japonês</t>
        </is>
      </c>
      <c r="D27" s="96" t="inlineStr">
        <is>
          <t>JPYBRL=X</t>
        </is>
      </c>
      <c r="E27" s="123" t="str">
        <f>IF($I27="","",IFERROR(_xlfn.NUMBERVALUE(MID($I27,SEARCH("""regularMarketPrice"":",$I27)+21,SEARCH(",",$I27&amp;",",SEARCH("""regularMarketPrice"":",$I27)+21)-SEARCH("""regularMarketPrice"":",$I27)-21),".",","),""))</f>
        <v/>
      </c>
      <c r="F27" s="124" t="n">
        <v>0.037</v>
      </c>
      <c r="G27" s="125">
        <f>IF(B27="","",IF(B27="BRL",1,IF(AND(p_ModoCot="Automático",ISNUMBER(E27)),E27,N(F27))))</f>
        <v>0.037</v>
      </c>
      <c r="H27" s="73" t="str">
        <f>IF(B27="","",IF(B27="BRL","Base",IF(AND(p_ModoCot="Automático",ISNUMBER(E27)),"Auto",IF(N(F27)&gt;0,"Manual","Sem cotação"))))</f>
        <v>Manual</v>
      </c>
      <c r="I27" s="126" t="str">
        <f>IF(OR(D27="",p_ModoCot&lt;&gt;"Automático"),"",IFERROR(_xlfn.WEBSERVICE("https://query1.finance.yahoo.com/v8/finance/chart/"&amp;D27&amp;"?range=1d&amp;interval=1d"),""))</f>
        <v/>
      </c>
    </row>
    <row r="28">
      <c r="B28" s="97" t="inlineStr">
        <is>
          <t>AUD</t>
        </is>
      </c>
      <c r="C28" s="96" t="inlineStr">
        <is>
          <t>Dólar australiano</t>
        </is>
      </c>
      <c r="D28" s="96" t="inlineStr">
        <is>
          <t>AUDBRL=X</t>
        </is>
      </c>
      <c r="E28" s="123" t="str">
        <f>IF($I28="","",IFERROR(_xlfn.NUMBERVALUE(MID($I28,SEARCH("""regularMarketPrice"":",$I28)+21,SEARCH(",",$I28&amp;",",SEARCH("""regularMarketPrice"":",$I28)+21)-SEARCH("""regularMarketPrice"":",$I28)-21),".",","),""))</f>
        <v/>
      </c>
      <c r="F28" s="124" t="n">
        <v>3.55</v>
      </c>
      <c r="G28" s="125">
        <f>IF(B28="","",IF(B28="BRL",1,IF(AND(p_ModoCot="Automático",ISNUMBER(E28)),E28,N(F28))))</f>
        <v>3.55</v>
      </c>
      <c r="H28" s="73" t="str">
        <f>IF(B28="","",IF(B28="BRL","Base",IF(AND(p_ModoCot="Automático",ISNUMBER(E28)),"Auto",IF(N(F28)&gt;0,"Manual","Sem cotação"))))</f>
        <v>Manual</v>
      </c>
      <c r="I28" s="126" t="str">
        <f>IF(OR(D28="",p_ModoCot&lt;&gt;"Automático"),"",IFERROR(_xlfn.WEBSERVICE("https://query1.finance.yahoo.com/v8/finance/chart/"&amp;D28&amp;"?range=1d&amp;interval=1d"),""))</f>
        <v/>
      </c>
    </row>
    <row r="29">
      <c r="B29" s="97" t="n"/>
      <c r="C29" s="96" t="n"/>
      <c r="D29" s="96" t="n"/>
      <c r="E29" s="123" t="str">
        <f>IF($I29="","",IFERROR(_xlfn.NUMBERVALUE(MID($I29,SEARCH("""regularMarketPrice"":",$I29)+21,SEARCH(",",$I29&amp;",",SEARCH("""regularMarketPrice"":",$I29)+21)-SEARCH("""regularMarketPrice"":",$I29)-21),".",","),""))</f>
        <v/>
      </c>
      <c r="F29" s="124" t="n"/>
      <c r="G29" s="125" t="str">
        <f>IF(B29="","",IF(B29="BRL",1,IF(AND(p_ModoCot="Automático",ISNUMBER(E29)),E29,N(F29))))</f>
        <v/>
      </c>
      <c r="H29" s="73" t="str">
        <f>IF(B29="","",IF(B29="BRL","Base",IF(AND(p_ModoCot="Automático",ISNUMBER(E29)),"Auto",IF(N(F29)&gt;0,"Manual","Sem cotação"))))</f>
        <v/>
      </c>
      <c r="I29" s="126" t="str">
        <f>IF(OR(D29="",p_ModoCot&lt;&gt;"Automático"),"",IFERROR(_xlfn.WEBSERVICE("https://query1.finance.yahoo.com/v8/finance/chart/"&amp;D29&amp;"?range=1d&amp;interval=1d"),""))</f>
        <v/>
      </c>
    </row>
    <row r="30">
      <c r="B30" s="97" t="n"/>
      <c r="C30" s="96" t="n"/>
      <c r="D30" s="96" t="n"/>
      <c r="E30" s="123" t="str">
        <f>IF($I30="","",IFERROR(_xlfn.NUMBERVALUE(MID($I30,SEARCH("""regularMarketPrice"":",$I30)+21,SEARCH(",",$I30&amp;",",SEARCH("""regularMarketPrice"":",$I30)+21)-SEARCH("""regularMarketPrice"":",$I30)-21),".",","),""))</f>
        <v/>
      </c>
      <c r="F30" s="124" t="n"/>
      <c r="G30" s="125" t="str">
        <f>IF(B30="","",IF(B30="BRL",1,IF(AND(p_ModoCot="Automático",ISNUMBER(E30)),E30,N(F30))))</f>
        <v/>
      </c>
      <c r="H30" s="73" t="str">
        <f>IF(B30="","",IF(B30="BRL","Base",IF(AND(p_ModoCot="Automático",ISNUMBER(E30)),"Auto",IF(N(F30)&gt;0,"Manual","Sem cotação"))))</f>
        <v/>
      </c>
      <c r="I30" s="126" t="str">
        <f>IF(OR(D30="",p_ModoCot&lt;&gt;"Automático"),"",IFERROR(_xlfn.WEBSERVICE("https://query1.finance.yahoo.com/v8/finance/chart/"&amp;D30&amp;"?range=1d&amp;interval=1d"),""))</f>
        <v/>
      </c>
    </row>
    <row r="33" ht="22" customHeight="1">
      <c r="B33" s="23" t="inlineStr">
        <is>
          <t>REGRAS DE COMPRA POR CLASSE</t>
        </is>
      </c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</row>
    <row r="34" ht="30" customHeight="1">
      <c r="B34" s="67" t="inlineStr">
        <is>
          <t>Classe</t>
        </is>
      </c>
      <c r="C34" s="67" t="inlineStr">
        <is>
          <t>Grupo</t>
        </is>
      </c>
      <c r="D34" s="68" t="inlineStr">
        <is>
          <t>Moeda padrão</t>
        </is>
      </c>
      <c r="E34" s="68" t="inlineStr">
        <is>
          <t>Sufixo Yahoo</t>
        </is>
      </c>
      <c r="F34" s="68" t="inlineStr">
        <is>
          <t>Aplica câmbio?</t>
        </is>
      </c>
      <c r="G34" s="68" t="inlineStr">
        <is>
          <t>Permite fração?</t>
        </is>
      </c>
      <c r="H34" s="68" t="inlineStr">
        <is>
          <t>Casas decimais</t>
        </is>
      </c>
      <c r="I34" s="68" t="inlineStr">
        <is>
          <t>Usa lote?</t>
        </is>
      </c>
      <c r="J34" s="68" t="inlineStr">
        <is>
          <t>Tamanho do lote</t>
        </is>
      </c>
      <c r="K34" s="67" t="inlineStr">
        <is>
          <t>Custo efetivo (%)</t>
        </is>
      </c>
    </row>
    <row r="35">
      <c r="B35" s="29" t="inlineStr">
        <is>
          <t>Ações</t>
        </is>
      </c>
      <c r="C35" s="69" t="inlineStr">
        <is>
          <t>Brasil</t>
        </is>
      </c>
      <c r="D35" s="97" t="inlineStr">
        <is>
          <t>BRL</t>
        </is>
      </c>
      <c r="E35" s="97" t="inlineStr">
        <is>
          <t>.SA</t>
        </is>
      </c>
      <c r="F35" s="97" t="inlineStr">
        <is>
          <t>Não</t>
        </is>
      </c>
      <c r="G35" s="97" t="inlineStr">
        <is>
          <t>Não</t>
        </is>
      </c>
      <c r="H35" s="127" t="n">
        <v>0</v>
      </c>
      <c r="I35" s="97" t="inlineStr">
        <is>
          <t>Não</t>
        </is>
      </c>
      <c r="J35" s="127" t="n">
        <v>100</v>
      </c>
      <c r="K35" s="128">
        <f>p_CorrPct+IF(F35="Sim",p_IOF+p_Spread,0)</f>
        <v>0</v>
      </c>
    </row>
    <row r="36">
      <c r="B36" s="29" t="inlineStr">
        <is>
          <t>FIIs</t>
        </is>
      </c>
      <c r="C36" s="69" t="inlineStr">
        <is>
          <t>Brasil</t>
        </is>
      </c>
      <c r="D36" s="97" t="inlineStr">
        <is>
          <t>BRL</t>
        </is>
      </c>
      <c r="E36" s="97" t="inlineStr">
        <is>
          <t>.SA</t>
        </is>
      </c>
      <c r="F36" s="97" t="inlineStr">
        <is>
          <t>Não</t>
        </is>
      </c>
      <c r="G36" s="97" t="inlineStr">
        <is>
          <t>Não</t>
        </is>
      </c>
      <c r="H36" s="127" t="n">
        <v>0</v>
      </c>
      <c r="I36" s="97" t="inlineStr">
        <is>
          <t>Não</t>
        </is>
      </c>
      <c r="J36" s="127" t="n">
        <v>1</v>
      </c>
      <c r="K36" s="128">
        <f>p_CorrPct+IF(F36="Sim",p_IOF+p_Spread,0)</f>
        <v>0</v>
      </c>
    </row>
    <row r="37">
      <c r="B37" s="29" t="inlineStr">
        <is>
          <t>Renda Fixa</t>
        </is>
      </c>
      <c r="C37" s="69" t="inlineStr">
        <is>
          <t>Brasil</t>
        </is>
      </c>
      <c r="D37" s="97" t="inlineStr">
        <is>
          <t>BRL</t>
        </is>
      </c>
      <c r="E37" s="97" t="n"/>
      <c r="F37" s="97" t="inlineStr">
        <is>
          <t>Não</t>
        </is>
      </c>
      <c r="G37" s="97" t="inlineStr">
        <is>
          <t>Não</t>
        </is>
      </c>
      <c r="H37" s="127" t="n">
        <v>0</v>
      </c>
      <c r="I37" s="97" t="inlineStr">
        <is>
          <t>Não</t>
        </is>
      </c>
      <c r="J37" s="127" t="n">
        <v>1</v>
      </c>
      <c r="K37" s="128">
        <f>p_CorrPct+IF(F37="Sim",p_IOF+p_Spread,0)</f>
        <v>0</v>
      </c>
    </row>
    <row r="38">
      <c r="B38" s="29" t="inlineStr">
        <is>
          <t>Stocks</t>
        </is>
      </c>
      <c r="C38" s="69" t="inlineStr">
        <is>
          <t>Exterior</t>
        </is>
      </c>
      <c r="D38" s="97" t="inlineStr">
        <is>
          <t>USD</t>
        </is>
      </c>
      <c r="E38" s="97" t="n"/>
      <c r="F38" s="97" t="inlineStr">
        <is>
          <t>Sim</t>
        </is>
      </c>
      <c r="G38" s="97" t="inlineStr">
        <is>
          <t>Sim</t>
        </is>
      </c>
      <c r="H38" s="127" t="n">
        <v>4</v>
      </c>
      <c r="I38" s="97" t="inlineStr">
        <is>
          <t>Não</t>
        </is>
      </c>
      <c r="J38" s="127" t="n">
        <v>1</v>
      </c>
      <c r="K38" s="128">
        <f>p_CorrPct+IF(F38="Sim",p_IOF+p_Spread,0)</f>
        <v>0.0188</v>
      </c>
    </row>
    <row r="39">
      <c r="B39" s="29" t="inlineStr">
        <is>
          <t>REITs</t>
        </is>
      </c>
      <c r="C39" s="69" t="inlineStr">
        <is>
          <t>Exterior</t>
        </is>
      </c>
      <c r="D39" s="97" t="inlineStr">
        <is>
          <t>USD</t>
        </is>
      </c>
      <c r="E39" s="97" t="n"/>
      <c r="F39" s="97" t="inlineStr">
        <is>
          <t>Sim</t>
        </is>
      </c>
      <c r="G39" s="97" t="inlineStr">
        <is>
          <t>Sim</t>
        </is>
      </c>
      <c r="H39" s="127" t="n">
        <v>4</v>
      </c>
      <c r="I39" s="97" t="inlineStr">
        <is>
          <t>Não</t>
        </is>
      </c>
      <c r="J39" s="127" t="n">
        <v>1</v>
      </c>
      <c r="K39" s="128">
        <f>p_CorrPct+IF(F39="Sim",p_IOF+p_Spread,0)</f>
        <v>0.0188</v>
      </c>
    </row>
    <row r="40">
      <c r="B40" s="29" t="inlineStr">
        <is>
          <t>Criptomoedas</t>
        </is>
      </c>
      <c r="C40" s="69" t="inlineStr">
        <is>
          <t>Alternativos</t>
        </is>
      </c>
      <c r="D40" s="97" t="inlineStr">
        <is>
          <t>USD</t>
        </is>
      </c>
      <c r="E40" s="97" t="inlineStr">
        <is>
          <t>-USD</t>
        </is>
      </c>
      <c r="F40" s="97" t="inlineStr">
        <is>
          <t>Não</t>
        </is>
      </c>
      <c r="G40" s="97" t="inlineStr">
        <is>
          <t>Sim</t>
        </is>
      </c>
      <c r="H40" s="127" t="n">
        <v>8</v>
      </c>
      <c r="I40" s="97" t="inlineStr">
        <is>
          <t>Não</t>
        </is>
      </c>
      <c r="J40" s="127" t="n">
        <v>1</v>
      </c>
      <c r="K40" s="128">
        <f>p_CorrPct+IF(F40="Sim",p_IOF+p_Spread,0)</f>
        <v>0</v>
      </c>
    </row>
    <row r="41">
      <c r="B41" s="29" t="inlineStr">
        <is>
          <t>Ativos Ilíquidos</t>
        </is>
      </c>
      <c r="C41" s="69" t="inlineStr">
        <is>
          <t>Alternativos</t>
        </is>
      </c>
      <c r="D41" s="97" t="inlineStr">
        <is>
          <t>BRL</t>
        </is>
      </c>
      <c r="E41" s="97" t="n"/>
      <c r="F41" s="97" t="inlineStr">
        <is>
          <t>Não</t>
        </is>
      </c>
      <c r="G41" s="97" t="inlineStr">
        <is>
          <t>Não</t>
        </is>
      </c>
      <c r="H41" s="127" t="n">
        <v>0</v>
      </c>
      <c r="I41" s="97" t="inlineStr">
        <is>
          <t>Não</t>
        </is>
      </c>
      <c r="J41" s="127" t="n">
        <v>1</v>
      </c>
      <c r="K41" s="128">
        <f>p_CorrPct+IF(F41="Sim",p_IOF+p_Spread,0)</f>
        <v>0</v>
      </c>
    </row>
    <row r="43" ht="22" customHeight="1">
      <c r="B43" s="23" t="inlineStr">
        <is>
          <t>COMO USAR E PREMISSAS</t>
        </is>
      </c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</row>
    <row r="44" ht="58" customHeight="1">
      <c r="B44" s="88" t="inlineStr">
        <is>
          <t>Fluxo do mês</t>
        </is>
      </c>
      <c r="C44" s="129" t="inlineStr">
        <is>
          <t>1) Digite o valor do aporte no topo do Dashboard.  2) Veja o PLANO DE COMPRAS no Dashboard (ou, em detalhe, a Macro Alocação e as abas das classes: colunas Ação, Qtd. Sugerida e Valor Efetivo).  3) Compre no home broker.  4) Volte e atualize a Quantidade de cada ativo comprado (dica: copie 'Qtd. Após Compra' e cole como valores em 'Quantidade').  5) Na Renda Fixa e nos Ilíquidos, some o valor investido ao 'Valor Atual'.</t>
        </is>
      </c>
      <c r="D44" s="31" t="n"/>
      <c r="E44" s="31" t="n"/>
      <c r="F44" s="31" t="n"/>
      <c r="G44" s="31" t="n"/>
      <c r="H44" s="31" t="n"/>
      <c r="I44" s="31" t="n"/>
      <c r="J44" s="31" t="n"/>
      <c r="K44" s="31" t="n"/>
    </row>
    <row r="45" ht="58" customHeight="1">
      <c r="B45" s="88" t="inlineStr">
        <is>
          <t>Rebalance Score</t>
        </is>
      </c>
      <c r="C45" s="129" t="inlineStr">
        <is>
          <t>Déficit = máx(0; Objetivo × (Patrimônio + Aporte) − Valor Atual). O Score é o déficit do ativo ÷ soma dos déficits: quanto mais distante do objetivo, maior a prioridade. O aporte da classe é dividido proporcionalmente ao Score, apenas entre os N ativos de maior Score (limite em 'Máx. ativos a comprar'). Se tudo estiver dentro do 'Valor mínimo de diferença', o aporte segue a proporção dos objetivos. Como cotas inteiras/lotes deixam sobra, o que não coube em nenhuma ordem é reaproveitado no ativo de maior Score que ainda possa ser comprado.</t>
        </is>
      </c>
      <c r="D45" s="31" t="n"/>
      <c r="E45" s="31" t="n"/>
      <c r="F45" s="31" t="n"/>
      <c r="G45" s="31" t="n"/>
      <c r="H45" s="31" t="n"/>
      <c r="I45" s="31" t="n"/>
      <c r="J45" s="31" t="n"/>
      <c r="K45" s="31" t="n"/>
    </row>
    <row r="46" ht="58" customHeight="1">
      <c r="B46" s="88" t="inlineStr">
        <is>
          <t>Cotações automáticas</t>
        </is>
      </c>
      <c r="C46" s="129" t="inlineStr">
        <is>
          <t>Usam a função WEBSERVICE (Excel para Windows e LibreOffice Calc). No Excel para Mac/Web use o modo Manual. Se a API falhar, a planilha usa a 'Cotação Manual'; sem ela a Fonte fica 'Sem cotação' e o ativo vale zero (o Dashboard avisa). Brasil: digite PETR4 (o sufixo .SA é automático). Exterior: AAPL, VOO, O. Cripto: digite BTC (vira BTC-USD) ou use CoinGecko informando o ID (bitcoin). Para atualizar: Ctrl+Alt+F9 (Excel) ou Ctrl+Shift+F9 (LibreOffice).</t>
        </is>
      </c>
      <c r="D46" s="31" t="n"/>
      <c r="E46" s="31" t="n"/>
      <c r="F46" s="31" t="n"/>
      <c r="G46" s="31" t="n"/>
      <c r="H46" s="31" t="n"/>
      <c r="I46" s="31" t="n"/>
      <c r="J46" s="31" t="n"/>
      <c r="K46" s="31" t="n"/>
    </row>
    <row r="47" ht="46" customHeight="1">
      <c r="B47" s="88" t="inlineStr">
        <is>
          <t>Câmbio e custos</t>
        </is>
      </c>
      <c r="C47" s="129" t="inlineStr">
        <is>
          <t>Classes com 'Aplica câmbio = Sim' pagam IOF + Spread além da corretagem. O 'Custo efetivo' entra no cálculo da quantidade sugerida e do Valor Efetivo. Valores padrão de IOF (0,38%) e Spread (1,5%) vieram da Planilha Holder original: confirme as alíquotas vigentes com sua corretora.</t>
        </is>
      </c>
      <c r="D47" s="31" t="n"/>
      <c r="E47" s="31" t="n"/>
      <c r="F47" s="31" t="n"/>
      <c r="G47" s="31" t="n"/>
      <c r="H47" s="31" t="n"/>
      <c r="I47" s="31" t="n"/>
      <c r="J47" s="31" t="n"/>
      <c r="K47" s="31" t="n"/>
    </row>
    <row r="48" ht="32" customHeight="1">
      <c r="B48" s="88" t="inlineStr">
        <is>
          <t>Escopo</t>
        </is>
      </c>
      <c r="C48" s="129" t="inlineStr">
        <is>
          <t>Esta versão é focada em realocação por aportes. Preço médio, dividendos, rentabilidade e histórico patrimonial ficam fora da planilha (use sua ferramenta de acompanhamento, como o MyProfit).</t>
        </is>
      </c>
      <c r="D48" s="31" t="n"/>
      <c r="E48" s="31" t="n"/>
      <c r="F48" s="31" t="n"/>
      <c r="G48" s="31" t="n"/>
      <c r="H48" s="31" t="n"/>
      <c r="I48" s="31" t="n"/>
      <c r="J48" s="31" t="n"/>
      <c r="K48" s="31" t="n"/>
    </row>
    <row r="49" ht="32" customHeight="1">
      <c r="B49" s="88" t="inlineStr">
        <is>
          <t>Capacidade</t>
        </is>
      </c>
      <c r="C49" s="129" t="inlineStr">
        <is>
          <t>Ações BR, FIIs e Stocks: 200 linhas cada · REITs e Renda Fixa: 100 · Criptomoedas e Ilíquidos: 60 (total 920 posições). Todas as fórmulas já estão preenchidas até o fim.</t>
        </is>
      </c>
      <c r="D49" s="31" t="n"/>
      <c r="E49" s="31" t="n"/>
      <c r="F49" s="31" t="n"/>
      <c r="G49" s="31" t="n"/>
      <c r="H49" s="31" t="n"/>
      <c r="I49" s="31" t="n"/>
      <c r="J49" s="31" t="n"/>
      <c r="K49" s="31" t="n"/>
    </row>
  </sheetData>
  <mergeCells count="19">
    <mergeCell ref="C47:K47"/>
    <mergeCell ref="C44:K44"/>
    <mergeCell ref="D10:K10"/>
    <mergeCell ref="C46:K46"/>
    <mergeCell ref="D6:K6"/>
    <mergeCell ref="D11:K11"/>
    <mergeCell ref="D13:K13"/>
    <mergeCell ref="C48:K48"/>
    <mergeCell ref="D17:K17"/>
    <mergeCell ref="D7:K7"/>
    <mergeCell ref="D16:K16"/>
    <mergeCell ref="C49:K49"/>
    <mergeCell ref="D12:K12"/>
    <mergeCell ref="D9:K9"/>
    <mergeCell ref="D8:K8"/>
    <mergeCell ref="D15:K15"/>
    <mergeCell ref="D14:K14"/>
    <mergeCell ref="C45:K45"/>
    <mergeCell ref="D5:K5"/>
  </mergeCells>
  <conditionalFormatting sqref="H21:H30">
    <cfRule type="cellIs" priority="1" operator="equal" dxfId="3">
      <formula>"Sem cotação"</formula>
    </cfRule>
    <cfRule type="cellIs" priority="2" operator="equal" dxfId="9">
      <formula>"Auto"</formula>
    </cfRule>
  </conditionalFormatting>
  <dataValidations count="9">
    <dataValidation sqref="C6" showDropDown="0" showInputMessage="0" showErrorMessage="0" allowBlank="0" type="list">
      <formula1>"Automático,Manual"</formula1>
    </dataValidation>
    <dataValidation sqref="C7" showDropDown="0" showInputMessage="0" showErrorMessage="0" allowBlank="0" type="list">
      <formula1>"Yahoo Finance,CoinGecko"</formula1>
    </dataValidation>
    <dataValidation sqref="C8 C9 C10 C13 C16 C17" showDropDown="0" showInputMessage="0" showErrorMessage="0" allowBlank="0" type="decimal" operator="between">
      <formula1>0</formula1>
      <formula2>1</formula2>
    </dataValidation>
    <dataValidation sqref="C11 C12" showDropDown="0" showInputMessage="0" showErrorMessage="0" allowBlank="0" type="decimal" operator="greaterThanOrEqual">
      <formula1>0</formula1>
    </dataValidation>
    <dataValidation sqref="C14 C15" showDropDown="0" showInputMessage="0" showErrorMessage="0" allowBlank="0" type="whole" operator="between">
      <formula1>1</formula1>
      <formula2>50</formula2>
    </dataValidation>
    <dataValidation sqref="D35:D41" showDropDown="0" showInputMessage="0" showErrorMessage="0" allowBlank="0" type="list">
      <formula1>='10 Configurações'!$B$21:$B$30</formula1>
    </dataValidation>
    <dataValidation sqref="F35:F41 G35:G41 I35:I41" showDropDown="0" showInputMessage="0" showErrorMessage="0" allowBlank="0" type="list">
      <formula1>"Sim,Não"</formula1>
    </dataValidation>
    <dataValidation sqref="H35:H41" showDropDown="0" showInputMessage="0" showErrorMessage="0" allowBlank="0" type="whole" operator="between">
      <formula1>0</formula1>
      <formula2>8</formula2>
    </dataValidation>
    <dataValidation sqref="J35:J41" showDropDown="0" showInputMessage="0" showErrorMessage="0" allowBlank="0" type="whole" operator="greaterThanOrEqual">
      <formula1>1</formula1>
    </dataValidation>
  </dataValidations>
  <hyperlinks>
    <hyperlink ref="K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Q142"/>
  <sheetViews>
    <sheetView showGridLines="0" tabSelected="0" zoomScale="90" workbookViewId="0">
      <pane ySplit="3" topLeftCell="A4" activePane="bottomLeft" state="frozen"/>
      <selection pane="bottomLeft" activeCell="A1" sqref="A1"/>
    </sheetView>
  </sheetViews>
  <sheetFormatPr baseColWidth="8" defaultRowHeight="16"/>
  <cols>
    <col width="3" customWidth="1" style="1" min="1" max="1"/>
    <col width="17" customWidth="1" style="1" min="2" max="2"/>
    <col width="17" customWidth="1" style="1" min="3" max="3"/>
    <col width="17" customWidth="1" style="1" min="4" max="4"/>
    <col width="17" customWidth="1" style="1" min="5" max="5"/>
    <col width="17" customWidth="1" style="1" min="6" max="6"/>
    <col width="17" customWidth="1" style="1" min="7" max="7"/>
    <col width="17" customWidth="1" style="1" min="8" max="8"/>
    <col width="17" customWidth="1" style="1" min="9" max="9"/>
    <col width="17" customWidth="1" style="1" min="10" max="10"/>
    <col width="17" customWidth="1" style="1" min="11" max="11"/>
    <col width="17" customWidth="1" style="1" min="12" max="12"/>
    <col width="17" customWidth="1" style="1" min="13" max="13"/>
    <col width="17" customWidth="1" style="1" min="14" max="14"/>
    <col width="17" customWidth="1" style="1" min="15" max="15"/>
    <col width="17" customWidth="1" style="1" min="16" max="16"/>
    <col width="17" customWidth="1" style="1" min="17" max="17"/>
    <col width="17" customWidth="1" style="1" min="18" max="18"/>
    <col width="17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AUXILIAR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62" t="inlineStr">
        <is>
          <t>◄ Dashboard</t>
        </is>
      </c>
    </row>
    <row r="2" ht="18" customHeight="1">
      <c r="A2" s="63" t="inlineStr">
        <is>
          <t>Listas de validação (editáveis) e tabelas de cálculo que alimentam o Dashboard e os gráficos. Não edite as áreas de fórmulas.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B4" s="130" t="inlineStr">
        <is>
          <t>Classe</t>
        </is>
      </c>
      <c r="E4" s="130" t="inlineStr">
        <is>
          <t>Sim / Não</t>
        </is>
      </c>
      <c r="F4" s="130" t="inlineStr">
        <is>
          <t>Modos</t>
        </is>
      </c>
      <c r="G4" s="130" t="inlineStr">
        <is>
          <t>Fontes cripto</t>
        </is>
      </c>
      <c r="I4" s="130" t="inlineStr">
        <is>
          <t>Setores (editável)</t>
        </is>
      </c>
      <c r="M4" s="130" t="inlineStr">
        <is>
          <t>Tipos de renda fixa</t>
        </is>
      </c>
      <c r="O4" s="130" t="inlineStr">
        <is>
          <t>Indexadores</t>
        </is>
      </c>
      <c r="Q4" s="130" t="inlineStr">
        <is>
          <t>Categorias ilíquidos</t>
        </is>
      </c>
    </row>
    <row r="5">
      <c r="B5" s="116" t="inlineStr">
        <is>
          <t>Ações</t>
        </is>
      </c>
      <c r="E5" s="116" t="inlineStr">
        <is>
          <t>Sim</t>
        </is>
      </c>
      <c r="F5" s="116" t="inlineStr">
        <is>
          <t>Automático</t>
        </is>
      </c>
      <c r="G5" s="116" t="inlineStr">
        <is>
          <t>Yahoo Finance</t>
        </is>
      </c>
      <c r="I5" s="96" t="inlineStr">
        <is>
          <t>Financeiro</t>
        </is>
      </c>
      <c r="M5" s="116" t="inlineStr">
        <is>
          <t>Tesouro Selic</t>
        </is>
      </c>
      <c r="O5" s="116" t="inlineStr">
        <is>
          <t>CDI</t>
        </is>
      </c>
      <c r="Q5" s="116" t="inlineStr">
        <is>
          <t>Imóvel</t>
        </is>
      </c>
    </row>
    <row r="6">
      <c r="B6" s="116" t="inlineStr">
        <is>
          <t>FIIs</t>
        </is>
      </c>
      <c r="E6" s="116" t="inlineStr">
        <is>
          <t>Não</t>
        </is>
      </c>
      <c r="F6" s="116" t="inlineStr">
        <is>
          <t>Manual</t>
        </is>
      </c>
      <c r="G6" s="116" t="inlineStr">
        <is>
          <t>CoinGecko</t>
        </is>
      </c>
      <c r="I6" s="96" t="inlineStr">
        <is>
          <t>Seguros</t>
        </is>
      </c>
      <c r="M6" s="116" t="inlineStr">
        <is>
          <t>Tesouro IPCA+</t>
        </is>
      </c>
      <c r="O6" s="116" t="inlineStr">
        <is>
          <t>IPCA+</t>
        </is>
      </c>
      <c r="Q6" s="116" t="inlineStr">
        <is>
          <t>Terreno</t>
        </is>
      </c>
    </row>
    <row r="7">
      <c r="B7" s="116" t="inlineStr">
        <is>
          <t>Renda Fixa</t>
        </is>
      </c>
      <c r="I7" s="96" t="inlineStr">
        <is>
          <t>Energia Elétrica</t>
        </is>
      </c>
      <c r="M7" s="116" t="inlineStr">
        <is>
          <t>Tesouro Prefixado</t>
        </is>
      </c>
      <c r="O7" s="116" t="inlineStr">
        <is>
          <t>Prefixado</t>
        </is>
      </c>
      <c r="Q7" s="116" t="inlineStr">
        <is>
          <t>Participação societária</t>
        </is>
      </c>
    </row>
    <row r="8">
      <c r="B8" s="116" t="inlineStr">
        <is>
          <t>Stocks</t>
        </is>
      </c>
      <c r="I8" s="96" t="inlineStr">
        <is>
          <t>Saneamento</t>
        </is>
      </c>
      <c r="M8" s="116" t="inlineStr">
        <is>
          <t>CDB</t>
        </is>
      </c>
      <c r="O8" s="116" t="inlineStr">
        <is>
          <t>Selic</t>
        </is>
      </c>
      <c r="Q8" s="116" t="inlineStr">
        <is>
          <t>Startup</t>
        </is>
      </c>
    </row>
    <row r="9">
      <c r="B9" s="116" t="inlineStr">
        <is>
          <t>REITs</t>
        </is>
      </c>
      <c r="I9" s="96" t="inlineStr">
        <is>
          <t>Petróleo e Gás</t>
        </is>
      </c>
      <c r="M9" s="116" t="inlineStr">
        <is>
          <t>LCI</t>
        </is>
      </c>
      <c r="O9" s="116" t="inlineStr">
        <is>
          <t>Outro</t>
        </is>
      </c>
      <c r="Q9" s="116" t="inlineStr">
        <is>
          <t>Consórcio</t>
        </is>
      </c>
    </row>
    <row r="10">
      <c r="B10" s="116" t="inlineStr">
        <is>
          <t>Criptomoedas</t>
        </is>
      </c>
      <c r="I10" s="96" t="inlineStr">
        <is>
          <t>Mineração</t>
        </is>
      </c>
      <c r="M10" s="116" t="inlineStr">
        <is>
          <t>LCA</t>
        </is>
      </c>
      <c r="Q10" s="116" t="inlineStr">
        <is>
          <t>Arte / Colecionável</t>
        </is>
      </c>
    </row>
    <row r="11">
      <c r="B11" s="116" t="inlineStr">
        <is>
          <t>Ativos Ilíquidos</t>
        </is>
      </c>
      <c r="I11" s="96" t="inlineStr">
        <is>
          <t>Siderurgia</t>
        </is>
      </c>
      <c r="M11" s="116" t="inlineStr">
        <is>
          <t>CRI</t>
        </is>
      </c>
      <c r="Q11" s="116" t="inlineStr">
        <is>
          <t>Veículo</t>
        </is>
      </c>
    </row>
    <row r="12">
      <c r="I12" s="96" t="inlineStr">
        <is>
          <t>Papel e Celulose</t>
        </is>
      </c>
      <c r="M12" s="116" t="inlineStr">
        <is>
          <t>CRA</t>
        </is>
      </c>
      <c r="Q12" s="116" t="inlineStr">
        <is>
          <t>Outro</t>
        </is>
      </c>
    </row>
    <row r="13">
      <c r="I13" s="96" t="inlineStr">
        <is>
          <t>Agronegócio</t>
        </is>
      </c>
      <c r="M13" s="116" t="inlineStr">
        <is>
          <t>Debênture</t>
        </is>
      </c>
    </row>
    <row r="14">
      <c r="I14" s="96" t="inlineStr">
        <is>
          <t>Alimentos e Bebidas</t>
        </is>
      </c>
      <c r="M14" s="116" t="inlineStr">
        <is>
          <t>Poupança</t>
        </is>
      </c>
    </row>
    <row r="15">
      <c r="I15" s="96" t="inlineStr">
        <is>
          <t>Varejo</t>
        </is>
      </c>
      <c r="M15" s="116" t="inlineStr">
        <is>
          <t>Outro</t>
        </is>
      </c>
    </row>
    <row r="16">
      <c r="I16" s="96" t="inlineStr">
        <is>
          <t>Consumo</t>
        </is>
      </c>
    </row>
    <row r="17">
      <c r="I17" s="96" t="inlineStr">
        <is>
          <t>Saúde</t>
        </is>
      </c>
    </row>
    <row r="18">
      <c r="I18" s="96" t="inlineStr">
        <is>
          <t>Tecnologia</t>
        </is>
      </c>
    </row>
    <row r="19">
      <c r="I19" s="96" t="inlineStr">
        <is>
          <t>Telecomunicações</t>
        </is>
      </c>
    </row>
    <row r="20">
      <c r="I20" s="96" t="inlineStr">
        <is>
          <t>Industrial</t>
        </is>
      </c>
    </row>
    <row r="21">
      <c r="I21" s="96" t="inlineStr">
        <is>
          <t>Construção Civil</t>
        </is>
      </c>
    </row>
    <row r="22">
      <c r="I22" s="96" t="inlineStr">
        <is>
          <t>Transporte e Logística</t>
        </is>
      </c>
    </row>
    <row r="23">
      <c r="I23" s="96" t="inlineStr">
        <is>
          <t>FII - Logística</t>
        </is>
      </c>
    </row>
    <row r="24">
      <c r="I24" s="96" t="inlineStr">
        <is>
          <t>FII - Lajes Corporativas</t>
        </is>
      </c>
    </row>
    <row r="25">
      <c r="I25" s="96" t="inlineStr">
        <is>
          <t>FII - Shoppings</t>
        </is>
      </c>
    </row>
    <row r="26">
      <c r="I26" s="96" t="inlineStr">
        <is>
          <t>FII - Papel (CRI/CRA)</t>
        </is>
      </c>
    </row>
    <row r="27">
      <c r="I27" s="96" t="inlineStr">
        <is>
          <t>FII - Híbrido</t>
        </is>
      </c>
    </row>
    <row r="28">
      <c r="I28" s="96" t="inlineStr">
        <is>
          <t>FII - Fundo de Fundos</t>
        </is>
      </c>
    </row>
    <row r="29">
      <c r="I29" s="96" t="inlineStr">
        <is>
          <t>FII - Residencial</t>
        </is>
      </c>
    </row>
    <row r="30">
      <c r="I30" s="96" t="inlineStr">
        <is>
          <t>REIT - Imobiliário</t>
        </is>
      </c>
    </row>
    <row r="31">
      <c r="I31" s="96" t="inlineStr">
        <is>
          <t>ETF Diversificado</t>
        </is>
      </c>
    </row>
    <row r="32">
      <c r="I32" s="96" t="inlineStr">
        <is>
          <t>ETF Dividendos</t>
        </is>
      </c>
    </row>
    <row r="33">
      <c r="I33" s="96" t="inlineStr">
        <is>
          <t>ETF Imobiliário</t>
        </is>
      </c>
    </row>
    <row r="34">
      <c r="I34" s="96" t="inlineStr">
        <is>
          <t>Criptomoeda</t>
        </is>
      </c>
    </row>
    <row r="35">
      <c r="I35" s="96" t="inlineStr">
        <is>
          <t>Renda Fixa</t>
        </is>
      </c>
    </row>
    <row r="36">
      <c r="I36" s="96" t="inlineStr">
        <is>
          <t>Ativos Ilíquidos</t>
        </is>
      </c>
    </row>
    <row r="37">
      <c r="I37" s="96" t="inlineStr">
        <is>
          <t>Imóveis</t>
        </is>
      </c>
    </row>
    <row r="38">
      <c r="I38" s="96" t="inlineStr">
        <is>
          <t>Participações</t>
        </is>
      </c>
    </row>
    <row r="39">
      <c r="I39" s="96" t="inlineStr">
        <is>
          <t>Outros</t>
        </is>
      </c>
    </row>
    <row r="40">
      <c r="I40" s="96" t="n"/>
    </row>
    <row r="41">
      <c r="I41" s="96" t="n"/>
    </row>
    <row r="42">
      <c r="I42" s="96" t="n"/>
    </row>
    <row r="43">
      <c r="I43" s="96" t="n"/>
    </row>
    <row r="44">
      <c r="I44" s="96" t="n"/>
    </row>
    <row r="49" ht="22" customHeight="1">
      <c r="B49" s="23" t="inlineStr">
        <is>
          <t>TABELA: ALOCAÇÃO POR CLASSE (gráficos)</t>
        </is>
      </c>
      <c r="C49" s="24" t="n"/>
      <c r="D49" s="24" t="n"/>
      <c r="E49" s="24" t="n"/>
      <c r="F49" s="24" t="n"/>
      <c r="G49" s="24" t="n"/>
    </row>
    <row r="50">
      <c r="B50" s="67" t="inlineStr">
        <is>
          <t>Classe</t>
        </is>
      </c>
      <c r="C50" s="67" t="inlineStr">
        <is>
          <t>Valor (R$)</t>
        </is>
      </c>
      <c r="D50" s="67" t="inlineStr">
        <is>
          <t>% Atual</t>
        </is>
      </c>
      <c r="E50" s="67" t="inlineStr">
        <is>
          <t>% Objetivo</t>
        </is>
      </c>
    </row>
    <row r="51">
      <c r="B51" s="29" t="inlineStr">
        <is>
          <t>Ações</t>
        </is>
      </c>
      <c r="C51" s="70">
        <f>'02 Macro Alocação'!$D$9</f>
        <v>0</v>
      </c>
      <c r="D51" s="30">
        <f>'02 Macro Alocação'!$E$9</f>
        <v>0</v>
      </c>
      <c r="E51" s="30">
        <f>'02 Macro Alocação'!$F$9</f>
        <v>0.4</v>
      </c>
    </row>
    <row r="52">
      <c r="B52" s="29" t="inlineStr">
        <is>
          <t>FIIs</t>
        </is>
      </c>
      <c r="C52" s="70">
        <f>'02 Macro Alocação'!$D$10</f>
        <v>0</v>
      </c>
      <c r="D52" s="30">
        <f>'02 Macro Alocação'!$E$10</f>
        <v>0</v>
      </c>
      <c r="E52" s="30">
        <f>'02 Macro Alocação'!$F$10</f>
        <v>0.2</v>
      </c>
    </row>
    <row r="53">
      <c r="B53" s="29" t="inlineStr">
        <is>
          <t>Renda Fixa</t>
        </is>
      </c>
      <c r="C53" s="70">
        <f>'02 Macro Alocação'!$D$11</f>
        <v>0</v>
      </c>
      <c r="D53" s="30">
        <f>'02 Macro Alocação'!$E$11</f>
        <v>0</v>
      </c>
      <c r="E53" s="30">
        <f>'02 Macro Alocação'!$F$11</f>
        <v>0.05</v>
      </c>
    </row>
    <row r="54">
      <c r="B54" s="29" t="inlineStr">
        <is>
          <t>Stocks</t>
        </is>
      </c>
      <c r="C54" s="70">
        <f>'02 Macro Alocação'!$D$12</f>
        <v>0</v>
      </c>
      <c r="D54" s="30">
        <f>'02 Macro Alocação'!$E$12</f>
        <v>0</v>
      </c>
      <c r="E54" s="30">
        <f>'02 Macro Alocação'!$F$12</f>
        <v>0.2</v>
      </c>
    </row>
    <row r="55">
      <c r="B55" s="29" t="inlineStr">
        <is>
          <t>REITs</t>
        </is>
      </c>
      <c r="C55" s="70">
        <f>'02 Macro Alocação'!$D$13</f>
        <v>0</v>
      </c>
      <c r="D55" s="30">
        <f>'02 Macro Alocação'!$E$13</f>
        <v>0</v>
      </c>
      <c r="E55" s="30">
        <f>'02 Macro Alocação'!$F$13</f>
        <v>0.1</v>
      </c>
    </row>
    <row r="56">
      <c r="B56" s="29" t="inlineStr">
        <is>
          <t>Criptomoedas</t>
        </is>
      </c>
      <c r="C56" s="70">
        <f>'02 Macro Alocação'!$D$14</f>
        <v>0</v>
      </c>
      <c r="D56" s="30">
        <f>'02 Macro Alocação'!$E$14</f>
        <v>0</v>
      </c>
      <c r="E56" s="30">
        <f>'02 Macro Alocação'!$F$14</f>
        <v>0.05</v>
      </c>
    </row>
    <row r="57">
      <c r="B57" s="29" t="inlineStr">
        <is>
          <t>Ativos Ilíquidos</t>
        </is>
      </c>
      <c r="C57" s="70">
        <f>'02 Macro Alocação'!$D$15</f>
        <v>0</v>
      </c>
      <c r="D57" s="30">
        <f>'02 Macro Alocação'!$E$15</f>
        <v>0</v>
      </c>
      <c r="E57" s="30">
        <f>'02 Macro Alocação'!$F$15</f>
        <v>0</v>
      </c>
    </row>
    <row r="60" ht="22" customHeight="1">
      <c r="B60" s="23" t="inlineStr">
        <is>
          <t>TABELA: BRASIL × EXTERIOR × ALTERNATIVOS (gráfico)</t>
        </is>
      </c>
      <c r="C60" s="24" t="n"/>
      <c r="D60" s="24" t="n"/>
      <c r="E60" s="24" t="n"/>
      <c r="F60" s="24" t="n"/>
      <c r="G60" s="24" t="n"/>
    </row>
    <row r="61">
      <c r="B61" s="67" t="inlineStr">
        <is>
          <t>Grupo</t>
        </is>
      </c>
      <c r="C61" s="67" t="inlineStr">
        <is>
          <t>Valor (R$)</t>
        </is>
      </c>
      <c r="D61" s="67" t="inlineStr">
        <is>
          <t>% Atual</t>
        </is>
      </c>
      <c r="E61" s="67" t="inlineStr">
        <is>
          <t>% Objetivo</t>
        </is>
      </c>
    </row>
    <row r="62">
      <c r="B62" s="29" t="inlineStr">
        <is>
          <t>Brasil</t>
        </is>
      </c>
      <c r="C62" s="70">
        <f>'02 Macro Alocação'!$D$20</f>
        <v>0</v>
      </c>
      <c r="D62" s="30">
        <f>'02 Macro Alocação'!$E$20</f>
        <v>0</v>
      </c>
      <c r="E62" s="30">
        <f>'02 Macro Alocação'!$F$20</f>
        <v>0.65</v>
      </c>
    </row>
    <row r="63">
      <c r="B63" s="29" t="inlineStr">
        <is>
          <t>Exterior</t>
        </is>
      </c>
      <c r="C63" s="70">
        <f>'02 Macro Alocação'!$D$21</f>
        <v>0</v>
      </c>
      <c r="D63" s="30">
        <f>'02 Macro Alocação'!$E$21</f>
        <v>0</v>
      </c>
      <c r="E63" s="30">
        <f>'02 Macro Alocação'!$F$21</f>
        <v>0.3</v>
      </c>
    </row>
    <row r="64">
      <c r="B64" s="29" t="inlineStr">
        <is>
          <t>Alternativos</t>
        </is>
      </c>
      <c r="C64" s="70">
        <f>'02 Macro Alocação'!$D$22</f>
        <v>0</v>
      </c>
      <c r="D64" s="30">
        <f>'02 Macro Alocação'!$E$22</f>
        <v>0</v>
      </c>
      <c r="E64" s="30">
        <f>'02 Macro Alocação'!$F$22</f>
        <v>0.05</v>
      </c>
    </row>
    <row r="67" ht="22" customHeight="1">
      <c r="B67" s="23" t="inlineStr">
        <is>
          <t>TABELA: 10 MAIORES POSIÇÕES (gráfico)</t>
        </is>
      </c>
      <c r="C67" s="24" t="n"/>
      <c r="D67" s="24" t="n"/>
      <c r="E67" s="24" t="n"/>
      <c r="F67" s="24" t="n"/>
      <c r="G67" s="24" t="n"/>
    </row>
    <row r="68">
      <c r="B68" s="67" t="inlineStr">
        <is>
          <t>#</t>
        </is>
      </c>
      <c r="C68" s="67" t="inlineStr">
        <is>
          <t>Ativo</t>
        </is>
      </c>
      <c r="D68" s="67" t="inlineStr">
        <is>
          <t>Valor (R$)</t>
        </is>
      </c>
      <c r="E68" s="67" t="inlineStr">
        <is>
          <t>% Patrimônio</t>
        </is>
      </c>
      <c r="F68" s="67" t="inlineStr">
        <is>
          <t>Classe</t>
        </is>
      </c>
    </row>
    <row r="69">
      <c r="B69" s="131" t="n">
        <v>1</v>
      </c>
      <c r="C69" s="116" t="str">
        <f>IFERROR(INDEX('12 Base de Dados'!$C$6:$C$925,MATCH(LARGE('12 Base de Dados'!$P$6:$P$925,B69),'12 Base de Dados'!$P$6:$P$925,0)),"—")</f>
        <v>—</v>
      </c>
      <c r="D69" s="70">
        <f>IFERROR(INDEX('12 Base de Dados'!$J$6:$J$925,MATCH(LARGE('12 Base de Dados'!$P$6:$P$925,B69),'12 Base de Dados'!$P$6:$P$925,0)),0)</f>
        <v>0</v>
      </c>
      <c r="E69" s="30">
        <f>IF('02 Macro Alocação'!$D$16&gt;0,D69/'02 Macro Alocação'!$D$16,0)</f>
        <v>0</v>
      </c>
      <c r="F69" s="116" t="str">
        <f>IFERROR(INDEX('12 Base de Dados'!$A$6:$A$925,MATCH(LARGE('12 Base de Dados'!$P$6:$P$925,B69),'12 Base de Dados'!$P$6:$P$925,0)),"")</f>
        <v/>
      </c>
    </row>
    <row r="70">
      <c r="B70" s="131" t="n">
        <v>2</v>
      </c>
      <c r="C70" s="116" t="str">
        <f>IFERROR(INDEX('12 Base de Dados'!$C$6:$C$925,MATCH(LARGE('12 Base de Dados'!$P$6:$P$925,B70),'12 Base de Dados'!$P$6:$P$925,0)),"—")</f>
        <v>—</v>
      </c>
      <c r="D70" s="70">
        <f>IFERROR(INDEX('12 Base de Dados'!$J$6:$J$925,MATCH(LARGE('12 Base de Dados'!$P$6:$P$925,B70),'12 Base de Dados'!$P$6:$P$925,0)),0)</f>
        <v>0</v>
      </c>
      <c r="E70" s="30">
        <f>IF('02 Macro Alocação'!$D$16&gt;0,D70/'02 Macro Alocação'!$D$16,0)</f>
        <v>0</v>
      </c>
      <c r="F70" s="116" t="str">
        <f>IFERROR(INDEX('12 Base de Dados'!$A$6:$A$925,MATCH(LARGE('12 Base de Dados'!$P$6:$P$925,B70),'12 Base de Dados'!$P$6:$P$925,0)),"")</f>
        <v/>
      </c>
    </row>
    <row r="71">
      <c r="B71" s="131" t="n">
        <v>3</v>
      </c>
      <c r="C71" s="116" t="str">
        <f>IFERROR(INDEX('12 Base de Dados'!$C$6:$C$925,MATCH(LARGE('12 Base de Dados'!$P$6:$P$925,B71),'12 Base de Dados'!$P$6:$P$925,0)),"—")</f>
        <v>—</v>
      </c>
      <c r="D71" s="70">
        <f>IFERROR(INDEX('12 Base de Dados'!$J$6:$J$925,MATCH(LARGE('12 Base de Dados'!$P$6:$P$925,B71),'12 Base de Dados'!$P$6:$P$925,0)),0)</f>
        <v>0</v>
      </c>
      <c r="E71" s="30">
        <f>IF('02 Macro Alocação'!$D$16&gt;0,D71/'02 Macro Alocação'!$D$16,0)</f>
        <v>0</v>
      </c>
      <c r="F71" s="116" t="str">
        <f>IFERROR(INDEX('12 Base de Dados'!$A$6:$A$925,MATCH(LARGE('12 Base de Dados'!$P$6:$P$925,B71),'12 Base de Dados'!$P$6:$P$925,0)),"")</f>
        <v/>
      </c>
    </row>
    <row r="72">
      <c r="B72" s="131" t="n">
        <v>4</v>
      </c>
      <c r="C72" s="116" t="str">
        <f>IFERROR(INDEX('12 Base de Dados'!$C$6:$C$925,MATCH(LARGE('12 Base de Dados'!$P$6:$P$925,B72),'12 Base de Dados'!$P$6:$P$925,0)),"—")</f>
        <v>—</v>
      </c>
      <c r="D72" s="70">
        <f>IFERROR(INDEX('12 Base de Dados'!$J$6:$J$925,MATCH(LARGE('12 Base de Dados'!$P$6:$P$925,B72),'12 Base de Dados'!$P$6:$P$925,0)),0)</f>
        <v>0</v>
      </c>
      <c r="E72" s="30">
        <f>IF('02 Macro Alocação'!$D$16&gt;0,D72/'02 Macro Alocação'!$D$16,0)</f>
        <v>0</v>
      </c>
      <c r="F72" s="116" t="str">
        <f>IFERROR(INDEX('12 Base de Dados'!$A$6:$A$925,MATCH(LARGE('12 Base de Dados'!$P$6:$P$925,B72),'12 Base de Dados'!$P$6:$P$925,0)),"")</f>
        <v/>
      </c>
    </row>
    <row r="73">
      <c r="B73" s="131" t="n">
        <v>5</v>
      </c>
      <c r="C73" s="116" t="str">
        <f>IFERROR(INDEX('12 Base de Dados'!$C$6:$C$925,MATCH(LARGE('12 Base de Dados'!$P$6:$P$925,B73),'12 Base de Dados'!$P$6:$P$925,0)),"—")</f>
        <v>—</v>
      </c>
      <c r="D73" s="70">
        <f>IFERROR(INDEX('12 Base de Dados'!$J$6:$J$925,MATCH(LARGE('12 Base de Dados'!$P$6:$P$925,B73),'12 Base de Dados'!$P$6:$P$925,0)),0)</f>
        <v>0</v>
      </c>
      <c r="E73" s="30">
        <f>IF('02 Macro Alocação'!$D$16&gt;0,D73/'02 Macro Alocação'!$D$16,0)</f>
        <v>0</v>
      </c>
      <c r="F73" s="116" t="str">
        <f>IFERROR(INDEX('12 Base de Dados'!$A$6:$A$925,MATCH(LARGE('12 Base de Dados'!$P$6:$P$925,B73),'12 Base de Dados'!$P$6:$P$925,0)),"")</f>
        <v/>
      </c>
    </row>
    <row r="74">
      <c r="B74" s="131" t="n">
        <v>6</v>
      </c>
      <c r="C74" s="116" t="str">
        <f>IFERROR(INDEX('12 Base de Dados'!$C$6:$C$925,MATCH(LARGE('12 Base de Dados'!$P$6:$P$925,B74),'12 Base de Dados'!$P$6:$P$925,0)),"—")</f>
        <v>—</v>
      </c>
      <c r="D74" s="70">
        <f>IFERROR(INDEX('12 Base de Dados'!$J$6:$J$925,MATCH(LARGE('12 Base de Dados'!$P$6:$P$925,B74),'12 Base de Dados'!$P$6:$P$925,0)),0)</f>
        <v>0</v>
      </c>
      <c r="E74" s="30">
        <f>IF('02 Macro Alocação'!$D$16&gt;0,D74/'02 Macro Alocação'!$D$16,0)</f>
        <v>0</v>
      </c>
      <c r="F74" s="116" t="str">
        <f>IFERROR(INDEX('12 Base de Dados'!$A$6:$A$925,MATCH(LARGE('12 Base de Dados'!$P$6:$P$925,B74),'12 Base de Dados'!$P$6:$P$925,0)),"")</f>
        <v/>
      </c>
    </row>
    <row r="75">
      <c r="B75" s="131" t="n">
        <v>7</v>
      </c>
      <c r="C75" s="116" t="str">
        <f>IFERROR(INDEX('12 Base de Dados'!$C$6:$C$925,MATCH(LARGE('12 Base de Dados'!$P$6:$P$925,B75),'12 Base de Dados'!$P$6:$P$925,0)),"—")</f>
        <v>—</v>
      </c>
      <c r="D75" s="70">
        <f>IFERROR(INDEX('12 Base de Dados'!$J$6:$J$925,MATCH(LARGE('12 Base de Dados'!$P$6:$P$925,B75),'12 Base de Dados'!$P$6:$P$925,0)),0)</f>
        <v>0</v>
      </c>
      <c r="E75" s="30">
        <f>IF('02 Macro Alocação'!$D$16&gt;0,D75/'02 Macro Alocação'!$D$16,0)</f>
        <v>0</v>
      </c>
      <c r="F75" s="116" t="str">
        <f>IFERROR(INDEX('12 Base de Dados'!$A$6:$A$925,MATCH(LARGE('12 Base de Dados'!$P$6:$P$925,B75),'12 Base de Dados'!$P$6:$P$925,0)),"")</f>
        <v/>
      </c>
    </row>
    <row r="76">
      <c r="B76" s="131" t="n">
        <v>8</v>
      </c>
      <c r="C76" s="116" t="str">
        <f>IFERROR(INDEX('12 Base de Dados'!$C$6:$C$925,MATCH(LARGE('12 Base de Dados'!$P$6:$P$925,B76),'12 Base de Dados'!$P$6:$P$925,0)),"—")</f>
        <v>—</v>
      </c>
      <c r="D76" s="70">
        <f>IFERROR(INDEX('12 Base de Dados'!$J$6:$J$925,MATCH(LARGE('12 Base de Dados'!$P$6:$P$925,B76),'12 Base de Dados'!$P$6:$P$925,0)),0)</f>
        <v>0</v>
      </c>
      <c r="E76" s="30">
        <f>IF('02 Macro Alocação'!$D$16&gt;0,D76/'02 Macro Alocação'!$D$16,0)</f>
        <v>0</v>
      </c>
      <c r="F76" s="116" t="str">
        <f>IFERROR(INDEX('12 Base de Dados'!$A$6:$A$925,MATCH(LARGE('12 Base de Dados'!$P$6:$P$925,B76),'12 Base de Dados'!$P$6:$P$925,0)),"")</f>
        <v/>
      </c>
    </row>
    <row r="77">
      <c r="B77" s="131" t="n">
        <v>9</v>
      </c>
      <c r="C77" s="116" t="str">
        <f>IFERROR(INDEX('12 Base de Dados'!$C$6:$C$925,MATCH(LARGE('12 Base de Dados'!$P$6:$P$925,B77),'12 Base de Dados'!$P$6:$P$925,0)),"—")</f>
        <v>—</v>
      </c>
      <c r="D77" s="70">
        <f>IFERROR(INDEX('12 Base de Dados'!$J$6:$J$925,MATCH(LARGE('12 Base de Dados'!$P$6:$P$925,B77),'12 Base de Dados'!$P$6:$P$925,0)),0)</f>
        <v>0</v>
      </c>
      <c r="E77" s="30">
        <f>IF('02 Macro Alocação'!$D$16&gt;0,D77/'02 Macro Alocação'!$D$16,0)</f>
        <v>0</v>
      </c>
      <c r="F77" s="116" t="str">
        <f>IFERROR(INDEX('12 Base de Dados'!$A$6:$A$925,MATCH(LARGE('12 Base de Dados'!$P$6:$P$925,B77),'12 Base de Dados'!$P$6:$P$925,0)),"")</f>
        <v/>
      </c>
    </row>
    <row r="78">
      <c r="B78" s="131" t="n">
        <v>10</v>
      </c>
      <c r="C78" s="116" t="str">
        <f>IFERROR(INDEX('12 Base de Dados'!$C$6:$C$925,MATCH(LARGE('12 Base de Dados'!$P$6:$P$925,B78),'12 Base de Dados'!$P$6:$P$925,0)),"—")</f>
        <v>—</v>
      </c>
      <c r="D78" s="70">
        <f>IFERROR(INDEX('12 Base de Dados'!$J$6:$J$925,MATCH(LARGE('12 Base de Dados'!$P$6:$P$925,B78),'12 Base de Dados'!$P$6:$P$925,0)),0)</f>
        <v>0</v>
      </c>
      <c r="E78" s="30">
        <f>IF('02 Macro Alocação'!$D$16&gt;0,D78/'02 Macro Alocação'!$D$16,0)</f>
        <v>0</v>
      </c>
      <c r="F78" s="116" t="str">
        <f>IFERROR(INDEX('12 Base de Dados'!$A$6:$A$925,MATCH(LARGE('12 Base de Dados'!$P$6:$P$925,B78),'12 Base de Dados'!$P$6:$P$925,0)),"")</f>
        <v/>
      </c>
    </row>
    <row r="82" ht="22" customHeight="1">
      <c r="B82" s="23" t="inlineStr">
        <is>
          <t>TABELA: CONCENTRAÇÃO POR SETOR</t>
        </is>
      </c>
      <c r="C82" s="24" t="n"/>
      <c r="D82" s="24" t="n"/>
      <c r="E82" s="24" t="n"/>
      <c r="F82" s="24" t="n"/>
      <c r="G82" s="24" t="n"/>
    </row>
    <row r="83">
      <c r="B83" s="67" t="inlineStr">
        <is>
          <t>Setor</t>
        </is>
      </c>
      <c r="C83" s="67" t="inlineStr">
        <is>
          <t>Valor (R$)</t>
        </is>
      </c>
      <c r="D83" s="67" t="inlineStr">
        <is>
          <t>% Patrimônio</t>
        </is>
      </c>
      <c r="E83" s="67" t="inlineStr">
        <is>
          <t>Chave</t>
        </is>
      </c>
    </row>
    <row r="84">
      <c r="B84" s="116" t="str">
        <f>IF(I5="","",I5)</f>
        <v>Financeiro</v>
      </c>
      <c r="C84" s="70">
        <f>IF(B84="","",SUMIFS('12 Base de Dados'!$J$6:$J$925,'12 Base de Dados'!$E$6:$E$925,B84))</f>
        <v>0</v>
      </c>
      <c r="D84" s="30">
        <f>IF(B84="","",IF('02 Macro Alocação'!$D$16&gt;0,C84/'02 Macro Alocação'!$D$16,0))</f>
        <v>0</v>
      </c>
      <c r="E84" s="132" t="str">
        <f>IF(B84="","",IF(N(C84)&gt;0,C84+ROW()/1E9,""))</f>
        <v/>
      </c>
    </row>
    <row r="85">
      <c r="B85" s="116" t="str">
        <f>IF(I6="","",I6)</f>
        <v>Seguros</v>
      </c>
      <c r="C85" s="70">
        <f>IF(B85="","",SUMIFS('12 Base de Dados'!$J$6:$J$925,'12 Base de Dados'!$E$6:$E$925,B85))</f>
        <v>0</v>
      </c>
      <c r="D85" s="30">
        <f>IF(B85="","",IF('02 Macro Alocação'!$D$16&gt;0,C85/'02 Macro Alocação'!$D$16,0))</f>
        <v>0</v>
      </c>
      <c r="E85" s="132" t="str">
        <f>IF(B85="","",IF(N(C85)&gt;0,C85+ROW()/1E9,""))</f>
        <v/>
      </c>
    </row>
    <row r="86">
      <c r="B86" s="116" t="str">
        <f>IF(I7="","",I7)</f>
        <v>Energia Elétrica</v>
      </c>
      <c r="C86" s="70">
        <f>IF(B86="","",SUMIFS('12 Base de Dados'!$J$6:$J$925,'12 Base de Dados'!$E$6:$E$925,B86))</f>
        <v>0</v>
      </c>
      <c r="D86" s="30">
        <f>IF(B86="","",IF('02 Macro Alocação'!$D$16&gt;0,C86/'02 Macro Alocação'!$D$16,0))</f>
        <v>0</v>
      </c>
      <c r="E86" s="132" t="str">
        <f>IF(B86="","",IF(N(C86)&gt;0,C86+ROW()/1E9,""))</f>
        <v/>
      </c>
    </row>
    <row r="87">
      <c r="B87" s="116" t="str">
        <f>IF(I8="","",I8)</f>
        <v>Saneamento</v>
      </c>
      <c r="C87" s="70">
        <f>IF(B87="","",SUMIFS('12 Base de Dados'!$J$6:$J$925,'12 Base de Dados'!$E$6:$E$925,B87))</f>
        <v>0</v>
      </c>
      <c r="D87" s="30">
        <f>IF(B87="","",IF('02 Macro Alocação'!$D$16&gt;0,C87/'02 Macro Alocação'!$D$16,0))</f>
        <v>0</v>
      </c>
      <c r="E87" s="132" t="str">
        <f>IF(B87="","",IF(N(C87)&gt;0,C87+ROW()/1E9,""))</f>
        <v/>
      </c>
    </row>
    <row r="88">
      <c r="B88" s="116" t="str">
        <f>IF(I9="","",I9)</f>
        <v>Petróleo e Gás</v>
      </c>
      <c r="C88" s="70">
        <f>IF(B88="","",SUMIFS('12 Base de Dados'!$J$6:$J$925,'12 Base de Dados'!$E$6:$E$925,B88))</f>
        <v>0</v>
      </c>
      <c r="D88" s="30">
        <f>IF(B88="","",IF('02 Macro Alocação'!$D$16&gt;0,C88/'02 Macro Alocação'!$D$16,0))</f>
        <v>0</v>
      </c>
      <c r="E88" s="132" t="str">
        <f>IF(B88="","",IF(N(C88)&gt;0,C88+ROW()/1E9,""))</f>
        <v/>
      </c>
    </row>
    <row r="89">
      <c r="B89" s="116" t="str">
        <f>IF(I10="","",I10)</f>
        <v>Mineração</v>
      </c>
      <c r="C89" s="70">
        <f>IF(B89="","",SUMIFS('12 Base de Dados'!$J$6:$J$925,'12 Base de Dados'!$E$6:$E$925,B89))</f>
        <v>0</v>
      </c>
      <c r="D89" s="30">
        <f>IF(B89="","",IF('02 Macro Alocação'!$D$16&gt;0,C89/'02 Macro Alocação'!$D$16,0))</f>
        <v>0</v>
      </c>
      <c r="E89" s="132" t="str">
        <f>IF(B89="","",IF(N(C89)&gt;0,C89+ROW()/1E9,""))</f>
        <v/>
      </c>
    </row>
    <row r="90">
      <c r="B90" s="116" t="str">
        <f>IF(I11="","",I11)</f>
        <v>Siderurgia</v>
      </c>
      <c r="C90" s="70">
        <f>IF(B90="","",SUMIFS('12 Base de Dados'!$J$6:$J$925,'12 Base de Dados'!$E$6:$E$925,B90))</f>
        <v>0</v>
      </c>
      <c r="D90" s="30">
        <f>IF(B90="","",IF('02 Macro Alocação'!$D$16&gt;0,C90/'02 Macro Alocação'!$D$16,0))</f>
        <v>0</v>
      </c>
      <c r="E90" s="132" t="str">
        <f>IF(B90="","",IF(N(C90)&gt;0,C90+ROW()/1E9,""))</f>
        <v/>
      </c>
    </row>
    <row r="91">
      <c r="B91" s="116" t="str">
        <f>IF(I12="","",I12)</f>
        <v>Papel e Celulose</v>
      </c>
      <c r="C91" s="70">
        <f>IF(B91="","",SUMIFS('12 Base de Dados'!$J$6:$J$925,'12 Base de Dados'!$E$6:$E$925,B91))</f>
        <v>0</v>
      </c>
      <c r="D91" s="30">
        <f>IF(B91="","",IF('02 Macro Alocação'!$D$16&gt;0,C91/'02 Macro Alocação'!$D$16,0))</f>
        <v>0</v>
      </c>
      <c r="E91" s="132" t="str">
        <f>IF(B91="","",IF(N(C91)&gt;0,C91+ROW()/1E9,""))</f>
        <v/>
      </c>
    </row>
    <row r="92">
      <c r="B92" s="116" t="str">
        <f>IF(I13="","",I13)</f>
        <v>Agronegócio</v>
      </c>
      <c r="C92" s="70">
        <f>IF(B92="","",SUMIFS('12 Base de Dados'!$J$6:$J$925,'12 Base de Dados'!$E$6:$E$925,B92))</f>
        <v>0</v>
      </c>
      <c r="D92" s="30">
        <f>IF(B92="","",IF('02 Macro Alocação'!$D$16&gt;0,C92/'02 Macro Alocação'!$D$16,0))</f>
        <v>0</v>
      </c>
      <c r="E92" s="132" t="str">
        <f>IF(B92="","",IF(N(C92)&gt;0,C92+ROW()/1E9,""))</f>
        <v/>
      </c>
    </row>
    <row r="93">
      <c r="B93" s="116" t="str">
        <f>IF(I14="","",I14)</f>
        <v>Alimentos e Bebidas</v>
      </c>
      <c r="C93" s="70">
        <f>IF(B93="","",SUMIFS('12 Base de Dados'!$J$6:$J$925,'12 Base de Dados'!$E$6:$E$925,B93))</f>
        <v>0</v>
      </c>
      <c r="D93" s="30">
        <f>IF(B93="","",IF('02 Macro Alocação'!$D$16&gt;0,C93/'02 Macro Alocação'!$D$16,0))</f>
        <v>0</v>
      </c>
      <c r="E93" s="132" t="str">
        <f>IF(B93="","",IF(N(C93)&gt;0,C93+ROW()/1E9,""))</f>
        <v/>
      </c>
    </row>
    <row r="94">
      <c r="B94" s="116" t="str">
        <f>IF(I15="","",I15)</f>
        <v>Varejo</v>
      </c>
      <c r="C94" s="70">
        <f>IF(B94="","",SUMIFS('12 Base de Dados'!$J$6:$J$925,'12 Base de Dados'!$E$6:$E$925,B94))</f>
        <v>0</v>
      </c>
      <c r="D94" s="30">
        <f>IF(B94="","",IF('02 Macro Alocação'!$D$16&gt;0,C94/'02 Macro Alocação'!$D$16,0))</f>
        <v>0</v>
      </c>
      <c r="E94" s="132" t="str">
        <f>IF(B94="","",IF(N(C94)&gt;0,C94+ROW()/1E9,""))</f>
        <v/>
      </c>
    </row>
    <row r="95">
      <c r="B95" s="116" t="str">
        <f>IF(I16="","",I16)</f>
        <v>Consumo</v>
      </c>
      <c r="C95" s="70">
        <f>IF(B95="","",SUMIFS('12 Base de Dados'!$J$6:$J$925,'12 Base de Dados'!$E$6:$E$925,B95))</f>
        <v>0</v>
      </c>
      <c r="D95" s="30">
        <f>IF(B95="","",IF('02 Macro Alocação'!$D$16&gt;0,C95/'02 Macro Alocação'!$D$16,0))</f>
        <v>0</v>
      </c>
      <c r="E95" s="132" t="str">
        <f>IF(B95="","",IF(N(C95)&gt;0,C95+ROW()/1E9,""))</f>
        <v/>
      </c>
    </row>
    <row r="96">
      <c r="B96" s="116" t="str">
        <f>IF(I17="","",I17)</f>
        <v>Saúde</v>
      </c>
      <c r="C96" s="70">
        <f>IF(B96="","",SUMIFS('12 Base de Dados'!$J$6:$J$925,'12 Base de Dados'!$E$6:$E$925,B96))</f>
        <v>0</v>
      </c>
      <c r="D96" s="30">
        <f>IF(B96="","",IF('02 Macro Alocação'!$D$16&gt;0,C96/'02 Macro Alocação'!$D$16,0))</f>
        <v>0</v>
      </c>
      <c r="E96" s="132" t="str">
        <f>IF(B96="","",IF(N(C96)&gt;0,C96+ROW()/1E9,""))</f>
        <v/>
      </c>
    </row>
    <row r="97">
      <c r="B97" s="116" t="str">
        <f>IF(I18="","",I18)</f>
        <v>Tecnologia</v>
      </c>
      <c r="C97" s="70">
        <f>IF(B97="","",SUMIFS('12 Base de Dados'!$J$6:$J$925,'12 Base de Dados'!$E$6:$E$925,B97))</f>
        <v>0</v>
      </c>
      <c r="D97" s="30">
        <f>IF(B97="","",IF('02 Macro Alocação'!$D$16&gt;0,C97/'02 Macro Alocação'!$D$16,0))</f>
        <v>0</v>
      </c>
      <c r="E97" s="132" t="str">
        <f>IF(B97="","",IF(N(C97)&gt;0,C97+ROW()/1E9,""))</f>
        <v/>
      </c>
    </row>
    <row r="98">
      <c r="B98" s="116" t="str">
        <f>IF(I19="","",I19)</f>
        <v>Telecomunicações</v>
      </c>
      <c r="C98" s="70">
        <f>IF(B98="","",SUMIFS('12 Base de Dados'!$J$6:$J$925,'12 Base de Dados'!$E$6:$E$925,B98))</f>
        <v>0</v>
      </c>
      <c r="D98" s="30">
        <f>IF(B98="","",IF('02 Macro Alocação'!$D$16&gt;0,C98/'02 Macro Alocação'!$D$16,0))</f>
        <v>0</v>
      </c>
      <c r="E98" s="132" t="str">
        <f>IF(B98="","",IF(N(C98)&gt;0,C98+ROW()/1E9,""))</f>
        <v/>
      </c>
    </row>
    <row r="99">
      <c r="B99" s="116" t="str">
        <f>IF(I20="","",I20)</f>
        <v>Industrial</v>
      </c>
      <c r="C99" s="70">
        <f>IF(B99="","",SUMIFS('12 Base de Dados'!$J$6:$J$925,'12 Base de Dados'!$E$6:$E$925,B99))</f>
        <v>0</v>
      </c>
      <c r="D99" s="30">
        <f>IF(B99="","",IF('02 Macro Alocação'!$D$16&gt;0,C99/'02 Macro Alocação'!$D$16,0))</f>
        <v>0</v>
      </c>
      <c r="E99" s="132" t="str">
        <f>IF(B99="","",IF(N(C99)&gt;0,C99+ROW()/1E9,""))</f>
        <v/>
      </c>
    </row>
    <row r="100">
      <c r="B100" s="116" t="str">
        <f>IF(I21="","",I21)</f>
        <v>Construção Civil</v>
      </c>
      <c r="C100" s="70">
        <f>IF(B100="","",SUMIFS('12 Base de Dados'!$J$6:$J$925,'12 Base de Dados'!$E$6:$E$925,B100))</f>
        <v>0</v>
      </c>
      <c r="D100" s="30">
        <f>IF(B100="","",IF('02 Macro Alocação'!$D$16&gt;0,C100/'02 Macro Alocação'!$D$16,0))</f>
        <v>0</v>
      </c>
      <c r="E100" s="132" t="str">
        <f>IF(B100="","",IF(N(C100)&gt;0,C100+ROW()/1E9,""))</f>
        <v/>
      </c>
    </row>
    <row r="101">
      <c r="B101" s="116" t="str">
        <f>IF(I22="","",I22)</f>
        <v>Transporte e Logística</v>
      </c>
      <c r="C101" s="70">
        <f>IF(B101="","",SUMIFS('12 Base de Dados'!$J$6:$J$925,'12 Base de Dados'!$E$6:$E$925,B101))</f>
        <v>0</v>
      </c>
      <c r="D101" s="30">
        <f>IF(B101="","",IF('02 Macro Alocação'!$D$16&gt;0,C101/'02 Macro Alocação'!$D$16,0))</f>
        <v>0</v>
      </c>
      <c r="E101" s="132" t="str">
        <f>IF(B101="","",IF(N(C101)&gt;0,C101+ROW()/1E9,""))</f>
        <v/>
      </c>
    </row>
    <row r="102">
      <c r="B102" s="116" t="str">
        <f>IF(I23="","",I23)</f>
        <v>FII - Logística</v>
      </c>
      <c r="C102" s="70">
        <f>IF(B102="","",SUMIFS('12 Base de Dados'!$J$6:$J$925,'12 Base de Dados'!$E$6:$E$925,B102))</f>
        <v>0</v>
      </c>
      <c r="D102" s="30">
        <f>IF(B102="","",IF('02 Macro Alocação'!$D$16&gt;0,C102/'02 Macro Alocação'!$D$16,0))</f>
        <v>0</v>
      </c>
      <c r="E102" s="132" t="str">
        <f>IF(B102="","",IF(N(C102)&gt;0,C102+ROW()/1E9,""))</f>
        <v/>
      </c>
    </row>
    <row r="103">
      <c r="B103" s="116" t="str">
        <f>IF(I24="","",I24)</f>
        <v>FII - Lajes Corporativas</v>
      </c>
      <c r="C103" s="70">
        <f>IF(B103="","",SUMIFS('12 Base de Dados'!$J$6:$J$925,'12 Base de Dados'!$E$6:$E$925,B103))</f>
        <v>0</v>
      </c>
      <c r="D103" s="30">
        <f>IF(B103="","",IF('02 Macro Alocação'!$D$16&gt;0,C103/'02 Macro Alocação'!$D$16,0))</f>
        <v>0</v>
      </c>
      <c r="E103" s="132" t="str">
        <f>IF(B103="","",IF(N(C103)&gt;0,C103+ROW()/1E9,""))</f>
        <v/>
      </c>
    </row>
    <row r="104">
      <c r="B104" s="116" t="str">
        <f>IF(I25="","",I25)</f>
        <v>FII - Shoppings</v>
      </c>
      <c r="C104" s="70">
        <f>IF(B104="","",SUMIFS('12 Base de Dados'!$J$6:$J$925,'12 Base de Dados'!$E$6:$E$925,B104))</f>
        <v>0</v>
      </c>
      <c r="D104" s="30">
        <f>IF(B104="","",IF('02 Macro Alocação'!$D$16&gt;0,C104/'02 Macro Alocação'!$D$16,0))</f>
        <v>0</v>
      </c>
      <c r="E104" s="132" t="str">
        <f>IF(B104="","",IF(N(C104)&gt;0,C104+ROW()/1E9,""))</f>
        <v/>
      </c>
    </row>
    <row r="105">
      <c r="B105" s="116" t="str">
        <f>IF(I26="","",I26)</f>
        <v>FII - Papel (CRI/CRA)</v>
      </c>
      <c r="C105" s="70">
        <f>IF(B105="","",SUMIFS('12 Base de Dados'!$J$6:$J$925,'12 Base de Dados'!$E$6:$E$925,B105))</f>
        <v>0</v>
      </c>
      <c r="D105" s="30">
        <f>IF(B105="","",IF('02 Macro Alocação'!$D$16&gt;0,C105/'02 Macro Alocação'!$D$16,0))</f>
        <v>0</v>
      </c>
      <c r="E105" s="132" t="str">
        <f>IF(B105="","",IF(N(C105)&gt;0,C105+ROW()/1E9,""))</f>
        <v/>
      </c>
    </row>
    <row r="106">
      <c r="B106" s="116" t="str">
        <f>IF(I27="","",I27)</f>
        <v>FII - Híbrido</v>
      </c>
      <c r="C106" s="70">
        <f>IF(B106="","",SUMIFS('12 Base de Dados'!$J$6:$J$925,'12 Base de Dados'!$E$6:$E$925,B106))</f>
        <v>0</v>
      </c>
      <c r="D106" s="30">
        <f>IF(B106="","",IF('02 Macro Alocação'!$D$16&gt;0,C106/'02 Macro Alocação'!$D$16,0))</f>
        <v>0</v>
      </c>
      <c r="E106" s="132" t="str">
        <f>IF(B106="","",IF(N(C106)&gt;0,C106+ROW()/1E9,""))</f>
        <v/>
      </c>
    </row>
    <row r="107">
      <c r="B107" s="116" t="str">
        <f>IF(I28="","",I28)</f>
        <v>FII - Fundo de Fundos</v>
      </c>
      <c r="C107" s="70">
        <f>IF(B107="","",SUMIFS('12 Base de Dados'!$J$6:$J$925,'12 Base de Dados'!$E$6:$E$925,B107))</f>
        <v>0</v>
      </c>
      <c r="D107" s="30">
        <f>IF(B107="","",IF('02 Macro Alocação'!$D$16&gt;0,C107/'02 Macro Alocação'!$D$16,0))</f>
        <v>0</v>
      </c>
      <c r="E107" s="132" t="str">
        <f>IF(B107="","",IF(N(C107)&gt;0,C107+ROW()/1E9,""))</f>
        <v/>
      </c>
    </row>
    <row r="108">
      <c r="B108" s="116" t="str">
        <f>IF(I29="","",I29)</f>
        <v>FII - Residencial</v>
      </c>
      <c r="C108" s="70">
        <f>IF(B108="","",SUMIFS('12 Base de Dados'!$J$6:$J$925,'12 Base de Dados'!$E$6:$E$925,B108))</f>
        <v>0</v>
      </c>
      <c r="D108" s="30">
        <f>IF(B108="","",IF('02 Macro Alocação'!$D$16&gt;0,C108/'02 Macro Alocação'!$D$16,0))</f>
        <v>0</v>
      </c>
      <c r="E108" s="132" t="str">
        <f>IF(B108="","",IF(N(C108)&gt;0,C108+ROW()/1E9,""))</f>
        <v/>
      </c>
    </row>
    <row r="109">
      <c r="B109" s="116" t="str">
        <f>IF(I30="","",I30)</f>
        <v>REIT - Imobiliário</v>
      </c>
      <c r="C109" s="70">
        <f>IF(B109="","",SUMIFS('12 Base de Dados'!$J$6:$J$925,'12 Base de Dados'!$E$6:$E$925,B109))</f>
        <v>0</v>
      </c>
      <c r="D109" s="30">
        <f>IF(B109="","",IF('02 Macro Alocação'!$D$16&gt;0,C109/'02 Macro Alocação'!$D$16,0))</f>
        <v>0</v>
      </c>
      <c r="E109" s="132" t="str">
        <f>IF(B109="","",IF(N(C109)&gt;0,C109+ROW()/1E9,""))</f>
        <v/>
      </c>
    </row>
    <row r="110">
      <c r="B110" s="116" t="str">
        <f>IF(I31="","",I31)</f>
        <v>ETF Diversificado</v>
      </c>
      <c r="C110" s="70">
        <f>IF(B110="","",SUMIFS('12 Base de Dados'!$J$6:$J$925,'12 Base de Dados'!$E$6:$E$925,B110))</f>
        <v>0</v>
      </c>
      <c r="D110" s="30">
        <f>IF(B110="","",IF('02 Macro Alocação'!$D$16&gt;0,C110/'02 Macro Alocação'!$D$16,0))</f>
        <v>0</v>
      </c>
      <c r="E110" s="132" t="str">
        <f>IF(B110="","",IF(N(C110)&gt;0,C110+ROW()/1E9,""))</f>
        <v/>
      </c>
    </row>
    <row r="111">
      <c r="B111" s="116" t="str">
        <f>IF(I32="","",I32)</f>
        <v>ETF Dividendos</v>
      </c>
      <c r="C111" s="70">
        <f>IF(B111="","",SUMIFS('12 Base de Dados'!$J$6:$J$925,'12 Base de Dados'!$E$6:$E$925,B111))</f>
        <v>0</v>
      </c>
      <c r="D111" s="30">
        <f>IF(B111="","",IF('02 Macro Alocação'!$D$16&gt;0,C111/'02 Macro Alocação'!$D$16,0))</f>
        <v>0</v>
      </c>
      <c r="E111" s="132" t="str">
        <f>IF(B111="","",IF(N(C111)&gt;0,C111+ROW()/1E9,""))</f>
        <v/>
      </c>
    </row>
    <row r="112">
      <c r="B112" s="116" t="str">
        <f>IF(I33="","",I33)</f>
        <v>ETF Imobiliário</v>
      </c>
      <c r="C112" s="70">
        <f>IF(B112="","",SUMIFS('12 Base de Dados'!$J$6:$J$925,'12 Base de Dados'!$E$6:$E$925,B112))</f>
        <v>0</v>
      </c>
      <c r="D112" s="30">
        <f>IF(B112="","",IF('02 Macro Alocação'!$D$16&gt;0,C112/'02 Macro Alocação'!$D$16,0))</f>
        <v>0</v>
      </c>
      <c r="E112" s="132" t="str">
        <f>IF(B112="","",IF(N(C112)&gt;0,C112+ROW()/1E9,""))</f>
        <v/>
      </c>
    </row>
    <row r="113">
      <c r="B113" s="116" t="str">
        <f>IF(I34="","",I34)</f>
        <v>Criptomoeda</v>
      </c>
      <c r="C113" s="70">
        <f>IF(B113="","",SUMIFS('12 Base de Dados'!$J$6:$J$925,'12 Base de Dados'!$E$6:$E$925,B113))</f>
        <v>0</v>
      </c>
      <c r="D113" s="30">
        <f>IF(B113="","",IF('02 Macro Alocação'!$D$16&gt;0,C113/'02 Macro Alocação'!$D$16,0))</f>
        <v>0</v>
      </c>
      <c r="E113" s="132" t="str">
        <f>IF(B113="","",IF(N(C113)&gt;0,C113+ROW()/1E9,""))</f>
        <v/>
      </c>
    </row>
    <row r="114">
      <c r="B114" s="116" t="str">
        <f>IF(I35="","",I35)</f>
        <v>Renda Fixa</v>
      </c>
      <c r="C114" s="70">
        <f>IF(B114="","",SUMIFS('12 Base de Dados'!$J$6:$J$925,'12 Base de Dados'!$E$6:$E$925,B114))</f>
        <v>0</v>
      </c>
      <c r="D114" s="30">
        <f>IF(B114="","",IF('02 Macro Alocação'!$D$16&gt;0,C114/'02 Macro Alocação'!$D$16,0))</f>
        <v>0</v>
      </c>
      <c r="E114" s="132" t="str">
        <f>IF(B114="","",IF(N(C114)&gt;0,C114+ROW()/1E9,""))</f>
        <v/>
      </c>
    </row>
    <row r="115">
      <c r="B115" s="116" t="str">
        <f>IF(I36="","",I36)</f>
        <v>Ativos Ilíquidos</v>
      </c>
      <c r="C115" s="70">
        <f>IF(B115="","",SUMIFS('12 Base de Dados'!$J$6:$J$925,'12 Base de Dados'!$E$6:$E$925,B115))</f>
        <v>0</v>
      </c>
      <c r="D115" s="30">
        <f>IF(B115="","",IF('02 Macro Alocação'!$D$16&gt;0,C115/'02 Macro Alocação'!$D$16,0))</f>
        <v>0</v>
      </c>
      <c r="E115" s="132" t="str">
        <f>IF(B115="","",IF(N(C115)&gt;0,C115+ROW()/1E9,""))</f>
        <v/>
      </c>
    </row>
    <row r="116">
      <c r="B116" s="116" t="str">
        <f>IF(I37="","",I37)</f>
        <v>Imóveis</v>
      </c>
      <c r="C116" s="70">
        <f>IF(B116="","",SUMIFS('12 Base de Dados'!$J$6:$J$925,'12 Base de Dados'!$E$6:$E$925,B116))</f>
        <v>0</v>
      </c>
      <c r="D116" s="30">
        <f>IF(B116="","",IF('02 Macro Alocação'!$D$16&gt;0,C116/'02 Macro Alocação'!$D$16,0))</f>
        <v>0</v>
      </c>
      <c r="E116" s="132" t="str">
        <f>IF(B116="","",IF(N(C116)&gt;0,C116+ROW()/1E9,""))</f>
        <v/>
      </c>
    </row>
    <row r="117">
      <c r="B117" s="116" t="str">
        <f>IF(I38="","",I38)</f>
        <v>Participações</v>
      </c>
      <c r="C117" s="70">
        <f>IF(B117="","",SUMIFS('12 Base de Dados'!$J$6:$J$925,'12 Base de Dados'!$E$6:$E$925,B117))</f>
        <v>0</v>
      </c>
      <c r="D117" s="30">
        <f>IF(B117="","",IF('02 Macro Alocação'!$D$16&gt;0,C117/'02 Macro Alocação'!$D$16,0))</f>
        <v>0</v>
      </c>
      <c r="E117" s="132" t="str">
        <f>IF(B117="","",IF(N(C117)&gt;0,C117+ROW()/1E9,""))</f>
        <v/>
      </c>
    </row>
    <row r="118">
      <c r="B118" s="116" t="str">
        <f>IF(I39="","",I39)</f>
        <v>Outros</v>
      </c>
      <c r="C118" s="70">
        <f>IF(B118="","",SUMIFS('12 Base de Dados'!$J$6:$J$925,'12 Base de Dados'!$E$6:$E$925,B118))</f>
        <v>0</v>
      </c>
      <c r="D118" s="30">
        <f>IF(B118="","",IF('02 Macro Alocação'!$D$16&gt;0,C118/'02 Macro Alocação'!$D$16,0))</f>
        <v>0</v>
      </c>
      <c r="E118" s="132" t="str">
        <f>IF(B118="","",IF(N(C118)&gt;0,C118+ROW()/1E9,""))</f>
        <v/>
      </c>
    </row>
    <row r="119">
      <c r="B119" s="116" t="str">
        <f>IF(I40="","",I40)</f>
        <v/>
      </c>
      <c r="C119" s="70" t="str">
        <f>IF(B119="","",SUMIFS('12 Base de Dados'!$J$6:$J$925,'12 Base de Dados'!$E$6:$E$925,B119))</f>
        <v/>
      </c>
      <c r="D119" s="30" t="str">
        <f>IF(B119="","",IF('02 Macro Alocação'!$D$16&gt;0,C119/'02 Macro Alocação'!$D$16,0))</f>
        <v/>
      </c>
      <c r="E119" s="132" t="str">
        <f>IF(B119="","",IF(N(C119)&gt;0,C119+ROW()/1E9,""))</f>
        <v/>
      </c>
    </row>
    <row r="120">
      <c r="B120" s="116" t="str">
        <f>IF(I41="","",I41)</f>
        <v/>
      </c>
      <c r="C120" s="70" t="str">
        <f>IF(B120="","",SUMIFS('12 Base de Dados'!$J$6:$J$925,'12 Base de Dados'!$E$6:$E$925,B120))</f>
        <v/>
      </c>
      <c r="D120" s="30" t="str">
        <f>IF(B120="","",IF('02 Macro Alocação'!$D$16&gt;0,C120/'02 Macro Alocação'!$D$16,0))</f>
        <v/>
      </c>
      <c r="E120" s="132" t="str">
        <f>IF(B120="","",IF(N(C120)&gt;0,C120+ROW()/1E9,""))</f>
        <v/>
      </c>
    </row>
    <row r="121">
      <c r="B121" s="116" t="str">
        <f>IF(I42="","",I42)</f>
        <v/>
      </c>
      <c r="C121" s="70" t="str">
        <f>IF(B121="","",SUMIFS('12 Base de Dados'!$J$6:$J$925,'12 Base de Dados'!$E$6:$E$925,B121))</f>
        <v/>
      </c>
      <c r="D121" s="30" t="str">
        <f>IF(B121="","",IF('02 Macro Alocação'!$D$16&gt;0,C121/'02 Macro Alocação'!$D$16,0))</f>
        <v/>
      </c>
      <c r="E121" s="132" t="str">
        <f>IF(B121="","",IF(N(C121)&gt;0,C121+ROW()/1E9,""))</f>
        <v/>
      </c>
    </row>
    <row r="122">
      <c r="B122" s="116" t="str">
        <f>IF(I43="","",I43)</f>
        <v/>
      </c>
      <c r="C122" s="70" t="str">
        <f>IF(B122="","",SUMIFS('12 Base de Dados'!$J$6:$J$925,'12 Base de Dados'!$E$6:$E$925,B122))</f>
        <v/>
      </c>
      <c r="D122" s="30" t="str">
        <f>IF(B122="","",IF('02 Macro Alocação'!$D$16&gt;0,C122/'02 Macro Alocação'!$D$16,0))</f>
        <v/>
      </c>
      <c r="E122" s="132" t="str">
        <f>IF(B122="","",IF(N(C122)&gt;0,C122+ROW()/1E9,""))</f>
        <v/>
      </c>
    </row>
    <row r="123">
      <c r="B123" s="116" t="str">
        <f>IF(I44="","",I44)</f>
        <v/>
      </c>
      <c r="C123" s="70" t="str">
        <f>IF(B123="","",SUMIFS('12 Base de Dados'!$J$6:$J$925,'12 Base de Dados'!$E$6:$E$925,B123))</f>
        <v/>
      </c>
      <c r="D123" s="30" t="str">
        <f>IF(B123="","",IF('02 Macro Alocação'!$D$16&gt;0,C123/'02 Macro Alocação'!$D$16,0))</f>
        <v/>
      </c>
      <c r="E123" s="132" t="str">
        <f>IF(B123="","",IF(N(C123)&gt;0,C123+ROW()/1E9,""))</f>
        <v/>
      </c>
    </row>
    <row r="124">
      <c r="B124" s="29" t="inlineStr">
        <is>
          <t>Não classificado</t>
        </is>
      </c>
      <c r="C124" s="70">
        <f>MAX(0,'02 Macro Alocação'!$D$16-SUM(C84:C123))</f>
        <v>0</v>
      </c>
      <c r="D124" s="30">
        <f>IF('02 Macro Alocação'!$D$16&gt;0,C124/'02 Macro Alocação'!$D$16,0)</f>
        <v>0</v>
      </c>
      <c r="E124" s="132" t="str">
        <f>IF(N(C124)&gt;0.005,C124+ROW()/1E9,"")</f>
        <v/>
      </c>
    </row>
    <row r="127" ht="22" customHeight="1">
      <c r="B127" s="23" t="inlineStr">
        <is>
          <t>TABELA: 6 MAIORES SETORES (gráfico)</t>
        </is>
      </c>
      <c r="C127" s="24" t="n"/>
      <c r="D127" s="24" t="n"/>
      <c r="E127" s="24" t="n"/>
      <c r="F127" s="24" t="n"/>
      <c r="G127" s="24" t="n"/>
    </row>
    <row r="128">
      <c r="B128" s="67" t="inlineStr">
        <is>
          <t>#</t>
        </is>
      </c>
      <c r="C128" s="67" t="inlineStr">
        <is>
          <t>Setor</t>
        </is>
      </c>
      <c r="D128" s="67" t="inlineStr">
        <is>
          <t>Valor (R$)</t>
        </is>
      </c>
      <c r="E128" s="67" t="inlineStr">
        <is>
          <t>% Patrimônio</t>
        </is>
      </c>
    </row>
    <row r="129">
      <c r="B129" s="131" t="n">
        <v>1</v>
      </c>
      <c r="C129" s="116" t="str">
        <f>IFERROR(INDEX($B$84:$B$124,MATCH(LARGE($E$84:$E$124,B129),$E$84:$E$124,0)),"—")</f>
        <v>—</v>
      </c>
      <c r="D129" s="70">
        <f>IFERROR(INDEX($C$84:$C$124,MATCH(LARGE($E$84:$E$124,B129),$E$84:$E$124,0)),0)</f>
        <v>0</v>
      </c>
      <c r="E129" s="30">
        <f>IF('02 Macro Alocação'!$D$16&gt;0,D129/'02 Macro Alocação'!$D$16,0)</f>
        <v>0</v>
      </c>
    </row>
    <row r="130">
      <c r="B130" s="131" t="n">
        <v>2</v>
      </c>
      <c r="C130" s="116" t="str">
        <f>IFERROR(INDEX($B$84:$B$124,MATCH(LARGE($E$84:$E$124,B130),$E$84:$E$124,0)),"—")</f>
        <v>—</v>
      </c>
      <c r="D130" s="70">
        <f>IFERROR(INDEX($C$84:$C$124,MATCH(LARGE($E$84:$E$124,B130),$E$84:$E$124,0)),0)</f>
        <v>0</v>
      </c>
      <c r="E130" s="30">
        <f>IF('02 Macro Alocação'!$D$16&gt;0,D130/'02 Macro Alocação'!$D$16,0)</f>
        <v>0</v>
      </c>
    </row>
    <row r="131">
      <c r="B131" s="131" t="n">
        <v>3</v>
      </c>
      <c r="C131" s="116" t="str">
        <f>IFERROR(INDEX($B$84:$B$124,MATCH(LARGE($E$84:$E$124,B131),$E$84:$E$124,0)),"—")</f>
        <v>—</v>
      </c>
      <c r="D131" s="70">
        <f>IFERROR(INDEX($C$84:$C$124,MATCH(LARGE($E$84:$E$124,B131),$E$84:$E$124,0)),0)</f>
        <v>0</v>
      </c>
      <c r="E131" s="30">
        <f>IF('02 Macro Alocação'!$D$16&gt;0,D131/'02 Macro Alocação'!$D$16,0)</f>
        <v>0</v>
      </c>
    </row>
    <row r="132">
      <c r="B132" s="131" t="n">
        <v>4</v>
      </c>
      <c r="C132" s="116" t="str">
        <f>IFERROR(INDEX($B$84:$B$124,MATCH(LARGE($E$84:$E$124,B132),$E$84:$E$124,0)),"—")</f>
        <v>—</v>
      </c>
      <c r="D132" s="70">
        <f>IFERROR(INDEX($C$84:$C$124,MATCH(LARGE($E$84:$E$124,B132),$E$84:$E$124,0)),0)</f>
        <v>0</v>
      </c>
      <c r="E132" s="30">
        <f>IF('02 Macro Alocação'!$D$16&gt;0,D132/'02 Macro Alocação'!$D$16,0)</f>
        <v>0</v>
      </c>
    </row>
    <row r="133">
      <c r="B133" s="131" t="n">
        <v>5</v>
      </c>
      <c r="C133" s="116" t="str">
        <f>IFERROR(INDEX($B$84:$B$124,MATCH(LARGE($E$84:$E$124,B133),$E$84:$E$124,0)),"—")</f>
        <v>—</v>
      </c>
      <c r="D133" s="70">
        <f>IFERROR(INDEX($C$84:$C$124,MATCH(LARGE($E$84:$E$124,B133),$E$84:$E$124,0)),0)</f>
        <v>0</v>
      </c>
      <c r="E133" s="30">
        <f>IF('02 Macro Alocação'!$D$16&gt;0,D133/'02 Macro Alocação'!$D$16,0)</f>
        <v>0</v>
      </c>
    </row>
    <row r="134">
      <c r="B134" s="131" t="n">
        <v>6</v>
      </c>
      <c r="C134" s="116" t="str">
        <f>IFERROR(INDEX($B$84:$B$124,MATCH(LARGE($E$84:$E$124,B134),$E$84:$E$124,0)),"—")</f>
        <v>—</v>
      </c>
      <c r="D134" s="70">
        <f>IFERROR(INDEX($C$84:$C$124,MATCH(LARGE($E$84:$E$124,B134),$E$84:$E$124,0)),0)</f>
        <v>0</v>
      </c>
      <c r="E134" s="30">
        <f>IF('02 Macro Alocação'!$D$16&gt;0,D134/'02 Macro Alocação'!$D$16,0)</f>
        <v>0</v>
      </c>
    </row>
    <row r="137" ht="22" customHeight="1">
      <c r="B137" s="23" t="inlineStr">
        <is>
          <t>TABELA: EXPOSIÇÃO POR MOEDA (gráfico)</t>
        </is>
      </c>
      <c r="C137" s="24" t="n"/>
      <c r="D137" s="24" t="n"/>
      <c r="E137" s="24" t="n"/>
      <c r="F137" s="24" t="n"/>
      <c r="G137" s="24" t="n"/>
    </row>
    <row r="138">
      <c r="B138" s="67" t="inlineStr">
        <is>
          <t>Moeda</t>
        </is>
      </c>
      <c r="C138" s="67" t="inlineStr">
        <is>
          <t>Valor (R$)</t>
        </is>
      </c>
      <c r="D138" s="67" t="inlineStr">
        <is>
          <t>% Patrimônio</t>
        </is>
      </c>
    </row>
    <row r="139">
      <c r="B139" s="29" t="inlineStr">
        <is>
          <t>BRL</t>
        </is>
      </c>
      <c r="C139" s="70">
        <f>SUMIFS('12 Base de Dados'!$J$6:$J$925,'12 Base de Dados'!$F$6:$F$925,B139)</f>
        <v>0</v>
      </c>
      <c r="D139" s="30">
        <f>IF('02 Macro Alocação'!$D$16&gt;0,C139/'02 Macro Alocação'!$D$16,0)</f>
        <v>0</v>
      </c>
    </row>
    <row r="140">
      <c r="B140" s="29" t="inlineStr">
        <is>
          <t>USD</t>
        </is>
      </c>
      <c r="C140" s="70">
        <f>SUMIFS('12 Base de Dados'!$J$6:$J$925,'12 Base de Dados'!$F$6:$F$925,B140)</f>
        <v>0</v>
      </c>
      <c r="D140" s="30">
        <f>IF('02 Macro Alocação'!$D$16&gt;0,C140/'02 Macro Alocação'!$D$16,0)</f>
        <v>0</v>
      </c>
    </row>
    <row r="141">
      <c r="B141" s="29" t="inlineStr">
        <is>
          <t>EUR</t>
        </is>
      </c>
      <c r="C141" s="70">
        <f>SUMIFS('12 Base de Dados'!$J$6:$J$925,'12 Base de Dados'!$F$6:$F$925,B141)</f>
        <v>0</v>
      </c>
      <c r="D141" s="30">
        <f>IF('02 Macro Alocação'!$D$16&gt;0,C141/'02 Macro Alocação'!$D$16,0)</f>
        <v>0</v>
      </c>
    </row>
    <row r="142">
      <c r="B142" s="29" t="inlineStr">
        <is>
          <t>Outras</t>
        </is>
      </c>
      <c r="C142" s="70">
        <f>MAX(0,'02 Macro Alocação'!$D$16-SUM(C139:C141))</f>
        <v>0</v>
      </c>
      <c r="D142" s="30">
        <f>IF('02 Macro Alocação'!$D$16&gt;0,C142/'02 Macro Alocação'!$D$16,0)</f>
        <v>0</v>
      </c>
    </row>
  </sheetData>
  <hyperlinks>
    <hyperlink ref="L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Q925"/>
  <sheetViews>
    <sheetView showGridLines="0" tabSelected="0"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4" customWidth="1" style="1" min="1" max="1"/>
    <col width="13" customWidth="1" style="1" min="2" max="2"/>
    <col width="26" customWidth="1" style="1" min="3" max="3"/>
    <col width="26" customWidth="1" style="1" min="4" max="4"/>
    <col width="18" customWidth="1" style="1" min="5" max="5"/>
    <col width="8" customWidth="1" style="1" min="6" max="6"/>
    <col width="12" customWidth="1" style="1" min="7" max="7"/>
    <col width="12" customWidth="1" style="1" min="8" max="8"/>
    <col width="15" customWidth="1" style="1" min="9" max="9"/>
    <col width="15" customWidth="1" style="1" min="10" max="10"/>
    <col width="15" customWidth="1" style="1" min="11" max="11"/>
    <col width="12" customWidth="1" style="1" min="12" max="12"/>
    <col width="15" customWidth="1" style="1" min="13" max="13"/>
    <col width="9" customWidth="1" style="1" min="14" max="14"/>
    <col width="13" customWidth="1" style="1" min="15" max="15"/>
    <col width="14" customWidth="1" style="1" min="16" max="16"/>
    <col width="14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BASE DE DADOS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62" t="inlineStr">
        <is>
          <t>◄ Dashboard</t>
        </is>
      </c>
    </row>
    <row r="2" ht="18" customHeight="1">
      <c r="A2" s="63" t="inlineStr">
        <is>
          <t>Tabela consolidada de todas as posições (somente fórmulas). Alimenta o Dashboard, os rankings, a concentração por setor e o plano de compras. Não edite.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22" customHeight="1">
      <c r="A3" s="88" t="inlineStr">
        <is>
          <t>TOTAL</t>
        </is>
      </c>
      <c r="B3" s="31" t="n"/>
      <c r="C3" s="133" t="str">
        <f>SUMPRODUCT(--(C6:C925&lt;&gt;""))&amp;" ativos"</f>
        <v>0 ativos</v>
      </c>
      <c r="D3" s="31" t="n"/>
      <c r="E3" s="31" t="n"/>
      <c r="F3" s="31" t="n"/>
      <c r="G3" s="31" t="n"/>
      <c r="H3" s="31" t="n"/>
      <c r="I3" s="31" t="n"/>
      <c r="J3" s="75">
        <f>SUM(J6:J925)</f>
        <v>0</v>
      </c>
      <c r="K3" s="75">
        <f>SUM(K6:K925)</f>
        <v>0</v>
      </c>
      <c r="L3" s="31" t="n"/>
      <c r="M3" s="75">
        <f>SUM(M6:M925)</f>
        <v>0</v>
      </c>
      <c r="N3" s="31" t="n"/>
      <c r="O3" s="31" t="n"/>
      <c r="P3" s="31" t="n"/>
      <c r="Q3" s="31" t="n"/>
    </row>
    <row r="5" ht="30" customHeight="1">
      <c r="A5" s="27" t="inlineStr">
        <is>
          <t>Classe</t>
        </is>
      </c>
      <c r="B5" s="27" t="inlineStr">
        <is>
          <t>Grupo</t>
        </is>
      </c>
      <c r="C5" s="27" t="inlineStr">
        <is>
          <t>Ativo</t>
        </is>
      </c>
      <c r="D5" s="27" t="inlineStr">
        <is>
          <t>Nome</t>
        </is>
      </c>
      <c r="E5" s="27" t="inlineStr">
        <is>
          <t>Setor</t>
        </is>
      </c>
      <c r="F5" s="27" t="inlineStr">
        <is>
          <t>Moeda</t>
        </is>
      </c>
      <c r="G5" s="27" t="inlineStr">
        <is>
          <t>Quantidade</t>
        </is>
      </c>
      <c r="H5" s="27" t="inlineStr">
        <is>
          <t>Cotação</t>
        </is>
      </c>
      <c r="I5" s="27" t="inlineStr">
        <is>
          <t>Valor (Moeda)</t>
        </is>
      </c>
      <c r="J5" s="27" t="inlineStr">
        <is>
          <t>Valor (R$)</t>
        </is>
      </c>
      <c r="K5" s="27" t="inlineStr">
        <is>
          <t>Valor Sugerido (R$)</t>
        </is>
      </c>
      <c r="L5" s="27" t="inlineStr">
        <is>
          <t>Qtd. Sugerida</t>
        </is>
      </c>
      <c r="M5" s="27" t="inlineStr">
        <is>
          <t>Valor Efetivo (R$)</t>
        </is>
      </c>
      <c r="N5" s="27" t="inlineStr">
        <is>
          <t>Peso</t>
        </is>
      </c>
      <c r="O5" s="27" t="inlineStr">
        <is>
          <t>Fonte da Cotação</t>
        </is>
      </c>
      <c r="P5" s="27" t="inlineStr">
        <is>
          <t>Chave Ranking Valor</t>
        </is>
      </c>
      <c r="Q5" s="27" t="inlineStr">
        <is>
          <t>Chave Ranking Ordem</t>
        </is>
      </c>
    </row>
    <row r="6">
      <c r="A6" s="134" t="str">
        <f>IF(C6="","","Ações")</f>
        <v/>
      </c>
      <c r="B6" s="134" t="str">
        <f>IF(C6="","","Brasil")</f>
        <v/>
      </c>
      <c r="C6" s="134" t="str">
        <f>IF('03 Ações BR'!A9="","",'03 Ações BR'!A9&amp;"")</f>
        <v/>
      </c>
      <c r="D6" s="134" t="str">
        <f>IF(C6="","",'03 Ações BR'!B9&amp;"")</f>
        <v/>
      </c>
      <c r="E6" s="134" t="str">
        <f>IF(C6="","",'03 Ações BR'!C9&amp;"")</f>
        <v/>
      </c>
      <c r="F6" s="134" t="str">
        <f>IF(C6="","",'03 Ações BR'!V9)</f>
        <v/>
      </c>
      <c r="G6" s="135" t="str">
        <f>IF(C6="","",'03 Ações BR'!E9)</f>
        <v/>
      </c>
      <c r="H6" s="136" t="str">
        <f>IF(C6="","",'03 Ações BR'!H9)</f>
        <v/>
      </c>
      <c r="I6" s="137" t="str">
        <f>IF(C6="","",'03 Ações BR'!J9)</f>
        <v/>
      </c>
      <c r="J6" s="138" t="str">
        <f>IF(C6="","",'03 Ações BR'!K9)</f>
        <v/>
      </c>
      <c r="K6" s="138" t="str">
        <f>IF(C6="","",'03 Ações BR'!Q9)</f>
        <v/>
      </c>
      <c r="L6" s="135" t="str">
        <f>IF(C6="","",'03 Ações BR'!R9)</f>
        <v/>
      </c>
      <c r="M6" s="138" t="str">
        <f>IF(C6="","",'03 Ações BR'!T9)</f>
        <v/>
      </c>
      <c r="N6" s="139" t="str">
        <f>IF(C6="","",IF($J$3&gt;0,J6/$J$3,0))</f>
        <v/>
      </c>
      <c r="O6" s="134" t="str">
        <f>IF(C6="","",'03 Ações BR'!I9)</f>
        <v/>
      </c>
      <c r="P6" s="140" t="str">
        <f>IF(C6="","",IF(N(J6)&gt;0,J6+ROW()/1E9,""))</f>
        <v/>
      </c>
      <c r="Q6" s="140" t="str">
        <f>IF(C6="","",IF(N(M6)&gt;0,M6+ROW()/1E9,""))</f>
        <v/>
      </c>
    </row>
    <row r="7">
      <c r="A7" s="141" t="str">
        <f>IF(C7="","","Ações")</f>
        <v/>
      </c>
      <c r="B7" s="141" t="str">
        <f>IF(C7="","","Brasil")</f>
        <v/>
      </c>
      <c r="C7" s="141" t="str">
        <f>IF('03 Ações BR'!A10="","",'03 Ações BR'!A10&amp;"")</f>
        <v/>
      </c>
      <c r="D7" s="141" t="str">
        <f>IF(C7="","",'03 Ações BR'!B10&amp;"")</f>
        <v/>
      </c>
      <c r="E7" s="141" t="str">
        <f>IF(C7="","",'03 Ações BR'!C10&amp;"")</f>
        <v/>
      </c>
      <c r="F7" s="141" t="str">
        <f>IF(C7="","",'03 Ações BR'!V10)</f>
        <v/>
      </c>
      <c r="G7" s="142" t="str">
        <f>IF(C7="","",'03 Ações BR'!E10)</f>
        <v/>
      </c>
      <c r="H7" s="143" t="str">
        <f>IF(C7="","",'03 Ações BR'!H10)</f>
        <v/>
      </c>
      <c r="I7" s="144" t="str">
        <f>IF(C7="","",'03 Ações BR'!J10)</f>
        <v/>
      </c>
      <c r="J7" s="145" t="str">
        <f>IF(C7="","",'03 Ações BR'!K10)</f>
        <v/>
      </c>
      <c r="K7" s="145" t="str">
        <f>IF(C7="","",'03 Ações BR'!Q10)</f>
        <v/>
      </c>
      <c r="L7" s="142" t="str">
        <f>IF(C7="","",'03 Ações BR'!R10)</f>
        <v/>
      </c>
      <c r="M7" s="145" t="str">
        <f>IF(C7="","",'03 Ações BR'!T10)</f>
        <v/>
      </c>
      <c r="N7" s="146" t="str">
        <f>IF(C7="","",IF($J$3&gt;0,J7/$J$3,0))</f>
        <v/>
      </c>
      <c r="O7" s="141" t="str">
        <f>IF(C7="","",'03 Ações BR'!I10)</f>
        <v/>
      </c>
      <c r="P7" s="147" t="str">
        <f>IF(C7="","",IF(N(J7)&gt;0,J7+ROW()/1E9,""))</f>
        <v/>
      </c>
      <c r="Q7" s="147" t="str">
        <f>IF(C7="","",IF(N(M7)&gt;0,M7+ROW()/1E9,""))</f>
        <v/>
      </c>
    </row>
    <row r="8">
      <c r="A8" s="134" t="str">
        <f>IF(C8="","","Ações")</f>
        <v/>
      </c>
      <c r="B8" s="134" t="str">
        <f>IF(C8="","","Brasil")</f>
        <v/>
      </c>
      <c r="C8" s="134" t="str">
        <f>IF('03 Ações BR'!A11="","",'03 Ações BR'!A11&amp;"")</f>
        <v/>
      </c>
      <c r="D8" s="134" t="str">
        <f>IF(C8="","",'03 Ações BR'!B11&amp;"")</f>
        <v/>
      </c>
      <c r="E8" s="134" t="str">
        <f>IF(C8="","",'03 Ações BR'!C11&amp;"")</f>
        <v/>
      </c>
      <c r="F8" s="134" t="str">
        <f>IF(C8="","",'03 Ações BR'!V11)</f>
        <v/>
      </c>
      <c r="G8" s="135" t="str">
        <f>IF(C8="","",'03 Ações BR'!E11)</f>
        <v/>
      </c>
      <c r="H8" s="136" t="str">
        <f>IF(C8="","",'03 Ações BR'!H11)</f>
        <v/>
      </c>
      <c r="I8" s="137" t="str">
        <f>IF(C8="","",'03 Ações BR'!J11)</f>
        <v/>
      </c>
      <c r="J8" s="138" t="str">
        <f>IF(C8="","",'03 Ações BR'!K11)</f>
        <v/>
      </c>
      <c r="K8" s="138" t="str">
        <f>IF(C8="","",'03 Ações BR'!Q11)</f>
        <v/>
      </c>
      <c r="L8" s="135" t="str">
        <f>IF(C8="","",'03 Ações BR'!R11)</f>
        <v/>
      </c>
      <c r="M8" s="138" t="str">
        <f>IF(C8="","",'03 Ações BR'!T11)</f>
        <v/>
      </c>
      <c r="N8" s="139" t="str">
        <f>IF(C8="","",IF($J$3&gt;0,J8/$J$3,0))</f>
        <v/>
      </c>
      <c r="O8" s="134" t="str">
        <f>IF(C8="","",'03 Ações BR'!I11)</f>
        <v/>
      </c>
      <c r="P8" s="140" t="str">
        <f>IF(C8="","",IF(N(J8)&gt;0,J8+ROW()/1E9,""))</f>
        <v/>
      </c>
      <c r="Q8" s="140" t="str">
        <f>IF(C8="","",IF(N(M8)&gt;0,M8+ROW()/1E9,""))</f>
        <v/>
      </c>
    </row>
    <row r="9">
      <c r="A9" s="141" t="str">
        <f>IF(C9="","","Ações")</f>
        <v/>
      </c>
      <c r="B9" s="141" t="str">
        <f>IF(C9="","","Brasil")</f>
        <v/>
      </c>
      <c r="C9" s="141" t="str">
        <f>IF('03 Ações BR'!A12="","",'03 Ações BR'!A12&amp;"")</f>
        <v/>
      </c>
      <c r="D9" s="141" t="str">
        <f>IF(C9="","",'03 Ações BR'!B12&amp;"")</f>
        <v/>
      </c>
      <c r="E9" s="141" t="str">
        <f>IF(C9="","",'03 Ações BR'!C12&amp;"")</f>
        <v/>
      </c>
      <c r="F9" s="141" t="str">
        <f>IF(C9="","",'03 Ações BR'!V12)</f>
        <v/>
      </c>
      <c r="G9" s="142" t="str">
        <f>IF(C9="","",'03 Ações BR'!E12)</f>
        <v/>
      </c>
      <c r="H9" s="143" t="str">
        <f>IF(C9="","",'03 Ações BR'!H12)</f>
        <v/>
      </c>
      <c r="I9" s="144" t="str">
        <f>IF(C9="","",'03 Ações BR'!J12)</f>
        <v/>
      </c>
      <c r="J9" s="145" t="str">
        <f>IF(C9="","",'03 Ações BR'!K12)</f>
        <v/>
      </c>
      <c r="K9" s="145" t="str">
        <f>IF(C9="","",'03 Ações BR'!Q12)</f>
        <v/>
      </c>
      <c r="L9" s="142" t="str">
        <f>IF(C9="","",'03 Ações BR'!R12)</f>
        <v/>
      </c>
      <c r="M9" s="145" t="str">
        <f>IF(C9="","",'03 Ações BR'!T12)</f>
        <v/>
      </c>
      <c r="N9" s="146" t="str">
        <f>IF(C9="","",IF($J$3&gt;0,J9/$J$3,0))</f>
        <v/>
      </c>
      <c r="O9" s="141" t="str">
        <f>IF(C9="","",'03 Ações BR'!I12)</f>
        <v/>
      </c>
      <c r="P9" s="147" t="str">
        <f>IF(C9="","",IF(N(J9)&gt;0,J9+ROW()/1E9,""))</f>
        <v/>
      </c>
      <c r="Q9" s="147" t="str">
        <f>IF(C9="","",IF(N(M9)&gt;0,M9+ROW()/1E9,""))</f>
        <v/>
      </c>
    </row>
    <row r="10">
      <c r="A10" s="134" t="str">
        <f>IF(C10="","","Ações")</f>
        <v/>
      </c>
      <c r="B10" s="134" t="str">
        <f>IF(C10="","","Brasil")</f>
        <v/>
      </c>
      <c r="C10" s="134" t="str">
        <f>IF('03 Ações BR'!A13="","",'03 Ações BR'!A13&amp;"")</f>
        <v/>
      </c>
      <c r="D10" s="134" t="str">
        <f>IF(C10="","",'03 Ações BR'!B13&amp;"")</f>
        <v/>
      </c>
      <c r="E10" s="134" t="str">
        <f>IF(C10="","",'03 Ações BR'!C13&amp;"")</f>
        <v/>
      </c>
      <c r="F10" s="134" t="str">
        <f>IF(C10="","",'03 Ações BR'!V13)</f>
        <v/>
      </c>
      <c r="G10" s="135" t="str">
        <f>IF(C10="","",'03 Ações BR'!E13)</f>
        <v/>
      </c>
      <c r="H10" s="136" t="str">
        <f>IF(C10="","",'03 Ações BR'!H13)</f>
        <v/>
      </c>
      <c r="I10" s="137" t="str">
        <f>IF(C10="","",'03 Ações BR'!J13)</f>
        <v/>
      </c>
      <c r="J10" s="138" t="str">
        <f>IF(C10="","",'03 Ações BR'!K13)</f>
        <v/>
      </c>
      <c r="K10" s="138" t="str">
        <f>IF(C10="","",'03 Ações BR'!Q13)</f>
        <v/>
      </c>
      <c r="L10" s="135" t="str">
        <f>IF(C10="","",'03 Ações BR'!R13)</f>
        <v/>
      </c>
      <c r="M10" s="138" t="str">
        <f>IF(C10="","",'03 Ações BR'!T13)</f>
        <v/>
      </c>
      <c r="N10" s="139" t="str">
        <f>IF(C10="","",IF($J$3&gt;0,J10/$J$3,0))</f>
        <v/>
      </c>
      <c r="O10" s="134" t="str">
        <f>IF(C10="","",'03 Ações BR'!I13)</f>
        <v/>
      </c>
      <c r="P10" s="140" t="str">
        <f>IF(C10="","",IF(N(J10)&gt;0,J10+ROW()/1E9,""))</f>
        <v/>
      </c>
      <c r="Q10" s="140" t="str">
        <f>IF(C10="","",IF(N(M10)&gt;0,M10+ROW()/1E9,""))</f>
        <v/>
      </c>
    </row>
    <row r="11">
      <c r="A11" s="141" t="str">
        <f>IF(C11="","","Ações")</f>
        <v/>
      </c>
      <c r="B11" s="141" t="str">
        <f>IF(C11="","","Brasil")</f>
        <v/>
      </c>
      <c r="C11" s="141" t="str">
        <f>IF('03 Ações BR'!A14="","",'03 Ações BR'!A14&amp;"")</f>
        <v/>
      </c>
      <c r="D11" s="141" t="str">
        <f>IF(C11="","",'03 Ações BR'!B14&amp;"")</f>
        <v/>
      </c>
      <c r="E11" s="141" t="str">
        <f>IF(C11="","",'03 Ações BR'!C14&amp;"")</f>
        <v/>
      </c>
      <c r="F11" s="141" t="str">
        <f>IF(C11="","",'03 Ações BR'!V14)</f>
        <v/>
      </c>
      <c r="G11" s="142" t="str">
        <f>IF(C11="","",'03 Ações BR'!E14)</f>
        <v/>
      </c>
      <c r="H11" s="143" t="str">
        <f>IF(C11="","",'03 Ações BR'!H14)</f>
        <v/>
      </c>
      <c r="I11" s="144" t="str">
        <f>IF(C11="","",'03 Ações BR'!J14)</f>
        <v/>
      </c>
      <c r="J11" s="145" t="str">
        <f>IF(C11="","",'03 Ações BR'!K14)</f>
        <v/>
      </c>
      <c r="K11" s="145" t="str">
        <f>IF(C11="","",'03 Ações BR'!Q14)</f>
        <v/>
      </c>
      <c r="L11" s="142" t="str">
        <f>IF(C11="","",'03 Ações BR'!R14)</f>
        <v/>
      </c>
      <c r="M11" s="145" t="str">
        <f>IF(C11="","",'03 Ações BR'!T14)</f>
        <v/>
      </c>
      <c r="N11" s="146" t="str">
        <f>IF(C11="","",IF($J$3&gt;0,J11/$J$3,0))</f>
        <v/>
      </c>
      <c r="O11" s="141" t="str">
        <f>IF(C11="","",'03 Ações BR'!I14)</f>
        <v/>
      </c>
      <c r="P11" s="147" t="str">
        <f>IF(C11="","",IF(N(J11)&gt;0,J11+ROW()/1E9,""))</f>
        <v/>
      </c>
      <c r="Q11" s="147" t="str">
        <f>IF(C11="","",IF(N(M11)&gt;0,M11+ROW()/1E9,""))</f>
        <v/>
      </c>
    </row>
    <row r="12">
      <c r="A12" s="134" t="str">
        <f>IF(C12="","","Ações")</f>
        <v/>
      </c>
      <c r="B12" s="134" t="str">
        <f>IF(C12="","","Brasil")</f>
        <v/>
      </c>
      <c r="C12" s="134" t="str">
        <f>IF('03 Ações BR'!A15="","",'03 Ações BR'!A15&amp;"")</f>
        <v/>
      </c>
      <c r="D12" s="134" t="str">
        <f>IF(C12="","",'03 Ações BR'!B15&amp;"")</f>
        <v/>
      </c>
      <c r="E12" s="134" t="str">
        <f>IF(C12="","",'03 Ações BR'!C15&amp;"")</f>
        <v/>
      </c>
      <c r="F12" s="134" t="str">
        <f>IF(C12="","",'03 Ações BR'!V15)</f>
        <v/>
      </c>
      <c r="G12" s="135" t="str">
        <f>IF(C12="","",'03 Ações BR'!E15)</f>
        <v/>
      </c>
      <c r="H12" s="136" t="str">
        <f>IF(C12="","",'03 Ações BR'!H15)</f>
        <v/>
      </c>
      <c r="I12" s="137" t="str">
        <f>IF(C12="","",'03 Ações BR'!J15)</f>
        <v/>
      </c>
      <c r="J12" s="138" t="str">
        <f>IF(C12="","",'03 Ações BR'!K15)</f>
        <v/>
      </c>
      <c r="K12" s="138" t="str">
        <f>IF(C12="","",'03 Ações BR'!Q15)</f>
        <v/>
      </c>
      <c r="L12" s="135" t="str">
        <f>IF(C12="","",'03 Ações BR'!R15)</f>
        <v/>
      </c>
      <c r="M12" s="138" t="str">
        <f>IF(C12="","",'03 Ações BR'!T15)</f>
        <v/>
      </c>
      <c r="N12" s="139" t="str">
        <f>IF(C12="","",IF($J$3&gt;0,J12/$J$3,0))</f>
        <v/>
      </c>
      <c r="O12" s="134" t="str">
        <f>IF(C12="","",'03 Ações BR'!I15)</f>
        <v/>
      </c>
      <c r="P12" s="140" t="str">
        <f>IF(C12="","",IF(N(J12)&gt;0,J12+ROW()/1E9,""))</f>
        <v/>
      </c>
      <c r="Q12" s="140" t="str">
        <f>IF(C12="","",IF(N(M12)&gt;0,M12+ROW()/1E9,""))</f>
        <v/>
      </c>
    </row>
    <row r="13">
      <c r="A13" s="141" t="str">
        <f>IF(C13="","","Ações")</f>
        <v/>
      </c>
      <c r="B13" s="141" t="str">
        <f>IF(C13="","","Brasil")</f>
        <v/>
      </c>
      <c r="C13" s="141" t="str">
        <f>IF('03 Ações BR'!A16="","",'03 Ações BR'!A16&amp;"")</f>
        <v/>
      </c>
      <c r="D13" s="141" t="str">
        <f>IF(C13="","",'03 Ações BR'!B16&amp;"")</f>
        <v/>
      </c>
      <c r="E13" s="141" t="str">
        <f>IF(C13="","",'03 Ações BR'!C16&amp;"")</f>
        <v/>
      </c>
      <c r="F13" s="141" t="str">
        <f>IF(C13="","",'03 Ações BR'!V16)</f>
        <v/>
      </c>
      <c r="G13" s="142" t="str">
        <f>IF(C13="","",'03 Ações BR'!E16)</f>
        <v/>
      </c>
      <c r="H13" s="143" t="str">
        <f>IF(C13="","",'03 Ações BR'!H16)</f>
        <v/>
      </c>
      <c r="I13" s="144" t="str">
        <f>IF(C13="","",'03 Ações BR'!J16)</f>
        <v/>
      </c>
      <c r="J13" s="145" t="str">
        <f>IF(C13="","",'03 Ações BR'!K16)</f>
        <v/>
      </c>
      <c r="K13" s="145" t="str">
        <f>IF(C13="","",'03 Ações BR'!Q16)</f>
        <v/>
      </c>
      <c r="L13" s="142" t="str">
        <f>IF(C13="","",'03 Ações BR'!R16)</f>
        <v/>
      </c>
      <c r="M13" s="145" t="str">
        <f>IF(C13="","",'03 Ações BR'!T16)</f>
        <v/>
      </c>
      <c r="N13" s="146" t="str">
        <f>IF(C13="","",IF($J$3&gt;0,J13/$J$3,0))</f>
        <v/>
      </c>
      <c r="O13" s="141" t="str">
        <f>IF(C13="","",'03 Ações BR'!I16)</f>
        <v/>
      </c>
      <c r="P13" s="147" t="str">
        <f>IF(C13="","",IF(N(J13)&gt;0,J13+ROW()/1E9,""))</f>
        <v/>
      </c>
      <c r="Q13" s="147" t="str">
        <f>IF(C13="","",IF(N(M13)&gt;0,M13+ROW()/1E9,""))</f>
        <v/>
      </c>
    </row>
    <row r="14">
      <c r="A14" s="134" t="str">
        <f>IF(C14="","","Ações")</f>
        <v/>
      </c>
      <c r="B14" s="134" t="str">
        <f>IF(C14="","","Brasil")</f>
        <v/>
      </c>
      <c r="C14" s="134" t="str">
        <f>IF('03 Ações BR'!A17="","",'03 Ações BR'!A17&amp;"")</f>
        <v/>
      </c>
      <c r="D14" s="134" t="str">
        <f>IF(C14="","",'03 Ações BR'!B17&amp;"")</f>
        <v/>
      </c>
      <c r="E14" s="134" t="str">
        <f>IF(C14="","",'03 Ações BR'!C17&amp;"")</f>
        <v/>
      </c>
      <c r="F14" s="134" t="str">
        <f>IF(C14="","",'03 Ações BR'!V17)</f>
        <v/>
      </c>
      <c r="G14" s="135" t="str">
        <f>IF(C14="","",'03 Ações BR'!E17)</f>
        <v/>
      </c>
      <c r="H14" s="136" t="str">
        <f>IF(C14="","",'03 Ações BR'!H17)</f>
        <v/>
      </c>
      <c r="I14" s="137" t="str">
        <f>IF(C14="","",'03 Ações BR'!J17)</f>
        <v/>
      </c>
      <c r="J14" s="138" t="str">
        <f>IF(C14="","",'03 Ações BR'!K17)</f>
        <v/>
      </c>
      <c r="K14" s="138" t="str">
        <f>IF(C14="","",'03 Ações BR'!Q17)</f>
        <v/>
      </c>
      <c r="L14" s="135" t="str">
        <f>IF(C14="","",'03 Ações BR'!R17)</f>
        <v/>
      </c>
      <c r="M14" s="138" t="str">
        <f>IF(C14="","",'03 Ações BR'!T17)</f>
        <v/>
      </c>
      <c r="N14" s="139" t="str">
        <f>IF(C14="","",IF($J$3&gt;0,J14/$J$3,0))</f>
        <v/>
      </c>
      <c r="O14" s="134" t="str">
        <f>IF(C14="","",'03 Ações BR'!I17)</f>
        <v/>
      </c>
      <c r="P14" s="140" t="str">
        <f>IF(C14="","",IF(N(J14)&gt;0,J14+ROW()/1E9,""))</f>
        <v/>
      </c>
      <c r="Q14" s="140" t="str">
        <f>IF(C14="","",IF(N(M14)&gt;0,M14+ROW()/1E9,""))</f>
        <v/>
      </c>
    </row>
    <row r="15">
      <c r="A15" s="141" t="str">
        <f>IF(C15="","","Ações")</f>
        <v/>
      </c>
      <c r="B15" s="141" t="str">
        <f>IF(C15="","","Brasil")</f>
        <v/>
      </c>
      <c r="C15" s="141" t="str">
        <f>IF('03 Ações BR'!A18="","",'03 Ações BR'!A18&amp;"")</f>
        <v/>
      </c>
      <c r="D15" s="141" t="str">
        <f>IF(C15="","",'03 Ações BR'!B18&amp;"")</f>
        <v/>
      </c>
      <c r="E15" s="141" t="str">
        <f>IF(C15="","",'03 Ações BR'!C18&amp;"")</f>
        <v/>
      </c>
      <c r="F15" s="141" t="str">
        <f>IF(C15="","",'03 Ações BR'!V18)</f>
        <v/>
      </c>
      <c r="G15" s="142" t="str">
        <f>IF(C15="","",'03 Ações BR'!E18)</f>
        <v/>
      </c>
      <c r="H15" s="143" t="str">
        <f>IF(C15="","",'03 Ações BR'!H18)</f>
        <v/>
      </c>
      <c r="I15" s="144" t="str">
        <f>IF(C15="","",'03 Ações BR'!J18)</f>
        <v/>
      </c>
      <c r="J15" s="145" t="str">
        <f>IF(C15="","",'03 Ações BR'!K18)</f>
        <v/>
      </c>
      <c r="K15" s="145" t="str">
        <f>IF(C15="","",'03 Ações BR'!Q18)</f>
        <v/>
      </c>
      <c r="L15" s="142" t="str">
        <f>IF(C15="","",'03 Ações BR'!R18)</f>
        <v/>
      </c>
      <c r="M15" s="145" t="str">
        <f>IF(C15="","",'03 Ações BR'!T18)</f>
        <v/>
      </c>
      <c r="N15" s="146" t="str">
        <f>IF(C15="","",IF($J$3&gt;0,J15/$J$3,0))</f>
        <v/>
      </c>
      <c r="O15" s="141" t="str">
        <f>IF(C15="","",'03 Ações BR'!I18)</f>
        <v/>
      </c>
      <c r="P15" s="147" t="str">
        <f>IF(C15="","",IF(N(J15)&gt;0,J15+ROW()/1E9,""))</f>
        <v/>
      </c>
      <c r="Q15" s="147" t="str">
        <f>IF(C15="","",IF(N(M15)&gt;0,M15+ROW()/1E9,""))</f>
        <v/>
      </c>
    </row>
    <row r="16">
      <c r="A16" s="134" t="str">
        <f>IF(C16="","","Ações")</f>
        <v/>
      </c>
      <c r="B16" s="134" t="str">
        <f>IF(C16="","","Brasil")</f>
        <v/>
      </c>
      <c r="C16" s="134" t="str">
        <f>IF('03 Ações BR'!A19="","",'03 Ações BR'!A19&amp;"")</f>
        <v/>
      </c>
      <c r="D16" s="134" t="str">
        <f>IF(C16="","",'03 Ações BR'!B19&amp;"")</f>
        <v/>
      </c>
      <c r="E16" s="134" t="str">
        <f>IF(C16="","",'03 Ações BR'!C19&amp;"")</f>
        <v/>
      </c>
      <c r="F16" s="134" t="str">
        <f>IF(C16="","",'03 Ações BR'!V19)</f>
        <v/>
      </c>
      <c r="G16" s="135" t="str">
        <f>IF(C16="","",'03 Ações BR'!E19)</f>
        <v/>
      </c>
      <c r="H16" s="136" t="str">
        <f>IF(C16="","",'03 Ações BR'!H19)</f>
        <v/>
      </c>
      <c r="I16" s="137" t="str">
        <f>IF(C16="","",'03 Ações BR'!J19)</f>
        <v/>
      </c>
      <c r="J16" s="138" t="str">
        <f>IF(C16="","",'03 Ações BR'!K19)</f>
        <v/>
      </c>
      <c r="K16" s="138" t="str">
        <f>IF(C16="","",'03 Ações BR'!Q19)</f>
        <v/>
      </c>
      <c r="L16" s="135" t="str">
        <f>IF(C16="","",'03 Ações BR'!R19)</f>
        <v/>
      </c>
      <c r="M16" s="138" t="str">
        <f>IF(C16="","",'03 Ações BR'!T19)</f>
        <v/>
      </c>
      <c r="N16" s="139" t="str">
        <f>IF(C16="","",IF($J$3&gt;0,J16/$J$3,0))</f>
        <v/>
      </c>
      <c r="O16" s="134" t="str">
        <f>IF(C16="","",'03 Ações BR'!I19)</f>
        <v/>
      </c>
      <c r="P16" s="140" t="str">
        <f>IF(C16="","",IF(N(J16)&gt;0,J16+ROW()/1E9,""))</f>
        <v/>
      </c>
      <c r="Q16" s="140" t="str">
        <f>IF(C16="","",IF(N(M16)&gt;0,M16+ROW()/1E9,""))</f>
        <v/>
      </c>
    </row>
    <row r="17">
      <c r="A17" s="141" t="str">
        <f>IF(C17="","","Ações")</f>
        <v/>
      </c>
      <c r="B17" s="141" t="str">
        <f>IF(C17="","","Brasil")</f>
        <v/>
      </c>
      <c r="C17" s="141" t="str">
        <f>IF('03 Ações BR'!A20="","",'03 Ações BR'!A20&amp;"")</f>
        <v/>
      </c>
      <c r="D17" s="141" t="str">
        <f>IF(C17="","",'03 Ações BR'!B20&amp;"")</f>
        <v/>
      </c>
      <c r="E17" s="141" t="str">
        <f>IF(C17="","",'03 Ações BR'!C20&amp;"")</f>
        <v/>
      </c>
      <c r="F17" s="141" t="str">
        <f>IF(C17="","",'03 Ações BR'!V20)</f>
        <v/>
      </c>
      <c r="G17" s="142" t="str">
        <f>IF(C17="","",'03 Ações BR'!E20)</f>
        <v/>
      </c>
      <c r="H17" s="143" t="str">
        <f>IF(C17="","",'03 Ações BR'!H20)</f>
        <v/>
      </c>
      <c r="I17" s="144" t="str">
        <f>IF(C17="","",'03 Ações BR'!J20)</f>
        <v/>
      </c>
      <c r="J17" s="145" t="str">
        <f>IF(C17="","",'03 Ações BR'!K20)</f>
        <v/>
      </c>
      <c r="K17" s="145" t="str">
        <f>IF(C17="","",'03 Ações BR'!Q20)</f>
        <v/>
      </c>
      <c r="L17" s="142" t="str">
        <f>IF(C17="","",'03 Ações BR'!R20)</f>
        <v/>
      </c>
      <c r="M17" s="145" t="str">
        <f>IF(C17="","",'03 Ações BR'!T20)</f>
        <v/>
      </c>
      <c r="N17" s="146" t="str">
        <f>IF(C17="","",IF($J$3&gt;0,J17/$J$3,0))</f>
        <v/>
      </c>
      <c r="O17" s="141" t="str">
        <f>IF(C17="","",'03 Ações BR'!I20)</f>
        <v/>
      </c>
      <c r="P17" s="147" t="str">
        <f>IF(C17="","",IF(N(J17)&gt;0,J17+ROW()/1E9,""))</f>
        <v/>
      </c>
      <c r="Q17" s="147" t="str">
        <f>IF(C17="","",IF(N(M17)&gt;0,M17+ROW()/1E9,""))</f>
        <v/>
      </c>
    </row>
    <row r="18">
      <c r="A18" s="134" t="str">
        <f>IF(C18="","","Ações")</f>
        <v/>
      </c>
      <c r="B18" s="134" t="str">
        <f>IF(C18="","","Brasil")</f>
        <v/>
      </c>
      <c r="C18" s="134" t="str">
        <f>IF('03 Ações BR'!A21="","",'03 Ações BR'!A21&amp;"")</f>
        <v/>
      </c>
      <c r="D18" s="134" t="str">
        <f>IF(C18="","",'03 Ações BR'!B21&amp;"")</f>
        <v/>
      </c>
      <c r="E18" s="134" t="str">
        <f>IF(C18="","",'03 Ações BR'!C21&amp;"")</f>
        <v/>
      </c>
      <c r="F18" s="134" t="str">
        <f>IF(C18="","",'03 Ações BR'!V21)</f>
        <v/>
      </c>
      <c r="G18" s="135" t="str">
        <f>IF(C18="","",'03 Ações BR'!E21)</f>
        <v/>
      </c>
      <c r="H18" s="136" t="str">
        <f>IF(C18="","",'03 Ações BR'!H21)</f>
        <v/>
      </c>
      <c r="I18" s="137" t="str">
        <f>IF(C18="","",'03 Ações BR'!J21)</f>
        <v/>
      </c>
      <c r="J18" s="138" t="str">
        <f>IF(C18="","",'03 Ações BR'!K21)</f>
        <v/>
      </c>
      <c r="K18" s="138" t="str">
        <f>IF(C18="","",'03 Ações BR'!Q21)</f>
        <v/>
      </c>
      <c r="L18" s="135" t="str">
        <f>IF(C18="","",'03 Ações BR'!R21)</f>
        <v/>
      </c>
      <c r="M18" s="138" t="str">
        <f>IF(C18="","",'03 Ações BR'!T21)</f>
        <v/>
      </c>
      <c r="N18" s="139" t="str">
        <f>IF(C18="","",IF($J$3&gt;0,J18/$J$3,0))</f>
        <v/>
      </c>
      <c r="O18" s="134" t="str">
        <f>IF(C18="","",'03 Ações BR'!I21)</f>
        <v/>
      </c>
      <c r="P18" s="140" t="str">
        <f>IF(C18="","",IF(N(J18)&gt;0,J18+ROW()/1E9,""))</f>
        <v/>
      </c>
      <c r="Q18" s="140" t="str">
        <f>IF(C18="","",IF(N(M18)&gt;0,M18+ROW()/1E9,""))</f>
        <v/>
      </c>
    </row>
    <row r="19">
      <c r="A19" s="141" t="str">
        <f>IF(C19="","","Ações")</f>
        <v/>
      </c>
      <c r="B19" s="141" t="str">
        <f>IF(C19="","","Brasil")</f>
        <v/>
      </c>
      <c r="C19" s="141" t="str">
        <f>IF('03 Ações BR'!A22="","",'03 Ações BR'!A22&amp;"")</f>
        <v/>
      </c>
      <c r="D19" s="141" t="str">
        <f>IF(C19="","",'03 Ações BR'!B22&amp;"")</f>
        <v/>
      </c>
      <c r="E19" s="141" t="str">
        <f>IF(C19="","",'03 Ações BR'!C22&amp;"")</f>
        <v/>
      </c>
      <c r="F19" s="141" t="str">
        <f>IF(C19="","",'03 Ações BR'!V22)</f>
        <v/>
      </c>
      <c r="G19" s="142" t="str">
        <f>IF(C19="","",'03 Ações BR'!E22)</f>
        <v/>
      </c>
      <c r="H19" s="143" t="str">
        <f>IF(C19="","",'03 Ações BR'!H22)</f>
        <v/>
      </c>
      <c r="I19" s="144" t="str">
        <f>IF(C19="","",'03 Ações BR'!J22)</f>
        <v/>
      </c>
      <c r="J19" s="145" t="str">
        <f>IF(C19="","",'03 Ações BR'!K22)</f>
        <v/>
      </c>
      <c r="K19" s="145" t="str">
        <f>IF(C19="","",'03 Ações BR'!Q22)</f>
        <v/>
      </c>
      <c r="L19" s="142" t="str">
        <f>IF(C19="","",'03 Ações BR'!R22)</f>
        <v/>
      </c>
      <c r="M19" s="145" t="str">
        <f>IF(C19="","",'03 Ações BR'!T22)</f>
        <v/>
      </c>
      <c r="N19" s="146" t="str">
        <f>IF(C19="","",IF($J$3&gt;0,J19/$J$3,0))</f>
        <v/>
      </c>
      <c r="O19" s="141" t="str">
        <f>IF(C19="","",'03 Ações BR'!I22)</f>
        <v/>
      </c>
      <c r="P19" s="147" t="str">
        <f>IF(C19="","",IF(N(J19)&gt;0,J19+ROW()/1E9,""))</f>
        <v/>
      </c>
      <c r="Q19" s="147" t="str">
        <f>IF(C19="","",IF(N(M19)&gt;0,M19+ROW()/1E9,""))</f>
        <v/>
      </c>
    </row>
    <row r="20">
      <c r="A20" s="134" t="str">
        <f>IF(C20="","","Ações")</f>
        <v/>
      </c>
      <c r="B20" s="134" t="str">
        <f>IF(C20="","","Brasil")</f>
        <v/>
      </c>
      <c r="C20" s="134" t="str">
        <f>IF('03 Ações BR'!A23="","",'03 Ações BR'!A23&amp;"")</f>
        <v/>
      </c>
      <c r="D20" s="134" t="str">
        <f>IF(C20="","",'03 Ações BR'!B23&amp;"")</f>
        <v/>
      </c>
      <c r="E20" s="134" t="str">
        <f>IF(C20="","",'03 Ações BR'!C23&amp;"")</f>
        <v/>
      </c>
      <c r="F20" s="134" t="str">
        <f>IF(C20="","",'03 Ações BR'!V23)</f>
        <v/>
      </c>
      <c r="G20" s="135" t="str">
        <f>IF(C20="","",'03 Ações BR'!E23)</f>
        <v/>
      </c>
      <c r="H20" s="136" t="str">
        <f>IF(C20="","",'03 Ações BR'!H23)</f>
        <v/>
      </c>
      <c r="I20" s="137" t="str">
        <f>IF(C20="","",'03 Ações BR'!J23)</f>
        <v/>
      </c>
      <c r="J20" s="138" t="str">
        <f>IF(C20="","",'03 Ações BR'!K23)</f>
        <v/>
      </c>
      <c r="K20" s="138" t="str">
        <f>IF(C20="","",'03 Ações BR'!Q23)</f>
        <v/>
      </c>
      <c r="L20" s="135" t="str">
        <f>IF(C20="","",'03 Ações BR'!R23)</f>
        <v/>
      </c>
      <c r="M20" s="138" t="str">
        <f>IF(C20="","",'03 Ações BR'!T23)</f>
        <v/>
      </c>
      <c r="N20" s="139" t="str">
        <f>IF(C20="","",IF($J$3&gt;0,J20/$J$3,0))</f>
        <v/>
      </c>
      <c r="O20" s="134" t="str">
        <f>IF(C20="","",'03 Ações BR'!I23)</f>
        <v/>
      </c>
      <c r="P20" s="140" t="str">
        <f>IF(C20="","",IF(N(J20)&gt;0,J20+ROW()/1E9,""))</f>
        <v/>
      </c>
      <c r="Q20" s="140" t="str">
        <f>IF(C20="","",IF(N(M20)&gt;0,M20+ROW()/1E9,""))</f>
        <v/>
      </c>
    </row>
    <row r="21">
      <c r="A21" s="141" t="str">
        <f>IF(C21="","","Ações")</f>
        <v/>
      </c>
      <c r="B21" s="141" t="str">
        <f>IF(C21="","","Brasil")</f>
        <v/>
      </c>
      <c r="C21" s="141" t="str">
        <f>IF('03 Ações BR'!A24="","",'03 Ações BR'!A24&amp;"")</f>
        <v/>
      </c>
      <c r="D21" s="141" t="str">
        <f>IF(C21="","",'03 Ações BR'!B24&amp;"")</f>
        <v/>
      </c>
      <c r="E21" s="141" t="str">
        <f>IF(C21="","",'03 Ações BR'!C24&amp;"")</f>
        <v/>
      </c>
      <c r="F21" s="141" t="str">
        <f>IF(C21="","",'03 Ações BR'!V24)</f>
        <v/>
      </c>
      <c r="G21" s="142" t="str">
        <f>IF(C21="","",'03 Ações BR'!E24)</f>
        <v/>
      </c>
      <c r="H21" s="143" t="str">
        <f>IF(C21="","",'03 Ações BR'!H24)</f>
        <v/>
      </c>
      <c r="I21" s="144" t="str">
        <f>IF(C21="","",'03 Ações BR'!J24)</f>
        <v/>
      </c>
      <c r="J21" s="145" t="str">
        <f>IF(C21="","",'03 Ações BR'!K24)</f>
        <v/>
      </c>
      <c r="K21" s="145" t="str">
        <f>IF(C21="","",'03 Ações BR'!Q24)</f>
        <v/>
      </c>
      <c r="L21" s="142" t="str">
        <f>IF(C21="","",'03 Ações BR'!R24)</f>
        <v/>
      </c>
      <c r="M21" s="145" t="str">
        <f>IF(C21="","",'03 Ações BR'!T24)</f>
        <v/>
      </c>
      <c r="N21" s="146" t="str">
        <f>IF(C21="","",IF($J$3&gt;0,J21/$J$3,0))</f>
        <v/>
      </c>
      <c r="O21" s="141" t="str">
        <f>IF(C21="","",'03 Ações BR'!I24)</f>
        <v/>
      </c>
      <c r="P21" s="147" t="str">
        <f>IF(C21="","",IF(N(J21)&gt;0,J21+ROW()/1E9,""))</f>
        <v/>
      </c>
      <c r="Q21" s="147" t="str">
        <f>IF(C21="","",IF(N(M21)&gt;0,M21+ROW()/1E9,""))</f>
        <v/>
      </c>
    </row>
    <row r="22">
      <c r="A22" s="134" t="str">
        <f>IF(C22="","","Ações")</f>
        <v/>
      </c>
      <c r="B22" s="134" t="str">
        <f>IF(C22="","","Brasil")</f>
        <v/>
      </c>
      <c r="C22" s="134" t="str">
        <f>IF('03 Ações BR'!A25="","",'03 Ações BR'!A25&amp;"")</f>
        <v/>
      </c>
      <c r="D22" s="134" t="str">
        <f>IF(C22="","",'03 Ações BR'!B25&amp;"")</f>
        <v/>
      </c>
      <c r="E22" s="134" t="str">
        <f>IF(C22="","",'03 Ações BR'!C25&amp;"")</f>
        <v/>
      </c>
      <c r="F22" s="134" t="str">
        <f>IF(C22="","",'03 Ações BR'!V25)</f>
        <v/>
      </c>
      <c r="G22" s="135" t="str">
        <f>IF(C22="","",'03 Ações BR'!E25)</f>
        <v/>
      </c>
      <c r="H22" s="136" t="str">
        <f>IF(C22="","",'03 Ações BR'!H25)</f>
        <v/>
      </c>
      <c r="I22" s="137" t="str">
        <f>IF(C22="","",'03 Ações BR'!J25)</f>
        <v/>
      </c>
      <c r="J22" s="138" t="str">
        <f>IF(C22="","",'03 Ações BR'!K25)</f>
        <v/>
      </c>
      <c r="K22" s="138" t="str">
        <f>IF(C22="","",'03 Ações BR'!Q25)</f>
        <v/>
      </c>
      <c r="L22" s="135" t="str">
        <f>IF(C22="","",'03 Ações BR'!R25)</f>
        <v/>
      </c>
      <c r="M22" s="138" t="str">
        <f>IF(C22="","",'03 Ações BR'!T25)</f>
        <v/>
      </c>
      <c r="N22" s="139" t="str">
        <f>IF(C22="","",IF($J$3&gt;0,J22/$J$3,0))</f>
        <v/>
      </c>
      <c r="O22" s="134" t="str">
        <f>IF(C22="","",'03 Ações BR'!I25)</f>
        <v/>
      </c>
      <c r="P22" s="140" t="str">
        <f>IF(C22="","",IF(N(J22)&gt;0,J22+ROW()/1E9,""))</f>
        <v/>
      </c>
      <c r="Q22" s="140" t="str">
        <f>IF(C22="","",IF(N(M22)&gt;0,M22+ROW()/1E9,""))</f>
        <v/>
      </c>
    </row>
    <row r="23">
      <c r="A23" s="141" t="str">
        <f>IF(C23="","","Ações")</f>
        <v/>
      </c>
      <c r="B23" s="141" t="str">
        <f>IF(C23="","","Brasil")</f>
        <v/>
      </c>
      <c r="C23" s="141" t="str">
        <f>IF('03 Ações BR'!A26="","",'03 Ações BR'!A26&amp;"")</f>
        <v/>
      </c>
      <c r="D23" s="141" t="str">
        <f>IF(C23="","",'03 Ações BR'!B26&amp;"")</f>
        <v/>
      </c>
      <c r="E23" s="141" t="str">
        <f>IF(C23="","",'03 Ações BR'!C26&amp;"")</f>
        <v/>
      </c>
      <c r="F23" s="141" t="str">
        <f>IF(C23="","",'03 Ações BR'!V26)</f>
        <v/>
      </c>
      <c r="G23" s="142" t="str">
        <f>IF(C23="","",'03 Ações BR'!E26)</f>
        <v/>
      </c>
      <c r="H23" s="143" t="str">
        <f>IF(C23="","",'03 Ações BR'!H26)</f>
        <v/>
      </c>
      <c r="I23" s="144" t="str">
        <f>IF(C23="","",'03 Ações BR'!J26)</f>
        <v/>
      </c>
      <c r="J23" s="145" t="str">
        <f>IF(C23="","",'03 Ações BR'!K26)</f>
        <v/>
      </c>
      <c r="K23" s="145" t="str">
        <f>IF(C23="","",'03 Ações BR'!Q26)</f>
        <v/>
      </c>
      <c r="L23" s="142" t="str">
        <f>IF(C23="","",'03 Ações BR'!R26)</f>
        <v/>
      </c>
      <c r="M23" s="145" t="str">
        <f>IF(C23="","",'03 Ações BR'!T26)</f>
        <v/>
      </c>
      <c r="N23" s="146" t="str">
        <f>IF(C23="","",IF($J$3&gt;0,J23/$J$3,0))</f>
        <v/>
      </c>
      <c r="O23" s="141" t="str">
        <f>IF(C23="","",'03 Ações BR'!I26)</f>
        <v/>
      </c>
      <c r="P23" s="147" t="str">
        <f>IF(C23="","",IF(N(J23)&gt;0,J23+ROW()/1E9,""))</f>
        <v/>
      </c>
      <c r="Q23" s="147" t="str">
        <f>IF(C23="","",IF(N(M23)&gt;0,M23+ROW()/1E9,""))</f>
        <v/>
      </c>
    </row>
    <row r="24">
      <c r="A24" s="134" t="str">
        <f>IF(C24="","","Ações")</f>
        <v/>
      </c>
      <c r="B24" s="134" t="str">
        <f>IF(C24="","","Brasil")</f>
        <v/>
      </c>
      <c r="C24" s="134" t="str">
        <f>IF('03 Ações BR'!A27="","",'03 Ações BR'!A27&amp;"")</f>
        <v/>
      </c>
      <c r="D24" s="134" t="str">
        <f>IF(C24="","",'03 Ações BR'!B27&amp;"")</f>
        <v/>
      </c>
      <c r="E24" s="134" t="str">
        <f>IF(C24="","",'03 Ações BR'!C27&amp;"")</f>
        <v/>
      </c>
      <c r="F24" s="134" t="str">
        <f>IF(C24="","",'03 Ações BR'!V27)</f>
        <v/>
      </c>
      <c r="G24" s="135" t="str">
        <f>IF(C24="","",'03 Ações BR'!E27)</f>
        <v/>
      </c>
      <c r="H24" s="136" t="str">
        <f>IF(C24="","",'03 Ações BR'!H27)</f>
        <v/>
      </c>
      <c r="I24" s="137" t="str">
        <f>IF(C24="","",'03 Ações BR'!J27)</f>
        <v/>
      </c>
      <c r="J24" s="138" t="str">
        <f>IF(C24="","",'03 Ações BR'!K27)</f>
        <v/>
      </c>
      <c r="K24" s="138" t="str">
        <f>IF(C24="","",'03 Ações BR'!Q27)</f>
        <v/>
      </c>
      <c r="L24" s="135" t="str">
        <f>IF(C24="","",'03 Ações BR'!R27)</f>
        <v/>
      </c>
      <c r="M24" s="138" t="str">
        <f>IF(C24="","",'03 Ações BR'!T27)</f>
        <v/>
      </c>
      <c r="N24" s="139" t="str">
        <f>IF(C24="","",IF($J$3&gt;0,J24/$J$3,0))</f>
        <v/>
      </c>
      <c r="O24" s="134" t="str">
        <f>IF(C24="","",'03 Ações BR'!I27)</f>
        <v/>
      </c>
      <c r="P24" s="140" t="str">
        <f>IF(C24="","",IF(N(J24)&gt;0,J24+ROW()/1E9,""))</f>
        <v/>
      </c>
      <c r="Q24" s="140" t="str">
        <f>IF(C24="","",IF(N(M24)&gt;0,M24+ROW()/1E9,""))</f>
        <v/>
      </c>
    </row>
    <row r="25">
      <c r="A25" s="141" t="str">
        <f>IF(C25="","","Ações")</f>
        <v/>
      </c>
      <c r="B25" s="141" t="str">
        <f>IF(C25="","","Brasil")</f>
        <v/>
      </c>
      <c r="C25" s="141" t="str">
        <f>IF('03 Ações BR'!A28="","",'03 Ações BR'!A28&amp;"")</f>
        <v/>
      </c>
      <c r="D25" s="141" t="str">
        <f>IF(C25="","",'03 Ações BR'!B28&amp;"")</f>
        <v/>
      </c>
      <c r="E25" s="141" t="str">
        <f>IF(C25="","",'03 Ações BR'!C28&amp;"")</f>
        <v/>
      </c>
      <c r="F25" s="141" t="str">
        <f>IF(C25="","",'03 Ações BR'!V28)</f>
        <v/>
      </c>
      <c r="G25" s="142" t="str">
        <f>IF(C25="","",'03 Ações BR'!E28)</f>
        <v/>
      </c>
      <c r="H25" s="143" t="str">
        <f>IF(C25="","",'03 Ações BR'!H28)</f>
        <v/>
      </c>
      <c r="I25" s="144" t="str">
        <f>IF(C25="","",'03 Ações BR'!J28)</f>
        <v/>
      </c>
      <c r="J25" s="145" t="str">
        <f>IF(C25="","",'03 Ações BR'!K28)</f>
        <v/>
      </c>
      <c r="K25" s="145" t="str">
        <f>IF(C25="","",'03 Ações BR'!Q28)</f>
        <v/>
      </c>
      <c r="L25" s="142" t="str">
        <f>IF(C25="","",'03 Ações BR'!R28)</f>
        <v/>
      </c>
      <c r="M25" s="145" t="str">
        <f>IF(C25="","",'03 Ações BR'!T28)</f>
        <v/>
      </c>
      <c r="N25" s="146" t="str">
        <f>IF(C25="","",IF($J$3&gt;0,J25/$J$3,0))</f>
        <v/>
      </c>
      <c r="O25" s="141" t="str">
        <f>IF(C25="","",'03 Ações BR'!I28)</f>
        <v/>
      </c>
      <c r="P25" s="147" t="str">
        <f>IF(C25="","",IF(N(J25)&gt;0,J25+ROW()/1E9,""))</f>
        <v/>
      </c>
      <c r="Q25" s="147" t="str">
        <f>IF(C25="","",IF(N(M25)&gt;0,M25+ROW()/1E9,""))</f>
        <v/>
      </c>
    </row>
    <row r="26">
      <c r="A26" s="134" t="str">
        <f>IF(C26="","","Ações")</f>
        <v/>
      </c>
      <c r="B26" s="134" t="str">
        <f>IF(C26="","","Brasil")</f>
        <v/>
      </c>
      <c r="C26" s="134" t="str">
        <f>IF('03 Ações BR'!A29="","",'03 Ações BR'!A29&amp;"")</f>
        <v/>
      </c>
      <c r="D26" s="134" t="str">
        <f>IF(C26="","",'03 Ações BR'!B29&amp;"")</f>
        <v/>
      </c>
      <c r="E26" s="134" t="str">
        <f>IF(C26="","",'03 Ações BR'!C29&amp;"")</f>
        <v/>
      </c>
      <c r="F26" s="134" t="str">
        <f>IF(C26="","",'03 Ações BR'!V29)</f>
        <v/>
      </c>
      <c r="G26" s="135" t="str">
        <f>IF(C26="","",'03 Ações BR'!E29)</f>
        <v/>
      </c>
      <c r="H26" s="136" t="str">
        <f>IF(C26="","",'03 Ações BR'!H29)</f>
        <v/>
      </c>
      <c r="I26" s="137" t="str">
        <f>IF(C26="","",'03 Ações BR'!J29)</f>
        <v/>
      </c>
      <c r="J26" s="138" t="str">
        <f>IF(C26="","",'03 Ações BR'!K29)</f>
        <v/>
      </c>
      <c r="K26" s="138" t="str">
        <f>IF(C26="","",'03 Ações BR'!Q29)</f>
        <v/>
      </c>
      <c r="L26" s="135" t="str">
        <f>IF(C26="","",'03 Ações BR'!R29)</f>
        <v/>
      </c>
      <c r="M26" s="138" t="str">
        <f>IF(C26="","",'03 Ações BR'!T29)</f>
        <v/>
      </c>
      <c r="N26" s="139" t="str">
        <f>IF(C26="","",IF($J$3&gt;0,J26/$J$3,0))</f>
        <v/>
      </c>
      <c r="O26" s="134" t="str">
        <f>IF(C26="","",'03 Ações BR'!I29)</f>
        <v/>
      </c>
      <c r="P26" s="140" t="str">
        <f>IF(C26="","",IF(N(J26)&gt;0,J26+ROW()/1E9,""))</f>
        <v/>
      </c>
      <c r="Q26" s="140" t="str">
        <f>IF(C26="","",IF(N(M26)&gt;0,M26+ROW()/1E9,""))</f>
        <v/>
      </c>
    </row>
    <row r="27">
      <c r="A27" s="141" t="str">
        <f>IF(C27="","","Ações")</f>
        <v/>
      </c>
      <c r="B27" s="141" t="str">
        <f>IF(C27="","","Brasil")</f>
        <v/>
      </c>
      <c r="C27" s="141" t="str">
        <f>IF('03 Ações BR'!A30="","",'03 Ações BR'!A30&amp;"")</f>
        <v/>
      </c>
      <c r="D27" s="141" t="str">
        <f>IF(C27="","",'03 Ações BR'!B30&amp;"")</f>
        <v/>
      </c>
      <c r="E27" s="141" t="str">
        <f>IF(C27="","",'03 Ações BR'!C30&amp;"")</f>
        <v/>
      </c>
      <c r="F27" s="141" t="str">
        <f>IF(C27="","",'03 Ações BR'!V30)</f>
        <v/>
      </c>
      <c r="G27" s="142" t="str">
        <f>IF(C27="","",'03 Ações BR'!E30)</f>
        <v/>
      </c>
      <c r="H27" s="143" t="str">
        <f>IF(C27="","",'03 Ações BR'!H30)</f>
        <v/>
      </c>
      <c r="I27" s="144" t="str">
        <f>IF(C27="","",'03 Ações BR'!J30)</f>
        <v/>
      </c>
      <c r="J27" s="145" t="str">
        <f>IF(C27="","",'03 Ações BR'!K30)</f>
        <v/>
      </c>
      <c r="K27" s="145" t="str">
        <f>IF(C27="","",'03 Ações BR'!Q30)</f>
        <v/>
      </c>
      <c r="L27" s="142" t="str">
        <f>IF(C27="","",'03 Ações BR'!R30)</f>
        <v/>
      </c>
      <c r="M27" s="145" t="str">
        <f>IF(C27="","",'03 Ações BR'!T30)</f>
        <v/>
      </c>
      <c r="N27" s="146" t="str">
        <f>IF(C27="","",IF($J$3&gt;0,J27/$J$3,0))</f>
        <v/>
      </c>
      <c r="O27" s="141" t="str">
        <f>IF(C27="","",'03 Ações BR'!I30)</f>
        <v/>
      </c>
      <c r="P27" s="147" t="str">
        <f>IF(C27="","",IF(N(J27)&gt;0,J27+ROW()/1E9,""))</f>
        <v/>
      </c>
      <c r="Q27" s="147" t="str">
        <f>IF(C27="","",IF(N(M27)&gt;0,M27+ROW()/1E9,""))</f>
        <v/>
      </c>
    </row>
    <row r="28">
      <c r="A28" s="134" t="str">
        <f>IF(C28="","","Ações")</f>
        <v/>
      </c>
      <c r="B28" s="134" t="str">
        <f>IF(C28="","","Brasil")</f>
        <v/>
      </c>
      <c r="C28" s="134" t="str">
        <f>IF('03 Ações BR'!A31="","",'03 Ações BR'!A31&amp;"")</f>
        <v/>
      </c>
      <c r="D28" s="134" t="str">
        <f>IF(C28="","",'03 Ações BR'!B31&amp;"")</f>
        <v/>
      </c>
      <c r="E28" s="134" t="str">
        <f>IF(C28="","",'03 Ações BR'!C31&amp;"")</f>
        <v/>
      </c>
      <c r="F28" s="134" t="str">
        <f>IF(C28="","",'03 Ações BR'!V31)</f>
        <v/>
      </c>
      <c r="G28" s="135" t="str">
        <f>IF(C28="","",'03 Ações BR'!E31)</f>
        <v/>
      </c>
      <c r="H28" s="136" t="str">
        <f>IF(C28="","",'03 Ações BR'!H31)</f>
        <v/>
      </c>
      <c r="I28" s="137" t="str">
        <f>IF(C28="","",'03 Ações BR'!J31)</f>
        <v/>
      </c>
      <c r="J28" s="138" t="str">
        <f>IF(C28="","",'03 Ações BR'!K31)</f>
        <v/>
      </c>
      <c r="K28" s="138" t="str">
        <f>IF(C28="","",'03 Ações BR'!Q31)</f>
        <v/>
      </c>
      <c r="L28" s="135" t="str">
        <f>IF(C28="","",'03 Ações BR'!R31)</f>
        <v/>
      </c>
      <c r="M28" s="138" t="str">
        <f>IF(C28="","",'03 Ações BR'!T31)</f>
        <v/>
      </c>
      <c r="N28" s="139" t="str">
        <f>IF(C28="","",IF($J$3&gt;0,J28/$J$3,0))</f>
        <v/>
      </c>
      <c r="O28" s="134" t="str">
        <f>IF(C28="","",'03 Ações BR'!I31)</f>
        <v/>
      </c>
      <c r="P28" s="140" t="str">
        <f>IF(C28="","",IF(N(J28)&gt;0,J28+ROW()/1E9,""))</f>
        <v/>
      </c>
      <c r="Q28" s="140" t="str">
        <f>IF(C28="","",IF(N(M28)&gt;0,M28+ROW()/1E9,""))</f>
        <v/>
      </c>
    </row>
    <row r="29">
      <c r="A29" s="141" t="str">
        <f>IF(C29="","","Ações")</f>
        <v/>
      </c>
      <c r="B29" s="141" t="str">
        <f>IF(C29="","","Brasil")</f>
        <v/>
      </c>
      <c r="C29" s="141" t="str">
        <f>IF('03 Ações BR'!A32="","",'03 Ações BR'!A32&amp;"")</f>
        <v/>
      </c>
      <c r="D29" s="141" t="str">
        <f>IF(C29="","",'03 Ações BR'!B32&amp;"")</f>
        <v/>
      </c>
      <c r="E29" s="141" t="str">
        <f>IF(C29="","",'03 Ações BR'!C32&amp;"")</f>
        <v/>
      </c>
      <c r="F29" s="141" t="str">
        <f>IF(C29="","",'03 Ações BR'!V32)</f>
        <v/>
      </c>
      <c r="G29" s="142" t="str">
        <f>IF(C29="","",'03 Ações BR'!E32)</f>
        <v/>
      </c>
      <c r="H29" s="143" t="str">
        <f>IF(C29="","",'03 Ações BR'!H32)</f>
        <v/>
      </c>
      <c r="I29" s="144" t="str">
        <f>IF(C29="","",'03 Ações BR'!J32)</f>
        <v/>
      </c>
      <c r="J29" s="145" t="str">
        <f>IF(C29="","",'03 Ações BR'!K32)</f>
        <v/>
      </c>
      <c r="K29" s="145" t="str">
        <f>IF(C29="","",'03 Ações BR'!Q32)</f>
        <v/>
      </c>
      <c r="L29" s="142" t="str">
        <f>IF(C29="","",'03 Ações BR'!R32)</f>
        <v/>
      </c>
      <c r="M29" s="145" t="str">
        <f>IF(C29="","",'03 Ações BR'!T32)</f>
        <v/>
      </c>
      <c r="N29" s="146" t="str">
        <f>IF(C29="","",IF($J$3&gt;0,J29/$J$3,0))</f>
        <v/>
      </c>
      <c r="O29" s="141" t="str">
        <f>IF(C29="","",'03 Ações BR'!I32)</f>
        <v/>
      </c>
      <c r="P29" s="147" t="str">
        <f>IF(C29="","",IF(N(J29)&gt;0,J29+ROW()/1E9,""))</f>
        <v/>
      </c>
      <c r="Q29" s="147" t="str">
        <f>IF(C29="","",IF(N(M29)&gt;0,M29+ROW()/1E9,""))</f>
        <v/>
      </c>
    </row>
    <row r="30">
      <c r="A30" s="134" t="str">
        <f>IF(C30="","","Ações")</f>
        <v/>
      </c>
      <c r="B30" s="134" t="str">
        <f>IF(C30="","","Brasil")</f>
        <v/>
      </c>
      <c r="C30" s="134" t="str">
        <f>IF('03 Ações BR'!A33="","",'03 Ações BR'!A33&amp;"")</f>
        <v/>
      </c>
      <c r="D30" s="134" t="str">
        <f>IF(C30="","",'03 Ações BR'!B33&amp;"")</f>
        <v/>
      </c>
      <c r="E30" s="134" t="str">
        <f>IF(C30="","",'03 Ações BR'!C33&amp;"")</f>
        <v/>
      </c>
      <c r="F30" s="134" t="str">
        <f>IF(C30="","",'03 Ações BR'!V33)</f>
        <v/>
      </c>
      <c r="G30" s="135" t="str">
        <f>IF(C30="","",'03 Ações BR'!E33)</f>
        <v/>
      </c>
      <c r="H30" s="136" t="str">
        <f>IF(C30="","",'03 Ações BR'!H33)</f>
        <v/>
      </c>
      <c r="I30" s="137" t="str">
        <f>IF(C30="","",'03 Ações BR'!J33)</f>
        <v/>
      </c>
      <c r="J30" s="138" t="str">
        <f>IF(C30="","",'03 Ações BR'!K33)</f>
        <v/>
      </c>
      <c r="K30" s="138" t="str">
        <f>IF(C30="","",'03 Ações BR'!Q33)</f>
        <v/>
      </c>
      <c r="L30" s="135" t="str">
        <f>IF(C30="","",'03 Ações BR'!R33)</f>
        <v/>
      </c>
      <c r="M30" s="138" t="str">
        <f>IF(C30="","",'03 Ações BR'!T33)</f>
        <v/>
      </c>
      <c r="N30" s="139" t="str">
        <f>IF(C30="","",IF($J$3&gt;0,J30/$J$3,0))</f>
        <v/>
      </c>
      <c r="O30" s="134" t="str">
        <f>IF(C30="","",'03 Ações BR'!I33)</f>
        <v/>
      </c>
      <c r="P30" s="140" t="str">
        <f>IF(C30="","",IF(N(J30)&gt;0,J30+ROW()/1E9,""))</f>
        <v/>
      </c>
      <c r="Q30" s="140" t="str">
        <f>IF(C30="","",IF(N(M30)&gt;0,M30+ROW()/1E9,""))</f>
        <v/>
      </c>
    </row>
    <row r="31">
      <c r="A31" s="141" t="str">
        <f>IF(C31="","","Ações")</f>
        <v/>
      </c>
      <c r="B31" s="141" t="str">
        <f>IF(C31="","","Brasil")</f>
        <v/>
      </c>
      <c r="C31" s="141" t="str">
        <f>IF('03 Ações BR'!A34="","",'03 Ações BR'!A34&amp;"")</f>
        <v/>
      </c>
      <c r="D31" s="141" t="str">
        <f>IF(C31="","",'03 Ações BR'!B34&amp;"")</f>
        <v/>
      </c>
      <c r="E31" s="141" t="str">
        <f>IF(C31="","",'03 Ações BR'!C34&amp;"")</f>
        <v/>
      </c>
      <c r="F31" s="141" t="str">
        <f>IF(C31="","",'03 Ações BR'!V34)</f>
        <v/>
      </c>
      <c r="G31" s="142" t="str">
        <f>IF(C31="","",'03 Ações BR'!E34)</f>
        <v/>
      </c>
      <c r="H31" s="143" t="str">
        <f>IF(C31="","",'03 Ações BR'!H34)</f>
        <v/>
      </c>
      <c r="I31" s="144" t="str">
        <f>IF(C31="","",'03 Ações BR'!J34)</f>
        <v/>
      </c>
      <c r="J31" s="145" t="str">
        <f>IF(C31="","",'03 Ações BR'!K34)</f>
        <v/>
      </c>
      <c r="K31" s="145" t="str">
        <f>IF(C31="","",'03 Ações BR'!Q34)</f>
        <v/>
      </c>
      <c r="L31" s="142" t="str">
        <f>IF(C31="","",'03 Ações BR'!R34)</f>
        <v/>
      </c>
      <c r="M31" s="145" t="str">
        <f>IF(C31="","",'03 Ações BR'!T34)</f>
        <v/>
      </c>
      <c r="N31" s="146" t="str">
        <f>IF(C31="","",IF($J$3&gt;0,J31/$J$3,0))</f>
        <v/>
      </c>
      <c r="O31" s="141" t="str">
        <f>IF(C31="","",'03 Ações BR'!I34)</f>
        <v/>
      </c>
      <c r="P31" s="147" t="str">
        <f>IF(C31="","",IF(N(J31)&gt;0,J31+ROW()/1E9,""))</f>
        <v/>
      </c>
      <c r="Q31" s="147" t="str">
        <f>IF(C31="","",IF(N(M31)&gt;0,M31+ROW()/1E9,""))</f>
        <v/>
      </c>
    </row>
    <row r="32">
      <c r="A32" s="134" t="str">
        <f>IF(C32="","","Ações")</f>
        <v/>
      </c>
      <c r="B32" s="134" t="str">
        <f>IF(C32="","","Brasil")</f>
        <v/>
      </c>
      <c r="C32" s="134" t="str">
        <f>IF('03 Ações BR'!A35="","",'03 Ações BR'!A35&amp;"")</f>
        <v/>
      </c>
      <c r="D32" s="134" t="str">
        <f>IF(C32="","",'03 Ações BR'!B35&amp;"")</f>
        <v/>
      </c>
      <c r="E32" s="134" t="str">
        <f>IF(C32="","",'03 Ações BR'!C35&amp;"")</f>
        <v/>
      </c>
      <c r="F32" s="134" t="str">
        <f>IF(C32="","",'03 Ações BR'!V35)</f>
        <v/>
      </c>
      <c r="G32" s="135" t="str">
        <f>IF(C32="","",'03 Ações BR'!E35)</f>
        <v/>
      </c>
      <c r="H32" s="136" t="str">
        <f>IF(C32="","",'03 Ações BR'!H35)</f>
        <v/>
      </c>
      <c r="I32" s="137" t="str">
        <f>IF(C32="","",'03 Ações BR'!J35)</f>
        <v/>
      </c>
      <c r="J32" s="138" t="str">
        <f>IF(C32="","",'03 Ações BR'!K35)</f>
        <v/>
      </c>
      <c r="K32" s="138" t="str">
        <f>IF(C32="","",'03 Ações BR'!Q35)</f>
        <v/>
      </c>
      <c r="L32" s="135" t="str">
        <f>IF(C32="","",'03 Ações BR'!R35)</f>
        <v/>
      </c>
      <c r="M32" s="138" t="str">
        <f>IF(C32="","",'03 Ações BR'!T35)</f>
        <v/>
      </c>
      <c r="N32" s="139" t="str">
        <f>IF(C32="","",IF($J$3&gt;0,J32/$J$3,0))</f>
        <v/>
      </c>
      <c r="O32" s="134" t="str">
        <f>IF(C32="","",'03 Ações BR'!I35)</f>
        <v/>
      </c>
      <c r="P32" s="140" t="str">
        <f>IF(C32="","",IF(N(J32)&gt;0,J32+ROW()/1E9,""))</f>
        <v/>
      </c>
      <c r="Q32" s="140" t="str">
        <f>IF(C32="","",IF(N(M32)&gt;0,M32+ROW()/1E9,""))</f>
        <v/>
      </c>
    </row>
    <row r="33">
      <c r="A33" s="141" t="str">
        <f>IF(C33="","","Ações")</f>
        <v/>
      </c>
      <c r="B33" s="141" t="str">
        <f>IF(C33="","","Brasil")</f>
        <v/>
      </c>
      <c r="C33" s="141" t="str">
        <f>IF('03 Ações BR'!A36="","",'03 Ações BR'!A36&amp;"")</f>
        <v/>
      </c>
      <c r="D33" s="141" t="str">
        <f>IF(C33="","",'03 Ações BR'!B36&amp;"")</f>
        <v/>
      </c>
      <c r="E33" s="141" t="str">
        <f>IF(C33="","",'03 Ações BR'!C36&amp;"")</f>
        <v/>
      </c>
      <c r="F33" s="141" t="str">
        <f>IF(C33="","",'03 Ações BR'!V36)</f>
        <v/>
      </c>
      <c r="G33" s="142" t="str">
        <f>IF(C33="","",'03 Ações BR'!E36)</f>
        <v/>
      </c>
      <c r="H33" s="143" t="str">
        <f>IF(C33="","",'03 Ações BR'!H36)</f>
        <v/>
      </c>
      <c r="I33" s="144" t="str">
        <f>IF(C33="","",'03 Ações BR'!J36)</f>
        <v/>
      </c>
      <c r="J33" s="145" t="str">
        <f>IF(C33="","",'03 Ações BR'!K36)</f>
        <v/>
      </c>
      <c r="K33" s="145" t="str">
        <f>IF(C33="","",'03 Ações BR'!Q36)</f>
        <v/>
      </c>
      <c r="L33" s="142" t="str">
        <f>IF(C33="","",'03 Ações BR'!R36)</f>
        <v/>
      </c>
      <c r="M33" s="145" t="str">
        <f>IF(C33="","",'03 Ações BR'!T36)</f>
        <v/>
      </c>
      <c r="N33" s="146" t="str">
        <f>IF(C33="","",IF($J$3&gt;0,J33/$J$3,0))</f>
        <v/>
      </c>
      <c r="O33" s="141" t="str">
        <f>IF(C33="","",'03 Ações BR'!I36)</f>
        <v/>
      </c>
      <c r="P33" s="147" t="str">
        <f>IF(C33="","",IF(N(J33)&gt;0,J33+ROW()/1E9,""))</f>
        <v/>
      </c>
      <c r="Q33" s="147" t="str">
        <f>IF(C33="","",IF(N(M33)&gt;0,M33+ROW()/1E9,""))</f>
        <v/>
      </c>
    </row>
    <row r="34">
      <c r="A34" s="134" t="str">
        <f>IF(C34="","","Ações")</f>
        <v/>
      </c>
      <c r="B34" s="134" t="str">
        <f>IF(C34="","","Brasil")</f>
        <v/>
      </c>
      <c r="C34" s="134" t="str">
        <f>IF('03 Ações BR'!A37="","",'03 Ações BR'!A37&amp;"")</f>
        <v/>
      </c>
      <c r="D34" s="134" t="str">
        <f>IF(C34="","",'03 Ações BR'!B37&amp;"")</f>
        <v/>
      </c>
      <c r="E34" s="134" t="str">
        <f>IF(C34="","",'03 Ações BR'!C37&amp;"")</f>
        <v/>
      </c>
      <c r="F34" s="134" t="str">
        <f>IF(C34="","",'03 Ações BR'!V37)</f>
        <v/>
      </c>
      <c r="G34" s="135" t="str">
        <f>IF(C34="","",'03 Ações BR'!E37)</f>
        <v/>
      </c>
      <c r="H34" s="136" t="str">
        <f>IF(C34="","",'03 Ações BR'!H37)</f>
        <v/>
      </c>
      <c r="I34" s="137" t="str">
        <f>IF(C34="","",'03 Ações BR'!J37)</f>
        <v/>
      </c>
      <c r="J34" s="138" t="str">
        <f>IF(C34="","",'03 Ações BR'!K37)</f>
        <v/>
      </c>
      <c r="K34" s="138" t="str">
        <f>IF(C34="","",'03 Ações BR'!Q37)</f>
        <v/>
      </c>
      <c r="L34" s="135" t="str">
        <f>IF(C34="","",'03 Ações BR'!R37)</f>
        <v/>
      </c>
      <c r="M34" s="138" t="str">
        <f>IF(C34="","",'03 Ações BR'!T37)</f>
        <v/>
      </c>
      <c r="N34" s="139" t="str">
        <f>IF(C34="","",IF($J$3&gt;0,J34/$J$3,0))</f>
        <v/>
      </c>
      <c r="O34" s="134" t="str">
        <f>IF(C34="","",'03 Ações BR'!I37)</f>
        <v/>
      </c>
      <c r="P34" s="140" t="str">
        <f>IF(C34="","",IF(N(J34)&gt;0,J34+ROW()/1E9,""))</f>
        <v/>
      </c>
      <c r="Q34" s="140" t="str">
        <f>IF(C34="","",IF(N(M34)&gt;0,M34+ROW()/1E9,""))</f>
        <v/>
      </c>
    </row>
    <row r="35">
      <c r="A35" s="141" t="str">
        <f>IF(C35="","","Ações")</f>
        <v/>
      </c>
      <c r="B35" s="141" t="str">
        <f>IF(C35="","","Brasil")</f>
        <v/>
      </c>
      <c r="C35" s="141" t="str">
        <f>IF('03 Ações BR'!A38="","",'03 Ações BR'!A38&amp;"")</f>
        <v/>
      </c>
      <c r="D35" s="141" t="str">
        <f>IF(C35="","",'03 Ações BR'!B38&amp;"")</f>
        <v/>
      </c>
      <c r="E35" s="141" t="str">
        <f>IF(C35="","",'03 Ações BR'!C38&amp;"")</f>
        <v/>
      </c>
      <c r="F35" s="141" t="str">
        <f>IF(C35="","",'03 Ações BR'!V38)</f>
        <v/>
      </c>
      <c r="G35" s="142" t="str">
        <f>IF(C35="","",'03 Ações BR'!E38)</f>
        <v/>
      </c>
      <c r="H35" s="143" t="str">
        <f>IF(C35="","",'03 Ações BR'!H38)</f>
        <v/>
      </c>
      <c r="I35" s="144" t="str">
        <f>IF(C35="","",'03 Ações BR'!J38)</f>
        <v/>
      </c>
      <c r="J35" s="145" t="str">
        <f>IF(C35="","",'03 Ações BR'!K38)</f>
        <v/>
      </c>
      <c r="K35" s="145" t="str">
        <f>IF(C35="","",'03 Ações BR'!Q38)</f>
        <v/>
      </c>
      <c r="L35" s="142" t="str">
        <f>IF(C35="","",'03 Ações BR'!R38)</f>
        <v/>
      </c>
      <c r="M35" s="145" t="str">
        <f>IF(C35="","",'03 Ações BR'!T38)</f>
        <v/>
      </c>
      <c r="N35" s="146" t="str">
        <f>IF(C35="","",IF($J$3&gt;0,J35/$J$3,0))</f>
        <v/>
      </c>
      <c r="O35" s="141" t="str">
        <f>IF(C35="","",'03 Ações BR'!I38)</f>
        <v/>
      </c>
      <c r="P35" s="147" t="str">
        <f>IF(C35="","",IF(N(J35)&gt;0,J35+ROW()/1E9,""))</f>
        <v/>
      </c>
      <c r="Q35" s="147" t="str">
        <f>IF(C35="","",IF(N(M35)&gt;0,M35+ROW()/1E9,""))</f>
        <v/>
      </c>
    </row>
    <row r="36">
      <c r="A36" s="134" t="str">
        <f>IF(C36="","","Ações")</f>
        <v/>
      </c>
      <c r="B36" s="134" t="str">
        <f>IF(C36="","","Brasil")</f>
        <v/>
      </c>
      <c r="C36" s="134" t="str">
        <f>IF('03 Ações BR'!A39="","",'03 Ações BR'!A39&amp;"")</f>
        <v/>
      </c>
      <c r="D36" s="134" t="str">
        <f>IF(C36="","",'03 Ações BR'!B39&amp;"")</f>
        <v/>
      </c>
      <c r="E36" s="134" t="str">
        <f>IF(C36="","",'03 Ações BR'!C39&amp;"")</f>
        <v/>
      </c>
      <c r="F36" s="134" t="str">
        <f>IF(C36="","",'03 Ações BR'!V39)</f>
        <v/>
      </c>
      <c r="G36" s="135" t="str">
        <f>IF(C36="","",'03 Ações BR'!E39)</f>
        <v/>
      </c>
      <c r="H36" s="136" t="str">
        <f>IF(C36="","",'03 Ações BR'!H39)</f>
        <v/>
      </c>
      <c r="I36" s="137" t="str">
        <f>IF(C36="","",'03 Ações BR'!J39)</f>
        <v/>
      </c>
      <c r="J36" s="138" t="str">
        <f>IF(C36="","",'03 Ações BR'!K39)</f>
        <v/>
      </c>
      <c r="K36" s="138" t="str">
        <f>IF(C36="","",'03 Ações BR'!Q39)</f>
        <v/>
      </c>
      <c r="L36" s="135" t="str">
        <f>IF(C36="","",'03 Ações BR'!R39)</f>
        <v/>
      </c>
      <c r="M36" s="138" t="str">
        <f>IF(C36="","",'03 Ações BR'!T39)</f>
        <v/>
      </c>
      <c r="N36" s="139" t="str">
        <f>IF(C36="","",IF($J$3&gt;0,J36/$J$3,0))</f>
        <v/>
      </c>
      <c r="O36" s="134" t="str">
        <f>IF(C36="","",'03 Ações BR'!I39)</f>
        <v/>
      </c>
      <c r="P36" s="140" t="str">
        <f>IF(C36="","",IF(N(J36)&gt;0,J36+ROW()/1E9,""))</f>
        <v/>
      </c>
      <c r="Q36" s="140" t="str">
        <f>IF(C36="","",IF(N(M36)&gt;0,M36+ROW()/1E9,""))</f>
        <v/>
      </c>
    </row>
    <row r="37">
      <c r="A37" s="141" t="str">
        <f>IF(C37="","","Ações")</f>
        <v/>
      </c>
      <c r="B37" s="141" t="str">
        <f>IF(C37="","","Brasil")</f>
        <v/>
      </c>
      <c r="C37" s="141" t="str">
        <f>IF('03 Ações BR'!A40="","",'03 Ações BR'!A40&amp;"")</f>
        <v/>
      </c>
      <c r="D37" s="141" t="str">
        <f>IF(C37="","",'03 Ações BR'!B40&amp;"")</f>
        <v/>
      </c>
      <c r="E37" s="141" t="str">
        <f>IF(C37="","",'03 Ações BR'!C40&amp;"")</f>
        <v/>
      </c>
      <c r="F37" s="141" t="str">
        <f>IF(C37="","",'03 Ações BR'!V40)</f>
        <v/>
      </c>
      <c r="G37" s="142" t="str">
        <f>IF(C37="","",'03 Ações BR'!E40)</f>
        <v/>
      </c>
      <c r="H37" s="143" t="str">
        <f>IF(C37="","",'03 Ações BR'!H40)</f>
        <v/>
      </c>
      <c r="I37" s="144" t="str">
        <f>IF(C37="","",'03 Ações BR'!J40)</f>
        <v/>
      </c>
      <c r="J37" s="145" t="str">
        <f>IF(C37="","",'03 Ações BR'!K40)</f>
        <v/>
      </c>
      <c r="K37" s="145" t="str">
        <f>IF(C37="","",'03 Ações BR'!Q40)</f>
        <v/>
      </c>
      <c r="L37" s="142" t="str">
        <f>IF(C37="","",'03 Ações BR'!R40)</f>
        <v/>
      </c>
      <c r="M37" s="145" t="str">
        <f>IF(C37="","",'03 Ações BR'!T40)</f>
        <v/>
      </c>
      <c r="N37" s="146" t="str">
        <f>IF(C37="","",IF($J$3&gt;0,J37/$J$3,0))</f>
        <v/>
      </c>
      <c r="O37" s="141" t="str">
        <f>IF(C37="","",'03 Ações BR'!I40)</f>
        <v/>
      </c>
      <c r="P37" s="147" t="str">
        <f>IF(C37="","",IF(N(J37)&gt;0,J37+ROW()/1E9,""))</f>
        <v/>
      </c>
      <c r="Q37" s="147" t="str">
        <f>IF(C37="","",IF(N(M37)&gt;0,M37+ROW()/1E9,""))</f>
        <v/>
      </c>
    </row>
    <row r="38">
      <c r="A38" s="134" t="str">
        <f>IF(C38="","","Ações")</f>
        <v/>
      </c>
      <c r="B38" s="134" t="str">
        <f>IF(C38="","","Brasil")</f>
        <v/>
      </c>
      <c r="C38" s="134" t="str">
        <f>IF('03 Ações BR'!A41="","",'03 Ações BR'!A41&amp;"")</f>
        <v/>
      </c>
      <c r="D38" s="134" t="str">
        <f>IF(C38="","",'03 Ações BR'!B41&amp;"")</f>
        <v/>
      </c>
      <c r="E38" s="134" t="str">
        <f>IF(C38="","",'03 Ações BR'!C41&amp;"")</f>
        <v/>
      </c>
      <c r="F38" s="134" t="str">
        <f>IF(C38="","",'03 Ações BR'!V41)</f>
        <v/>
      </c>
      <c r="G38" s="135" t="str">
        <f>IF(C38="","",'03 Ações BR'!E41)</f>
        <v/>
      </c>
      <c r="H38" s="136" t="str">
        <f>IF(C38="","",'03 Ações BR'!H41)</f>
        <v/>
      </c>
      <c r="I38" s="137" t="str">
        <f>IF(C38="","",'03 Ações BR'!J41)</f>
        <v/>
      </c>
      <c r="J38" s="138" t="str">
        <f>IF(C38="","",'03 Ações BR'!K41)</f>
        <v/>
      </c>
      <c r="K38" s="138" t="str">
        <f>IF(C38="","",'03 Ações BR'!Q41)</f>
        <v/>
      </c>
      <c r="L38" s="135" t="str">
        <f>IF(C38="","",'03 Ações BR'!R41)</f>
        <v/>
      </c>
      <c r="M38" s="138" t="str">
        <f>IF(C38="","",'03 Ações BR'!T41)</f>
        <v/>
      </c>
      <c r="N38" s="139" t="str">
        <f>IF(C38="","",IF($J$3&gt;0,J38/$J$3,0))</f>
        <v/>
      </c>
      <c r="O38" s="134" t="str">
        <f>IF(C38="","",'03 Ações BR'!I41)</f>
        <v/>
      </c>
      <c r="P38" s="140" t="str">
        <f>IF(C38="","",IF(N(J38)&gt;0,J38+ROW()/1E9,""))</f>
        <v/>
      </c>
      <c r="Q38" s="140" t="str">
        <f>IF(C38="","",IF(N(M38)&gt;0,M38+ROW()/1E9,""))</f>
        <v/>
      </c>
    </row>
    <row r="39">
      <c r="A39" s="141" t="str">
        <f>IF(C39="","","Ações")</f>
        <v/>
      </c>
      <c r="B39" s="141" t="str">
        <f>IF(C39="","","Brasil")</f>
        <v/>
      </c>
      <c r="C39" s="141" t="str">
        <f>IF('03 Ações BR'!A42="","",'03 Ações BR'!A42&amp;"")</f>
        <v/>
      </c>
      <c r="D39" s="141" t="str">
        <f>IF(C39="","",'03 Ações BR'!B42&amp;"")</f>
        <v/>
      </c>
      <c r="E39" s="141" t="str">
        <f>IF(C39="","",'03 Ações BR'!C42&amp;"")</f>
        <v/>
      </c>
      <c r="F39" s="141" t="str">
        <f>IF(C39="","",'03 Ações BR'!V42)</f>
        <v/>
      </c>
      <c r="G39" s="142" t="str">
        <f>IF(C39="","",'03 Ações BR'!E42)</f>
        <v/>
      </c>
      <c r="H39" s="143" t="str">
        <f>IF(C39="","",'03 Ações BR'!H42)</f>
        <v/>
      </c>
      <c r="I39" s="144" t="str">
        <f>IF(C39="","",'03 Ações BR'!J42)</f>
        <v/>
      </c>
      <c r="J39" s="145" t="str">
        <f>IF(C39="","",'03 Ações BR'!K42)</f>
        <v/>
      </c>
      <c r="K39" s="145" t="str">
        <f>IF(C39="","",'03 Ações BR'!Q42)</f>
        <v/>
      </c>
      <c r="L39" s="142" t="str">
        <f>IF(C39="","",'03 Ações BR'!R42)</f>
        <v/>
      </c>
      <c r="M39" s="145" t="str">
        <f>IF(C39="","",'03 Ações BR'!T42)</f>
        <v/>
      </c>
      <c r="N39" s="146" t="str">
        <f>IF(C39="","",IF($J$3&gt;0,J39/$J$3,0))</f>
        <v/>
      </c>
      <c r="O39" s="141" t="str">
        <f>IF(C39="","",'03 Ações BR'!I42)</f>
        <v/>
      </c>
      <c r="P39" s="147" t="str">
        <f>IF(C39="","",IF(N(J39)&gt;0,J39+ROW()/1E9,""))</f>
        <v/>
      </c>
      <c r="Q39" s="147" t="str">
        <f>IF(C39="","",IF(N(M39)&gt;0,M39+ROW()/1E9,""))</f>
        <v/>
      </c>
    </row>
    <row r="40">
      <c r="A40" s="134" t="str">
        <f>IF(C40="","","Ações")</f>
        <v/>
      </c>
      <c r="B40" s="134" t="str">
        <f>IF(C40="","","Brasil")</f>
        <v/>
      </c>
      <c r="C40" s="134" t="str">
        <f>IF('03 Ações BR'!A43="","",'03 Ações BR'!A43&amp;"")</f>
        <v/>
      </c>
      <c r="D40" s="134" t="str">
        <f>IF(C40="","",'03 Ações BR'!B43&amp;"")</f>
        <v/>
      </c>
      <c r="E40" s="134" t="str">
        <f>IF(C40="","",'03 Ações BR'!C43&amp;"")</f>
        <v/>
      </c>
      <c r="F40" s="134" t="str">
        <f>IF(C40="","",'03 Ações BR'!V43)</f>
        <v/>
      </c>
      <c r="G40" s="135" t="str">
        <f>IF(C40="","",'03 Ações BR'!E43)</f>
        <v/>
      </c>
      <c r="H40" s="136" t="str">
        <f>IF(C40="","",'03 Ações BR'!H43)</f>
        <v/>
      </c>
      <c r="I40" s="137" t="str">
        <f>IF(C40="","",'03 Ações BR'!J43)</f>
        <v/>
      </c>
      <c r="J40" s="138" t="str">
        <f>IF(C40="","",'03 Ações BR'!K43)</f>
        <v/>
      </c>
      <c r="K40" s="138" t="str">
        <f>IF(C40="","",'03 Ações BR'!Q43)</f>
        <v/>
      </c>
      <c r="L40" s="135" t="str">
        <f>IF(C40="","",'03 Ações BR'!R43)</f>
        <v/>
      </c>
      <c r="M40" s="138" t="str">
        <f>IF(C40="","",'03 Ações BR'!T43)</f>
        <v/>
      </c>
      <c r="N40" s="139" t="str">
        <f>IF(C40="","",IF($J$3&gt;0,J40/$J$3,0))</f>
        <v/>
      </c>
      <c r="O40" s="134" t="str">
        <f>IF(C40="","",'03 Ações BR'!I43)</f>
        <v/>
      </c>
      <c r="P40" s="140" t="str">
        <f>IF(C40="","",IF(N(J40)&gt;0,J40+ROW()/1E9,""))</f>
        <v/>
      </c>
      <c r="Q40" s="140" t="str">
        <f>IF(C40="","",IF(N(M40)&gt;0,M40+ROW()/1E9,""))</f>
        <v/>
      </c>
    </row>
    <row r="41">
      <c r="A41" s="141" t="str">
        <f>IF(C41="","","Ações")</f>
        <v/>
      </c>
      <c r="B41" s="141" t="str">
        <f>IF(C41="","","Brasil")</f>
        <v/>
      </c>
      <c r="C41" s="141" t="str">
        <f>IF('03 Ações BR'!A44="","",'03 Ações BR'!A44&amp;"")</f>
        <v/>
      </c>
      <c r="D41" s="141" t="str">
        <f>IF(C41="","",'03 Ações BR'!B44&amp;"")</f>
        <v/>
      </c>
      <c r="E41" s="141" t="str">
        <f>IF(C41="","",'03 Ações BR'!C44&amp;"")</f>
        <v/>
      </c>
      <c r="F41" s="141" t="str">
        <f>IF(C41="","",'03 Ações BR'!V44)</f>
        <v/>
      </c>
      <c r="G41" s="142" t="str">
        <f>IF(C41="","",'03 Ações BR'!E44)</f>
        <v/>
      </c>
      <c r="H41" s="143" t="str">
        <f>IF(C41="","",'03 Ações BR'!H44)</f>
        <v/>
      </c>
      <c r="I41" s="144" t="str">
        <f>IF(C41="","",'03 Ações BR'!J44)</f>
        <v/>
      </c>
      <c r="J41" s="145" t="str">
        <f>IF(C41="","",'03 Ações BR'!K44)</f>
        <v/>
      </c>
      <c r="K41" s="145" t="str">
        <f>IF(C41="","",'03 Ações BR'!Q44)</f>
        <v/>
      </c>
      <c r="L41" s="142" t="str">
        <f>IF(C41="","",'03 Ações BR'!R44)</f>
        <v/>
      </c>
      <c r="M41" s="145" t="str">
        <f>IF(C41="","",'03 Ações BR'!T44)</f>
        <v/>
      </c>
      <c r="N41" s="146" t="str">
        <f>IF(C41="","",IF($J$3&gt;0,J41/$J$3,0))</f>
        <v/>
      </c>
      <c r="O41" s="141" t="str">
        <f>IF(C41="","",'03 Ações BR'!I44)</f>
        <v/>
      </c>
      <c r="P41" s="147" t="str">
        <f>IF(C41="","",IF(N(J41)&gt;0,J41+ROW()/1E9,""))</f>
        <v/>
      </c>
      <c r="Q41" s="147" t="str">
        <f>IF(C41="","",IF(N(M41)&gt;0,M41+ROW()/1E9,""))</f>
        <v/>
      </c>
    </row>
    <row r="42">
      <c r="A42" s="134" t="str">
        <f>IF(C42="","","Ações")</f>
        <v/>
      </c>
      <c r="B42" s="134" t="str">
        <f>IF(C42="","","Brasil")</f>
        <v/>
      </c>
      <c r="C42" s="134" t="str">
        <f>IF('03 Ações BR'!A45="","",'03 Ações BR'!A45&amp;"")</f>
        <v/>
      </c>
      <c r="D42" s="134" t="str">
        <f>IF(C42="","",'03 Ações BR'!B45&amp;"")</f>
        <v/>
      </c>
      <c r="E42" s="134" t="str">
        <f>IF(C42="","",'03 Ações BR'!C45&amp;"")</f>
        <v/>
      </c>
      <c r="F42" s="134" t="str">
        <f>IF(C42="","",'03 Ações BR'!V45)</f>
        <v/>
      </c>
      <c r="G42" s="135" t="str">
        <f>IF(C42="","",'03 Ações BR'!E45)</f>
        <v/>
      </c>
      <c r="H42" s="136" t="str">
        <f>IF(C42="","",'03 Ações BR'!H45)</f>
        <v/>
      </c>
      <c r="I42" s="137" t="str">
        <f>IF(C42="","",'03 Ações BR'!J45)</f>
        <v/>
      </c>
      <c r="J42" s="138" t="str">
        <f>IF(C42="","",'03 Ações BR'!K45)</f>
        <v/>
      </c>
      <c r="K42" s="138" t="str">
        <f>IF(C42="","",'03 Ações BR'!Q45)</f>
        <v/>
      </c>
      <c r="L42" s="135" t="str">
        <f>IF(C42="","",'03 Ações BR'!R45)</f>
        <v/>
      </c>
      <c r="M42" s="138" t="str">
        <f>IF(C42="","",'03 Ações BR'!T45)</f>
        <v/>
      </c>
      <c r="N42" s="139" t="str">
        <f>IF(C42="","",IF($J$3&gt;0,J42/$J$3,0))</f>
        <v/>
      </c>
      <c r="O42" s="134" t="str">
        <f>IF(C42="","",'03 Ações BR'!I45)</f>
        <v/>
      </c>
      <c r="P42" s="140" t="str">
        <f>IF(C42="","",IF(N(J42)&gt;0,J42+ROW()/1E9,""))</f>
        <v/>
      </c>
      <c r="Q42" s="140" t="str">
        <f>IF(C42="","",IF(N(M42)&gt;0,M42+ROW()/1E9,""))</f>
        <v/>
      </c>
    </row>
    <row r="43">
      <c r="A43" s="141" t="str">
        <f>IF(C43="","","Ações")</f>
        <v/>
      </c>
      <c r="B43" s="141" t="str">
        <f>IF(C43="","","Brasil")</f>
        <v/>
      </c>
      <c r="C43" s="141" t="str">
        <f>IF('03 Ações BR'!A46="","",'03 Ações BR'!A46&amp;"")</f>
        <v/>
      </c>
      <c r="D43" s="141" t="str">
        <f>IF(C43="","",'03 Ações BR'!B46&amp;"")</f>
        <v/>
      </c>
      <c r="E43" s="141" t="str">
        <f>IF(C43="","",'03 Ações BR'!C46&amp;"")</f>
        <v/>
      </c>
      <c r="F43" s="141" t="str">
        <f>IF(C43="","",'03 Ações BR'!V46)</f>
        <v/>
      </c>
      <c r="G43" s="142" t="str">
        <f>IF(C43="","",'03 Ações BR'!E46)</f>
        <v/>
      </c>
      <c r="H43" s="143" t="str">
        <f>IF(C43="","",'03 Ações BR'!H46)</f>
        <v/>
      </c>
      <c r="I43" s="144" t="str">
        <f>IF(C43="","",'03 Ações BR'!J46)</f>
        <v/>
      </c>
      <c r="J43" s="145" t="str">
        <f>IF(C43="","",'03 Ações BR'!K46)</f>
        <v/>
      </c>
      <c r="K43" s="145" t="str">
        <f>IF(C43="","",'03 Ações BR'!Q46)</f>
        <v/>
      </c>
      <c r="L43" s="142" t="str">
        <f>IF(C43="","",'03 Ações BR'!R46)</f>
        <v/>
      </c>
      <c r="M43" s="145" t="str">
        <f>IF(C43="","",'03 Ações BR'!T46)</f>
        <v/>
      </c>
      <c r="N43" s="146" t="str">
        <f>IF(C43="","",IF($J$3&gt;0,J43/$J$3,0))</f>
        <v/>
      </c>
      <c r="O43" s="141" t="str">
        <f>IF(C43="","",'03 Ações BR'!I46)</f>
        <v/>
      </c>
      <c r="P43" s="147" t="str">
        <f>IF(C43="","",IF(N(J43)&gt;0,J43+ROW()/1E9,""))</f>
        <v/>
      </c>
      <c r="Q43" s="147" t="str">
        <f>IF(C43="","",IF(N(M43)&gt;0,M43+ROW()/1E9,""))</f>
        <v/>
      </c>
    </row>
    <row r="44">
      <c r="A44" s="134" t="str">
        <f>IF(C44="","","Ações")</f>
        <v/>
      </c>
      <c r="B44" s="134" t="str">
        <f>IF(C44="","","Brasil")</f>
        <v/>
      </c>
      <c r="C44" s="134" t="str">
        <f>IF('03 Ações BR'!A47="","",'03 Ações BR'!A47&amp;"")</f>
        <v/>
      </c>
      <c r="D44" s="134" t="str">
        <f>IF(C44="","",'03 Ações BR'!B47&amp;"")</f>
        <v/>
      </c>
      <c r="E44" s="134" t="str">
        <f>IF(C44="","",'03 Ações BR'!C47&amp;"")</f>
        <v/>
      </c>
      <c r="F44" s="134" t="str">
        <f>IF(C44="","",'03 Ações BR'!V47)</f>
        <v/>
      </c>
      <c r="G44" s="135" t="str">
        <f>IF(C44="","",'03 Ações BR'!E47)</f>
        <v/>
      </c>
      <c r="H44" s="136" t="str">
        <f>IF(C44="","",'03 Ações BR'!H47)</f>
        <v/>
      </c>
      <c r="I44" s="137" t="str">
        <f>IF(C44="","",'03 Ações BR'!J47)</f>
        <v/>
      </c>
      <c r="J44" s="138" t="str">
        <f>IF(C44="","",'03 Ações BR'!K47)</f>
        <v/>
      </c>
      <c r="K44" s="138" t="str">
        <f>IF(C44="","",'03 Ações BR'!Q47)</f>
        <v/>
      </c>
      <c r="L44" s="135" t="str">
        <f>IF(C44="","",'03 Ações BR'!R47)</f>
        <v/>
      </c>
      <c r="M44" s="138" t="str">
        <f>IF(C44="","",'03 Ações BR'!T47)</f>
        <v/>
      </c>
      <c r="N44" s="139" t="str">
        <f>IF(C44="","",IF($J$3&gt;0,J44/$J$3,0))</f>
        <v/>
      </c>
      <c r="O44" s="134" t="str">
        <f>IF(C44="","",'03 Ações BR'!I47)</f>
        <v/>
      </c>
      <c r="P44" s="140" t="str">
        <f>IF(C44="","",IF(N(J44)&gt;0,J44+ROW()/1E9,""))</f>
        <v/>
      </c>
      <c r="Q44" s="140" t="str">
        <f>IF(C44="","",IF(N(M44)&gt;0,M44+ROW()/1E9,""))</f>
        <v/>
      </c>
    </row>
    <row r="45">
      <c r="A45" s="141" t="str">
        <f>IF(C45="","","Ações")</f>
        <v/>
      </c>
      <c r="B45" s="141" t="str">
        <f>IF(C45="","","Brasil")</f>
        <v/>
      </c>
      <c r="C45" s="141" t="str">
        <f>IF('03 Ações BR'!A48="","",'03 Ações BR'!A48&amp;"")</f>
        <v/>
      </c>
      <c r="D45" s="141" t="str">
        <f>IF(C45="","",'03 Ações BR'!B48&amp;"")</f>
        <v/>
      </c>
      <c r="E45" s="141" t="str">
        <f>IF(C45="","",'03 Ações BR'!C48&amp;"")</f>
        <v/>
      </c>
      <c r="F45" s="141" t="str">
        <f>IF(C45="","",'03 Ações BR'!V48)</f>
        <v/>
      </c>
      <c r="G45" s="142" t="str">
        <f>IF(C45="","",'03 Ações BR'!E48)</f>
        <v/>
      </c>
      <c r="H45" s="143" t="str">
        <f>IF(C45="","",'03 Ações BR'!H48)</f>
        <v/>
      </c>
      <c r="I45" s="144" t="str">
        <f>IF(C45="","",'03 Ações BR'!J48)</f>
        <v/>
      </c>
      <c r="J45" s="145" t="str">
        <f>IF(C45="","",'03 Ações BR'!K48)</f>
        <v/>
      </c>
      <c r="K45" s="145" t="str">
        <f>IF(C45="","",'03 Ações BR'!Q48)</f>
        <v/>
      </c>
      <c r="L45" s="142" t="str">
        <f>IF(C45="","",'03 Ações BR'!R48)</f>
        <v/>
      </c>
      <c r="M45" s="145" t="str">
        <f>IF(C45="","",'03 Ações BR'!T48)</f>
        <v/>
      </c>
      <c r="N45" s="146" t="str">
        <f>IF(C45="","",IF($J$3&gt;0,J45/$J$3,0))</f>
        <v/>
      </c>
      <c r="O45" s="141" t="str">
        <f>IF(C45="","",'03 Ações BR'!I48)</f>
        <v/>
      </c>
      <c r="P45" s="147" t="str">
        <f>IF(C45="","",IF(N(J45)&gt;0,J45+ROW()/1E9,""))</f>
        <v/>
      </c>
      <c r="Q45" s="147" t="str">
        <f>IF(C45="","",IF(N(M45)&gt;0,M45+ROW()/1E9,""))</f>
        <v/>
      </c>
    </row>
    <row r="46">
      <c r="A46" s="134" t="str">
        <f>IF(C46="","","Ações")</f>
        <v/>
      </c>
      <c r="B46" s="134" t="str">
        <f>IF(C46="","","Brasil")</f>
        <v/>
      </c>
      <c r="C46" s="134" t="str">
        <f>IF('03 Ações BR'!A49="","",'03 Ações BR'!A49&amp;"")</f>
        <v/>
      </c>
      <c r="D46" s="134" t="str">
        <f>IF(C46="","",'03 Ações BR'!B49&amp;"")</f>
        <v/>
      </c>
      <c r="E46" s="134" t="str">
        <f>IF(C46="","",'03 Ações BR'!C49&amp;"")</f>
        <v/>
      </c>
      <c r="F46" s="134" t="str">
        <f>IF(C46="","",'03 Ações BR'!V49)</f>
        <v/>
      </c>
      <c r="G46" s="135" t="str">
        <f>IF(C46="","",'03 Ações BR'!E49)</f>
        <v/>
      </c>
      <c r="H46" s="136" t="str">
        <f>IF(C46="","",'03 Ações BR'!H49)</f>
        <v/>
      </c>
      <c r="I46" s="137" t="str">
        <f>IF(C46="","",'03 Ações BR'!J49)</f>
        <v/>
      </c>
      <c r="J46" s="138" t="str">
        <f>IF(C46="","",'03 Ações BR'!K49)</f>
        <v/>
      </c>
      <c r="K46" s="138" t="str">
        <f>IF(C46="","",'03 Ações BR'!Q49)</f>
        <v/>
      </c>
      <c r="L46" s="135" t="str">
        <f>IF(C46="","",'03 Ações BR'!R49)</f>
        <v/>
      </c>
      <c r="M46" s="138" t="str">
        <f>IF(C46="","",'03 Ações BR'!T49)</f>
        <v/>
      </c>
      <c r="N46" s="139" t="str">
        <f>IF(C46="","",IF($J$3&gt;0,J46/$J$3,0))</f>
        <v/>
      </c>
      <c r="O46" s="134" t="str">
        <f>IF(C46="","",'03 Ações BR'!I49)</f>
        <v/>
      </c>
      <c r="P46" s="140" t="str">
        <f>IF(C46="","",IF(N(J46)&gt;0,J46+ROW()/1E9,""))</f>
        <v/>
      </c>
      <c r="Q46" s="140" t="str">
        <f>IF(C46="","",IF(N(M46)&gt;0,M46+ROW()/1E9,""))</f>
        <v/>
      </c>
    </row>
    <row r="47">
      <c r="A47" s="141" t="str">
        <f>IF(C47="","","Ações")</f>
        <v/>
      </c>
      <c r="B47" s="141" t="str">
        <f>IF(C47="","","Brasil")</f>
        <v/>
      </c>
      <c r="C47" s="141" t="str">
        <f>IF('03 Ações BR'!A50="","",'03 Ações BR'!A50&amp;"")</f>
        <v/>
      </c>
      <c r="D47" s="141" t="str">
        <f>IF(C47="","",'03 Ações BR'!B50&amp;"")</f>
        <v/>
      </c>
      <c r="E47" s="141" t="str">
        <f>IF(C47="","",'03 Ações BR'!C50&amp;"")</f>
        <v/>
      </c>
      <c r="F47" s="141" t="str">
        <f>IF(C47="","",'03 Ações BR'!V50)</f>
        <v/>
      </c>
      <c r="G47" s="142" t="str">
        <f>IF(C47="","",'03 Ações BR'!E50)</f>
        <v/>
      </c>
      <c r="H47" s="143" t="str">
        <f>IF(C47="","",'03 Ações BR'!H50)</f>
        <v/>
      </c>
      <c r="I47" s="144" t="str">
        <f>IF(C47="","",'03 Ações BR'!J50)</f>
        <v/>
      </c>
      <c r="J47" s="145" t="str">
        <f>IF(C47="","",'03 Ações BR'!K50)</f>
        <v/>
      </c>
      <c r="K47" s="145" t="str">
        <f>IF(C47="","",'03 Ações BR'!Q50)</f>
        <v/>
      </c>
      <c r="L47" s="142" t="str">
        <f>IF(C47="","",'03 Ações BR'!R50)</f>
        <v/>
      </c>
      <c r="M47" s="145" t="str">
        <f>IF(C47="","",'03 Ações BR'!T50)</f>
        <v/>
      </c>
      <c r="N47" s="146" t="str">
        <f>IF(C47="","",IF($J$3&gt;0,J47/$J$3,0))</f>
        <v/>
      </c>
      <c r="O47" s="141" t="str">
        <f>IF(C47="","",'03 Ações BR'!I50)</f>
        <v/>
      </c>
      <c r="P47" s="147" t="str">
        <f>IF(C47="","",IF(N(J47)&gt;0,J47+ROW()/1E9,""))</f>
        <v/>
      </c>
      <c r="Q47" s="147" t="str">
        <f>IF(C47="","",IF(N(M47)&gt;0,M47+ROW()/1E9,""))</f>
        <v/>
      </c>
    </row>
    <row r="48">
      <c r="A48" s="134" t="str">
        <f>IF(C48="","","Ações")</f>
        <v/>
      </c>
      <c r="B48" s="134" t="str">
        <f>IF(C48="","","Brasil")</f>
        <v/>
      </c>
      <c r="C48" s="134" t="str">
        <f>IF('03 Ações BR'!A51="","",'03 Ações BR'!A51&amp;"")</f>
        <v/>
      </c>
      <c r="D48" s="134" t="str">
        <f>IF(C48="","",'03 Ações BR'!B51&amp;"")</f>
        <v/>
      </c>
      <c r="E48" s="134" t="str">
        <f>IF(C48="","",'03 Ações BR'!C51&amp;"")</f>
        <v/>
      </c>
      <c r="F48" s="134" t="str">
        <f>IF(C48="","",'03 Ações BR'!V51)</f>
        <v/>
      </c>
      <c r="G48" s="135" t="str">
        <f>IF(C48="","",'03 Ações BR'!E51)</f>
        <v/>
      </c>
      <c r="H48" s="136" t="str">
        <f>IF(C48="","",'03 Ações BR'!H51)</f>
        <v/>
      </c>
      <c r="I48" s="137" t="str">
        <f>IF(C48="","",'03 Ações BR'!J51)</f>
        <v/>
      </c>
      <c r="J48" s="138" t="str">
        <f>IF(C48="","",'03 Ações BR'!K51)</f>
        <v/>
      </c>
      <c r="K48" s="138" t="str">
        <f>IF(C48="","",'03 Ações BR'!Q51)</f>
        <v/>
      </c>
      <c r="L48" s="135" t="str">
        <f>IF(C48="","",'03 Ações BR'!R51)</f>
        <v/>
      </c>
      <c r="M48" s="138" t="str">
        <f>IF(C48="","",'03 Ações BR'!T51)</f>
        <v/>
      </c>
      <c r="N48" s="139" t="str">
        <f>IF(C48="","",IF($J$3&gt;0,J48/$J$3,0))</f>
        <v/>
      </c>
      <c r="O48" s="134" t="str">
        <f>IF(C48="","",'03 Ações BR'!I51)</f>
        <v/>
      </c>
      <c r="P48" s="140" t="str">
        <f>IF(C48="","",IF(N(J48)&gt;0,J48+ROW()/1E9,""))</f>
        <v/>
      </c>
      <c r="Q48" s="140" t="str">
        <f>IF(C48="","",IF(N(M48)&gt;0,M48+ROW()/1E9,""))</f>
        <v/>
      </c>
    </row>
    <row r="49">
      <c r="A49" s="141" t="str">
        <f>IF(C49="","","Ações")</f>
        <v/>
      </c>
      <c r="B49" s="141" t="str">
        <f>IF(C49="","","Brasil")</f>
        <v/>
      </c>
      <c r="C49" s="141" t="str">
        <f>IF('03 Ações BR'!A52="","",'03 Ações BR'!A52&amp;"")</f>
        <v/>
      </c>
      <c r="D49" s="141" t="str">
        <f>IF(C49="","",'03 Ações BR'!B52&amp;"")</f>
        <v/>
      </c>
      <c r="E49" s="141" t="str">
        <f>IF(C49="","",'03 Ações BR'!C52&amp;"")</f>
        <v/>
      </c>
      <c r="F49" s="141" t="str">
        <f>IF(C49="","",'03 Ações BR'!V52)</f>
        <v/>
      </c>
      <c r="G49" s="142" t="str">
        <f>IF(C49="","",'03 Ações BR'!E52)</f>
        <v/>
      </c>
      <c r="H49" s="143" t="str">
        <f>IF(C49="","",'03 Ações BR'!H52)</f>
        <v/>
      </c>
      <c r="I49" s="144" t="str">
        <f>IF(C49="","",'03 Ações BR'!J52)</f>
        <v/>
      </c>
      <c r="J49" s="145" t="str">
        <f>IF(C49="","",'03 Ações BR'!K52)</f>
        <v/>
      </c>
      <c r="K49" s="145" t="str">
        <f>IF(C49="","",'03 Ações BR'!Q52)</f>
        <v/>
      </c>
      <c r="L49" s="142" t="str">
        <f>IF(C49="","",'03 Ações BR'!R52)</f>
        <v/>
      </c>
      <c r="M49" s="145" t="str">
        <f>IF(C49="","",'03 Ações BR'!T52)</f>
        <v/>
      </c>
      <c r="N49" s="146" t="str">
        <f>IF(C49="","",IF($J$3&gt;0,J49/$J$3,0))</f>
        <v/>
      </c>
      <c r="O49" s="141" t="str">
        <f>IF(C49="","",'03 Ações BR'!I52)</f>
        <v/>
      </c>
      <c r="P49" s="147" t="str">
        <f>IF(C49="","",IF(N(J49)&gt;0,J49+ROW()/1E9,""))</f>
        <v/>
      </c>
      <c r="Q49" s="147" t="str">
        <f>IF(C49="","",IF(N(M49)&gt;0,M49+ROW()/1E9,""))</f>
        <v/>
      </c>
    </row>
    <row r="50">
      <c r="A50" s="134" t="str">
        <f>IF(C50="","","Ações")</f>
        <v/>
      </c>
      <c r="B50" s="134" t="str">
        <f>IF(C50="","","Brasil")</f>
        <v/>
      </c>
      <c r="C50" s="134" t="str">
        <f>IF('03 Ações BR'!A53="","",'03 Ações BR'!A53&amp;"")</f>
        <v/>
      </c>
      <c r="D50" s="134" t="str">
        <f>IF(C50="","",'03 Ações BR'!B53&amp;"")</f>
        <v/>
      </c>
      <c r="E50" s="134" t="str">
        <f>IF(C50="","",'03 Ações BR'!C53&amp;"")</f>
        <v/>
      </c>
      <c r="F50" s="134" t="str">
        <f>IF(C50="","",'03 Ações BR'!V53)</f>
        <v/>
      </c>
      <c r="G50" s="135" t="str">
        <f>IF(C50="","",'03 Ações BR'!E53)</f>
        <v/>
      </c>
      <c r="H50" s="136" t="str">
        <f>IF(C50="","",'03 Ações BR'!H53)</f>
        <v/>
      </c>
      <c r="I50" s="137" t="str">
        <f>IF(C50="","",'03 Ações BR'!J53)</f>
        <v/>
      </c>
      <c r="J50" s="138" t="str">
        <f>IF(C50="","",'03 Ações BR'!K53)</f>
        <v/>
      </c>
      <c r="K50" s="138" t="str">
        <f>IF(C50="","",'03 Ações BR'!Q53)</f>
        <v/>
      </c>
      <c r="L50" s="135" t="str">
        <f>IF(C50="","",'03 Ações BR'!R53)</f>
        <v/>
      </c>
      <c r="M50" s="138" t="str">
        <f>IF(C50="","",'03 Ações BR'!T53)</f>
        <v/>
      </c>
      <c r="N50" s="139" t="str">
        <f>IF(C50="","",IF($J$3&gt;0,J50/$J$3,0))</f>
        <v/>
      </c>
      <c r="O50" s="134" t="str">
        <f>IF(C50="","",'03 Ações BR'!I53)</f>
        <v/>
      </c>
      <c r="P50" s="140" t="str">
        <f>IF(C50="","",IF(N(J50)&gt;0,J50+ROW()/1E9,""))</f>
        <v/>
      </c>
      <c r="Q50" s="140" t="str">
        <f>IF(C50="","",IF(N(M50)&gt;0,M50+ROW()/1E9,""))</f>
        <v/>
      </c>
    </row>
    <row r="51">
      <c r="A51" s="141" t="str">
        <f>IF(C51="","","Ações")</f>
        <v/>
      </c>
      <c r="B51" s="141" t="str">
        <f>IF(C51="","","Brasil")</f>
        <v/>
      </c>
      <c r="C51" s="141" t="str">
        <f>IF('03 Ações BR'!A54="","",'03 Ações BR'!A54&amp;"")</f>
        <v/>
      </c>
      <c r="D51" s="141" t="str">
        <f>IF(C51="","",'03 Ações BR'!B54&amp;"")</f>
        <v/>
      </c>
      <c r="E51" s="141" t="str">
        <f>IF(C51="","",'03 Ações BR'!C54&amp;"")</f>
        <v/>
      </c>
      <c r="F51" s="141" t="str">
        <f>IF(C51="","",'03 Ações BR'!V54)</f>
        <v/>
      </c>
      <c r="G51" s="142" t="str">
        <f>IF(C51="","",'03 Ações BR'!E54)</f>
        <v/>
      </c>
      <c r="H51" s="143" t="str">
        <f>IF(C51="","",'03 Ações BR'!H54)</f>
        <v/>
      </c>
      <c r="I51" s="144" t="str">
        <f>IF(C51="","",'03 Ações BR'!J54)</f>
        <v/>
      </c>
      <c r="J51" s="145" t="str">
        <f>IF(C51="","",'03 Ações BR'!K54)</f>
        <v/>
      </c>
      <c r="K51" s="145" t="str">
        <f>IF(C51="","",'03 Ações BR'!Q54)</f>
        <v/>
      </c>
      <c r="L51" s="142" t="str">
        <f>IF(C51="","",'03 Ações BR'!R54)</f>
        <v/>
      </c>
      <c r="M51" s="145" t="str">
        <f>IF(C51="","",'03 Ações BR'!T54)</f>
        <v/>
      </c>
      <c r="N51" s="146" t="str">
        <f>IF(C51="","",IF($J$3&gt;0,J51/$J$3,0))</f>
        <v/>
      </c>
      <c r="O51" s="141" t="str">
        <f>IF(C51="","",'03 Ações BR'!I54)</f>
        <v/>
      </c>
      <c r="P51" s="147" t="str">
        <f>IF(C51="","",IF(N(J51)&gt;0,J51+ROW()/1E9,""))</f>
        <v/>
      </c>
      <c r="Q51" s="147" t="str">
        <f>IF(C51="","",IF(N(M51)&gt;0,M51+ROW()/1E9,""))</f>
        <v/>
      </c>
    </row>
    <row r="52">
      <c r="A52" s="134" t="str">
        <f>IF(C52="","","Ações")</f>
        <v/>
      </c>
      <c r="B52" s="134" t="str">
        <f>IF(C52="","","Brasil")</f>
        <v/>
      </c>
      <c r="C52" s="134" t="str">
        <f>IF('03 Ações BR'!A55="","",'03 Ações BR'!A55&amp;"")</f>
        <v/>
      </c>
      <c r="D52" s="134" t="str">
        <f>IF(C52="","",'03 Ações BR'!B55&amp;"")</f>
        <v/>
      </c>
      <c r="E52" s="134" t="str">
        <f>IF(C52="","",'03 Ações BR'!C55&amp;"")</f>
        <v/>
      </c>
      <c r="F52" s="134" t="str">
        <f>IF(C52="","",'03 Ações BR'!V55)</f>
        <v/>
      </c>
      <c r="G52" s="135" t="str">
        <f>IF(C52="","",'03 Ações BR'!E55)</f>
        <v/>
      </c>
      <c r="H52" s="136" t="str">
        <f>IF(C52="","",'03 Ações BR'!H55)</f>
        <v/>
      </c>
      <c r="I52" s="137" t="str">
        <f>IF(C52="","",'03 Ações BR'!J55)</f>
        <v/>
      </c>
      <c r="J52" s="138" t="str">
        <f>IF(C52="","",'03 Ações BR'!K55)</f>
        <v/>
      </c>
      <c r="K52" s="138" t="str">
        <f>IF(C52="","",'03 Ações BR'!Q55)</f>
        <v/>
      </c>
      <c r="L52" s="135" t="str">
        <f>IF(C52="","",'03 Ações BR'!R55)</f>
        <v/>
      </c>
      <c r="M52" s="138" t="str">
        <f>IF(C52="","",'03 Ações BR'!T55)</f>
        <v/>
      </c>
      <c r="N52" s="139" t="str">
        <f>IF(C52="","",IF($J$3&gt;0,J52/$J$3,0))</f>
        <v/>
      </c>
      <c r="O52" s="134" t="str">
        <f>IF(C52="","",'03 Ações BR'!I55)</f>
        <v/>
      </c>
      <c r="P52" s="140" t="str">
        <f>IF(C52="","",IF(N(J52)&gt;0,J52+ROW()/1E9,""))</f>
        <v/>
      </c>
      <c r="Q52" s="140" t="str">
        <f>IF(C52="","",IF(N(M52)&gt;0,M52+ROW()/1E9,""))</f>
        <v/>
      </c>
    </row>
    <row r="53">
      <c r="A53" s="141" t="str">
        <f>IF(C53="","","Ações")</f>
        <v/>
      </c>
      <c r="B53" s="141" t="str">
        <f>IF(C53="","","Brasil")</f>
        <v/>
      </c>
      <c r="C53" s="141" t="str">
        <f>IF('03 Ações BR'!A56="","",'03 Ações BR'!A56&amp;"")</f>
        <v/>
      </c>
      <c r="D53" s="141" t="str">
        <f>IF(C53="","",'03 Ações BR'!B56&amp;"")</f>
        <v/>
      </c>
      <c r="E53" s="141" t="str">
        <f>IF(C53="","",'03 Ações BR'!C56&amp;"")</f>
        <v/>
      </c>
      <c r="F53" s="141" t="str">
        <f>IF(C53="","",'03 Ações BR'!V56)</f>
        <v/>
      </c>
      <c r="G53" s="142" t="str">
        <f>IF(C53="","",'03 Ações BR'!E56)</f>
        <v/>
      </c>
      <c r="H53" s="143" t="str">
        <f>IF(C53="","",'03 Ações BR'!H56)</f>
        <v/>
      </c>
      <c r="I53" s="144" t="str">
        <f>IF(C53="","",'03 Ações BR'!J56)</f>
        <v/>
      </c>
      <c r="J53" s="145" t="str">
        <f>IF(C53="","",'03 Ações BR'!K56)</f>
        <v/>
      </c>
      <c r="K53" s="145" t="str">
        <f>IF(C53="","",'03 Ações BR'!Q56)</f>
        <v/>
      </c>
      <c r="L53" s="142" t="str">
        <f>IF(C53="","",'03 Ações BR'!R56)</f>
        <v/>
      </c>
      <c r="M53" s="145" t="str">
        <f>IF(C53="","",'03 Ações BR'!T56)</f>
        <v/>
      </c>
      <c r="N53" s="146" t="str">
        <f>IF(C53="","",IF($J$3&gt;0,J53/$J$3,0))</f>
        <v/>
      </c>
      <c r="O53" s="141" t="str">
        <f>IF(C53="","",'03 Ações BR'!I56)</f>
        <v/>
      </c>
      <c r="P53" s="147" t="str">
        <f>IF(C53="","",IF(N(J53)&gt;0,J53+ROW()/1E9,""))</f>
        <v/>
      </c>
      <c r="Q53" s="147" t="str">
        <f>IF(C53="","",IF(N(M53)&gt;0,M53+ROW()/1E9,""))</f>
        <v/>
      </c>
    </row>
    <row r="54">
      <c r="A54" s="134" t="str">
        <f>IF(C54="","","Ações")</f>
        <v/>
      </c>
      <c r="B54" s="134" t="str">
        <f>IF(C54="","","Brasil")</f>
        <v/>
      </c>
      <c r="C54" s="134" t="str">
        <f>IF('03 Ações BR'!A57="","",'03 Ações BR'!A57&amp;"")</f>
        <v/>
      </c>
      <c r="D54" s="134" t="str">
        <f>IF(C54="","",'03 Ações BR'!B57&amp;"")</f>
        <v/>
      </c>
      <c r="E54" s="134" t="str">
        <f>IF(C54="","",'03 Ações BR'!C57&amp;"")</f>
        <v/>
      </c>
      <c r="F54" s="134" t="str">
        <f>IF(C54="","",'03 Ações BR'!V57)</f>
        <v/>
      </c>
      <c r="G54" s="135" t="str">
        <f>IF(C54="","",'03 Ações BR'!E57)</f>
        <v/>
      </c>
      <c r="H54" s="136" t="str">
        <f>IF(C54="","",'03 Ações BR'!H57)</f>
        <v/>
      </c>
      <c r="I54" s="137" t="str">
        <f>IF(C54="","",'03 Ações BR'!J57)</f>
        <v/>
      </c>
      <c r="J54" s="138" t="str">
        <f>IF(C54="","",'03 Ações BR'!K57)</f>
        <v/>
      </c>
      <c r="K54" s="138" t="str">
        <f>IF(C54="","",'03 Ações BR'!Q57)</f>
        <v/>
      </c>
      <c r="L54" s="135" t="str">
        <f>IF(C54="","",'03 Ações BR'!R57)</f>
        <v/>
      </c>
      <c r="M54" s="138" t="str">
        <f>IF(C54="","",'03 Ações BR'!T57)</f>
        <v/>
      </c>
      <c r="N54" s="139" t="str">
        <f>IF(C54="","",IF($J$3&gt;0,J54/$J$3,0))</f>
        <v/>
      </c>
      <c r="O54" s="134" t="str">
        <f>IF(C54="","",'03 Ações BR'!I57)</f>
        <v/>
      </c>
      <c r="P54" s="140" t="str">
        <f>IF(C54="","",IF(N(J54)&gt;0,J54+ROW()/1E9,""))</f>
        <v/>
      </c>
      <c r="Q54" s="140" t="str">
        <f>IF(C54="","",IF(N(M54)&gt;0,M54+ROW()/1E9,""))</f>
        <v/>
      </c>
    </row>
    <row r="55">
      <c r="A55" s="141" t="str">
        <f>IF(C55="","","Ações")</f>
        <v/>
      </c>
      <c r="B55" s="141" t="str">
        <f>IF(C55="","","Brasil")</f>
        <v/>
      </c>
      <c r="C55" s="141" t="str">
        <f>IF('03 Ações BR'!A58="","",'03 Ações BR'!A58&amp;"")</f>
        <v/>
      </c>
      <c r="D55" s="141" t="str">
        <f>IF(C55="","",'03 Ações BR'!B58&amp;"")</f>
        <v/>
      </c>
      <c r="E55" s="141" t="str">
        <f>IF(C55="","",'03 Ações BR'!C58&amp;"")</f>
        <v/>
      </c>
      <c r="F55" s="141" t="str">
        <f>IF(C55="","",'03 Ações BR'!V58)</f>
        <v/>
      </c>
      <c r="G55" s="142" t="str">
        <f>IF(C55="","",'03 Ações BR'!E58)</f>
        <v/>
      </c>
      <c r="H55" s="143" t="str">
        <f>IF(C55="","",'03 Ações BR'!H58)</f>
        <v/>
      </c>
      <c r="I55" s="144" t="str">
        <f>IF(C55="","",'03 Ações BR'!J58)</f>
        <v/>
      </c>
      <c r="J55" s="145" t="str">
        <f>IF(C55="","",'03 Ações BR'!K58)</f>
        <v/>
      </c>
      <c r="K55" s="145" t="str">
        <f>IF(C55="","",'03 Ações BR'!Q58)</f>
        <v/>
      </c>
      <c r="L55" s="142" t="str">
        <f>IF(C55="","",'03 Ações BR'!R58)</f>
        <v/>
      </c>
      <c r="M55" s="145" t="str">
        <f>IF(C55="","",'03 Ações BR'!T58)</f>
        <v/>
      </c>
      <c r="N55" s="146" t="str">
        <f>IF(C55="","",IF($J$3&gt;0,J55/$J$3,0))</f>
        <v/>
      </c>
      <c r="O55" s="141" t="str">
        <f>IF(C55="","",'03 Ações BR'!I58)</f>
        <v/>
      </c>
      <c r="P55" s="147" t="str">
        <f>IF(C55="","",IF(N(J55)&gt;0,J55+ROW()/1E9,""))</f>
        <v/>
      </c>
      <c r="Q55" s="147" t="str">
        <f>IF(C55="","",IF(N(M55)&gt;0,M55+ROW()/1E9,""))</f>
        <v/>
      </c>
    </row>
    <row r="56">
      <c r="A56" s="134" t="str">
        <f>IF(C56="","","Ações")</f>
        <v/>
      </c>
      <c r="B56" s="134" t="str">
        <f>IF(C56="","","Brasil")</f>
        <v/>
      </c>
      <c r="C56" s="134" t="str">
        <f>IF('03 Ações BR'!A59="","",'03 Ações BR'!A59&amp;"")</f>
        <v/>
      </c>
      <c r="D56" s="134" t="str">
        <f>IF(C56="","",'03 Ações BR'!B59&amp;"")</f>
        <v/>
      </c>
      <c r="E56" s="134" t="str">
        <f>IF(C56="","",'03 Ações BR'!C59&amp;"")</f>
        <v/>
      </c>
      <c r="F56" s="134" t="str">
        <f>IF(C56="","",'03 Ações BR'!V59)</f>
        <v/>
      </c>
      <c r="G56" s="135" t="str">
        <f>IF(C56="","",'03 Ações BR'!E59)</f>
        <v/>
      </c>
      <c r="H56" s="136" t="str">
        <f>IF(C56="","",'03 Ações BR'!H59)</f>
        <v/>
      </c>
      <c r="I56" s="137" t="str">
        <f>IF(C56="","",'03 Ações BR'!J59)</f>
        <v/>
      </c>
      <c r="J56" s="138" t="str">
        <f>IF(C56="","",'03 Ações BR'!K59)</f>
        <v/>
      </c>
      <c r="K56" s="138" t="str">
        <f>IF(C56="","",'03 Ações BR'!Q59)</f>
        <v/>
      </c>
      <c r="L56" s="135" t="str">
        <f>IF(C56="","",'03 Ações BR'!R59)</f>
        <v/>
      </c>
      <c r="M56" s="138" t="str">
        <f>IF(C56="","",'03 Ações BR'!T59)</f>
        <v/>
      </c>
      <c r="N56" s="139" t="str">
        <f>IF(C56="","",IF($J$3&gt;0,J56/$J$3,0))</f>
        <v/>
      </c>
      <c r="O56" s="134" t="str">
        <f>IF(C56="","",'03 Ações BR'!I59)</f>
        <v/>
      </c>
      <c r="P56" s="140" t="str">
        <f>IF(C56="","",IF(N(J56)&gt;0,J56+ROW()/1E9,""))</f>
        <v/>
      </c>
      <c r="Q56" s="140" t="str">
        <f>IF(C56="","",IF(N(M56)&gt;0,M56+ROW()/1E9,""))</f>
        <v/>
      </c>
    </row>
    <row r="57">
      <c r="A57" s="141" t="str">
        <f>IF(C57="","","Ações")</f>
        <v/>
      </c>
      <c r="B57" s="141" t="str">
        <f>IF(C57="","","Brasil")</f>
        <v/>
      </c>
      <c r="C57" s="141" t="str">
        <f>IF('03 Ações BR'!A60="","",'03 Ações BR'!A60&amp;"")</f>
        <v/>
      </c>
      <c r="D57" s="141" t="str">
        <f>IF(C57="","",'03 Ações BR'!B60&amp;"")</f>
        <v/>
      </c>
      <c r="E57" s="141" t="str">
        <f>IF(C57="","",'03 Ações BR'!C60&amp;"")</f>
        <v/>
      </c>
      <c r="F57" s="141" t="str">
        <f>IF(C57="","",'03 Ações BR'!V60)</f>
        <v/>
      </c>
      <c r="G57" s="142" t="str">
        <f>IF(C57="","",'03 Ações BR'!E60)</f>
        <v/>
      </c>
      <c r="H57" s="143" t="str">
        <f>IF(C57="","",'03 Ações BR'!H60)</f>
        <v/>
      </c>
      <c r="I57" s="144" t="str">
        <f>IF(C57="","",'03 Ações BR'!J60)</f>
        <v/>
      </c>
      <c r="J57" s="145" t="str">
        <f>IF(C57="","",'03 Ações BR'!K60)</f>
        <v/>
      </c>
      <c r="K57" s="145" t="str">
        <f>IF(C57="","",'03 Ações BR'!Q60)</f>
        <v/>
      </c>
      <c r="L57" s="142" t="str">
        <f>IF(C57="","",'03 Ações BR'!R60)</f>
        <v/>
      </c>
      <c r="M57" s="145" t="str">
        <f>IF(C57="","",'03 Ações BR'!T60)</f>
        <v/>
      </c>
      <c r="N57" s="146" t="str">
        <f>IF(C57="","",IF($J$3&gt;0,J57/$J$3,0))</f>
        <v/>
      </c>
      <c r="O57" s="141" t="str">
        <f>IF(C57="","",'03 Ações BR'!I60)</f>
        <v/>
      </c>
      <c r="P57" s="147" t="str">
        <f>IF(C57="","",IF(N(J57)&gt;0,J57+ROW()/1E9,""))</f>
        <v/>
      </c>
      <c r="Q57" s="147" t="str">
        <f>IF(C57="","",IF(N(M57)&gt;0,M57+ROW()/1E9,""))</f>
        <v/>
      </c>
    </row>
    <row r="58">
      <c r="A58" s="134" t="str">
        <f>IF(C58="","","Ações")</f>
        <v/>
      </c>
      <c r="B58" s="134" t="str">
        <f>IF(C58="","","Brasil")</f>
        <v/>
      </c>
      <c r="C58" s="134" t="str">
        <f>IF('03 Ações BR'!A61="","",'03 Ações BR'!A61&amp;"")</f>
        <v/>
      </c>
      <c r="D58" s="134" t="str">
        <f>IF(C58="","",'03 Ações BR'!B61&amp;"")</f>
        <v/>
      </c>
      <c r="E58" s="134" t="str">
        <f>IF(C58="","",'03 Ações BR'!C61&amp;"")</f>
        <v/>
      </c>
      <c r="F58" s="134" t="str">
        <f>IF(C58="","",'03 Ações BR'!V61)</f>
        <v/>
      </c>
      <c r="G58" s="135" t="str">
        <f>IF(C58="","",'03 Ações BR'!E61)</f>
        <v/>
      </c>
      <c r="H58" s="136" t="str">
        <f>IF(C58="","",'03 Ações BR'!H61)</f>
        <v/>
      </c>
      <c r="I58" s="137" t="str">
        <f>IF(C58="","",'03 Ações BR'!J61)</f>
        <v/>
      </c>
      <c r="J58" s="138" t="str">
        <f>IF(C58="","",'03 Ações BR'!K61)</f>
        <v/>
      </c>
      <c r="K58" s="138" t="str">
        <f>IF(C58="","",'03 Ações BR'!Q61)</f>
        <v/>
      </c>
      <c r="L58" s="135" t="str">
        <f>IF(C58="","",'03 Ações BR'!R61)</f>
        <v/>
      </c>
      <c r="M58" s="138" t="str">
        <f>IF(C58="","",'03 Ações BR'!T61)</f>
        <v/>
      </c>
      <c r="N58" s="139" t="str">
        <f>IF(C58="","",IF($J$3&gt;0,J58/$J$3,0))</f>
        <v/>
      </c>
      <c r="O58" s="134" t="str">
        <f>IF(C58="","",'03 Ações BR'!I61)</f>
        <v/>
      </c>
      <c r="P58" s="140" t="str">
        <f>IF(C58="","",IF(N(J58)&gt;0,J58+ROW()/1E9,""))</f>
        <v/>
      </c>
      <c r="Q58" s="140" t="str">
        <f>IF(C58="","",IF(N(M58)&gt;0,M58+ROW()/1E9,""))</f>
        <v/>
      </c>
    </row>
    <row r="59">
      <c r="A59" s="141" t="str">
        <f>IF(C59="","","Ações")</f>
        <v/>
      </c>
      <c r="B59" s="141" t="str">
        <f>IF(C59="","","Brasil")</f>
        <v/>
      </c>
      <c r="C59" s="141" t="str">
        <f>IF('03 Ações BR'!A62="","",'03 Ações BR'!A62&amp;"")</f>
        <v/>
      </c>
      <c r="D59" s="141" t="str">
        <f>IF(C59="","",'03 Ações BR'!B62&amp;"")</f>
        <v/>
      </c>
      <c r="E59" s="141" t="str">
        <f>IF(C59="","",'03 Ações BR'!C62&amp;"")</f>
        <v/>
      </c>
      <c r="F59" s="141" t="str">
        <f>IF(C59="","",'03 Ações BR'!V62)</f>
        <v/>
      </c>
      <c r="G59" s="142" t="str">
        <f>IF(C59="","",'03 Ações BR'!E62)</f>
        <v/>
      </c>
      <c r="H59" s="143" t="str">
        <f>IF(C59="","",'03 Ações BR'!H62)</f>
        <v/>
      </c>
      <c r="I59" s="144" t="str">
        <f>IF(C59="","",'03 Ações BR'!J62)</f>
        <v/>
      </c>
      <c r="J59" s="145" t="str">
        <f>IF(C59="","",'03 Ações BR'!K62)</f>
        <v/>
      </c>
      <c r="K59" s="145" t="str">
        <f>IF(C59="","",'03 Ações BR'!Q62)</f>
        <v/>
      </c>
      <c r="L59" s="142" t="str">
        <f>IF(C59="","",'03 Ações BR'!R62)</f>
        <v/>
      </c>
      <c r="M59" s="145" t="str">
        <f>IF(C59="","",'03 Ações BR'!T62)</f>
        <v/>
      </c>
      <c r="N59" s="146" t="str">
        <f>IF(C59="","",IF($J$3&gt;0,J59/$J$3,0))</f>
        <v/>
      </c>
      <c r="O59" s="141" t="str">
        <f>IF(C59="","",'03 Ações BR'!I62)</f>
        <v/>
      </c>
      <c r="P59" s="147" t="str">
        <f>IF(C59="","",IF(N(J59)&gt;0,J59+ROW()/1E9,""))</f>
        <v/>
      </c>
      <c r="Q59" s="147" t="str">
        <f>IF(C59="","",IF(N(M59)&gt;0,M59+ROW()/1E9,""))</f>
        <v/>
      </c>
    </row>
    <row r="60">
      <c r="A60" s="134" t="str">
        <f>IF(C60="","","Ações")</f>
        <v/>
      </c>
      <c r="B60" s="134" t="str">
        <f>IF(C60="","","Brasil")</f>
        <v/>
      </c>
      <c r="C60" s="134" t="str">
        <f>IF('03 Ações BR'!A63="","",'03 Ações BR'!A63&amp;"")</f>
        <v/>
      </c>
      <c r="D60" s="134" t="str">
        <f>IF(C60="","",'03 Ações BR'!B63&amp;"")</f>
        <v/>
      </c>
      <c r="E60" s="134" t="str">
        <f>IF(C60="","",'03 Ações BR'!C63&amp;"")</f>
        <v/>
      </c>
      <c r="F60" s="134" t="str">
        <f>IF(C60="","",'03 Ações BR'!V63)</f>
        <v/>
      </c>
      <c r="G60" s="135" t="str">
        <f>IF(C60="","",'03 Ações BR'!E63)</f>
        <v/>
      </c>
      <c r="H60" s="136" t="str">
        <f>IF(C60="","",'03 Ações BR'!H63)</f>
        <v/>
      </c>
      <c r="I60" s="137" t="str">
        <f>IF(C60="","",'03 Ações BR'!J63)</f>
        <v/>
      </c>
      <c r="J60" s="138" t="str">
        <f>IF(C60="","",'03 Ações BR'!K63)</f>
        <v/>
      </c>
      <c r="K60" s="138" t="str">
        <f>IF(C60="","",'03 Ações BR'!Q63)</f>
        <v/>
      </c>
      <c r="L60" s="135" t="str">
        <f>IF(C60="","",'03 Ações BR'!R63)</f>
        <v/>
      </c>
      <c r="M60" s="138" t="str">
        <f>IF(C60="","",'03 Ações BR'!T63)</f>
        <v/>
      </c>
      <c r="N60" s="139" t="str">
        <f>IF(C60="","",IF($J$3&gt;0,J60/$J$3,0))</f>
        <v/>
      </c>
      <c r="O60" s="134" t="str">
        <f>IF(C60="","",'03 Ações BR'!I63)</f>
        <v/>
      </c>
      <c r="P60" s="140" t="str">
        <f>IF(C60="","",IF(N(J60)&gt;0,J60+ROW()/1E9,""))</f>
        <v/>
      </c>
      <c r="Q60" s="140" t="str">
        <f>IF(C60="","",IF(N(M60)&gt;0,M60+ROW()/1E9,""))</f>
        <v/>
      </c>
    </row>
    <row r="61">
      <c r="A61" s="141" t="str">
        <f>IF(C61="","","Ações")</f>
        <v/>
      </c>
      <c r="B61" s="141" t="str">
        <f>IF(C61="","","Brasil")</f>
        <v/>
      </c>
      <c r="C61" s="141" t="str">
        <f>IF('03 Ações BR'!A64="","",'03 Ações BR'!A64&amp;"")</f>
        <v/>
      </c>
      <c r="D61" s="141" t="str">
        <f>IF(C61="","",'03 Ações BR'!B64&amp;"")</f>
        <v/>
      </c>
      <c r="E61" s="141" t="str">
        <f>IF(C61="","",'03 Ações BR'!C64&amp;"")</f>
        <v/>
      </c>
      <c r="F61" s="141" t="str">
        <f>IF(C61="","",'03 Ações BR'!V64)</f>
        <v/>
      </c>
      <c r="G61" s="142" t="str">
        <f>IF(C61="","",'03 Ações BR'!E64)</f>
        <v/>
      </c>
      <c r="H61" s="143" t="str">
        <f>IF(C61="","",'03 Ações BR'!H64)</f>
        <v/>
      </c>
      <c r="I61" s="144" t="str">
        <f>IF(C61="","",'03 Ações BR'!J64)</f>
        <v/>
      </c>
      <c r="J61" s="145" t="str">
        <f>IF(C61="","",'03 Ações BR'!K64)</f>
        <v/>
      </c>
      <c r="K61" s="145" t="str">
        <f>IF(C61="","",'03 Ações BR'!Q64)</f>
        <v/>
      </c>
      <c r="L61" s="142" t="str">
        <f>IF(C61="","",'03 Ações BR'!R64)</f>
        <v/>
      </c>
      <c r="M61" s="145" t="str">
        <f>IF(C61="","",'03 Ações BR'!T64)</f>
        <v/>
      </c>
      <c r="N61" s="146" t="str">
        <f>IF(C61="","",IF($J$3&gt;0,J61/$J$3,0))</f>
        <v/>
      </c>
      <c r="O61" s="141" t="str">
        <f>IF(C61="","",'03 Ações BR'!I64)</f>
        <v/>
      </c>
      <c r="P61" s="147" t="str">
        <f>IF(C61="","",IF(N(J61)&gt;0,J61+ROW()/1E9,""))</f>
        <v/>
      </c>
      <c r="Q61" s="147" t="str">
        <f>IF(C61="","",IF(N(M61)&gt;0,M61+ROW()/1E9,""))</f>
        <v/>
      </c>
    </row>
    <row r="62">
      <c r="A62" s="134" t="str">
        <f>IF(C62="","","Ações")</f>
        <v/>
      </c>
      <c r="B62" s="134" t="str">
        <f>IF(C62="","","Brasil")</f>
        <v/>
      </c>
      <c r="C62" s="134" t="str">
        <f>IF('03 Ações BR'!A65="","",'03 Ações BR'!A65&amp;"")</f>
        <v/>
      </c>
      <c r="D62" s="134" t="str">
        <f>IF(C62="","",'03 Ações BR'!B65&amp;"")</f>
        <v/>
      </c>
      <c r="E62" s="134" t="str">
        <f>IF(C62="","",'03 Ações BR'!C65&amp;"")</f>
        <v/>
      </c>
      <c r="F62" s="134" t="str">
        <f>IF(C62="","",'03 Ações BR'!V65)</f>
        <v/>
      </c>
      <c r="G62" s="135" t="str">
        <f>IF(C62="","",'03 Ações BR'!E65)</f>
        <v/>
      </c>
      <c r="H62" s="136" t="str">
        <f>IF(C62="","",'03 Ações BR'!H65)</f>
        <v/>
      </c>
      <c r="I62" s="137" t="str">
        <f>IF(C62="","",'03 Ações BR'!J65)</f>
        <v/>
      </c>
      <c r="J62" s="138" t="str">
        <f>IF(C62="","",'03 Ações BR'!K65)</f>
        <v/>
      </c>
      <c r="K62" s="138" t="str">
        <f>IF(C62="","",'03 Ações BR'!Q65)</f>
        <v/>
      </c>
      <c r="L62" s="135" t="str">
        <f>IF(C62="","",'03 Ações BR'!R65)</f>
        <v/>
      </c>
      <c r="M62" s="138" t="str">
        <f>IF(C62="","",'03 Ações BR'!T65)</f>
        <v/>
      </c>
      <c r="N62" s="139" t="str">
        <f>IF(C62="","",IF($J$3&gt;0,J62/$J$3,0))</f>
        <v/>
      </c>
      <c r="O62" s="134" t="str">
        <f>IF(C62="","",'03 Ações BR'!I65)</f>
        <v/>
      </c>
      <c r="P62" s="140" t="str">
        <f>IF(C62="","",IF(N(J62)&gt;0,J62+ROW()/1E9,""))</f>
        <v/>
      </c>
      <c r="Q62" s="140" t="str">
        <f>IF(C62="","",IF(N(M62)&gt;0,M62+ROW()/1E9,""))</f>
        <v/>
      </c>
    </row>
    <row r="63">
      <c r="A63" s="141" t="str">
        <f>IF(C63="","","Ações")</f>
        <v/>
      </c>
      <c r="B63" s="141" t="str">
        <f>IF(C63="","","Brasil")</f>
        <v/>
      </c>
      <c r="C63" s="141" t="str">
        <f>IF('03 Ações BR'!A66="","",'03 Ações BR'!A66&amp;"")</f>
        <v/>
      </c>
      <c r="D63" s="141" t="str">
        <f>IF(C63="","",'03 Ações BR'!B66&amp;"")</f>
        <v/>
      </c>
      <c r="E63" s="141" t="str">
        <f>IF(C63="","",'03 Ações BR'!C66&amp;"")</f>
        <v/>
      </c>
      <c r="F63" s="141" t="str">
        <f>IF(C63="","",'03 Ações BR'!V66)</f>
        <v/>
      </c>
      <c r="G63" s="142" t="str">
        <f>IF(C63="","",'03 Ações BR'!E66)</f>
        <v/>
      </c>
      <c r="H63" s="143" t="str">
        <f>IF(C63="","",'03 Ações BR'!H66)</f>
        <v/>
      </c>
      <c r="I63" s="144" t="str">
        <f>IF(C63="","",'03 Ações BR'!J66)</f>
        <v/>
      </c>
      <c r="J63" s="145" t="str">
        <f>IF(C63="","",'03 Ações BR'!K66)</f>
        <v/>
      </c>
      <c r="K63" s="145" t="str">
        <f>IF(C63="","",'03 Ações BR'!Q66)</f>
        <v/>
      </c>
      <c r="L63" s="142" t="str">
        <f>IF(C63="","",'03 Ações BR'!R66)</f>
        <v/>
      </c>
      <c r="M63" s="145" t="str">
        <f>IF(C63="","",'03 Ações BR'!T66)</f>
        <v/>
      </c>
      <c r="N63" s="146" t="str">
        <f>IF(C63="","",IF($J$3&gt;0,J63/$J$3,0))</f>
        <v/>
      </c>
      <c r="O63" s="141" t="str">
        <f>IF(C63="","",'03 Ações BR'!I66)</f>
        <v/>
      </c>
      <c r="P63" s="147" t="str">
        <f>IF(C63="","",IF(N(J63)&gt;0,J63+ROW()/1E9,""))</f>
        <v/>
      </c>
      <c r="Q63" s="147" t="str">
        <f>IF(C63="","",IF(N(M63)&gt;0,M63+ROW()/1E9,""))</f>
        <v/>
      </c>
    </row>
    <row r="64">
      <c r="A64" s="134" t="str">
        <f>IF(C64="","","Ações")</f>
        <v/>
      </c>
      <c r="B64" s="134" t="str">
        <f>IF(C64="","","Brasil")</f>
        <v/>
      </c>
      <c r="C64" s="134" t="str">
        <f>IF('03 Ações BR'!A67="","",'03 Ações BR'!A67&amp;"")</f>
        <v/>
      </c>
      <c r="D64" s="134" t="str">
        <f>IF(C64="","",'03 Ações BR'!B67&amp;"")</f>
        <v/>
      </c>
      <c r="E64" s="134" t="str">
        <f>IF(C64="","",'03 Ações BR'!C67&amp;"")</f>
        <v/>
      </c>
      <c r="F64" s="134" t="str">
        <f>IF(C64="","",'03 Ações BR'!V67)</f>
        <v/>
      </c>
      <c r="G64" s="135" t="str">
        <f>IF(C64="","",'03 Ações BR'!E67)</f>
        <v/>
      </c>
      <c r="H64" s="136" t="str">
        <f>IF(C64="","",'03 Ações BR'!H67)</f>
        <v/>
      </c>
      <c r="I64" s="137" t="str">
        <f>IF(C64="","",'03 Ações BR'!J67)</f>
        <v/>
      </c>
      <c r="J64" s="138" t="str">
        <f>IF(C64="","",'03 Ações BR'!K67)</f>
        <v/>
      </c>
      <c r="K64" s="138" t="str">
        <f>IF(C64="","",'03 Ações BR'!Q67)</f>
        <v/>
      </c>
      <c r="L64" s="135" t="str">
        <f>IF(C64="","",'03 Ações BR'!R67)</f>
        <v/>
      </c>
      <c r="M64" s="138" t="str">
        <f>IF(C64="","",'03 Ações BR'!T67)</f>
        <v/>
      </c>
      <c r="N64" s="139" t="str">
        <f>IF(C64="","",IF($J$3&gt;0,J64/$J$3,0))</f>
        <v/>
      </c>
      <c r="O64" s="134" t="str">
        <f>IF(C64="","",'03 Ações BR'!I67)</f>
        <v/>
      </c>
      <c r="P64" s="140" t="str">
        <f>IF(C64="","",IF(N(J64)&gt;0,J64+ROW()/1E9,""))</f>
        <v/>
      </c>
      <c r="Q64" s="140" t="str">
        <f>IF(C64="","",IF(N(M64)&gt;0,M64+ROW()/1E9,""))</f>
        <v/>
      </c>
    </row>
    <row r="65">
      <c r="A65" s="141" t="str">
        <f>IF(C65="","","Ações")</f>
        <v/>
      </c>
      <c r="B65" s="141" t="str">
        <f>IF(C65="","","Brasil")</f>
        <v/>
      </c>
      <c r="C65" s="141" t="str">
        <f>IF('03 Ações BR'!A68="","",'03 Ações BR'!A68&amp;"")</f>
        <v/>
      </c>
      <c r="D65" s="141" t="str">
        <f>IF(C65="","",'03 Ações BR'!B68&amp;"")</f>
        <v/>
      </c>
      <c r="E65" s="141" t="str">
        <f>IF(C65="","",'03 Ações BR'!C68&amp;"")</f>
        <v/>
      </c>
      <c r="F65" s="141" t="str">
        <f>IF(C65="","",'03 Ações BR'!V68)</f>
        <v/>
      </c>
      <c r="G65" s="142" t="str">
        <f>IF(C65="","",'03 Ações BR'!E68)</f>
        <v/>
      </c>
      <c r="H65" s="143" t="str">
        <f>IF(C65="","",'03 Ações BR'!H68)</f>
        <v/>
      </c>
      <c r="I65" s="144" t="str">
        <f>IF(C65="","",'03 Ações BR'!J68)</f>
        <v/>
      </c>
      <c r="J65" s="145" t="str">
        <f>IF(C65="","",'03 Ações BR'!K68)</f>
        <v/>
      </c>
      <c r="K65" s="145" t="str">
        <f>IF(C65="","",'03 Ações BR'!Q68)</f>
        <v/>
      </c>
      <c r="L65" s="142" t="str">
        <f>IF(C65="","",'03 Ações BR'!R68)</f>
        <v/>
      </c>
      <c r="M65" s="145" t="str">
        <f>IF(C65="","",'03 Ações BR'!T68)</f>
        <v/>
      </c>
      <c r="N65" s="146" t="str">
        <f>IF(C65="","",IF($J$3&gt;0,J65/$J$3,0))</f>
        <v/>
      </c>
      <c r="O65" s="141" t="str">
        <f>IF(C65="","",'03 Ações BR'!I68)</f>
        <v/>
      </c>
      <c r="P65" s="147" t="str">
        <f>IF(C65="","",IF(N(J65)&gt;0,J65+ROW()/1E9,""))</f>
        <v/>
      </c>
      <c r="Q65" s="147" t="str">
        <f>IF(C65="","",IF(N(M65)&gt;0,M65+ROW()/1E9,""))</f>
        <v/>
      </c>
    </row>
    <row r="66">
      <c r="A66" s="134" t="str">
        <f>IF(C66="","","Ações")</f>
        <v/>
      </c>
      <c r="B66" s="134" t="str">
        <f>IF(C66="","","Brasil")</f>
        <v/>
      </c>
      <c r="C66" s="134" t="str">
        <f>IF('03 Ações BR'!A69="","",'03 Ações BR'!A69&amp;"")</f>
        <v/>
      </c>
      <c r="D66" s="134" t="str">
        <f>IF(C66="","",'03 Ações BR'!B69&amp;"")</f>
        <v/>
      </c>
      <c r="E66" s="134" t="str">
        <f>IF(C66="","",'03 Ações BR'!C69&amp;"")</f>
        <v/>
      </c>
      <c r="F66" s="134" t="str">
        <f>IF(C66="","",'03 Ações BR'!V69)</f>
        <v/>
      </c>
      <c r="G66" s="135" t="str">
        <f>IF(C66="","",'03 Ações BR'!E69)</f>
        <v/>
      </c>
      <c r="H66" s="136" t="str">
        <f>IF(C66="","",'03 Ações BR'!H69)</f>
        <v/>
      </c>
      <c r="I66" s="137" t="str">
        <f>IF(C66="","",'03 Ações BR'!J69)</f>
        <v/>
      </c>
      <c r="J66" s="138" t="str">
        <f>IF(C66="","",'03 Ações BR'!K69)</f>
        <v/>
      </c>
      <c r="K66" s="138" t="str">
        <f>IF(C66="","",'03 Ações BR'!Q69)</f>
        <v/>
      </c>
      <c r="L66" s="135" t="str">
        <f>IF(C66="","",'03 Ações BR'!R69)</f>
        <v/>
      </c>
      <c r="M66" s="138" t="str">
        <f>IF(C66="","",'03 Ações BR'!T69)</f>
        <v/>
      </c>
      <c r="N66" s="139" t="str">
        <f>IF(C66="","",IF($J$3&gt;0,J66/$J$3,0))</f>
        <v/>
      </c>
      <c r="O66" s="134" t="str">
        <f>IF(C66="","",'03 Ações BR'!I69)</f>
        <v/>
      </c>
      <c r="P66" s="140" t="str">
        <f>IF(C66="","",IF(N(J66)&gt;0,J66+ROW()/1E9,""))</f>
        <v/>
      </c>
      <c r="Q66" s="140" t="str">
        <f>IF(C66="","",IF(N(M66)&gt;0,M66+ROW()/1E9,""))</f>
        <v/>
      </c>
    </row>
    <row r="67">
      <c r="A67" s="141" t="str">
        <f>IF(C67="","","Ações")</f>
        <v/>
      </c>
      <c r="B67" s="141" t="str">
        <f>IF(C67="","","Brasil")</f>
        <v/>
      </c>
      <c r="C67" s="141" t="str">
        <f>IF('03 Ações BR'!A70="","",'03 Ações BR'!A70&amp;"")</f>
        <v/>
      </c>
      <c r="D67" s="141" t="str">
        <f>IF(C67="","",'03 Ações BR'!B70&amp;"")</f>
        <v/>
      </c>
      <c r="E67" s="141" t="str">
        <f>IF(C67="","",'03 Ações BR'!C70&amp;"")</f>
        <v/>
      </c>
      <c r="F67" s="141" t="str">
        <f>IF(C67="","",'03 Ações BR'!V70)</f>
        <v/>
      </c>
      <c r="G67" s="142" t="str">
        <f>IF(C67="","",'03 Ações BR'!E70)</f>
        <v/>
      </c>
      <c r="H67" s="143" t="str">
        <f>IF(C67="","",'03 Ações BR'!H70)</f>
        <v/>
      </c>
      <c r="I67" s="144" t="str">
        <f>IF(C67="","",'03 Ações BR'!J70)</f>
        <v/>
      </c>
      <c r="J67" s="145" t="str">
        <f>IF(C67="","",'03 Ações BR'!K70)</f>
        <v/>
      </c>
      <c r="K67" s="145" t="str">
        <f>IF(C67="","",'03 Ações BR'!Q70)</f>
        <v/>
      </c>
      <c r="L67" s="142" t="str">
        <f>IF(C67="","",'03 Ações BR'!R70)</f>
        <v/>
      </c>
      <c r="M67" s="145" t="str">
        <f>IF(C67="","",'03 Ações BR'!T70)</f>
        <v/>
      </c>
      <c r="N67" s="146" t="str">
        <f>IF(C67="","",IF($J$3&gt;0,J67/$J$3,0))</f>
        <v/>
      </c>
      <c r="O67" s="141" t="str">
        <f>IF(C67="","",'03 Ações BR'!I70)</f>
        <v/>
      </c>
      <c r="P67" s="147" t="str">
        <f>IF(C67="","",IF(N(J67)&gt;0,J67+ROW()/1E9,""))</f>
        <v/>
      </c>
      <c r="Q67" s="147" t="str">
        <f>IF(C67="","",IF(N(M67)&gt;0,M67+ROW()/1E9,""))</f>
        <v/>
      </c>
    </row>
    <row r="68">
      <c r="A68" s="134" t="str">
        <f>IF(C68="","","Ações")</f>
        <v/>
      </c>
      <c r="B68" s="134" t="str">
        <f>IF(C68="","","Brasil")</f>
        <v/>
      </c>
      <c r="C68" s="134" t="str">
        <f>IF('03 Ações BR'!A71="","",'03 Ações BR'!A71&amp;"")</f>
        <v/>
      </c>
      <c r="D68" s="134" t="str">
        <f>IF(C68="","",'03 Ações BR'!B71&amp;"")</f>
        <v/>
      </c>
      <c r="E68" s="134" t="str">
        <f>IF(C68="","",'03 Ações BR'!C71&amp;"")</f>
        <v/>
      </c>
      <c r="F68" s="134" t="str">
        <f>IF(C68="","",'03 Ações BR'!V71)</f>
        <v/>
      </c>
      <c r="G68" s="135" t="str">
        <f>IF(C68="","",'03 Ações BR'!E71)</f>
        <v/>
      </c>
      <c r="H68" s="136" t="str">
        <f>IF(C68="","",'03 Ações BR'!H71)</f>
        <v/>
      </c>
      <c r="I68" s="137" t="str">
        <f>IF(C68="","",'03 Ações BR'!J71)</f>
        <v/>
      </c>
      <c r="J68" s="138" t="str">
        <f>IF(C68="","",'03 Ações BR'!K71)</f>
        <v/>
      </c>
      <c r="K68" s="138" t="str">
        <f>IF(C68="","",'03 Ações BR'!Q71)</f>
        <v/>
      </c>
      <c r="L68" s="135" t="str">
        <f>IF(C68="","",'03 Ações BR'!R71)</f>
        <v/>
      </c>
      <c r="M68" s="138" t="str">
        <f>IF(C68="","",'03 Ações BR'!T71)</f>
        <v/>
      </c>
      <c r="N68" s="139" t="str">
        <f>IF(C68="","",IF($J$3&gt;0,J68/$J$3,0))</f>
        <v/>
      </c>
      <c r="O68" s="134" t="str">
        <f>IF(C68="","",'03 Ações BR'!I71)</f>
        <v/>
      </c>
      <c r="P68" s="140" t="str">
        <f>IF(C68="","",IF(N(J68)&gt;0,J68+ROW()/1E9,""))</f>
        <v/>
      </c>
      <c r="Q68" s="140" t="str">
        <f>IF(C68="","",IF(N(M68)&gt;0,M68+ROW()/1E9,""))</f>
        <v/>
      </c>
    </row>
    <row r="69">
      <c r="A69" s="141" t="str">
        <f>IF(C69="","","Ações")</f>
        <v/>
      </c>
      <c r="B69" s="141" t="str">
        <f>IF(C69="","","Brasil")</f>
        <v/>
      </c>
      <c r="C69" s="141" t="str">
        <f>IF('03 Ações BR'!A72="","",'03 Ações BR'!A72&amp;"")</f>
        <v/>
      </c>
      <c r="D69" s="141" t="str">
        <f>IF(C69="","",'03 Ações BR'!B72&amp;"")</f>
        <v/>
      </c>
      <c r="E69" s="141" t="str">
        <f>IF(C69="","",'03 Ações BR'!C72&amp;"")</f>
        <v/>
      </c>
      <c r="F69" s="141" t="str">
        <f>IF(C69="","",'03 Ações BR'!V72)</f>
        <v/>
      </c>
      <c r="G69" s="142" t="str">
        <f>IF(C69="","",'03 Ações BR'!E72)</f>
        <v/>
      </c>
      <c r="H69" s="143" t="str">
        <f>IF(C69="","",'03 Ações BR'!H72)</f>
        <v/>
      </c>
      <c r="I69" s="144" t="str">
        <f>IF(C69="","",'03 Ações BR'!J72)</f>
        <v/>
      </c>
      <c r="J69" s="145" t="str">
        <f>IF(C69="","",'03 Ações BR'!K72)</f>
        <v/>
      </c>
      <c r="K69" s="145" t="str">
        <f>IF(C69="","",'03 Ações BR'!Q72)</f>
        <v/>
      </c>
      <c r="L69" s="142" t="str">
        <f>IF(C69="","",'03 Ações BR'!R72)</f>
        <v/>
      </c>
      <c r="M69" s="145" t="str">
        <f>IF(C69="","",'03 Ações BR'!T72)</f>
        <v/>
      </c>
      <c r="N69" s="146" t="str">
        <f>IF(C69="","",IF($J$3&gt;0,J69/$J$3,0))</f>
        <v/>
      </c>
      <c r="O69" s="141" t="str">
        <f>IF(C69="","",'03 Ações BR'!I72)</f>
        <v/>
      </c>
      <c r="P69" s="147" t="str">
        <f>IF(C69="","",IF(N(J69)&gt;0,J69+ROW()/1E9,""))</f>
        <v/>
      </c>
      <c r="Q69" s="147" t="str">
        <f>IF(C69="","",IF(N(M69)&gt;0,M69+ROW()/1E9,""))</f>
        <v/>
      </c>
    </row>
    <row r="70">
      <c r="A70" s="134" t="str">
        <f>IF(C70="","","Ações")</f>
        <v/>
      </c>
      <c r="B70" s="134" t="str">
        <f>IF(C70="","","Brasil")</f>
        <v/>
      </c>
      <c r="C70" s="134" t="str">
        <f>IF('03 Ações BR'!A73="","",'03 Ações BR'!A73&amp;"")</f>
        <v/>
      </c>
      <c r="D70" s="134" t="str">
        <f>IF(C70="","",'03 Ações BR'!B73&amp;"")</f>
        <v/>
      </c>
      <c r="E70" s="134" t="str">
        <f>IF(C70="","",'03 Ações BR'!C73&amp;"")</f>
        <v/>
      </c>
      <c r="F70" s="134" t="str">
        <f>IF(C70="","",'03 Ações BR'!V73)</f>
        <v/>
      </c>
      <c r="G70" s="135" t="str">
        <f>IF(C70="","",'03 Ações BR'!E73)</f>
        <v/>
      </c>
      <c r="H70" s="136" t="str">
        <f>IF(C70="","",'03 Ações BR'!H73)</f>
        <v/>
      </c>
      <c r="I70" s="137" t="str">
        <f>IF(C70="","",'03 Ações BR'!J73)</f>
        <v/>
      </c>
      <c r="J70" s="138" t="str">
        <f>IF(C70="","",'03 Ações BR'!K73)</f>
        <v/>
      </c>
      <c r="K70" s="138" t="str">
        <f>IF(C70="","",'03 Ações BR'!Q73)</f>
        <v/>
      </c>
      <c r="L70" s="135" t="str">
        <f>IF(C70="","",'03 Ações BR'!R73)</f>
        <v/>
      </c>
      <c r="M70" s="138" t="str">
        <f>IF(C70="","",'03 Ações BR'!T73)</f>
        <v/>
      </c>
      <c r="N70" s="139" t="str">
        <f>IF(C70="","",IF($J$3&gt;0,J70/$J$3,0))</f>
        <v/>
      </c>
      <c r="O70" s="134" t="str">
        <f>IF(C70="","",'03 Ações BR'!I73)</f>
        <v/>
      </c>
      <c r="P70" s="140" t="str">
        <f>IF(C70="","",IF(N(J70)&gt;0,J70+ROW()/1E9,""))</f>
        <v/>
      </c>
      <c r="Q70" s="140" t="str">
        <f>IF(C70="","",IF(N(M70)&gt;0,M70+ROW()/1E9,""))</f>
        <v/>
      </c>
    </row>
    <row r="71">
      <c r="A71" s="141" t="str">
        <f>IF(C71="","","Ações")</f>
        <v/>
      </c>
      <c r="B71" s="141" t="str">
        <f>IF(C71="","","Brasil")</f>
        <v/>
      </c>
      <c r="C71" s="141" t="str">
        <f>IF('03 Ações BR'!A74="","",'03 Ações BR'!A74&amp;"")</f>
        <v/>
      </c>
      <c r="D71" s="141" t="str">
        <f>IF(C71="","",'03 Ações BR'!B74&amp;"")</f>
        <v/>
      </c>
      <c r="E71" s="141" t="str">
        <f>IF(C71="","",'03 Ações BR'!C74&amp;"")</f>
        <v/>
      </c>
      <c r="F71" s="141" t="str">
        <f>IF(C71="","",'03 Ações BR'!V74)</f>
        <v/>
      </c>
      <c r="G71" s="142" t="str">
        <f>IF(C71="","",'03 Ações BR'!E74)</f>
        <v/>
      </c>
      <c r="H71" s="143" t="str">
        <f>IF(C71="","",'03 Ações BR'!H74)</f>
        <v/>
      </c>
      <c r="I71" s="144" t="str">
        <f>IF(C71="","",'03 Ações BR'!J74)</f>
        <v/>
      </c>
      <c r="J71" s="145" t="str">
        <f>IF(C71="","",'03 Ações BR'!K74)</f>
        <v/>
      </c>
      <c r="K71" s="145" t="str">
        <f>IF(C71="","",'03 Ações BR'!Q74)</f>
        <v/>
      </c>
      <c r="L71" s="142" t="str">
        <f>IF(C71="","",'03 Ações BR'!R74)</f>
        <v/>
      </c>
      <c r="M71" s="145" t="str">
        <f>IF(C71="","",'03 Ações BR'!T74)</f>
        <v/>
      </c>
      <c r="N71" s="146" t="str">
        <f>IF(C71="","",IF($J$3&gt;0,J71/$J$3,0))</f>
        <v/>
      </c>
      <c r="O71" s="141" t="str">
        <f>IF(C71="","",'03 Ações BR'!I74)</f>
        <v/>
      </c>
      <c r="P71" s="147" t="str">
        <f>IF(C71="","",IF(N(J71)&gt;0,J71+ROW()/1E9,""))</f>
        <v/>
      </c>
      <c r="Q71" s="147" t="str">
        <f>IF(C71="","",IF(N(M71)&gt;0,M71+ROW()/1E9,""))</f>
        <v/>
      </c>
    </row>
    <row r="72">
      <c r="A72" s="134" t="str">
        <f>IF(C72="","","Ações")</f>
        <v/>
      </c>
      <c r="B72" s="134" t="str">
        <f>IF(C72="","","Brasil")</f>
        <v/>
      </c>
      <c r="C72" s="134" t="str">
        <f>IF('03 Ações BR'!A75="","",'03 Ações BR'!A75&amp;"")</f>
        <v/>
      </c>
      <c r="D72" s="134" t="str">
        <f>IF(C72="","",'03 Ações BR'!B75&amp;"")</f>
        <v/>
      </c>
      <c r="E72" s="134" t="str">
        <f>IF(C72="","",'03 Ações BR'!C75&amp;"")</f>
        <v/>
      </c>
      <c r="F72" s="134" t="str">
        <f>IF(C72="","",'03 Ações BR'!V75)</f>
        <v/>
      </c>
      <c r="G72" s="135" t="str">
        <f>IF(C72="","",'03 Ações BR'!E75)</f>
        <v/>
      </c>
      <c r="H72" s="136" t="str">
        <f>IF(C72="","",'03 Ações BR'!H75)</f>
        <v/>
      </c>
      <c r="I72" s="137" t="str">
        <f>IF(C72="","",'03 Ações BR'!J75)</f>
        <v/>
      </c>
      <c r="J72" s="138" t="str">
        <f>IF(C72="","",'03 Ações BR'!K75)</f>
        <v/>
      </c>
      <c r="K72" s="138" t="str">
        <f>IF(C72="","",'03 Ações BR'!Q75)</f>
        <v/>
      </c>
      <c r="L72" s="135" t="str">
        <f>IF(C72="","",'03 Ações BR'!R75)</f>
        <v/>
      </c>
      <c r="M72" s="138" t="str">
        <f>IF(C72="","",'03 Ações BR'!T75)</f>
        <v/>
      </c>
      <c r="N72" s="139" t="str">
        <f>IF(C72="","",IF($J$3&gt;0,J72/$J$3,0))</f>
        <v/>
      </c>
      <c r="O72" s="134" t="str">
        <f>IF(C72="","",'03 Ações BR'!I75)</f>
        <v/>
      </c>
      <c r="P72" s="140" t="str">
        <f>IF(C72="","",IF(N(J72)&gt;0,J72+ROW()/1E9,""))</f>
        <v/>
      </c>
      <c r="Q72" s="140" t="str">
        <f>IF(C72="","",IF(N(M72)&gt;0,M72+ROW()/1E9,""))</f>
        <v/>
      </c>
    </row>
    <row r="73">
      <c r="A73" s="141" t="str">
        <f>IF(C73="","","Ações")</f>
        <v/>
      </c>
      <c r="B73" s="141" t="str">
        <f>IF(C73="","","Brasil")</f>
        <v/>
      </c>
      <c r="C73" s="141" t="str">
        <f>IF('03 Ações BR'!A76="","",'03 Ações BR'!A76&amp;"")</f>
        <v/>
      </c>
      <c r="D73" s="141" t="str">
        <f>IF(C73="","",'03 Ações BR'!B76&amp;"")</f>
        <v/>
      </c>
      <c r="E73" s="141" t="str">
        <f>IF(C73="","",'03 Ações BR'!C76&amp;"")</f>
        <v/>
      </c>
      <c r="F73" s="141" t="str">
        <f>IF(C73="","",'03 Ações BR'!V76)</f>
        <v/>
      </c>
      <c r="G73" s="142" t="str">
        <f>IF(C73="","",'03 Ações BR'!E76)</f>
        <v/>
      </c>
      <c r="H73" s="143" t="str">
        <f>IF(C73="","",'03 Ações BR'!H76)</f>
        <v/>
      </c>
      <c r="I73" s="144" t="str">
        <f>IF(C73="","",'03 Ações BR'!J76)</f>
        <v/>
      </c>
      <c r="J73" s="145" t="str">
        <f>IF(C73="","",'03 Ações BR'!K76)</f>
        <v/>
      </c>
      <c r="K73" s="145" t="str">
        <f>IF(C73="","",'03 Ações BR'!Q76)</f>
        <v/>
      </c>
      <c r="L73" s="142" t="str">
        <f>IF(C73="","",'03 Ações BR'!R76)</f>
        <v/>
      </c>
      <c r="M73" s="145" t="str">
        <f>IF(C73="","",'03 Ações BR'!T76)</f>
        <v/>
      </c>
      <c r="N73" s="146" t="str">
        <f>IF(C73="","",IF($J$3&gt;0,J73/$J$3,0))</f>
        <v/>
      </c>
      <c r="O73" s="141" t="str">
        <f>IF(C73="","",'03 Ações BR'!I76)</f>
        <v/>
      </c>
      <c r="P73" s="147" t="str">
        <f>IF(C73="","",IF(N(J73)&gt;0,J73+ROW()/1E9,""))</f>
        <v/>
      </c>
      <c r="Q73" s="147" t="str">
        <f>IF(C73="","",IF(N(M73)&gt;0,M73+ROW()/1E9,""))</f>
        <v/>
      </c>
    </row>
    <row r="74">
      <c r="A74" s="134" t="str">
        <f>IF(C74="","","Ações")</f>
        <v/>
      </c>
      <c r="B74" s="134" t="str">
        <f>IF(C74="","","Brasil")</f>
        <v/>
      </c>
      <c r="C74" s="134" t="str">
        <f>IF('03 Ações BR'!A77="","",'03 Ações BR'!A77&amp;"")</f>
        <v/>
      </c>
      <c r="D74" s="134" t="str">
        <f>IF(C74="","",'03 Ações BR'!B77&amp;"")</f>
        <v/>
      </c>
      <c r="E74" s="134" t="str">
        <f>IF(C74="","",'03 Ações BR'!C77&amp;"")</f>
        <v/>
      </c>
      <c r="F74" s="134" t="str">
        <f>IF(C74="","",'03 Ações BR'!V77)</f>
        <v/>
      </c>
      <c r="G74" s="135" t="str">
        <f>IF(C74="","",'03 Ações BR'!E77)</f>
        <v/>
      </c>
      <c r="H74" s="136" t="str">
        <f>IF(C74="","",'03 Ações BR'!H77)</f>
        <v/>
      </c>
      <c r="I74" s="137" t="str">
        <f>IF(C74="","",'03 Ações BR'!J77)</f>
        <v/>
      </c>
      <c r="J74" s="138" t="str">
        <f>IF(C74="","",'03 Ações BR'!K77)</f>
        <v/>
      </c>
      <c r="K74" s="138" t="str">
        <f>IF(C74="","",'03 Ações BR'!Q77)</f>
        <v/>
      </c>
      <c r="L74" s="135" t="str">
        <f>IF(C74="","",'03 Ações BR'!R77)</f>
        <v/>
      </c>
      <c r="M74" s="138" t="str">
        <f>IF(C74="","",'03 Ações BR'!T77)</f>
        <v/>
      </c>
      <c r="N74" s="139" t="str">
        <f>IF(C74="","",IF($J$3&gt;0,J74/$J$3,0))</f>
        <v/>
      </c>
      <c r="O74" s="134" t="str">
        <f>IF(C74="","",'03 Ações BR'!I77)</f>
        <v/>
      </c>
      <c r="P74" s="140" t="str">
        <f>IF(C74="","",IF(N(J74)&gt;0,J74+ROW()/1E9,""))</f>
        <v/>
      </c>
      <c r="Q74" s="140" t="str">
        <f>IF(C74="","",IF(N(M74)&gt;0,M74+ROW()/1E9,""))</f>
        <v/>
      </c>
    </row>
    <row r="75">
      <c r="A75" s="141" t="str">
        <f>IF(C75="","","Ações")</f>
        <v/>
      </c>
      <c r="B75" s="141" t="str">
        <f>IF(C75="","","Brasil")</f>
        <v/>
      </c>
      <c r="C75" s="141" t="str">
        <f>IF('03 Ações BR'!A78="","",'03 Ações BR'!A78&amp;"")</f>
        <v/>
      </c>
      <c r="D75" s="141" t="str">
        <f>IF(C75="","",'03 Ações BR'!B78&amp;"")</f>
        <v/>
      </c>
      <c r="E75" s="141" t="str">
        <f>IF(C75="","",'03 Ações BR'!C78&amp;"")</f>
        <v/>
      </c>
      <c r="F75" s="141" t="str">
        <f>IF(C75="","",'03 Ações BR'!V78)</f>
        <v/>
      </c>
      <c r="G75" s="142" t="str">
        <f>IF(C75="","",'03 Ações BR'!E78)</f>
        <v/>
      </c>
      <c r="H75" s="143" t="str">
        <f>IF(C75="","",'03 Ações BR'!H78)</f>
        <v/>
      </c>
      <c r="I75" s="144" t="str">
        <f>IF(C75="","",'03 Ações BR'!J78)</f>
        <v/>
      </c>
      <c r="J75" s="145" t="str">
        <f>IF(C75="","",'03 Ações BR'!K78)</f>
        <v/>
      </c>
      <c r="K75" s="145" t="str">
        <f>IF(C75="","",'03 Ações BR'!Q78)</f>
        <v/>
      </c>
      <c r="L75" s="142" t="str">
        <f>IF(C75="","",'03 Ações BR'!R78)</f>
        <v/>
      </c>
      <c r="M75" s="145" t="str">
        <f>IF(C75="","",'03 Ações BR'!T78)</f>
        <v/>
      </c>
      <c r="N75" s="146" t="str">
        <f>IF(C75="","",IF($J$3&gt;0,J75/$J$3,0))</f>
        <v/>
      </c>
      <c r="O75" s="141" t="str">
        <f>IF(C75="","",'03 Ações BR'!I78)</f>
        <v/>
      </c>
      <c r="P75" s="147" t="str">
        <f>IF(C75="","",IF(N(J75)&gt;0,J75+ROW()/1E9,""))</f>
        <v/>
      </c>
      <c r="Q75" s="147" t="str">
        <f>IF(C75="","",IF(N(M75)&gt;0,M75+ROW()/1E9,""))</f>
        <v/>
      </c>
    </row>
    <row r="76">
      <c r="A76" s="134" t="str">
        <f>IF(C76="","","Ações")</f>
        <v/>
      </c>
      <c r="B76" s="134" t="str">
        <f>IF(C76="","","Brasil")</f>
        <v/>
      </c>
      <c r="C76" s="134" t="str">
        <f>IF('03 Ações BR'!A79="","",'03 Ações BR'!A79&amp;"")</f>
        <v/>
      </c>
      <c r="D76" s="134" t="str">
        <f>IF(C76="","",'03 Ações BR'!B79&amp;"")</f>
        <v/>
      </c>
      <c r="E76" s="134" t="str">
        <f>IF(C76="","",'03 Ações BR'!C79&amp;"")</f>
        <v/>
      </c>
      <c r="F76" s="134" t="str">
        <f>IF(C76="","",'03 Ações BR'!V79)</f>
        <v/>
      </c>
      <c r="G76" s="135" t="str">
        <f>IF(C76="","",'03 Ações BR'!E79)</f>
        <v/>
      </c>
      <c r="H76" s="136" t="str">
        <f>IF(C76="","",'03 Ações BR'!H79)</f>
        <v/>
      </c>
      <c r="I76" s="137" t="str">
        <f>IF(C76="","",'03 Ações BR'!J79)</f>
        <v/>
      </c>
      <c r="J76" s="138" t="str">
        <f>IF(C76="","",'03 Ações BR'!K79)</f>
        <v/>
      </c>
      <c r="K76" s="138" t="str">
        <f>IF(C76="","",'03 Ações BR'!Q79)</f>
        <v/>
      </c>
      <c r="L76" s="135" t="str">
        <f>IF(C76="","",'03 Ações BR'!R79)</f>
        <v/>
      </c>
      <c r="M76" s="138" t="str">
        <f>IF(C76="","",'03 Ações BR'!T79)</f>
        <v/>
      </c>
      <c r="N76" s="139" t="str">
        <f>IF(C76="","",IF($J$3&gt;0,J76/$J$3,0))</f>
        <v/>
      </c>
      <c r="O76" s="134" t="str">
        <f>IF(C76="","",'03 Ações BR'!I79)</f>
        <v/>
      </c>
      <c r="P76" s="140" t="str">
        <f>IF(C76="","",IF(N(J76)&gt;0,J76+ROW()/1E9,""))</f>
        <v/>
      </c>
      <c r="Q76" s="140" t="str">
        <f>IF(C76="","",IF(N(M76)&gt;0,M76+ROW()/1E9,""))</f>
        <v/>
      </c>
    </row>
    <row r="77">
      <c r="A77" s="141" t="str">
        <f>IF(C77="","","Ações")</f>
        <v/>
      </c>
      <c r="B77" s="141" t="str">
        <f>IF(C77="","","Brasil")</f>
        <v/>
      </c>
      <c r="C77" s="141" t="str">
        <f>IF('03 Ações BR'!A80="","",'03 Ações BR'!A80&amp;"")</f>
        <v/>
      </c>
      <c r="D77" s="141" t="str">
        <f>IF(C77="","",'03 Ações BR'!B80&amp;"")</f>
        <v/>
      </c>
      <c r="E77" s="141" t="str">
        <f>IF(C77="","",'03 Ações BR'!C80&amp;"")</f>
        <v/>
      </c>
      <c r="F77" s="141" t="str">
        <f>IF(C77="","",'03 Ações BR'!V80)</f>
        <v/>
      </c>
      <c r="G77" s="142" t="str">
        <f>IF(C77="","",'03 Ações BR'!E80)</f>
        <v/>
      </c>
      <c r="H77" s="143" t="str">
        <f>IF(C77="","",'03 Ações BR'!H80)</f>
        <v/>
      </c>
      <c r="I77" s="144" t="str">
        <f>IF(C77="","",'03 Ações BR'!J80)</f>
        <v/>
      </c>
      <c r="J77" s="145" t="str">
        <f>IF(C77="","",'03 Ações BR'!K80)</f>
        <v/>
      </c>
      <c r="K77" s="145" t="str">
        <f>IF(C77="","",'03 Ações BR'!Q80)</f>
        <v/>
      </c>
      <c r="L77" s="142" t="str">
        <f>IF(C77="","",'03 Ações BR'!R80)</f>
        <v/>
      </c>
      <c r="M77" s="145" t="str">
        <f>IF(C77="","",'03 Ações BR'!T80)</f>
        <v/>
      </c>
      <c r="N77" s="146" t="str">
        <f>IF(C77="","",IF($J$3&gt;0,J77/$J$3,0))</f>
        <v/>
      </c>
      <c r="O77" s="141" t="str">
        <f>IF(C77="","",'03 Ações BR'!I80)</f>
        <v/>
      </c>
      <c r="P77" s="147" t="str">
        <f>IF(C77="","",IF(N(J77)&gt;0,J77+ROW()/1E9,""))</f>
        <v/>
      </c>
      <c r="Q77" s="147" t="str">
        <f>IF(C77="","",IF(N(M77)&gt;0,M77+ROW()/1E9,""))</f>
        <v/>
      </c>
    </row>
    <row r="78">
      <c r="A78" s="134" t="str">
        <f>IF(C78="","","Ações")</f>
        <v/>
      </c>
      <c r="B78" s="134" t="str">
        <f>IF(C78="","","Brasil")</f>
        <v/>
      </c>
      <c r="C78" s="134" t="str">
        <f>IF('03 Ações BR'!A81="","",'03 Ações BR'!A81&amp;"")</f>
        <v/>
      </c>
      <c r="D78" s="134" t="str">
        <f>IF(C78="","",'03 Ações BR'!B81&amp;"")</f>
        <v/>
      </c>
      <c r="E78" s="134" t="str">
        <f>IF(C78="","",'03 Ações BR'!C81&amp;"")</f>
        <v/>
      </c>
      <c r="F78" s="134" t="str">
        <f>IF(C78="","",'03 Ações BR'!V81)</f>
        <v/>
      </c>
      <c r="G78" s="135" t="str">
        <f>IF(C78="","",'03 Ações BR'!E81)</f>
        <v/>
      </c>
      <c r="H78" s="136" t="str">
        <f>IF(C78="","",'03 Ações BR'!H81)</f>
        <v/>
      </c>
      <c r="I78" s="137" t="str">
        <f>IF(C78="","",'03 Ações BR'!J81)</f>
        <v/>
      </c>
      <c r="J78" s="138" t="str">
        <f>IF(C78="","",'03 Ações BR'!K81)</f>
        <v/>
      </c>
      <c r="K78" s="138" t="str">
        <f>IF(C78="","",'03 Ações BR'!Q81)</f>
        <v/>
      </c>
      <c r="L78" s="135" t="str">
        <f>IF(C78="","",'03 Ações BR'!R81)</f>
        <v/>
      </c>
      <c r="M78" s="138" t="str">
        <f>IF(C78="","",'03 Ações BR'!T81)</f>
        <v/>
      </c>
      <c r="N78" s="139" t="str">
        <f>IF(C78="","",IF($J$3&gt;0,J78/$J$3,0))</f>
        <v/>
      </c>
      <c r="O78" s="134" t="str">
        <f>IF(C78="","",'03 Ações BR'!I81)</f>
        <v/>
      </c>
      <c r="P78" s="140" t="str">
        <f>IF(C78="","",IF(N(J78)&gt;0,J78+ROW()/1E9,""))</f>
        <v/>
      </c>
      <c r="Q78" s="140" t="str">
        <f>IF(C78="","",IF(N(M78)&gt;0,M78+ROW()/1E9,""))</f>
        <v/>
      </c>
    </row>
    <row r="79">
      <c r="A79" s="141" t="str">
        <f>IF(C79="","","Ações")</f>
        <v/>
      </c>
      <c r="B79" s="141" t="str">
        <f>IF(C79="","","Brasil")</f>
        <v/>
      </c>
      <c r="C79" s="141" t="str">
        <f>IF('03 Ações BR'!A82="","",'03 Ações BR'!A82&amp;"")</f>
        <v/>
      </c>
      <c r="D79" s="141" t="str">
        <f>IF(C79="","",'03 Ações BR'!B82&amp;"")</f>
        <v/>
      </c>
      <c r="E79" s="141" t="str">
        <f>IF(C79="","",'03 Ações BR'!C82&amp;"")</f>
        <v/>
      </c>
      <c r="F79" s="141" t="str">
        <f>IF(C79="","",'03 Ações BR'!V82)</f>
        <v/>
      </c>
      <c r="G79" s="142" t="str">
        <f>IF(C79="","",'03 Ações BR'!E82)</f>
        <v/>
      </c>
      <c r="H79" s="143" t="str">
        <f>IF(C79="","",'03 Ações BR'!H82)</f>
        <v/>
      </c>
      <c r="I79" s="144" t="str">
        <f>IF(C79="","",'03 Ações BR'!J82)</f>
        <v/>
      </c>
      <c r="J79" s="145" t="str">
        <f>IF(C79="","",'03 Ações BR'!K82)</f>
        <v/>
      </c>
      <c r="K79" s="145" t="str">
        <f>IF(C79="","",'03 Ações BR'!Q82)</f>
        <v/>
      </c>
      <c r="L79" s="142" t="str">
        <f>IF(C79="","",'03 Ações BR'!R82)</f>
        <v/>
      </c>
      <c r="M79" s="145" t="str">
        <f>IF(C79="","",'03 Ações BR'!T82)</f>
        <v/>
      </c>
      <c r="N79" s="146" t="str">
        <f>IF(C79="","",IF($J$3&gt;0,J79/$J$3,0))</f>
        <v/>
      </c>
      <c r="O79" s="141" t="str">
        <f>IF(C79="","",'03 Ações BR'!I82)</f>
        <v/>
      </c>
      <c r="P79" s="147" t="str">
        <f>IF(C79="","",IF(N(J79)&gt;0,J79+ROW()/1E9,""))</f>
        <v/>
      </c>
      <c r="Q79" s="147" t="str">
        <f>IF(C79="","",IF(N(M79)&gt;0,M79+ROW()/1E9,""))</f>
        <v/>
      </c>
    </row>
    <row r="80">
      <c r="A80" s="134" t="str">
        <f>IF(C80="","","Ações")</f>
        <v/>
      </c>
      <c r="B80" s="134" t="str">
        <f>IF(C80="","","Brasil")</f>
        <v/>
      </c>
      <c r="C80" s="134" t="str">
        <f>IF('03 Ações BR'!A83="","",'03 Ações BR'!A83&amp;"")</f>
        <v/>
      </c>
      <c r="D80" s="134" t="str">
        <f>IF(C80="","",'03 Ações BR'!B83&amp;"")</f>
        <v/>
      </c>
      <c r="E80" s="134" t="str">
        <f>IF(C80="","",'03 Ações BR'!C83&amp;"")</f>
        <v/>
      </c>
      <c r="F80" s="134" t="str">
        <f>IF(C80="","",'03 Ações BR'!V83)</f>
        <v/>
      </c>
      <c r="G80" s="135" t="str">
        <f>IF(C80="","",'03 Ações BR'!E83)</f>
        <v/>
      </c>
      <c r="H80" s="136" t="str">
        <f>IF(C80="","",'03 Ações BR'!H83)</f>
        <v/>
      </c>
      <c r="I80" s="137" t="str">
        <f>IF(C80="","",'03 Ações BR'!J83)</f>
        <v/>
      </c>
      <c r="J80" s="138" t="str">
        <f>IF(C80="","",'03 Ações BR'!K83)</f>
        <v/>
      </c>
      <c r="K80" s="138" t="str">
        <f>IF(C80="","",'03 Ações BR'!Q83)</f>
        <v/>
      </c>
      <c r="L80" s="135" t="str">
        <f>IF(C80="","",'03 Ações BR'!R83)</f>
        <v/>
      </c>
      <c r="M80" s="138" t="str">
        <f>IF(C80="","",'03 Ações BR'!T83)</f>
        <v/>
      </c>
      <c r="N80" s="139" t="str">
        <f>IF(C80="","",IF($J$3&gt;0,J80/$J$3,0))</f>
        <v/>
      </c>
      <c r="O80" s="134" t="str">
        <f>IF(C80="","",'03 Ações BR'!I83)</f>
        <v/>
      </c>
      <c r="P80" s="140" t="str">
        <f>IF(C80="","",IF(N(J80)&gt;0,J80+ROW()/1E9,""))</f>
        <v/>
      </c>
      <c r="Q80" s="140" t="str">
        <f>IF(C80="","",IF(N(M80)&gt;0,M80+ROW()/1E9,""))</f>
        <v/>
      </c>
    </row>
    <row r="81">
      <c r="A81" s="141" t="str">
        <f>IF(C81="","","Ações")</f>
        <v/>
      </c>
      <c r="B81" s="141" t="str">
        <f>IF(C81="","","Brasil")</f>
        <v/>
      </c>
      <c r="C81" s="141" t="str">
        <f>IF('03 Ações BR'!A84="","",'03 Ações BR'!A84&amp;"")</f>
        <v/>
      </c>
      <c r="D81" s="141" t="str">
        <f>IF(C81="","",'03 Ações BR'!B84&amp;"")</f>
        <v/>
      </c>
      <c r="E81" s="141" t="str">
        <f>IF(C81="","",'03 Ações BR'!C84&amp;"")</f>
        <v/>
      </c>
      <c r="F81" s="141" t="str">
        <f>IF(C81="","",'03 Ações BR'!V84)</f>
        <v/>
      </c>
      <c r="G81" s="142" t="str">
        <f>IF(C81="","",'03 Ações BR'!E84)</f>
        <v/>
      </c>
      <c r="H81" s="143" t="str">
        <f>IF(C81="","",'03 Ações BR'!H84)</f>
        <v/>
      </c>
      <c r="I81" s="144" t="str">
        <f>IF(C81="","",'03 Ações BR'!J84)</f>
        <v/>
      </c>
      <c r="J81" s="145" t="str">
        <f>IF(C81="","",'03 Ações BR'!K84)</f>
        <v/>
      </c>
      <c r="K81" s="145" t="str">
        <f>IF(C81="","",'03 Ações BR'!Q84)</f>
        <v/>
      </c>
      <c r="L81" s="142" t="str">
        <f>IF(C81="","",'03 Ações BR'!R84)</f>
        <v/>
      </c>
      <c r="M81" s="145" t="str">
        <f>IF(C81="","",'03 Ações BR'!T84)</f>
        <v/>
      </c>
      <c r="N81" s="146" t="str">
        <f>IF(C81="","",IF($J$3&gt;0,J81/$J$3,0))</f>
        <v/>
      </c>
      <c r="O81" s="141" t="str">
        <f>IF(C81="","",'03 Ações BR'!I84)</f>
        <v/>
      </c>
      <c r="P81" s="147" t="str">
        <f>IF(C81="","",IF(N(J81)&gt;0,J81+ROW()/1E9,""))</f>
        <v/>
      </c>
      <c r="Q81" s="147" t="str">
        <f>IF(C81="","",IF(N(M81)&gt;0,M81+ROW()/1E9,""))</f>
        <v/>
      </c>
    </row>
    <row r="82">
      <c r="A82" s="134" t="str">
        <f>IF(C82="","","Ações")</f>
        <v/>
      </c>
      <c r="B82" s="134" t="str">
        <f>IF(C82="","","Brasil")</f>
        <v/>
      </c>
      <c r="C82" s="134" t="str">
        <f>IF('03 Ações BR'!A85="","",'03 Ações BR'!A85&amp;"")</f>
        <v/>
      </c>
      <c r="D82" s="134" t="str">
        <f>IF(C82="","",'03 Ações BR'!B85&amp;"")</f>
        <v/>
      </c>
      <c r="E82" s="134" t="str">
        <f>IF(C82="","",'03 Ações BR'!C85&amp;"")</f>
        <v/>
      </c>
      <c r="F82" s="134" t="str">
        <f>IF(C82="","",'03 Ações BR'!V85)</f>
        <v/>
      </c>
      <c r="G82" s="135" t="str">
        <f>IF(C82="","",'03 Ações BR'!E85)</f>
        <v/>
      </c>
      <c r="H82" s="136" t="str">
        <f>IF(C82="","",'03 Ações BR'!H85)</f>
        <v/>
      </c>
      <c r="I82" s="137" t="str">
        <f>IF(C82="","",'03 Ações BR'!J85)</f>
        <v/>
      </c>
      <c r="J82" s="138" t="str">
        <f>IF(C82="","",'03 Ações BR'!K85)</f>
        <v/>
      </c>
      <c r="K82" s="138" t="str">
        <f>IF(C82="","",'03 Ações BR'!Q85)</f>
        <v/>
      </c>
      <c r="L82" s="135" t="str">
        <f>IF(C82="","",'03 Ações BR'!R85)</f>
        <v/>
      </c>
      <c r="M82" s="138" t="str">
        <f>IF(C82="","",'03 Ações BR'!T85)</f>
        <v/>
      </c>
      <c r="N82" s="139" t="str">
        <f>IF(C82="","",IF($J$3&gt;0,J82/$J$3,0))</f>
        <v/>
      </c>
      <c r="O82" s="134" t="str">
        <f>IF(C82="","",'03 Ações BR'!I85)</f>
        <v/>
      </c>
      <c r="P82" s="140" t="str">
        <f>IF(C82="","",IF(N(J82)&gt;0,J82+ROW()/1E9,""))</f>
        <v/>
      </c>
      <c r="Q82" s="140" t="str">
        <f>IF(C82="","",IF(N(M82)&gt;0,M82+ROW()/1E9,""))</f>
        <v/>
      </c>
    </row>
    <row r="83">
      <c r="A83" s="141" t="str">
        <f>IF(C83="","","Ações")</f>
        <v/>
      </c>
      <c r="B83" s="141" t="str">
        <f>IF(C83="","","Brasil")</f>
        <v/>
      </c>
      <c r="C83" s="141" t="str">
        <f>IF('03 Ações BR'!A86="","",'03 Ações BR'!A86&amp;"")</f>
        <v/>
      </c>
      <c r="D83" s="141" t="str">
        <f>IF(C83="","",'03 Ações BR'!B86&amp;"")</f>
        <v/>
      </c>
      <c r="E83" s="141" t="str">
        <f>IF(C83="","",'03 Ações BR'!C86&amp;"")</f>
        <v/>
      </c>
      <c r="F83" s="141" t="str">
        <f>IF(C83="","",'03 Ações BR'!V86)</f>
        <v/>
      </c>
      <c r="G83" s="142" t="str">
        <f>IF(C83="","",'03 Ações BR'!E86)</f>
        <v/>
      </c>
      <c r="H83" s="143" t="str">
        <f>IF(C83="","",'03 Ações BR'!H86)</f>
        <v/>
      </c>
      <c r="I83" s="144" t="str">
        <f>IF(C83="","",'03 Ações BR'!J86)</f>
        <v/>
      </c>
      <c r="J83" s="145" t="str">
        <f>IF(C83="","",'03 Ações BR'!K86)</f>
        <v/>
      </c>
      <c r="K83" s="145" t="str">
        <f>IF(C83="","",'03 Ações BR'!Q86)</f>
        <v/>
      </c>
      <c r="L83" s="142" t="str">
        <f>IF(C83="","",'03 Ações BR'!R86)</f>
        <v/>
      </c>
      <c r="M83" s="145" t="str">
        <f>IF(C83="","",'03 Ações BR'!T86)</f>
        <v/>
      </c>
      <c r="N83" s="146" t="str">
        <f>IF(C83="","",IF($J$3&gt;0,J83/$J$3,0))</f>
        <v/>
      </c>
      <c r="O83" s="141" t="str">
        <f>IF(C83="","",'03 Ações BR'!I86)</f>
        <v/>
      </c>
      <c r="P83" s="147" t="str">
        <f>IF(C83="","",IF(N(J83)&gt;0,J83+ROW()/1E9,""))</f>
        <v/>
      </c>
      <c r="Q83" s="147" t="str">
        <f>IF(C83="","",IF(N(M83)&gt;0,M83+ROW()/1E9,""))</f>
        <v/>
      </c>
    </row>
    <row r="84">
      <c r="A84" s="134" t="str">
        <f>IF(C84="","","Ações")</f>
        <v/>
      </c>
      <c r="B84" s="134" t="str">
        <f>IF(C84="","","Brasil")</f>
        <v/>
      </c>
      <c r="C84" s="134" t="str">
        <f>IF('03 Ações BR'!A87="","",'03 Ações BR'!A87&amp;"")</f>
        <v/>
      </c>
      <c r="D84" s="134" t="str">
        <f>IF(C84="","",'03 Ações BR'!B87&amp;"")</f>
        <v/>
      </c>
      <c r="E84" s="134" t="str">
        <f>IF(C84="","",'03 Ações BR'!C87&amp;"")</f>
        <v/>
      </c>
      <c r="F84" s="134" t="str">
        <f>IF(C84="","",'03 Ações BR'!V87)</f>
        <v/>
      </c>
      <c r="G84" s="135" t="str">
        <f>IF(C84="","",'03 Ações BR'!E87)</f>
        <v/>
      </c>
      <c r="H84" s="136" t="str">
        <f>IF(C84="","",'03 Ações BR'!H87)</f>
        <v/>
      </c>
      <c r="I84" s="137" t="str">
        <f>IF(C84="","",'03 Ações BR'!J87)</f>
        <v/>
      </c>
      <c r="J84" s="138" t="str">
        <f>IF(C84="","",'03 Ações BR'!K87)</f>
        <v/>
      </c>
      <c r="K84" s="138" t="str">
        <f>IF(C84="","",'03 Ações BR'!Q87)</f>
        <v/>
      </c>
      <c r="L84" s="135" t="str">
        <f>IF(C84="","",'03 Ações BR'!R87)</f>
        <v/>
      </c>
      <c r="M84" s="138" t="str">
        <f>IF(C84="","",'03 Ações BR'!T87)</f>
        <v/>
      </c>
      <c r="N84" s="139" t="str">
        <f>IF(C84="","",IF($J$3&gt;0,J84/$J$3,0))</f>
        <v/>
      </c>
      <c r="O84" s="134" t="str">
        <f>IF(C84="","",'03 Ações BR'!I87)</f>
        <v/>
      </c>
      <c r="P84" s="140" t="str">
        <f>IF(C84="","",IF(N(J84)&gt;0,J84+ROW()/1E9,""))</f>
        <v/>
      </c>
      <c r="Q84" s="140" t="str">
        <f>IF(C84="","",IF(N(M84)&gt;0,M84+ROW()/1E9,""))</f>
        <v/>
      </c>
    </row>
    <row r="85">
      <c r="A85" s="141" t="str">
        <f>IF(C85="","","Ações")</f>
        <v/>
      </c>
      <c r="B85" s="141" t="str">
        <f>IF(C85="","","Brasil")</f>
        <v/>
      </c>
      <c r="C85" s="141" t="str">
        <f>IF('03 Ações BR'!A88="","",'03 Ações BR'!A88&amp;"")</f>
        <v/>
      </c>
      <c r="D85" s="141" t="str">
        <f>IF(C85="","",'03 Ações BR'!B88&amp;"")</f>
        <v/>
      </c>
      <c r="E85" s="141" t="str">
        <f>IF(C85="","",'03 Ações BR'!C88&amp;"")</f>
        <v/>
      </c>
      <c r="F85" s="141" t="str">
        <f>IF(C85="","",'03 Ações BR'!V88)</f>
        <v/>
      </c>
      <c r="G85" s="142" t="str">
        <f>IF(C85="","",'03 Ações BR'!E88)</f>
        <v/>
      </c>
      <c r="H85" s="143" t="str">
        <f>IF(C85="","",'03 Ações BR'!H88)</f>
        <v/>
      </c>
      <c r="I85" s="144" t="str">
        <f>IF(C85="","",'03 Ações BR'!J88)</f>
        <v/>
      </c>
      <c r="J85" s="145" t="str">
        <f>IF(C85="","",'03 Ações BR'!K88)</f>
        <v/>
      </c>
      <c r="K85" s="145" t="str">
        <f>IF(C85="","",'03 Ações BR'!Q88)</f>
        <v/>
      </c>
      <c r="L85" s="142" t="str">
        <f>IF(C85="","",'03 Ações BR'!R88)</f>
        <v/>
      </c>
      <c r="M85" s="145" t="str">
        <f>IF(C85="","",'03 Ações BR'!T88)</f>
        <v/>
      </c>
      <c r="N85" s="146" t="str">
        <f>IF(C85="","",IF($J$3&gt;0,J85/$J$3,0))</f>
        <v/>
      </c>
      <c r="O85" s="141" t="str">
        <f>IF(C85="","",'03 Ações BR'!I88)</f>
        <v/>
      </c>
      <c r="P85" s="147" t="str">
        <f>IF(C85="","",IF(N(J85)&gt;0,J85+ROW()/1E9,""))</f>
        <v/>
      </c>
      <c r="Q85" s="147" t="str">
        <f>IF(C85="","",IF(N(M85)&gt;0,M85+ROW()/1E9,""))</f>
        <v/>
      </c>
    </row>
    <row r="86">
      <c r="A86" s="134" t="str">
        <f>IF(C86="","","Ações")</f>
        <v/>
      </c>
      <c r="B86" s="134" t="str">
        <f>IF(C86="","","Brasil")</f>
        <v/>
      </c>
      <c r="C86" s="134" t="str">
        <f>IF('03 Ações BR'!A89="","",'03 Ações BR'!A89&amp;"")</f>
        <v/>
      </c>
      <c r="D86" s="134" t="str">
        <f>IF(C86="","",'03 Ações BR'!B89&amp;"")</f>
        <v/>
      </c>
      <c r="E86" s="134" t="str">
        <f>IF(C86="","",'03 Ações BR'!C89&amp;"")</f>
        <v/>
      </c>
      <c r="F86" s="134" t="str">
        <f>IF(C86="","",'03 Ações BR'!V89)</f>
        <v/>
      </c>
      <c r="G86" s="135" t="str">
        <f>IF(C86="","",'03 Ações BR'!E89)</f>
        <v/>
      </c>
      <c r="H86" s="136" t="str">
        <f>IF(C86="","",'03 Ações BR'!H89)</f>
        <v/>
      </c>
      <c r="I86" s="137" t="str">
        <f>IF(C86="","",'03 Ações BR'!J89)</f>
        <v/>
      </c>
      <c r="J86" s="138" t="str">
        <f>IF(C86="","",'03 Ações BR'!K89)</f>
        <v/>
      </c>
      <c r="K86" s="138" t="str">
        <f>IF(C86="","",'03 Ações BR'!Q89)</f>
        <v/>
      </c>
      <c r="L86" s="135" t="str">
        <f>IF(C86="","",'03 Ações BR'!R89)</f>
        <v/>
      </c>
      <c r="M86" s="138" t="str">
        <f>IF(C86="","",'03 Ações BR'!T89)</f>
        <v/>
      </c>
      <c r="N86" s="139" t="str">
        <f>IF(C86="","",IF($J$3&gt;0,J86/$J$3,0))</f>
        <v/>
      </c>
      <c r="O86" s="134" t="str">
        <f>IF(C86="","",'03 Ações BR'!I89)</f>
        <v/>
      </c>
      <c r="P86" s="140" t="str">
        <f>IF(C86="","",IF(N(J86)&gt;0,J86+ROW()/1E9,""))</f>
        <v/>
      </c>
      <c r="Q86" s="140" t="str">
        <f>IF(C86="","",IF(N(M86)&gt;0,M86+ROW()/1E9,""))</f>
        <v/>
      </c>
    </row>
    <row r="87">
      <c r="A87" s="141" t="str">
        <f>IF(C87="","","Ações")</f>
        <v/>
      </c>
      <c r="B87" s="141" t="str">
        <f>IF(C87="","","Brasil")</f>
        <v/>
      </c>
      <c r="C87" s="141" t="str">
        <f>IF('03 Ações BR'!A90="","",'03 Ações BR'!A90&amp;"")</f>
        <v/>
      </c>
      <c r="D87" s="141" t="str">
        <f>IF(C87="","",'03 Ações BR'!B90&amp;"")</f>
        <v/>
      </c>
      <c r="E87" s="141" t="str">
        <f>IF(C87="","",'03 Ações BR'!C90&amp;"")</f>
        <v/>
      </c>
      <c r="F87" s="141" t="str">
        <f>IF(C87="","",'03 Ações BR'!V90)</f>
        <v/>
      </c>
      <c r="G87" s="142" t="str">
        <f>IF(C87="","",'03 Ações BR'!E90)</f>
        <v/>
      </c>
      <c r="H87" s="143" t="str">
        <f>IF(C87="","",'03 Ações BR'!H90)</f>
        <v/>
      </c>
      <c r="I87" s="144" t="str">
        <f>IF(C87="","",'03 Ações BR'!J90)</f>
        <v/>
      </c>
      <c r="J87" s="145" t="str">
        <f>IF(C87="","",'03 Ações BR'!K90)</f>
        <v/>
      </c>
      <c r="K87" s="145" t="str">
        <f>IF(C87="","",'03 Ações BR'!Q90)</f>
        <v/>
      </c>
      <c r="L87" s="142" t="str">
        <f>IF(C87="","",'03 Ações BR'!R90)</f>
        <v/>
      </c>
      <c r="M87" s="145" t="str">
        <f>IF(C87="","",'03 Ações BR'!T90)</f>
        <v/>
      </c>
      <c r="N87" s="146" t="str">
        <f>IF(C87="","",IF($J$3&gt;0,J87/$J$3,0))</f>
        <v/>
      </c>
      <c r="O87" s="141" t="str">
        <f>IF(C87="","",'03 Ações BR'!I90)</f>
        <v/>
      </c>
      <c r="P87" s="147" t="str">
        <f>IF(C87="","",IF(N(J87)&gt;0,J87+ROW()/1E9,""))</f>
        <v/>
      </c>
      <c r="Q87" s="147" t="str">
        <f>IF(C87="","",IF(N(M87)&gt;0,M87+ROW()/1E9,""))</f>
        <v/>
      </c>
    </row>
    <row r="88">
      <c r="A88" s="134" t="str">
        <f>IF(C88="","","Ações")</f>
        <v/>
      </c>
      <c r="B88" s="134" t="str">
        <f>IF(C88="","","Brasil")</f>
        <v/>
      </c>
      <c r="C88" s="134" t="str">
        <f>IF('03 Ações BR'!A91="","",'03 Ações BR'!A91&amp;"")</f>
        <v/>
      </c>
      <c r="D88" s="134" t="str">
        <f>IF(C88="","",'03 Ações BR'!B91&amp;"")</f>
        <v/>
      </c>
      <c r="E88" s="134" t="str">
        <f>IF(C88="","",'03 Ações BR'!C91&amp;"")</f>
        <v/>
      </c>
      <c r="F88" s="134" t="str">
        <f>IF(C88="","",'03 Ações BR'!V91)</f>
        <v/>
      </c>
      <c r="G88" s="135" t="str">
        <f>IF(C88="","",'03 Ações BR'!E91)</f>
        <v/>
      </c>
      <c r="H88" s="136" t="str">
        <f>IF(C88="","",'03 Ações BR'!H91)</f>
        <v/>
      </c>
      <c r="I88" s="137" t="str">
        <f>IF(C88="","",'03 Ações BR'!J91)</f>
        <v/>
      </c>
      <c r="J88" s="138" t="str">
        <f>IF(C88="","",'03 Ações BR'!K91)</f>
        <v/>
      </c>
      <c r="K88" s="138" t="str">
        <f>IF(C88="","",'03 Ações BR'!Q91)</f>
        <v/>
      </c>
      <c r="L88" s="135" t="str">
        <f>IF(C88="","",'03 Ações BR'!R91)</f>
        <v/>
      </c>
      <c r="M88" s="138" t="str">
        <f>IF(C88="","",'03 Ações BR'!T91)</f>
        <v/>
      </c>
      <c r="N88" s="139" t="str">
        <f>IF(C88="","",IF($J$3&gt;0,J88/$J$3,0))</f>
        <v/>
      </c>
      <c r="O88" s="134" t="str">
        <f>IF(C88="","",'03 Ações BR'!I91)</f>
        <v/>
      </c>
      <c r="P88" s="140" t="str">
        <f>IF(C88="","",IF(N(J88)&gt;0,J88+ROW()/1E9,""))</f>
        <v/>
      </c>
      <c r="Q88" s="140" t="str">
        <f>IF(C88="","",IF(N(M88)&gt;0,M88+ROW()/1E9,""))</f>
        <v/>
      </c>
    </row>
    <row r="89">
      <c r="A89" s="141" t="str">
        <f>IF(C89="","","Ações")</f>
        <v/>
      </c>
      <c r="B89" s="141" t="str">
        <f>IF(C89="","","Brasil")</f>
        <v/>
      </c>
      <c r="C89" s="141" t="str">
        <f>IF('03 Ações BR'!A92="","",'03 Ações BR'!A92&amp;"")</f>
        <v/>
      </c>
      <c r="D89" s="141" t="str">
        <f>IF(C89="","",'03 Ações BR'!B92&amp;"")</f>
        <v/>
      </c>
      <c r="E89" s="141" t="str">
        <f>IF(C89="","",'03 Ações BR'!C92&amp;"")</f>
        <v/>
      </c>
      <c r="F89" s="141" t="str">
        <f>IF(C89="","",'03 Ações BR'!V92)</f>
        <v/>
      </c>
      <c r="G89" s="142" t="str">
        <f>IF(C89="","",'03 Ações BR'!E92)</f>
        <v/>
      </c>
      <c r="H89" s="143" t="str">
        <f>IF(C89="","",'03 Ações BR'!H92)</f>
        <v/>
      </c>
      <c r="I89" s="144" t="str">
        <f>IF(C89="","",'03 Ações BR'!J92)</f>
        <v/>
      </c>
      <c r="J89" s="145" t="str">
        <f>IF(C89="","",'03 Ações BR'!K92)</f>
        <v/>
      </c>
      <c r="K89" s="145" t="str">
        <f>IF(C89="","",'03 Ações BR'!Q92)</f>
        <v/>
      </c>
      <c r="L89" s="142" t="str">
        <f>IF(C89="","",'03 Ações BR'!R92)</f>
        <v/>
      </c>
      <c r="M89" s="145" t="str">
        <f>IF(C89="","",'03 Ações BR'!T92)</f>
        <v/>
      </c>
      <c r="N89" s="146" t="str">
        <f>IF(C89="","",IF($J$3&gt;0,J89/$J$3,0))</f>
        <v/>
      </c>
      <c r="O89" s="141" t="str">
        <f>IF(C89="","",'03 Ações BR'!I92)</f>
        <v/>
      </c>
      <c r="P89" s="147" t="str">
        <f>IF(C89="","",IF(N(J89)&gt;0,J89+ROW()/1E9,""))</f>
        <v/>
      </c>
      <c r="Q89" s="147" t="str">
        <f>IF(C89="","",IF(N(M89)&gt;0,M89+ROW()/1E9,""))</f>
        <v/>
      </c>
    </row>
    <row r="90">
      <c r="A90" s="134" t="str">
        <f>IF(C90="","","Ações")</f>
        <v/>
      </c>
      <c r="B90" s="134" t="str">
        <f>IF(C90="","","Brasil")</f>
        <v/>
      </c>
      <c r="C90" s="134" t="str">
        <f>IF('03 Ações BR'!A93="","",'03 Ações BR'!A93&amp;"")</f>
        <v/>
      </c>
      <c r="D90" s="134" t="str">
        <f>IF(C90="","",'03 Ações BR'!B93&amp;"")</f>
        <v/>
      </c>
      <c r="E90" s="134" t="str">
        <f>IF(C90="","",'03 Ações BR'!C93&amp;"")</f>
        <v/>
      </c>
      <c r="F90" s="134" t="str">
        <f>IF(C90="","",'03 Ações BR'!V93)</f>
        <v/>
      </c>
      <c r="G90" s="135" t="str">
        <f>IF(C90="","",'03 Ações BR'!E93)</f>
        <v/>
      </c>
      <c r="H90" s="136" t="str">
        <f>IF(C90="","",'03 Ações BR'!H93)</f>
        <v/>
      </c>
      <c r="I90" s="137" t="str">
        <f>IF(C90="","",'03 Ações BR'!J93)</f>
        <v/>
      </c>
      <c r="J90" s="138" t="str">
        <f>IF(C90="","",'03 Ações BR'!K93)</f>
        <v/>
      </c>
      <c r="K90" s="138" t="str">
        <f>IF(C90="","",'03 Ações BR'!Q93)</f>
        <v/>
      </c>
      <c r="L90" s="135" t="str">
        <f>IF(C90="","",'03 Ações BR'!R93)</f>
        <v/>
      </c>
      <c r="M90" s="138" t="str">
        <f>IF(C90="","",'03 Ações BR'!T93)</f>
        <v/>
      </c>
      <c r="N90" s="139" t="str">
        <f>IF(C90="","",IF($J$3&gt;0,J90/$J$3,0))</f>
        <v/>
      </c>
      <c r="O90" s="134" t="str">
        <f>IF(C90="","",'03 Ações BR'!I93)</f>
        <v/>
      </c>
      <c r="P90" s="140" t="str">
        <f>IF(C90="","",IF(N(J90)&gt;0,J90+ROW()/1E9,""))</f>
        <v/>
      </c>
      <c r="Q90" s="140" t="str">
        <f>IF(C90="","",IF(N(M90)&gt;0,M90+ROW()/1E9,""))</f>
        <v/>
      </c>
    </row>
    <row r="91">
      <c r="A91" s="141" t="str">
        <f>IF(C91="","","Ações")</f>
        <v/>
      </c>
      <c r="B91" s="141" t="str">
        <f>IF(C91="","","Brasil")</f>
        <v/>
      </c>
      <c r="C91" s="141" t="str">
        <f>IF('03 Ações BR'!A94="","",'03 Ações BR'!A94&amp;"")</f>
        <v/>
      </c>
      <c r="D91" s="141" t="str">
        <f>IF(C91="","",'03 Ações BR'!B94&amp;"")</f>
        <v/>
      </c>
      <c r="E91" s="141" t="str">
        <f>IF(C91="","",'03 Ações BR'!C94&amp;"")</f>
        <v/>
      </c>
      <c r="F91" s="141" t="str">
        <f>IF(C91="","",'03 Ações BR'!V94)</f>
        <v/>
      </c>
      <c r="G91" s="142" t="str">
        <f>IF(C91="","",'03 Ações BR'!E94)</f>
        <v/>
      </c>
      <c r="H91" s="143" t="str">
        <f>IF(C91="","",'03 Ações BR'!H94)</f>
        <v/>
      </c>
      <c r="I91" s="144" t="str">
        <f>IF(C91="","",'03 Ações BR'!J94)</f>
        <v/>
      </c>
      <c r="J91" s="145" t="str">
        <f>IF(C91="","",'03 Ações BR'!K94)</f>
        <v/>
      </c>
      <c r="K91" s="145" t="str">
        <f>IF(C91="","",'03 Ações BR'!Q94)</f>
        <v/>
      </c>
      <c r="L91" s="142" t="str">
        <f>IF(C91="","",'03 Ações BR'!R94)</f>
        <v/>
      </c>
      <c r="M91" s="145" t="str">
        <f>IF(C91="","",'03 Ações BR'!T94)</f>
        <v/>
      </c>
      <c r="N91" s="146" t="str">
        <f>IF(C91="","",IF($J$3&gt;0,J91/$J$3,0))</f>
        <v/>
      </c>
      <c r="O91" s="141" t="str">
        <f>IF(C91="","",'03 Ações BR'!I94)</f>
        <v/>
      </c>
      <c r="P91" s="147" t="str">
        <f>IF(C91="","",IF(N(J91)&gt;0,J91+ROW()/1E9,""))</f>
        <v/>
      </c>
      <c r="Q91" s="147" t="str">
        <f>IF(C91="","",IF(N(M91)&gt;0,M91+ROW()/1E9,""))</f>
        <v/>
      </c>
    </row>
    <row r="92">
      <c r="A92" s="134" t="str">
        <f>IF(C92="","","Ações")</f>
        <v/>
      </c>
      <c r="B92" s="134" t="str">
        <f>IF(C92="","","Brasil")</f>
        <v/>
      </c>
      <c r="C92" s="134" t="str">
        <f>IF('03 Ações BR'!A95="","",'03 Ações BR'!A95&amp;"")</f>
        <v/>
      </c>
      <c r="D92" s="134" t="str">
        <f>IF(C92="","",'03 Ações BR'!B95&amp;"")</f>
        <v/>
      </c>
      <c r="E92" s="134" t="str">
        <f>IF(C92="","",'03 Ações BR'!C95&amp;"")</f>
        <v/>
      </c>
      <c r="F92" s="134" t="str">
        <f>IF(C92="","",'03 Ações BR'!V95)</f>
        <v/>
      </c>
      <c r="G92" s="135" t="str">
        <f>IF(C92="","",'03 Ações BR'!E95)</f>
        <v/>
      </c>
      <c r="H92" s="136" t="str">
        <f>IF(C92="","",'03 Ações BR'!H95)</f>
        <v/>
      </c>
      <c r="I92" s="137" t="str">
        <f>IF(C92="","",'03 Ações BR'!J95)</f>
        <v/>
      </c>
      <c r="J92" s="138" t="str">
        <f>IF(C92="","",'03 Ações BR'!K95)</f>
        <v/>
      </c>
      <c r="K92" s="138" t="str">
        <f>IF(C92="","",'03 Ações BR'!Q95)</f>
        <v/>
      </c>
      <c r="L92" s="135" t="str">
        <f>IF(C92="","",'03 Ações BR'!R95)</f>
        <v/>
      </c>
      <c r="M92" s="138" t="str">
        <f>IF(C92="","",'03 Ações BR'!T95)</f>
        <v/>
      </c>
      <c r="N92" s="139" t="str">
        <f>IF(C92="","",IF($J$3&gt;0,J92/$J$3,0))</f>
        <v/>
      </c>
      <c r="O92" s="134" t="str">
        <f>IF(C92="","",'03 Ações BR'!I95)</f>
        <v/>
      </c>
      <c r="P92" s="140" t="str">
        <f>IF(C92="","",IF(N(J92)&gt;0,J92+ROW()/1E9,""))</f>
        <v/>
      </c>
      <c r="Q92" s="140" t="str">
        <f>IF(C92="","",IF(N(M92)&gt;0,M92+ROW()/1E9,""))</f>
        <v/>
      </c>
    </row>
    <row r="93">
      <c r="A93" s="141" t="str">
        <f>IF(C93="","","Ações")</f>
        <v/>
      </c>
      <c r="B93" s="141" t="str">
        <f>IF(C93="","","Brasil")</f>
        <v/>
      </c>
      <c r="C93" s="141" t="str">
        <f>IF('03 Ações BR'!A96="","",'03 Ações BR'!A96&amp;"")</f>
        <v/>
      </c>
      <c r="D93" s="141" t="str">
        <f>IF(C93="","",'03 Ações BR'!B96&amp;"")</f>
        <v/>
      </c>
      <c r="E93" s="141" t="str">
        <f>IF(C93="","",'03 Ações BR'!C96&amp;"")</f>
        <v/>
      </c>
      <c r="F93" s="141" t="str">
        <f>IF(C93="","",'03 Ações BR'!V96)</f>
        <v/>
      </c>
      <c r="G93" s="142" t="str">
        <f>IF(C93="","",'03 Ações BR'!E96)</f>
        <v/>
      </c>
      <c r="H93" s="143" t="str">
        <f>IF(C93="","",'03 Ações BR'!H96)</f>
        <v/>
      </c>
      <c r="I93" s="144" t="str">
        <f>IF(C93="","",'03 Ações BR'!J96)</f>
        <v/>
      </c>
      <c r="J93" s="145" t="str">
        <f>IF(C93="","",'03 Ações BR'!K96)</f>
        <v/>
      </c>
      <c r="K93" s="145" t="str">
        <f>IF(C93="","",'03 Ações BR'!Q96)</f>
        <v/>
      </c>
      <c r="L93" s="142" t="str">
        <f>IF(C93="","",'03 Ações BR'!R96)</f>
        <v/>
      </c>
      <c r="M93" s="145" t="str">
        <f>IF(C93="","",'03 Ações BR'!T96)</f>
        <v/>
      </c>
      <c r="N93" s="146" t="str">
        <f>IF(C93="","",IF($J$3&gt;0,J93/$J$3,0))</f>
        <v/>
      </c>
      <c r="O93" s="141" t="str">
        <f>IF(C93="","",'03 Ações BR'!I96)</f>
        <v/>
      </c>
      <c r="P93" s="147" t="str">
        <f>IF(C93="","",IF(N(J93)&gt;0,J93+ROW()/1E9,""))</f>
        <v/>
      </c>
      <c r="Q93" s="147" t="str">
        <f>IF(C93="","",IF(N(M93)&gt;0,M93+ROW()/1E9,""))</f>
        <v/>
      </c>
    </row>
    <row r="94">
      <c r="A94" s="134" t="str">
        <f>IF(C94="","","Ações")</f>
        <v/>
      </c>
      <c r="B94" s="134" t="str">
        <f>IF(C94="","","Brasil")</f>
        <v/>
      </c>
      <c r="C94" s="134" t="str">
        <f>IF('03 Ações BR'!A97="","",'03 Ações BR'!A97&amp;"")</f>
        <v/>
      </c>
      <c r="D94" s="134" t="str">
        <f>IF(C94="","",'03 Ações BR'!B97&amp;"")</f>
        <v/>
      </c>
      <c r="E94" s="134" t="str">
        <f>IF(C94="","",'03 Ações BR'!C97&amp;"")</f>
        <v/>
      </c>
      <c r="F94" s="134" t="str">
        <f>IF(C94="","",'03 Ações BR'!V97)</f>
        <v/>
      </c>
      <c r="G94" s="135" t="str">
        <f>IF(C94="","",'03 Ações BR'!E97)</f>
        <v/>
      </c>
      <c r="H94" s="136" t="str">
        <f>IF(C94="","",'03 Ações BR'!H97)</f>
        <v/>
      </c>
      <c r="I94" s="137" t="str">
        <f>IF(C94="","",'03 Ações BR'!J97)</f>
        <v/>
      </c>
      <c r="J94" s="138" t="str">
        <f>IF(C94="","",'03 Ações BR'!K97)</f>
        <v/>
      </c>
      <c r="K94" s="138" t="str">
        <f>IF(C94="","",'03 Ações BR'!Q97)</f>
        <v/>
      </c>
      <c r="L94" s="135" t="str">
        <f>IF(C94="","",'03 Ações BR'!R97)</f>
        <v/>
      </c>
      <c r="M94" s="138" t="str">
        <f>IF(C94="","",'03 Ações BR'!T97)</f>
        <v/>
      </c>
      <c r="N94" s="139" t="str">
        <f>IF(C94="","",IF($J$3&gt;0,J94/$J$3,0))</f>
        <v/>
      </c>
      <c r="O94" s="134" t="str">
        <f>IF(C94="","",'03 Ações BR'!I97)</f>
        <v/>
      </c>
      <c r="P94" s="140" t="str">
        <f>IF(C94="","",IF(N(J94)&gt;0,J94+ROW()/1E9,""))</f>
        <v/>
      </c>
      <c r="Q94" s="140" t="str">
        <f>IF(C94="","",IF(N(M94)&gt;0,M94+ROW()/1E9,""))</f>
        <v/>
      </c>
    </row>
    <row r="95">
      <c r="A95" s="141" t="str">
        <f>IF(C95="","","Ações")</f>
        <v/>
      </c>
      <c r="B95" s="141" t="str">
        <f>IF(C95="","","Brasil")</f>
        <v/>
      </c>
      <c r="C95" s="141" t="str">
        <f>IF('03 Ações BR'!A98="","",'03 Ações BR'!A98&amp;"")</f>
        <v/>
      </c>
      <c r="D95" s="141" t="str">
        <f>IF(C95="","",'03 Ações BR'!B98&amp;"")</f>
        <v/>
      </c>
      <c r="E95" s="141" t="str">
        <f>IF(C95="","",'03 Ações BR'!C98&amp;"")</f>
        <v/>
      </c>
      <c r="F95" s="141" t="str">
        <f>IF(C95="","",'03 Ações BR'!V98)</f>
        <v/>
      </c>
      <c r="G95" s="142" t="str">
        <f>IF(C95="","",'03 Ações BR'!E98)</f>
        <v/>
      </c>
      <c r="H95" s="143" t="str">
        <f>IF(C95="","",'03 Ações BR'!H98)</f>
        <v/>
      </c>
      <c r="I95" s="144" t="str">
        <f>IF(C95="","",'03 Ações BR'!J98)</f>
        <v/>
      </c>
      <c r="J95" s="145" t="str">
        <f>IF(C95="","",'03 Ações BR'!K98)</f>
        <v/>
      </c>
      <c r="K95" s="145" t="str">
        <f>IF(C95="","",'03 Ações BR'!Q98)</f>
        <v/>
      </c>
      <c r="L95" s="142" t="str">
        <f>IF(C95="","",'03 Ações BR'!R98)</f>
        <v/>
      </c>
      <c r="M95" s="145" t="str">
        <f>IF(C95="","",'03 Ações BR'!T98)</f>
        <v/>
      </c>
      <c r="N95" s="146" t="str">
        <f>IF(C95="","",IF($J$3&gt;0,J95/$J$3,0))</f>
        <v/>
      </c>
      <c r="O95" s="141" t="str">
        <f>IF(C95="","",'03 Ações BR'!I98)</f>
        <v/>
      </c>
      <c r="P95" s="147" t="str">
        <f>IF(C95="","",IF(N(J95)&gt;0,J95+ROW()/1E9,""))</f>
        <v/>
      </c>
      <c r="Q95" s="147" t="str">
        <f>IF(C95="","",IF(N(M95)&gt;0,M95+ROW()/1E9,""))</f>
        <v/>
      </c>
    </row>
    <row r="96">
      <c r="A96" s="134" t="str">
        <f>IF(C96="","","Ações")</f>
        <v/>
      </c>
      <c r="B96" s="134" t="str">
        <f>IF(C96="","","Brasil")</f>
        <v/>
      </c>
      <c r="C96" s="134" t="str">
        <f>IF('03 Ações BR'!A99="","",'03 Ações BR'!A99&amp;"")</f>
        <v/>
      </c>
      <c r="D96" s="134" t="str">
        <f>IF(C96="","",'03 Ações BR'!B99&amp;"")</f>
        <v/>
      </c>
      <c r="E96" s="134" t="str">
        <f>IF(C96="","",'03 Ações BR'!C99&amp;"")</f>
        <v/>
      </c>
      <c r="F96" s="134" t="str">
        <f>IF(C96="","",'03 Ações BR'!V99)</f>
        <v/>
      </c>
      <c r="G96" s="135" t="str">
        <f>IF(C96="","",'03 Ações BR'!E99)</f>
        <v/>
      </c>
      <c r="H96" s="136" t="str">
        <f>IF(C96="","",'03 Ações BR'!H99)</f>
        <v/>
      </c>
      <c r="I96" s="137" t="str">
        <f>IF(C96="","",'03 Ações BR'!J99)</f>
        <v/>
      </c>
      <c r="J96" s="138" t="str">
        <f>IF(C96="","",'03 Ações BR'!K99)</f>
        <v/>
      </c>
      <c r="K96" s="138" t="str">
        <f>IF(C96="","",'03 Ações BR'!Q99)</f>
        <v/>
      </c>
      <c r="L96" s="135" t="str">
        <f>IF(C96="","",'03 Ações BR'!R99)</f>
        <v/>
      </c>
      <c r="M96" s="138" t="str">
        <f>IF(C96="","",'03 Ações BR'!T99)</f>
        <v/>
      </c>
      <c r="N96" s="139" t="str">
        <f>IF(C96="","",IF($J$3&gt;0,J96/$J$3,0))</f>
        <v/>
      </c>
      <c r="O96" s="134" t="str">
        <f>IF(C96="","",'03 Ações BR'!I99)</f>
        <v/>
      </c>
      <c r="P96" s="140" t="str">
        <f>IF(C96="","",IF(N(J96)&gt;0,J96+ROW()/1E9,""))</f>
        <v/>
      </c>
      <c r="Q96" s="140" t="str">
        <f>IF(C96="","",IF(N(M96)&gt;0,M96+ROW()/1E9,""))</f>
        <v/>
      </c>
    </row>
    <row r="97">
      <c r="A97" s="141" t="str">
        <f>IF(C97="","","Ações")</f>
        <v/>
      </c>
      <c r="B97" s="141" t="str">
        <f>IF(C97="","","Brasil")</f>
        <v/>
      </c>
      <c r="C97" s="141" t="str">
        <f>IF('03 Ações BR'!A100="","",'03 Ações BR'!A100&amp;"")</f>
        <v/>
      </c>
      <c r="D97" s="141" t="str">
        <f>IF(C97="","",'03 Ações BR'!B100&amp;"")</f>
        <v/>
      </c>
      <c r="E97" s="141" t="str">
        <f>IF(C97="","",'03 Ações BR'!C100&amp;"")</f>
        <v/>
      </c>
      <c r="F97" s="141" t="str">
        <f>IF(C97="","",'03 Ações BR'!V100)</f>
        <v/>
      </c>
      <c r="G97" s="142" t="str">
        <f>IF(C97="","",'03 Ações BR'!E100)</f>
        <v/>
      </c>
      <c r="H97" s="143" t="str">
        <f>IF(C97="","",'03 Ações BR'!H100)</f>
        <v/>
      </c>
      <c r="I97" s="144" t="str">
        <f>IF(C97="","",'03 Ações BR'!J100)</f>
        <v/>
      </c>
      <c r="J97" s="145" t="str">
        <f>IF(C97="","",'03 Ações BR'!K100)</f>
        <v/>
      </c>
      <c r="K97" s="145" t="str">
        <f>IF(C97="","",'03 Ações BR'!Q100)</f>
        <v/>
      </c>
      <c r="L97" s="142" t="str">
        <f>IF(C97="","",'03 Ações BR'!R100)</f>
        <v/>
      </c>
      <c r="M97" s="145" t="str">
        <f>IF(C97="","",'03 Ações BR'!T100)</f>
        <v/>
      </c>
      <c r="N97" s="146" t="str">
        <f>IF(C97="","",IF($J$3&gt;0,J97/$J$3,0))</f>
        <v/>
      </c>
      <c r="O97" s="141" t="str">
        <f>IF(C97="","",'03 Ações BR'!I100)</f>
        <v/>
      </c>
      <c r="P97" s="147" t="str">
        <f>IF(C97="","",IF(N(J97)&gt;0,J97+ROW()/1E9,""))</f>
        <v/>
      </c>
      <c r="Q97" s="147" t="str">
        <f>IF(C97="","",IF(N(M97)&gt;0,M97+ROW()/1E9,""))</f>
        <v/>
      </c>
    </row>
    <row r="98">
      <c r="A98" s="134" t="str">
        <f>IF(C98="","","Ações")</f>
        <v/>
      </c>
      <c r="B98" s="134" t="str">
        <f>IF(C98="","","Brasil")</f>
        <v/>
      </c>
      <c r="C98" s="134" t="str">
        <f>IF('03 Ações BR'!A101="","",'03 Ações BR'!A101&amp;"")</f>
        <v/>
      </c>
      <c r="D98" s="134" t="str">
        <f>IF(C98="","",'03 Ações BR'!B101&amp;"")</f>
        <v/>
      </c>
      <c r="E98" s="134" t="str">
        <f>IF(C98="","",'03 Ações BR'!C101&amp;"")</f>
        <v/>
      </c>
      <c r="F98" s="134" t="str">
        <f>IF(C98="","",'03 Ações BR'!V101)</f>
        <v/>
      </c>
      <c r="G98" s="135" t="str">
        <f>IF(C98="","",'03 Ações BR'!E101)</f>
        <v/>
      </c>
      <c r="H98" s="136" t="str">
        <f>IF(C98="","",'03 Ações BR'!H101)</f>
        <v/>
      </c>
      <c r="I98" s="137" t="str">
        <f>IF(C98="","",'03 Ações BR'!J101)</f>
        <v/>
      </c>
      <c r="J98" s="138" t="str">
        <f>IF(C98="","",'03 Ações BR'!K101)</f>
        <v/>
      </c>
      <c r="K98" s="138" t="str">
        <f>IF(C98="","",'03 Ações BR'!Q101)</f>
        <v/>
      </c>
      <c r="L98" s="135" t="str">
        <f>IF(C98="","",'03 Ações BR'!R101)</f>
        <v/>
      </c>
      <c r="M98" s="138" t="str">
        <f>IF(C98="","",'03 Ações BR'!T101)</f>
        <v/>
      </c>
      <c r="N98" s="139" t="str">
        <f>IF(C98="","",IF($J$3&gt;0,J98/$J$3,0))</f>
        <v/>
      </c>
      <c r="O98" s="134" t="str">
        <f>IF(C98="","",'03 Ações BR'!I101)</f>
        <v/>
      </c>
      <c r="P98" s="140" t="str">
        <f>IF(C98="","",IF(N(J98)&gt;0,J98+ROW()/1E9,""))</f>
        <v/>
      </c>
      <c r="Q98" s="140" t="str">
        <f>IF(C98="","",IF(N(M98)&gt;0,M98+ROW()/1E9,""))</f>
        <v/>
      </c>
    </row>
    <row r="99">
      <c r="A99" s="141" t="str">
        <f>IF(C99="","","Ações")</f>
        <v/>
      </c>
      <c r="B99" s="141" t="str">
        <f>IF(C99="","","Brasil")</f>
        <v/>
      </c>
      <c r="C99" s="141" t="str">
        <f>IF('03 Ações BR'!A102="","",'03 Ações BR'!A102&amp;"")</f>
        <v/>
      </c>
      <c r="D99" s="141" t="str">
        <f>IF(C99="","",'03 Ações BR'!B102&amp;"")</f>
        <v/>
      </c>
      <c r="E99" s="141" t="str">
        <f>IF(C99="","",'03 Ações BR'!C102&amp;"")</f>
        <v/>
      </c>
      <c r="F99" s="141" t="str">
        <f>IF(C99="","",'03 Ações BR'!V102)</f>
        <v/>
      </c>
      <c r="G99" s="142" t="str">
        <f>IF(C99="","",'03 Ações BR'!E102)</f>
        <v/>
      </c>
      <c r="H99" s="143" t="str">
        <f>IF(C99="","",'03 Ações BR'!H102)</f>
        <v/>
      </c>
      <c r="I99" s="144" t="str">
        <f>IF(C99="","",'03 Ações BR'!J102)</f>
        <v/>
      </c>
      <c r="J99" s="145" t="str">
        <f>IF(C99="","",'03 Ações BR'!K102)</f>
        <v/>
      </c>
      <c r="K99" s="145" t="str">
        <f>IF(C99="","",'03 Ações BR'!Q102)</f>
        <v/>
      </c>
      <c r="L99" s="142" t="str">
        <f>IF(C99="","",'03 Ações BR'!R102)</f>
        <v/>
      </c>
      <c r="M99" s="145" t="str">
        <f>IF(C99="","",'03 Ações BR'!T102)</f>
        <v/>
      </c>
      <c r="N99" s="146" t="str">
        <f>IF(C99="","",IF($J$3&gt;0,J99/$J$3,0))</f>
        <v/>
      </c>
      <c r="O99" s="141" t="str">
        <f>IF(C99="","",'03 Ações BR'!I102)</f>
        <v/>
      </c>
      <c r="P99" s="147" t="str">
        <f>IF(C99="","",IF(N(J99)&gt;0,J99+ROW()/1E9,""))</f>
        <v/>
      </c>
      <c r="Q99" s="147" t="str">
        <f>IF(C99="","",IF(N(M99)&gt;0,M99+ROW()/1E9,""))</f>
        <v/>
      </c>
    </row>
    <row r="100">
      <c r="A100" s="134" t="str">
        <f>IF(C100="","","Ações")</f>
        <v/>
      </c>
      <c r="B100" s="134" t="str">
        <f>IF(C100="","","Brasil")</f>
        <v/>
      </c>
      <c r="C100" s="134" t="str">
        <f>IF('03 Ações BR'!A103="","",'03 Ações BR'!A103&amp;"")</f>
        <v/>
      </c>
      <c r="D100" s="134" t="str">
        <f>IF(C100="","",'03 Ações BR'!B103&amp;"")</f>
        <v/>
      </c>
      <c r="E100" s="134" t="str">
        <f>IF(C100="","",'03 Ações BR'!C103&amp;"")</f>
        <v/>
      </c>
      <c r="F100" s="134" t="str">
        <f>IF(C100="","",'03 Ações BR'!V103)</f>
        <v/>
      </c>
      <c r="G100" s="135" t="str">
        <f>IF(C100="","",'03 Ações BR'!E103)</f>
        <v/>
      </c>
      <c r="H100" s="136" t="str">
        <f>IF(C100="","",'03 Ações BR'!H103)</f>
        <v/>
      </c>
      <c r="I100" s="137" t="str">
        <f>IF(C100="","",'03 Ações BR'!J103)</f>
        <v/>
      </c>
      <c r="J100" s="138" t="str">
        <f>IF(C100="","",'03 Ações BR'!K103)</f>
        <v/>
      </c>
      <c r="K100" s="138" t="str">
        <f>IF(C100="","",'03 Ações BR'!Q103)</f>
        <v/>
      </c>
      <c r="L100" s="135" t="str">
        <f>IF(C100="","",'03 Ações BR'!R103)</f>
        <v/>
      </c>
      <c r="M100" s="138" t="str">
        <f>IF(C100="","",'03 Ações BR'!T103)</f>
        <v/>
      </c>
      <c r="N100" s="139" t="str">
        <f>IF(C100="","",IF($J$3&gt;0,J100/$J$3,0))</f>
        <v/>
      </c>
      <c r="O100" s="134" t="str">
        <f>IF(C100="","",'03 Ações BR'!I103)</f>
        <v/>
      </c>
      <c r="P100" s="140" t="str">
        <f>IF(C100="","",IF(N(J100)&gt;0,J100+ROW()/1E9,""))</f>
        <v/>
      </c>
      <c r="Q100" s="140" t="str">
        <f>IF(C100="","",IF(N(M100)&gt;0,M100+ROW()/1E9,""))</f>
        <v/>
      </c>
    </row>
    <row r="101">
      <c r="A101" s="141" t="str">
        <f>IF(C101="","","Ações")</f>
        <v/>
      </c>
      <c r="B101" s="141" t="str">
        <f>IF(C101="","","Brasil")</f>
        <v/>
      </c>
      <c r="C101" s="141" t="str">
        <f>IF('03 Ações BR'!A104="","",'03 Ações BR'!A104&amp;"")</f>
        <v/>
      </c>
      <c r="D101" s="141" t="str">
        <f>IF(C101="","",'03 Ações BR'!B104&amp;"")</f>
        <v/>
      </c>
      <c r="E101" s="141" t="str">
        <f>IF(C101="","",'03 Ações BR'!C104&amp;"")</f>
        <v/>
      </c>
      <c r="F101" s="141" t="str">
        <f>IF(C101="","",'03 Ações BR'!V104)</f>
        <v/>
      </c>
      <c r="G101" s="142" t="str">
        <f>IF(C101="","",'03 Ações BR'!E104)</f>
        <v/>
      </c>
      <c r="H101" s="143" t="str">
        <f>IF(C101="","",'03 Ações BR'!H104)</f>
        <v/>
      </c>
      <c r="I101" s="144" t="str">
        <f>IF(C101="","",'03 Ações BR'!J104)</f>
        <v/>
      </c>
      <c r="J101" s="145" t="str">
        <f>IF(C101="","",'03 Ações BR'!K104)</f>
        <v/>
      </c>
      <c r="K101" s="145" t="str">
        <f>IF(C101="","",'03 Ações BR'!Q104)</f>
        <v/>
      </c>
      <c r="L101" s="142" t="str">
        <f>IF(C101="","",'03 Ações BR'!R104)</f>
        <v/>
      </c>
      <c r="M101" s="145" t="str">
        <f>IF(C101="","",'03 Ações BR'!T104)</f>
        <v/>
      </c>
      <c r="N101" s="146" t="str">
        <f>IF(C101="","",IF($J$3&gt;0,J101/$J$3,0))</f>
        <v/>
      </c>
      <c r="O101" s="141" t="str">
        <f>IF(C101="","",'03 Ações BR'!I104)</f>
        <v/>
      </c>
      <c r="P101" s="147" t="str">
        <f>IF(C101="","",IF(N(J101)&gt;0,J101+ROW()/1E9,""))</f>
        <v/>
      </c>
      <c r="Q101" s="147" t="str">
        <f>IF(C101="","",IF(N(M101)&gt;0,M101+ROW()/1E9,""))</f>
        <v/>
      </c>
    </row>
    <row r="102">
      <c r="A102" s="134" t="str">
        <f>IF(C102="","","Ações")</f>
        <v/>
      </c>
      <c r="B102" s="134" t="str">
        <f>IF(C102="","","Brasil")</f>
        <v/>
      </c>
      <c r="C102" s="134" t="str">
        <f>IF('03 Ações BR'!A105="","",'03 Ações BR'!A105&amp;"")</f>
        <v/>
      </c>
      <c r="D102" s="134" t="str">
        <f>IF(C102="","",'03 Ações BR'!B105&amp;"")</f>
        <v/>
      </c>
      <c r="E102" s="134" t="str">
        <f>IF(C102="","",'03 Ações BR'!C105&amp;"")</f>
        <v/>
      </c>
      <c r="F102" s="134" t="str">
        <f>IF(C102="","",'03 Ações BR'!V105)</f>
        <v/>
      </c>
      <c r="G102" s="135" t="str">
        <f>IF(C102="","",'03 Ações BR'!E105)</f>
        <v/>
      </c>
      <c r="H102" s="136" t="str">
        <f>IF(C102="","",'03 Ações BR'!H105)</f>
        <v/>
      </c>
      <c r="I102" s="137" t="str">
        <f>IF(C102="","",'03 Ações BR'!J105)</f>
        <v/>
      </c>
      <c r="J102" s="138" t="str">
        <f>IF(C102="","",'03 Ações BR'!K105)</f>
        <v/>
      </c>
      <c r="K102" s="138" t="str">
        <f>IF(C102="","",'03 Ações BR'!Q105)</f>
        <v/>
      </c>
      <c r="L102" s="135" t="str">
        <f>IF(C102="","",'03 Ações BR'!R105)</f>
        <v/>
      </c>
      <c r="M102" s="138" t="str">
        <f>IF(C102="","",'03 Ações BR'!T105)</f>
        <v/>
      </c>
      <c r="N102" s="139" t="str">
        <f>IF(C102="","",IF($J$3&gt;0,J102/$J$3,0))</f>
        <v/>
      </c>
      <c r="O102" s="134" t="str">
        <f>IF(C102="","",'03 Ações BR'!I105)</f>
        <v/>
      </c>
      <c r="P102" s="140" t="str">
        <f>IF(C102="","",IF(N(J102)&gt;0,J102+ROW()/1E9,""))</f>
        <v/>
      </c>
      <c r="Q102" s="140" t="str">
        <f>IF(C102="","",IF(N(M102)&gt;0,M102+ROW()/1E9,""))</f>
        <v/>
      </c>
    </row>
    <row r="103">
      <c r="A103" s="141" t="str">
        <f>IF(C103="","","Ações")</f>
        <v/>
      </c>
      <c r="B103" s="141" t="str">
        <f>IF(C103="","","Brasil")</f>
        <v/>
      </c>
      <c r="C103" s="141" t="str">
        <f>IF('03 Ações BR'!A106="","",'03 Ações BR'!A106&amp;"")</f>
        <v/>
      </c>
      <c r="D103" s="141" t="str">
        <f>IF(C103="","",'03 Ações BR'!B106&amp;"")</f>
        <v/>
      </c>
      <c r="E103" s="141" t="str">
        <f>IF(C103="","",'03 Ações BR'!C106&amp;"")</f>
        <v/>
      </c>
      <c r="F103" s="141" t="str">
        <f>IF(C103="","",'03 Ações BR'!V106)</f>
        <v/>
      </c>
      <c r="G103" s="142" t="str">
        <f>IF(C103="","",'03 Ações BR'!E106)</f>
        <v/>
      </c>
      <c r="H103" s="143" t="str">
        <f>IF(C103="","",'03 Ações BR'!H106)</f>
        <v/>
      </c>
      <c r="I103" s="144" t="str">
        <f>IF(C103="","",'03 Ações BR'!J106)</f>
        <v/>
      </c>
      <c r="J103" s="145" t="str">
        <f>IF(C103="","",'03 Ações BR'!K106)</f>
        <v/>
      </c>
      <c r="K103" s="145" t="str">
        <f>IF(C103="","",'03 Ações BR'!Q106)</f>
        <v/>
      </c>
      <c r="L103" s="142" t="str">
        <f>IF(C103="","",'03 Ações BR'!R106)</f>
        <v/>
      </c>
      <c r="M103" s="145" t="str">
        <f>IF(C103="","",'03 Ações BR'!T106)</f>
        <v/>
      </c>
      <c r="N103" s="146" t="str">
        <f>IF(C103="","",IF($J$3&gt;0,J103/$J$3,0))</f>
        <v/>
      </c>
      <c r="O103" s="141" t="str">
        <f>IF(C103="","",'03 Ações BR'!I106)</f>
        <v/>
      </c>
      <c r="P103" s="147" t="str">
        <f>IF(C103="","",IF(N(J103)&gt;0,J103+ROW()/1E9,""))</f>
        <v/>
      </c>
      <c r="Q103" s="147" t="str">
        <f>IF(C103="","",IF(N(M103)&gt;0,M103+ROW()/1E9,""))</f>
        <v/>
      </c>
    </row>
    <row r="104">
      <c r="A104" s="134" t="str">
        <f>IF(C104="","","Ações")</f>
        <v/>
      </c>
      <c r="B104" s="134" t="str">
        <f>IF(C104="","","Brasil")</f>
        <v/>
      </c>
      <c r="C104" s="134" t="str">
        <f>IF('03 Ações BR'!A107="","",'03 Ações BR'!A107&amp;"")</f>
        <v/>
      </c>
      <c r="D104" s="134" t="str">
        <f>IF(C104="","",'03 Ações BR'!B107&amp;"")</f>
        <v/>
      </c>
      <c r="E104" s="134" t="str">
        <f>IF(C104="","",'03 Ações BR'!C107&amp;"")</f>
        <v/>
      </c>
      <c r="F104" s="134" t="str">
        <f>IF(C104="","",'03 Ações BR'!V107)</f>
        <v/>
      </c>
      <c r="G104" s="135" t="str">
        <f>IF(C104="","",'03 Ações BR'!E107)</f>
        <v/>
      </c>
      <c r="H104" s="136" t="str">
        <f>IF(C104="","",'03 Ações BR'!H107)</f>
        <v/>
      </c>
      <c r="I104" s="137" t="str">
        <f>IF(C104="","",'03 Ações BR'!J107)</f>
        <v/>
      </c>
      <c r="J104" s="138" t="str">
        <f>IF(C104="","",'03 Ações BR'!K107)</f>
        <v/>
      </c>
      <c r="K104" s="138" t="str">
        <f>IF(C104="","",'03 Ações BR'!Q107)</f>
        <v/>
      </c>
      <c r="L104" s="135" t="str">
        <f>IF(C104="","",'03 Ações BR'!R107)</f>
        <v/>
      </c>
      <c r="M104" s="138" t="str">
        <f>IF(C104="","",'03 Ações BR'!T107)</f>
        <v/>
      </c>
      <c r="N104" s="139" t="str">
        <f>IF(C104="","",IF($J$3&gt;0,J104/$J$3,0))</f>
        <v/>
      </c>
      <c r="O104" s="134" t="str">
        <f>IF(C104="","",'03 Ações BR'!I107)</f>
        <v/>
      </c>
      <c r="P104" s="140" t="str">
        <f>IF(C104="","",IF(N(J104)&gt;0,J104+ROW()/1E9,""))</f>
        <v/>
      </c>
      <c r="Q104" s="140" t="str">
        <f>IF(C104="","",IF(N(M104)&gt;0,M104+ROW()/1E9,""))</f>
        <v/>
      </c>
    </row>
    <row r="105">
      <c r="A105" s="141" t="str">
        <f>IF(C105="","","Ações")</f>
        <v/>
      </c>
      <c r="B105" s="141" t="str">
        <f>IF(C105="","","Brasil")</f>
        <v/>
      </c>
      <c r="C105" s="141" t="str">
        <f>IF('03 Ações BR'!A108="","",'03 Ações BR'!A108&amp;"")</f>
        <v/>
      </c>
      <c r="D105" s="141" t="str">
        <f>IF(C105="","",'03 Ações BR'!B108&amp;"")</f>
        <v/>
      </c>
      <c r="E105" s="141" t="str">
        <f>IF(C105="","",'03 Ações BR'!C108&amp;"")</f>
        <v/>
      </c>
      <c r="F105" s="141" t="str">
        <f>IF(C105="","",'03 Ações BR'!V108)</f>
        <v/>
      </c>
      <c r="G105" s="142" t="str">
        <f>IF(C105="","",'03 Ações BR'!E108)</f>
        <v/>
      </c>
      <c r="H105" s="143" t="str">
        <f>IF(C105="","",'03 Ações BR'!H108)</f>
        <v/>
      </c>
      <c r="I105" s="144" t="str">
        <f>IF(C105="","",'03 Ações BR'!J108)</f>
        <v/>
      </c>
      <c r="J105" s="145" t="str">
        <f>IF(C105="","",'03 Ações BR'!K108)</f>
        <v/>
      </c>
      <c r="K105" s="145" t="str">
        <f>IF(C105="","",'03 Ações BR'!Q108)</f>
        <v/>
      </c>
      <c r="L105" s="142" t="str">
        <f>IF(C105="","",'03 Ações BR'!R108)</f>
        <v/>
      </c>
      <c r="M105" s="145" t="str">
        <f>IF(C105="","",'03 Ações BR'!T108)</f>
        <v/>
      </c>
      <c r="N105" s="146" t="str">
        <f>IF(C105="","",IF($J$3&gt;0,J105/$J$3,0))</f>
        <v/>
      </c>
      <c r="O105" s="141" t="str">
        <f>IF(C105="","",'03 Ações BR'!I108)</f>
        <v/>
      </c>
      <c r="P105" s="147" t="str">
        <f>IF(C105="","",IF(N(J105)&gt;0,J105+ROW()/1E9,""))</f>
        <v/>
      </c>
      <c r="Q105" s="147" t="str">
        <f>IF(C105="","",IF(N(M105)&gt;0,M105+ROW()/1E9,""))</f>
        <v/>
      </c>
    </row>
    <row r="106">
      <c r="A106" s="134" t="str">
        <f>IF(C106="","","Ações")</f>
        <v/>
      </c>
      <c r="B106" s="134" t="str">
        <f>IF(C106="","","Brasil")</f>
        <v/>
      </c>
      <c r="C106" s="134" t="str">
        <f>IF('03 Ações BR'!A109="","",'03 Ações BR'!A109&amp;"")</f>
        <v/>
      </c>
      <c r="D106" s="134" t="str">
        <f>IF(C106="","",'03 Ações BR'!B109&amp;"")</f>
        <v/>
      </c>
      <c r="E106" s="134" t="str">
        <f>IF(C106="","",'03 Ações BR'!C109&amp;"")</f>
        <v/>
      </c>
      <c r="F106" s="134" t="str">
        <f>IF(C106="","",'03 Ações BR'!V109)</f>
        <v/>
      </c>
      <c r="G106" s="135" t="str">
        <f>IF(C106="","",'03 Ações BR'!E109)</f>
        <v/>
      </c>
      <c r="H106" s="136" t="str">
        <f>IF(C106="","",'03 Ações BR'!H109)</f>
        <v/>
      </c>
      <c r="I106" s="137" t="str">
        <f>IF(C106="","",'03 Ações BR'!J109)</f>
        <v/>
      </c>
      <c r="J106" s="138" t="str">
        <f>IF(C106="","",'03 Ações BR'!K109)</f>
        <v/>
      </c>
      <c r="K106" s="138" t="str">
        <f>IF(C106="","",'03 Ações BR'!Q109)</f>
        <v/>
      </c>
      <c r="L106" s="135" t="str">
        <f>IF(C106="","",'03 Ações BR'!R109)</f>
        <v/>
      </c>
      <c r="M106" s="138" t="str">
        <f>IF(C106="","",'03 Ações BR'!T109)</f>
        <v/>
      </c>
      <c r="N106" s="139" t="str">
        <f>IF(C106="","",IF($J$3&gt;0,J106/$J$3,0))</f>
        <v/>
      </c>
      <c r="O106" s="134" t="str">
        <f>IF(C106="","",'03 Ações BR'!I109)</f>
        <v/>
      </c>
      <c r="P106" s="140" t="str">
        <f>IF(C106="","",IF(N(J106)&gt;0,J106+ROW()/1E9,""))</f>
        <v/>
      </c>
      <c r="Q106" s="140" t="str">
        <f>IF(C106="","",IF(N(M106)&gt;0,M106+ROW()/1E9,""))</f>
        <v/>
      </c>
    </row>
    <row r="107">
      <c r="A107" s="141" t="str">
        <f>IF(C107="","","Ações")</f>
        <v/>
      </c>
      <c r="B107" s="141" t="str">
        <f>IF(C107="","","Brasil")</f>
        <v/>
      </c>
      <c r="C107" s="141" t="str">
        <f>IF('03 Ações BR'!A110="","",'03 Ações BR'!A110&amp;"")</f>
        <v/>
      </c>
      <c r="D107" s="141" t="str">
        <f>IF(C107="","",'03 Ações BR'!B110&amp;"")</f>
        <v/>
      </c>
      <c r="E107" s="141" t="str">
        <f>IF(C107="","",'03 Ações BR'!C110&amp;"")</f>
        <v/>
      </c>
      <c r="F107" s="141" t="str">
        <f>IF(C107="","",'03 Ações BR'!V110)</f>
        <v/>
      </c>
      <c r="G107" s="142" t="str">
        <f>IF(C107="","",'03 Ações BR'!E110)</f>
        <v/>
      </c>
      <c r="H107" s="143" t="str">
        <f>IF(C107="","",'03 Ações BR'!H110)</f>
        <v/>
      </c>
      <c r="I107" s="144" t="str">
        <f>IF(C107="","",'03 Ações BR'!J110)</f>
        <v/>
      </c>
      <c r="J107" s="145" t="str">
        <f>IF(C107="","",'03 Ações BR'!K110)</f>
        <v/>
      </c>
      <c r="K107" s="145" t="str">
        <f>IF(C107="","",'03 Ações BR'!Q110)</f>
        <v/>
      </c>
      <c r="L107" s="142" t="str">
        <f>IF(C107="","",'03 Ações BR'!R110)</f>
        <v/>
      </c>
      <c r="M107" s="145" t="str">
        <f>IF(C107="","",'03 Ações BR'!T110)</f>
        <v/>
      </c>
      <c r="N107" s="146" t="str">
        <f>IF(C107="","",IF($J$3&gt;0,J107/$J$3,0))</f>
        <v/>
      </c>
      <c r="O107" s="141" t="str">
        <f>IF(C107="","",'03 Ações BR'!I110)</f>
        <v/>
      </c>
      <c r="P107" s="147" t="str">
        <f>IF(C107="","",IF(N(J107)&gt;0,J107+ROW()/1E9,""))</f>
        <v/>
      </c>
      <c r="Q107" s="147" t="str">
        <f>IF(C107="","",IF(N(M107)&gt;0,M107+ROW()/1E9,""))</f>
        <v/>
      </c>
    </row>
    <row r="108">
      <c r="A108" s="134" t="str">
        <f>IF(C108="","","Ações")</f>
        <v/>
      </c>
      <c r="B108" s="134" t="str">
        <f>IF(C108="","","Brasil")</f>
        <v/>
      </c>
      <c r="C108" s="134" t="str">
        <f>IF('03 Ações BR'!A111="","",'03 Ações BR'!A111&amp;"")</f>
        <v/>
      </c>
      <c r="D108" s="134" t="str">
        <f>IF(C108="","",'03 Ações BR'!B111&amp;"")</f>
        <v/>
      </c>
      <c r="E108" s="134" t="str">
        <f>IF(C108="","",'03 Ações BR'!C111&amp;"")</f>
        <v/>
      </c>
      <c r="F108" s="134" t="str">
        <f>IF(C108="","",'03 Ações BR'!V111)</f>
        <v/>
      </c>
      <c r="G108" s="135" t="str">
        <f>IF(C108="","",'03 Ações BR'!E111)</f>
        <v/>
      </c>
      <c r="H108" s="136" t="str">
        <f>IF(C108="","",'03 Ações BR'!H111)</f>
        <v/>
      </c>
      <c r="I108" s="137" t="str">
        <f>IF(C108="","",'03 Ações BR'!J111)</f>
        <v/>
      </c>
      <c r="J108" s="138" t="str">
        <f>IF(C108="","",'03 Ações BR'!K111)</f>
        <v/>
      </c>
      <c r="K108" s="138" t="str">
        <f>IF(C108="","",'03 Ações BR'!Q111)</f>
        <v/>
      </c>
      <c r="L108" s="135" t="str">
        <f>IF(C108="","",'03 Ações BR'!R111)</f>
        <v/>
      </c>
      <c r="M108" s="138" t="str">
        <f>IF(C108="","",'03 Ações BR'!T111)</f>
        <v/>
      </c>
      <c r="N108" s="139" t="str">
        <f>IF(C108="","",IF($J$3&gt;0,J108/$J$3,0))</f>
        <v/>
      </c>
      <c r="O108" s="134" t="str">
        <f>IF(C108="","",'03 Ações BR'!I111)</f>
        <v/>
      </c>
      <c r="P108" s="140" t="str">
        <f>IF(C108="","",IF(N(J108)&gt;0,J108+ROW()/1E9,""))</f>
        <v/>
      </c>
      <c r="Q108" s="140" t="str">
        <f>IF(C108="","",IF(N(M108)&gt;0,M108+ROW()/1E9,""))</f>
        <v/>
      </c>
    </row>
    <row r="109">
      <c r="A109" s="141" t="str">
        <f>IF(C109="","","Ações")</f>
        <v/>
      </c>
      <c r="B109" s="141" t="str">
        <f>IF(C109="","","Brasil")</f>
        <v/>
      </c>
      <c r="C109" s="141" t="str">
        <f>IF('03 Ações BR'!A112="","",'03 Ações BR'!A112&amp;"")</f>
        <v/>
      </c>
      <c r="D109" s="141" t="str">
        <f>IF(C109="","",'03 Ações BR'!B112&amp;"")</f>
        <v/>
      </c>
      <c r="E109" s="141" t="str">
        <f>IF(C109="","",'03 Ações BR'!C112&amp;"")</f>
        <v/>
      </c>
      <c r="F109" s="141" t="str">
        <f>IF(C109="","",'03 Ações BR'!V112)</f>
        <v/>
      </c>
      <c r="G109" s="142" t="str">
        <f>IF(C109="","",'03 Ações BR'!E112)</f>
        <v/>
      </c>
      <c r="H109" s="143" t="str">
        <f>IF(C109="","",'03 Ações BR'!H112)</f>
        <v/>
      </c>
      <c r="I109" s="144" t="str">
        <f>IF(C109="","",'03 Ações BR'!J112)</f>
        <v/>
      </c>
      <c r="J109" s="145" t="str">
        <f>IF(C109="","",'03 Ações BR'!K112)</f>
        <v/>
      </c>
      <c r="K109" s="145" t="str">
        <f>IF(C109="","",'03 Ações BR'!Q112)</f>
        <v/>
      </c>
      <c r="L109" s="142" t="str">
        <f>IF(C109="","",'03 Ações BR'!R112)</f>
        <v/>
      </c>
      <c r="M109" s="145" t="str">
        <f>IF(C109="","",'03 Ações BR'!T112)</f>
        <v/>
      </c>
      <c r="N109" s="146" t="str">
        <f>IF(C109="","",IF($J$3&gt;0,J109/$J$3,0))</f>
        <v/>
      </c>
      <c r="O109" s="141" t="str">
        <f>IF(C109="","",'03 Ações BR'!I112)</f>
        <v/>
      </c>
      <c r="P109" s="147" t="str">
        <f>IF(C109="","",IF(N(J109)&gt;0,J109+ROW()/1E9,""))</f>
        <v/>
      </c>
      <c r="Q109" s="147" t="str">
        <f>IF(C109="","",IF(N(M109)&gt;0,M109+ROW()/1E9,""))</f>
        <v/>
      </c>
    </row>
    <row r="110">
      <c r="A110" s="134" t="str">
        <f>IF(C110="","","Ações")</f>
        <v/>
      </c>
      <c r="B110" s="134" t="str">
        <f>IF(C110="","","Brasil")</f>
        <v/>
      </c>
      <c r="C110" s="134" t="str">
        <f>IF('03 Ações BR'!A113="","",'03 Ações BR'!A113&amp;"")</f>
        <v/>
      </c>
      <c r="D110" s="134" t="str">
        <f>IF(C110="","",'03 Ações BR'!B113&amp;"")</f>
        <v/>
      </c>
      <c r="E110" s="134" t="str">
        <f>IF(C110="","",'03 Ações BR'!C113&amp;"")</f>
        <v/>
      </c>
      <c r="F110" s="134" t="str">
        <f>IF(C110="","",'03 Ações BR'!V113)</f>
        <v/>
      </c>
      <c r="G110" s="135" t="str">
        <f>IF(C110="","",'03 Ações BR'!E113)</f>
        <v/>
      </c>
      <c r="H110" s="136" t="str">
        <f>IF(C110="","",'03 Ações BR'!H113)</f>
        <v/>
      </c>
      <c r="I110" s="137" t="str">
        <f>IF(C110="","",'03 Ações BR'!J113)</f>
        <v/>
      </c>
      <c r="J110" s="138" t="str">
        <f>IF(C110="","",'03 Ações BR'!K113)</f>
        <v/>
      </c>
      <c r="K110" s="138" t="str">
        <f>IF(C110="","",'03 Ações BR'!Q113)</f>
        <v/>
      </c>
      <c r="L110" s="135" t="str">
        <f>IF(C110="","",'03 Ações BR'!R113)</f>
        <v/>
      </c>
      <c r="M110" s="138" t="str">
        <f>IF(C110="","",'03 Ações BR'!T113)</f>
        <v/>
      </c>
      <c r="N110" s="139" t="str">
        <f>IF(C110="","",IF($J$3&gt;0,J110/$J$3,0))</f>
        <v/>
      </c>
      <c r="O110" s="134" t="str">
        <f>IF(C110="","",'03 Ações BR'!I113)</f>
        <v/>
      </c>
      <c r="P110" s="140" t="str">
        <f>IF(C110="","",IF(N(J110)&gt;0,J110+ROW()/1E9,""))</f>
        <v/>
      </c>
      <c r="Q110" s="140" t="str">
        <f>IF(C110="","",IF(N(M110)&gt;0,M110+ROW()/1E9,""))</f>
        <v/>
      </c>
    </row>
    <row r="111">
      <c r="A111" s="141" t="str">
        <f>IF(C111="","","Ações")</f>
        <v/>
      </c>
      <c r="B111" s="141" t="str">
        <f>IF(C111="","","Brasil")</f>
        <v/>
      </c>
      <c r="C111" s="141" t="str">
        <f>IF('03 Ações BR'!A114="","",'03 Ações BR'!A114&amp;"")</f>
        <v/>
      </c>
      <c r="D111" s="141" t="str">
        <f>IF(C111="","",'03 Ações BR'!B114&amp;"")</f>
        <v/>
      </c>
      <c r="E111" s="141" t="str">
        <f>IF(C111="","",'03 Ações BR'!C114&amp;"")</f>
        <v/>
      </c>
      <c r="F111" s="141" t="str">
        <f>IF(C111="","",'03 Ações BR'!V114)</f>
        <v/>
      </c>
      <c r="G111" s="142" t="str">
        <f>IF(C111="","",'03 Ações BR'!E114)</f>
        <v/>
      </c>
      <c r="H111" s="143" t="str">
        <f>IF(C111="","",'03 Ações BR'!H114)</f>
        <v/>
      </c>
      <c r="I111" s="144" t="str">
        <f>IF(C111="","",'03 Ações BR'!J114)</f>
        <v/>
      </c>
      <c r="J111" s="145" t="str">
        <f>IF(C111="","",'03 Ações BR'!K114)</f>
        <v/>
      </c>
      <c r="K111" s="145" t="str">
        <f>IF(C111="","",'03 Ações BR'!Q114)</f>
        <v/>
      </c>
      <c r="L111" s="142" t="str">
        <f>IF(C111="","",'03 Ações BR'!R114)</f>
        <v/>
      </c>
      <c r="M111" s="145" t="str">
        <f>IF(C111="","",'03 Ações BR'!T114)</f>
        <v/>
      </c>
      <c r="N111" s="146" t="str">
        <f>IF(C111="","",IF($J$3&gt;0,J111/$J$3,0))</f>
        <v/>
      </c>
      <c r="O111" s="141" t="str">
        <f>IF(C111="","",'03 Ações BR'!I114)</f>
        <v/>
      </c>
      <c r="P111" s="147" t="str">
        <f>IF(C111="","",IF(N(J111)&gt;0,J111+ROW()/1E9,""))</f>
        <v/>
      </c>
      <c r="Q111" s="147" t="str">
        <f>IF(C111="","",IF(N(M111)&gt;0,M111+ROW()/1E9,""))</f>
        <v/>
      </c>
    </row>
    <row r="112">
      <c r="A112" s="134" t="str">
        <f>IF(C112="","","Ações")</f>
        <v/>
      </c>
      <c r="B112" s="134" t="str">
        <f>IF(C112="","","Brasil")</f>
        <v/>
      </c>
      <c r="C112" s="134" t="str">
        <f>IF('03 Ações BR'!A115="","",'03 Ações BR'!A115&amp;"")</f>
        <v/>
      </c>
      <c r="D112" s="134" t="str">
        <f>IF(C112="","",'03 Ações BR'!B115&amp;"")</f>
        <v/>
      </c>
      <c r="E112" s="134" t="str">
        <f>IF(C112="","",'03 Ações BR'!C115&amp;"")</f>
        <v/>
      </c>
      <c r="F112" s="134" t="str">
        <f>IF(C112="","",'03 Ações BR'!V115)</f>
        <v/>
      </c>
      <c r="G112" s="135" t="str">
        <f>IF(C112="","",'03 Ações BR'!E115)</f>
        <v/>
      </c>
      <c r="H112" s="136" t="str">
        <f>IF(C112="","",'03 Ações BR'!H115)</f>
        <v/>
      </c>
      <c r="I112" s="137" t="str">
        <f>IF(C112="","",'03 Ações BR'!J115)</f>
        <v/>
      </c>
      <c r="J112" s="138" t="str">
        <f>IF(C112="","",'03 Ações BR'!K115)</f>
        <v/>
      </c>
      <c r="K112" s="138" t="str">
        <f>IF(C112="","",'03 Ações BR'!Q115)</f>
        <v/>
      </c>
      <c r="L112" s="135" t="str">
        <f>IF(C112="","",'03 Ações BR'!R115)</f>
        <v/>
      </c>
      <c r="M112" s="138" t="str">
        <f>IF(C112="","",'03 Ações BR'!T115)</f>
        <v/>
      </c>
      <c r="N112" s="139" t="str">
        <f>IF(C112="","",IF($J$3&gt;0,J112/$J$3,0))</f>
        <v/>
      </c>
      <c r="O112" s="134" t="str">
        <f>IF(C112="","",'03 Ações BR'!I115)</f>
        <v/>
      </c>
      <c r="P112" s="140" t="str">
        <f>IF(C112="","",IF(N(J112)&gt;0,J112+ROW()/1E9,""))</f>
        <v/>
      </c>
      <c r="Q112" s="140" t="str">
        <f>IF(C112="","",IF(N(M112)&gt;0,M112+ROW()/1E9,""))</f>
        <v/>
      </c>
    </row>
    <row r="113">
      <c r="A113" s="141" t="str">
        <f>IF(C113="","","Ações")</f>
        <v/>
      </c>
      <c r="B113" s="141" t="str">
        <f>IF(C113="","","Brasil")</f>
        <v/>
      </c>
      <c r="C113" s="141" t="str">
        <f>IF('03 Ações BR'!A116="","",'03 Ações BR'!A116&amp;"")</f>
        <v/>
      </c>
      <c r="D113" s="141" t="str">
        <f>IF(C113="","",'03 Ações BR'!B116&amp;"")</f>
        <v/>
      </c>
      <c r="E113" s="141" t="str">
        <f>IF(C113="","",'03 Ações BR'!C116&amp;"")</f>
        <v/>
      </c>
      <c r="F113" s="141" t="str">
        <f>IF(C113="","",'03 Ações BR'!V116)</f>
        <v/>
      </c>
      <c r="G113" s="142" t="str">
        <f>IF(C113="","",'03 Ações BR'!E116)</f>
        <v/>
      </c>
      <c r="H113" s="143" t="str">
        <f>IF(C113="","",'03 Ações BR'!H116)</f>
        <v/>
      </c>
      <c r="I113" s="144" t="str">
        <f>IF(C113="","",'03 Ações BR'!J116)</f>
        <v/>
      </c>
      <c r="J113" s="145" t="str">
        <f>IF(C113="","",'03 Ações BR'!K116)</f>
        <v/>
      </c>
      <c r="K113" s="145" t="str">
        <f>IF(C113="","",'03 Ações BR'!Q116)</f>
        <v/>
      </c>
      <c r="L113" s="142" t="str">
        <f>IF(C113="","",'03 Ações BR'!R116)</f>
        <v/>
      </c>
      <c r="M113" s="145" t="str">
        <f>IF(C113="","",'03 Ações BR'!T116)</f>
        <v/>
      </c>
      <c r="N113" s="146" t="str">
        <f>IF(C113="","",IF($J$3&gt;0,J113/$J$3,0))</f>
        <v/>
      </c>
      <c r="O113" s="141" t="str">
        <f>IF(C113="","",'03 Ações BR'!I116)</f>
        <v/>
      </c>
      <c r="P113" s="147" t="str">
        <f>IF(C113="","",IF(N(J113)&gt;0,J113+ROW()/1E9,""))</f>
        <v/>
      </c>
      <c r="Q113" s="147" t="str">
        <f>IF(C113="","",IF(N(M113)&gt;0,M113+ROW()/1E9,""))</f>
        <v/>
      </c>
    </row>
    <row r="114">
      <c r="A114" s="134" t="str">
        <f>IF(C114="","","Ações")</f>
        <v/>
      </c>
      <c r="B114" s="134" t="str">
        <f>IF(C114="","","Brasil")</f>
        <v/>
      </c>
      <c r="C114" s="134" t="str">
        <f>IF('03 Ações BR'!A117="","",'03 Ações BR'!A117&amp;"")</f>
        <v/>
      </c>
      <c r="D114" s="134" t="str">
        <f>IF(C114="","",'03 Ações BR'!B117&amp;"")</f>
        <v/>
      </c>
      <c r="E114" s="134" t="str">
        <f>IF(C114="","",'03 Ações BR'!C117&amp;"")</f>
        <v/>
      </c>
      <c r="F114" s="134" t="str">
        <f>IF(C114="","",'03 Ações BR'!V117)</f>
        <v/>
      </c>
      <c r="G114" s="135" t="str">
        <f>IF(C114="","",'03 Ações BR'!E117)</f>
        <v/>
      </c>
      <c r="H114" s="136" t="str">
        <f>IF(C114="","",'03 Ações BR'!H117)</f>
        <v/>
      </c>
      <c r="I114" s="137" t="str">
        <f>IF(C114="","",'03 Ações BR'!J117)</f>
        <v/>
      </c>
      <c r="J114" s="138" t="str">
        <f>IF(C114="","",'03 Ações BR'!K117)</f>
        <v/>
      </c>
      <c r="K114" s="138" t="str">
        <f>IF(C114="","",'03 Ações BR'!Q117)</f>
        <v/>
      </c>
      <c r="L114" s="135" t="str">
        <f>IF(C114="","",'03 Ações BR'!R117)</f>
        <v/>
      </c>
      <c r="M114" s="138" t="str">
        <f>IF(C114="","",'03 Ações BR'!T117)</f>
        <v/>
      </c>
      <c r="N114" s="139" t="str">
        <f>IF(C114="","",IF($J$3&gt;0,J114/$J$3,0))</f>
        <v/>
      </c>
      <c r="O114" s="134" t="str">
        <f>IF(C114="","",'03 Ações BR'!I117)</f>
        <v/>
      </c>
      <c r="P114" s="140" t="str">
        <f>IF(C114="","",IF(N(J114)&gt;0,J114+ROW()/1E9,""))</f>
        <v/>
      </c>
      <c r="Q114" s="140" t="str">
        <f>IF(C114="","",IF(N(M114)&gt;0,M114+ROW()/1E9,""))</f>
        <v/>
      </c>
    </row>
    <row r="115">
      <c r="A115" s="141" t="str">
        <f>IF(C115="","","Ações")</f>
        <v/>
      </c>
      <c r="B115" s="141" t="str">
        <f>IF(C115="","","Brasil")</f>
        <v/>
      </c>
      <c r="C115" s="141" t="str">
        <f>IF('03 Ações BR'!A118="","",'03 Ações BR'!A118&amp;"")</f>
        <v/>
      </c>
      <c r="D115" s="141" t="str">
        <f>IF(C115="","",'03 Ações BR'!B118&amp;"")</f>
        <v/>
      </c>
      <c r="E115" s="141" t="str">
        <f>IF(C115="","",'03 Ações BR'!C118&amp;"")</f>
        <v/>
      </c>
      <c r="F115" s="141" t="str">
        <f>IF(C115="","",'03 Ações BR'!V118)</f>
        <v/>
      </c>
      <c r="G115" s="142" t="str">
        <f>IF(C115="","",'03 Ações BR'!E118)</f>
        <v/>
      </c>
      <c r="H115" s="143" t="str">
        <f>IF(C115="","",'03 Ações BR'!H118)</f>
        <v/>
      </c>
      <c r="I115" s="144" t="str">
        <f>IF(C115="","",'03 Ações BR'!J118)</f>
        <v/>
      </c>
      <c r="J115" s="145" t="str">
        <f>IF(C115="","",'03 Ações BR'!K118)</f>
        <v/>
      </c>
      <c r="K115" s="145" t="str">
        <f>IF(C115="","",'03 Ações BR'!Q118)</f>
        <v/>
      </c>
      <c r="L115" s="142" t="str">
        <f>IF(C115="","",'03 Ações BR'!R118)</f>
        <v/>
      </c>
      <c r="M115" s="145" t="str">
        <f>IF(C115="","",'03 Ações BR'!T118)</f>
        <v/>
      </c>
      <c r="N115" s="146" t="str">
        <f>IF(C115="","",IF($J$3&gt;0,J115/$J$3,0))</f>
        <v/>
      </c>
      <c r="O115" s="141" t="str">
        <f>IF(C115="","",'03 Ações BR'!I118)</f>
        <v/>
      </c>
      <c r="P115" s="147" t="str">
        <f>IF(C115="","",IF(N(J115)&gt;0,J115+ROW()/1E9,""))</f>
        <v/>
      </c>
      <c r="Q115" s="147" t="str">
        <f>IF(C115="","",IF(N(M115)&gt;0,M115+ROW()/1E9,""))</f>
        <v/>
      </c>
    </row>
    <row r="116">
      <c r="A116" s="134" t="str">
        <f>IF(C116="","","Ações")</f>
        <v/>
      </c>
      <c r="B116" s="134" t="str">
        <f>IF(C116="","","Brasil")</f>
        <v/>
      </c>
      <c r="C116" s="134" t="str">
        <f>IF('03 Ações BR'!A119="","",'03 Ações BR'!A119&amp;"")</f>
        <v/>
      </c>
      <c r="D116" s="134" t="str">
        <f>IF(C116="","",'03 Ações BR'!B119&amp;"")</f>
        <v/>
      </c>
      <c r="E116" s="134" t="str">
        <f>IF(C116="","",'03 Ações BR'!C119&amp;"")</f>
        <v/>
      </c>
      <c r="F116" s="134" t="str">
        <f>IF(C116="","",'03 Ações BR'!V119)</f>
        <v/>
      </c>
      <c r="G116" s="135" t="str">
        <f>IF(C116="","",'03 Ações BR'!E119)</f>
        <v/>
      </c>
      <c r="H116" s="136" t="str">
        <f>IF(C116="","",'03 Ações BR'!H119)</f>
        <v/>
      </c>
      <c r="I116" s="137" t="str">
        <f>IF(C116="","",'03 Ações BR'!J119)</f>
        <v/>
      </c>
      <c r="J116" s="138" t="str">
        <f>IF(C116="","",'03 Ações BR'!K119)</f>
        <v/>
      </c>
      <c r="K116" s="138" t="str">
        <f>IF(C116="","",'03 Ações BR'!Q119)</f>
        <v/>
      </c>
      <c r="L116" s="135" t="str">
        <f>IF(C116="","",'03 Ações BR'!R119)</f>
        <v/>
      </c>
      <c r="M116" s="138" t="str">
        <f>IF(C116="","",'03 Ações BR'!T119)</f>
        <v/>
      </c>
      <c r="N116" s="139" t="str">
        <f>IF(C116="","",IF($J$3&gt;0,J116/$J$3,0))</f>
        <v/>
      </c>
      <c r="O116" s="134" t="str">
        <f>IF(C116="","",'03 Ações BR'!I119)</f>
        <v/>
      </c>
      <c r="P116" s="140" t="str">
        <f>IF(C116="","",IF(N(J116)&gt;0,J116+ROW()/1E9,""))</f>
        <v/>
      </c>
      <c r="Q116" s="140" t="str">
        <f>IF(C116="","",IF(N(M116)&gt;0,M116+ROW()/1E9,""))</f>
        <v/>
      </c>
    </row>
    <row r="117">
      <c r="A117" s="141" t="str">
        <f>IF(C117="","","Ações")</f>
        <v/>
      </c>
      <c r="B117" s="141" t="str">
        <f>IF(C117="","","Brasil")</f>
        <v/>
      </c>
      <c r="C117" s="141" t="str">
        <f>IF('03 Ações BR'!A120="","",'03 Ações BR'!A120&amp;"")</f>
        <v/>
      </c>
      <c r="D117" s="141" t="str">
        <f>IF(C117="","",'03 Ações BR'!B120&amp;"")</f>
        <v/>
      </c>
      <c r="E117" s="141" t="str">
        <f>IF(C117="","",'03 Ações BR'!C120&amp;"")</f>
        <v/>
      </c>
      <c r="F117" s="141" t="str">
        <f>IF(C117="","",'03 Ações BR'!V120)</f>
        <v/>
      </c>
      <c r="G117" s="142" t="str">
        <f>IF(C117="","",'03 Ações BR'!E120)</f>
        <v/>
      </c>
      <c r="H117" s="143" t="str">
        <f>IF(C117="","",'03 Ações BR'!H120)</f>
        <v/>
      </c>
      <c r="I117" s="144" t="str">
        <f>IF(C117="","",'03 Ações BR'!J120)</f>
        <v/>
      </c>
      <c r="J117" s="145" t="str">
        <f>IF(C117="","",'03 Ações BR'!K120)</f>
        <v/>
      </c>
      <c r="K117" s="145" t="str">
        <f>IF(C117="","",'03 Ações BR'!Q120)</f>
        <v/>
      </c>
      <c r="L117" s="142" t="str">
        <f>IF(C117="","",'03 Ações BR'!R120)</f>
        <v/>
      </c>
      <c r="M117" s="145" t="str">
        <f>IF(C117="","",'03 Ações BR'!T120)</f>
        <v/>
      </c>
      <c r="N117" s="146" t="str">
        <f>IF(C117="","",IF($J$3&gt;0,J117/$J$3,0))</f>
        <v/>
      </c>
      <c r="O117" s="141" t="str">
        <f>IF(C117="","",'03 Ações BR'!I120)</f>
        <v/>
      </c>
      <c r="P117" s="147" t="str">
        <f>IF(C117="","",IF(N(J117)&gt;0,J117+ROW()/1E9,""))</f>
        <v/>
      </c>
      <c r="Q117" s="147" t="str">
        <f>IF(C117="","",IF(N(M117)&gt;0,M117+ROW()/1E9,""))</f>
        <v/>
      </c>
    </row>
    <row r="118">
      <c r="A118" s="134" t="str">
        <f>IF(C118="","","Ações")</f>
        <v/>
      </c>
      <c r="B118" s="134" t="str">
        <f>IF(C118="","","Brasil")</f>
        <v/>
      </c>
      <c r="C118" s="134" t="str">
        <f>IF('03 Ações BR'!A121="","",'03 Ações BR'!A121&amp;"")</f>
        <v/>
      </c>
      <c r="D118" s="134" t="str">
        <f>IF(C118="","",'03 Ações BR'!B121&amp;"")</f>
        <v/>
      </c>
      <c r="E118" s="134" t="str">
        <f>IF(C118="","",'03 Ações BR'!C121&amp;"")</f>
        <v/>
      </c>
      <c r="F118" s="134" t="str">
        <f>IF(C118="","",'03 Ações BR'!V121)</f>
        <v/>
      </c>
      <c r="G118" s="135" t="str">
        <f>IF(C118="","",'03 Ações BR'!E121)</f>
        <v/>
      </c>
      <c r="H118" s="136" t="str">
        <f>IF(C118="","",'03 Ações BR'!H121)</f>
        <v/>
      </c>
      <c r="I118" s="137" t="str">
        <f>IF(C118="","",'03 Ações BR'!J121)</f>
        <v/>
      </c>
      <c r="J118" s="138" t="str">
        <f>IF(C118="","",'03 Ações BR'!K121)</f>
        <v/>
      </c>
      <c r="K118" s="138" t="str">
        <f>IF(C118="","",'03 Ações BR'!Q121)</f>
        <v/>
      </c>
      <c r="L118" s="135" t="str">
        <f>IF(C118="","",'03 Ações BR'!R121)</f>
        <v/>
      </c>
      <c r="M118" s="138" t="str">
        <f>IF(C118="","",'03 Ações BR'!T121)</f>
        <v/>
      </c>
      <c r="N118" s="139" t="str">
        <f>IF(C118="","",IF($J$3&gt;0,J118/$J$3,0))</f>
        <v/>
      </c>
      <c r="O118" s="134" t="str">
        <f>IF(C118="","",'03 Ações BR'!I121)</f>
        <v/>
      </c>
      <c r="P118" s="140" t="str">
        <f>IF(C118="","",IF(N(J118)&gt;0,J118+ROW()/1E9,""))</f>
        <v/>
      </c>
      <c r="Q118" s="140" t="str">
        <f>IF(C118="","",IF(N(M118)&gt;0,M118+ROW()/1E9,""))</f>
        <v/>
      </c>
    </row>
    <row r="119">
      <c r="A119" s="141" t="str">
        <f>IF(C119="","","Ações")</f>
        <v/>
      </c>
      <c r="B119" s="141" t="str">
        <f>IF(C119="","","Brasil")</f>
        <v/>
      </c>
      <c r="C119" s="141" t="str">
        <f>IF('03 Ações BR'!A122="","",'03 Ações BR'!A122&amp;"")</f>
        <v/>
      </c>
      <c r="D119" s="141" t="str">
        <f>IF(C119="","",'03 Ações BR'!B122&amp;"")</f>
        <v/>
      </c>
      <c r="E119" s="141" t="str">
        <f>IF(C119="","",'03 Ações BR'!C122&amp;"")</f>
        <v/>
      </c>
      <c r="F119" s="141" t="str">
        <f>IF(C119="","",'03 Ações BR'!V122)</f>
        <v/>
      </c>
      <c r="G119" s="142" t="str">
        <f>IF(C119="","",'03 Ações BR'!E122)</f>
        <v/>
      </c>
      <c r="H119" s="143" t="str">
        <f>IF(C119="","",'03 Ações BR'!H122)</f>
        <v/>
      </c>
      <c r="I119" s="144" t="str">
        <f>IF(C119="","",'03 Ações BR'!J122)</f>
        <v/>
      </c>
      <c r="J119" s="145" t="str">
        <f>IF(C119="","",'03 Ações BR'!K122)</f>
        <v/>
      </c>
      <c r="K119" s="145" t="str">
        <f>IF(C119="","",'03 Ações BR'!Q122)</f>
        <v/>
      </c>
      <c r="L119" s="142" t="str">
        <f>IF(C119="","",'03 Ações BR'!R122)</f>
        <v/>
      </c>
      <c r="M119" s="145" t="str">
        <f>IF(C119="","",'03 Ações BR'!T122)</f>
        <v/>
      </c>
      <c r="N119" s="146" t="str">
        <f>IF(C119="","",IF($J$3&gt;0,J119/$J$3,0))</f>
        <v/>
      </c>
      <c r="O119" s="141" t="str">
        <f>IF(C119="","",'03 Ações BR'!I122)</f>
        <v/>
      </c>
      <c r="P119" s="147" t="str">
        <f>IF(C119="","",IF(N(J119)&gt;0,J119+ROW()/1E9,""))</f>
        <v/>
      </c>
      <c r="Q119" s="147" t="str">
        <f>IF(C119="","",IF(N(M119)&gt;0,M119+ROW()/1E9,""))</f>
        <v/>
      </c>
    </row>
    <row r="120">
      <c r="A120" s="134" t="str">
        <f>IF(C120="","","Ações")</f>
        <v/>
      </c>
      <c r="B120" s="134" t="str">
        <f>IF(C120="","","Brasil")</f>
        <v/>
      </c>
      <c r="C120" s="134" t="str">
        <f>IF('03 Ações BR'!A123="","",'03 Ações BR'!A123&amp;"")</f>
        <v/>
      </c>
      <c r="D120" s="134" t="str">
        <f>IF(C120="","",'03 Ações BR'!B123&amp;"")</f>
        <v/>
      </c>
      <c r="E120" s="134" t="str">
        <f>IF(C120="","",'03 Ações BR'!C123&amp;"")</f>
        <v/>
      </c>
      <c r="F120" s="134" t="str">
        <f>IF(C120="","",'03 Ações BR'!V123)</f>
        <v/>
      </c>
      <c r="G120" s="135" t="str">
        <f>IF(C120="","",'03 Ações BR'!E123)</f>
        <v/>
      </c>
      <c r="H120" s="136" t="str">
        <f>IF(C120="","",'03 Ações BR'!H123)</f>
        <v/>
      </c>
      <c r="I120" s="137" t="str">
        <f>IF(C120="","",'03 Ações BR'!J123)</f>
        <v/>
      </c>
      <c r="J120" s="138" t="str">
        <f>IF(C120="","",'03 Ações BR'!K123)</f>
        <v/>
      </c>
      <c r="K120" s="138" t="str">
        <f>IF(C120="","",'03 Ações BR'!Q123)</f>
        <v/>
      </c>
      <c r="L120" s="135" t="str">
        <f>IF(C120="","",'03 Ações BR'!R123)</f>
        <v/>
      </c>
      <c r="M120" s="138" t="str">
        <f>IF(C120="","",'03 Ações BR'!T123)</f>
        <v/>
      </c>
      <c r="N120" s="139" t="str">
        <f>IF(C120="","",IF($J$3&gt;0,J120/$J$3,0))</f>
        <v/>
      </c>
      <c r="O120" s="134" t="str">
        <f>IF(C120="","",'03 Ações BR'!I123)</f>
        <v/>
      </c>
      <c r="P120" s="140" t="str">
        <f>IF(C120="","",IF(N(J120)&gt;0,J120+ROW()/1E9,""))</f>
        <v/>
      </c>
      <c r="Q120" s="140" t="str">
        <f>IF(C120="","",IF(N(M120)&gt;0,M120+ROW()/1E9,""))</f>
        <v/>
      </c>
    </row>
    <row r="121">
      <c r="A121" s="141" t="str">
        <f>IF(C121="","","Ações")</f>
        <v/>
      </c>
      <c r="B121" s="141" t="str">
        <f>IF(C121="","","Brasil")</f>
        <v/>
      </c>
      <c r="C121" s="141" t="str">
        <f>IF('03 Ações BR'!A124="","",'03 Ações BR'!A124&amp;"")</f>
        <v/>
      </c>
      <c r="D121" s="141" t="str">
        <f>IF(C121="","",'03 Ações BR'!B124&amp;"")</f>
        <v/>
      </c>
      <c r="E121" s="141" t="str">
        <f>IF(C121="","",'03 Ações BR'!C124&amp;"")</f>
        <v/>
      </c>
      <c r="F121" s="141" t="str">
        <f>IF(C121="","",'03 Ações BR'!V124)</f>
        <v/>
      </c>
      <c r="G121" s="142" t="str">
        <f>IF(C121="","",'03 Ações BR'!E124)</f>
        <v/>
      </c>
      <c r="H121" s="143" t="str">
        <f>IF(C121="","",'03 Ações BR'!H124)</f>
        <v/>
      </c>
      <c r="I121" s="144" t="str">
        <f>IF(C121="","",'03 Ações BR'!J124)</f>
        <v/>
      </c>
      <c r="J121" s="145" t="str">
        <f>IF(C121="","",'03 Ações BR'!K124)</f>
        <v/>
      </c>
      <c r="K121" s="145" t="str">
        <f>IF(C121="","",'03 Ações BR'!Q124)</f>
        <v/>
      </c>
      <c r="L121" s="142" t="str">
        <f>IF(C121="","",'03 Ações BR'!R124)</f>
        <v/>
      </c>
      <c r="M121" s="145" t="str">
        <f>IF(C121="","",'03 Ações BR'!T124)</f>
        <v/>
      </c>
      <c r="N121" s="146" t="str">
        <f>IF(C121="","",IF($J$3&gt;0,J121/$J$3,0))</f>
        <v/>
      </c>
      <c r="O121" s="141" t="str">
        <f>IF(C121="","",'03 Ações BR'!I124)</f>
        <v/>
      </c>
      <c r="P121" s="147" t="str">
        <f>IF(C121="","",IF(N(J121)&gt;0,J121+ROW()/1E9,""))</f>
        <v/>
      </c>
      <c r="Q121" s="147" t="str">
        <f>IF(C121="","",IF(N(M121)&gt;0,M121+ROW()/1E9,""))</f>
        <v/>
      </c>
    </row>
    <row r="122">
      <c r="A122" s="134" t="str">
        <f>IF(C122="","","Ações")</f>
        <v/>
      </c>
      <c r="B122" s="134" t="str">
        <f>IF(C122="","","Brasil")</f>
        <v/>
      </c>
      <c r="C122" s="134" t="str">
        <f>IF('03 Ações BR'!A125="","",'03 Ações BR'!A125&amp;"")</f>
        <v/>
      </c>
      <c r="D122" s="134" t="str">
        <f>IF(C122="","",'03 Ações BR'!B125&amp;"")</f>
        <v/>
      </c>
      <c r="E122" s="134" t="str">
        <f>IF(C122="","",'03 Ações BR'!C125&amp;"")</f>
        <v/>
      </c>
      <c r="F122" s="134" t="str">
        <f>IF(C122="","",'03 Ações BR'!V125)</f>
        <v/>
      </c>
      <c r="G122" s="135" t="str">
        <f>IF(C122="","",'03 Ações BR'!E125)</f>
        <v/>
      </c>
      <c r="H122" s="136" t="str">
        <f>IF(C122="","",'03 Ações BR'!H125)</f>
        <v/>
      </c>
      <c r="I122" s="137" t="str">
        <f>IF(C122="","",'03 Ações BR'!J125)</f>
        <v/>
      </c>
      <c r="J122" s="138" t="str">
        <f>IF(C122="","",'03 Ações BR'!K125)</f>
        <v/>
      </c>
      <c r="K122" s="138" t="str">
        <f>IF(C122="","",'03 Ações BR'!Q125)</f>
        <v/>
      </c>
      <c r="L122" s="135" t="str">
        <f>IF(C122="","",'03 Ações BR'!R125)</f>
        <v/>
      </c>
      <c r="M122" s="138" t="str">
        <f>IF(C122="","",'03 Ações BR'!T125)</f>
        <v/>
      </c>
      <c r="N122" s="139" t="str">
        <f>IF(C122="","",IF($J$3&gt;0,J122/$J$3,0))</f>
        <v/>
      </c>
      <c r="O122" s="134" t="str">
        <f>IF(C122="","",'03 Ações BR'!I125)</f>
        <v/>
      </c>
      <c r="P122" s="140" t="str">
        <f>IF(C122="","",IF(N(J122)&gt;0,J122+ROW()/1E9,""))</f>
        <v/>
      </c>
      <c r="Q122" s="140" t="str">
        <f>IF(C122="","",IF(N(M122)&gt;0,M122+ROW()/1E9,""))</f>
        <v/>
      </c>
    </row>
    <row r="123">
      <c r="A123" s="141" t="str">
        <f>IF(C123="","","Ações")</f>
        <v/>
      </c>
      <c r="B123" s="141" t="str">
        <f>IF(C123="","","Brasil")</f>
        <v/>
      </c>
      <c r="C123" s="141" t="str">
        <f>IF('03 Ações BR'!A126="","",'03 Ações BR'!A126&amp;"")</f>
        <v/>
      </c>
      <c r="D123" s="141" t="str">
        <f>IF(C123="","",'03 Ações BR'!B126&amp;"")</f>
        <v/>
      </c>
      <c r="E123" s="141" t="str">
        <f>IF(C123="","",'03 Ações BR'!C126&amp;"")</f>
        <v/>
      </c>
      <c r="F123" s="141" t="str">
        <f>IF(C123="","",'03 Ações BR'!V126)</f>
        <v/>
      </c>
      <c r="G123" s="142" t="str">
        <f>IF(C123="","",'03 Ações BR'!E126)</f>
        <v/>
      </c>
      <c r="H123" s="143" t="str">
        <f>IF(C123="","",'03 Ações BR'!H126)</f>
        <v/>
      </c>
      <c r="I123" s="144" t="str">
        <f>IF(C123="","",'03 Ações BR'!J126)</f>
        <v/>
      </c>
      <c r="J123" s="145" t="str">
        <f>IF(C123="","",'03 Ações BR'!K126)</f>
        <v/>
      </c>
      <c r="K123" s="145" t="str">
        <f>IF(C123="","",'03 Ações BR'!Q126)</f>
        <v/>
      </c>
      <c r="L123" s="142" t="str">
        <f>IF(C123="","",'03 Ações BR'!R126)</f>
        <v/>
      </c>
      <c r="M123" s="145" t="str">
        <f>IF(C123="","",'03 Ações BR'!T126)</f>
        <v/>
      </c>
      <c r="N123" s="146" t="str">
        <f>IF(C123="","",IF($J$3&gt;0,J123/$J$3,0))</f>
        <v/>
      </c>
      <c r="O123" s="141" t="str">
        <f>IF(C123="","",'03 Ações BR'!I126)</f>
        <v/>
      </c>
      <c r="P123" s="147" t="str">
        <f>IF(C123="","",IF(N(J123)&gt;0,J123+ROW()/1E9,""))</f>
        <v/>
      </c>
      <c r="Q123" s="147" t="str">
        <f>IF(C123="","",IF(N(M123)&gt;0,M123+ROW()/1E9,""))</f>
        <v/>
      </c>
    </row>
    <row r="124">
      <c r="A124" s="134" t="str">
        <f>IF(C124="","","Ações")</f>
        <v/>
      </c>
      <c r="B124" s="134" t="str">
        <f>IF(C124="","","Brasil")</f>
        <v/>
      </c>
      <c r="C124" s="134" t="str">
        <f>IF('03 Ações BR'!A127="","",'03 Ações BR'!A127&amp;"")</f>
        <v/>
      </c>
      <c r="D124" s="134" t="str">
        <f>IF(C124="","",'03 Ações BR'!B127&amp;"")</f>
        <v/>
      </c>
      <c r="E124" s="134" t="str">
        <f>IF(C124="","",'03 Ações BR'!C127&amp;"")</f>
        <v/>
      </c>
      <c r="F124" s="134" t="str">
        <f>IF(C124="","",'03 Ações BR'!V127)</f>
        <v/>
      </c>
      <c r="G124" s="135" t="str">
        <f>IF(C124="","",'03 Ações BR'!E127)</f>
        <v/>
      </c>
      <c r="H124" s="136" t="str">
        <f>IF(C124="","",'03 Ações BR'!H127)</f>
        <v/>
      </c>
      <c r="I124" s="137" t="str">
        <f>IF(C124="","",'03 Ações BR'!J127)</f>
        <v/>
      </c>
      <c r="J124" s="138" t="str">
        <f>IF(C124="","",'03 Ações BR'!K127)</f>
        <v/>
      </c>
      <c r="K124" s="138" t="str">
        <f>IF(C124="","",'03 Ações BR'!Q127)</f>
        <v/>
      </c>
      <c r="L124" s="135" t="str">
        <f>IF(C124="","",'03 Ações BR'!R127)</f>
        <v/>
      </c>
      <c r="M124" s="138" t="str">
        <f>IF(C124="","",'03 Ações BR'!T127)</f>
        <v/>
      </c>
      <c r="N124" s="139" t="str">
        <f>IF(C124="","",IF($J$3&gt;0,J124/$J$3,0))</f>
        <v/>
      </c>
      <c r="O124" s="134" t="str">
        <f>IF(C124="","",'03 Ações BR'!I127)</f>
        <v/>
      </c>
      <c r="P124" s="140" t="str">
        <f>IF(C124="","",IF(N(J124)&gt;0,J124+ROW()/1E9,""))</f>
        <v/>
      </c>
      <c r="Q124" s="140" t="str">
        <f>IF(C124="","",IF(N(M124)&gt;0,M124+ROW()/1E9,""))</f>
        <v/>
      </c>
    </row>
    <row r="125">
      <c r="A125" s="141" t="str">
        <f>IF(C125="","","Ações")</f>
        <v/>
      </c>
      <c r="B125" s="141" t="str">
        <f>IF(C125="","","Brasil")</f>
        <v/>
      </c>
      <c r="C125" s="141" t="str">
        <f>IF('03 Ações BR'!A128="","",'03 Ações BR'!A128&amp;"")</f>
        <v/>
      </c>
      <c r="D125" s="141" t="str">
        <f>IF(C125="","",'03 Ações BR'!B128&amp;"")</f>
        <v/>
      </c>
      <c r="E125" s="141" t="str">
        <f>IF(C125="","",'03 Ações BR'!C128&amp;"")</f>
        <v/>
      </c>
      <c r="F125" s="141" t="str">
        <f>IF(C125="","",'03 Ações BR'!V128)</f>
        <v/>
      </c>
      <c r="G125" s="142" t="str">
        <f>IF(C125="","",'03 Ações BR'!E128)</f>
        <v/>
      </c>
      <c r="H125" s="143" t="str">
        <f>IF(C125="","",'03 Ações BR'!H128)</f>
        <v/>
      </c>
      <c r="I125" s="144" t="str">
        <f>IF(C125="","",'03 Ações BR'!J128)</f>
        <v/>
      </c>
      <c r="J125" s="145" t="str">
        <f>IF(C125="","",'03 Ações BR'!K128)</f>
        <v/>
      </c>
      <c r="K125" s="145" t="str">
        <f>IF(C125="","",'03 Ações BR'!Q128)</f>
        <v/>
      </c>
      <c r="L125" s="142" t="str">
        <f>IF(C125="","",'03 Ações BR'!R128)</f>
        <v/>
      </c>
      <c r="M125" s="145" t="str">
        <f>IF(C125="","",'03 Ações BR'!T128)</f>
        <v/>
      </c>
      <c r="N125" s="146" t="str">
        <f>IF(C125="","",IF($J$3&gt;0,J125/$J$3,0))</f>
        <v/>
      </c>
      <c r="O125" s="141" t="str">
        <f>IF(C125="","",'03 Ações BR'!I128)</f>
        <v/>
      </c>
      <c r="P125" s="147" t="str">
        <f>IF(C125="","",IF(N(J125)&gt;0,J125+ROW()/1E9,""))</f>
        <v/>
      </c>
      <c r="Q125" s="147" t="str">
        <f>IF(C125="","",IF(N(M125)&gt;0,M125+ROW()/1E9,""))</f>
        <v/>
      </c>
    </row>
    <row r="126">
      <c r="A126" s="134" t="str">
        <f>IF(C126="","","Ações")</f>
        <v/>
      </c>
      <c r="B126" s="134" t="str">
        <f>IF(C126="","","Brasil")</f>
        <v/>
      </c>
      <c r="C126" s="134" t="str">
        <f>IF('03 Ações BR'!A129="","",'03 Ações BR'!A129&amp;"")</f>
        <v/>
      </c>
      <c r="D126" s="134" t="str">
        <f>IF(C126="","",'03 Ações BR'!B129&amp;"")</f>
        <v/>
      </c>
      <c r="E126" s="134" t="str">
        <f>IF(C126="","",'03 Ações BR'!C129&amp;"")</f>
        <v/>
      </c>
      <c r="F126" s="134" t="str">
        <f>IF(C126="","",'03 Ações BR'!V129)</f>
        <v/>
      </c>
      <c r="G126" s="135" t="str">
        <f>IF(C126="","",'03 Ações BR'!E129)</f>
        <v/>
      </c>
      <c r="H126" s="136" t="str">
        <f>IF(C126="","",'03 Ações BR'!H129)</f>
        <v/>
      </c>
      <c r="I126" s="137" t="str">
        <f>IF(C126="","",'03 Ações BR'!J129)</f>
        <v/>
      </c>
      <c r="J126" s="138" t="str">
        <f>IF(C126="","",'03 Ações BR'!K129)</f>
        <v/>
      </c>
      <c r="K126" s="138" t="str">
        <f>IF(C126="","",'03 Ações BR'!Q129)</f>
        <v/>
      </c>
      <c r="L126" s="135" t="str">
        <f>IF(C126="","",'03 Ações BR'!R129)</f>
        <v/>
      </c>
      <c r="M126" s="138" t="str">
        <f>IF(C126="","",'03 Ações BR'!T129)</f>
        <v/>
      </c>
      <c r="N126" s="139" t="str">
        <f>IF(C126="","",IF($J$3&gt;0,J126/$J$3,0))</f>
        <v/>
      </c>
      <c r="O126" s="134" t="str">
        <f>IF(C126="","",'03 Ações BR'!I129)</f>
        <v/>
      </c>
      <c r="P126" s="140" t="str">
        <f>IF(C126="","",IF(N(J126)&gt;0,J126+ROW()/1E9,""))</f>
        <v/>
      </c>
      <c r="Q126" s="140" t="str">
        <f>IF(C126="","",IF(N(M126)&gt;0,M126+ROW()/1E9,""))</f>
        <v/>
      </c>
    </row>
    <row r="127">
      <c r="A127" s="141" t="str">
        <f>IF(C127="","","Ações")</f>
        <v/>
      </c>
      <c r="B127" s="141" t="str">
        <f>IF(C127="","","Brasil")</f>
        <v/>
      </c>
      <c r="C127" s="141" t="str">
        <f>IF('03 Ações BR'!A130="","",'03 Ações BR'!A130&amp;"")</f>
        <v/>
      </c>
      <c r="D127" s="141" t="str">
        <f>IF(C127="","",'03 Ações BR'!B130&amp;"")</f>
        <v/>
      </c>
      <c r="E127" s="141" t="str">
        <f>IF(C127="","",'03 Ações BR'!C130&amp;"")</f>
        <v/>
      </c>
      <c r="F127" s="141" t="str">
        <f>IF(C127="","",'03 Ações BR'!V130)</f>
        <v/>
      </c>
      <c r="G127" s="142" t="str">
        <f>IF(C127="","",'03 Ações BR'!E130)</f>
        <v/>
      </c>
      <c r="H127" s="143" t="str">
        <f>IF(C127="","",'03 Ações BR'!H130)</f>
        <v/>
      </c>
      <c r="I127" s="144" t="str">
        <f>IF(C127="","",'03 Ações BR'!J130)</f>
        <v/>
      </c>
      <c r="J127" s="145" t="str">
        <f>IF(C127="","",'03 Ações BR'!K130)</f>
        <v/>
      </c>
      <c r="K127" s="145" t="str">
        <f>IF(C127="","",'03 Ações BR'!Q130)</f>
        <v/>
      </c>
      <c r="L127" s="142" t="str">
        <f>IF(C127="","",'03 Ações BR'!R130)</f>
        <v/>
      </c>
      <c r="M127" s="145" t="str">
        <f>IF(C127="","",'03 Ações BR'!T130)</f>
        <v/>
      </c>
      <c r="N127" s="146" t="str">
        <f>IF(C127="","",IF($J$3&gt;0,J127/$J$3,0))</f>
        <v/>
      </c>
      <c r="O127" s="141" t="str">
        <f>IF(C127="","",'03 Ações BR'!I130)</f>
        <v/>
      </c>
      <c r="P127" s="147" t="str">
        <f>IF(C127="","",IF(N(J127)&gt;0,J127+ROW()/1E9,""))</f>
        <v/>
      </c>
      <c r="Q127" s="147" t="str">
        <f>IF(C127="","",IF(N(M127)&gt;0,M127+ROW()/1E9,""))</f>
        <v/>
      </c>
    </row>
    <row r="128">
      <c r="A128" s="134" t="str">
        <f>IF(C128="","","Ações")</f>
        <v/>
      </c>
      <c r="B128" s="134" t="str">
        <f>IF(C128="","","Brasil")</f>
        <v/>
      </c>
      <c r="C128" s="134" t="str">
        <f>IF('03 Ações BR'!A131="","",'03 Ações BR'!A131&amp;"")</f>
        <v/>
      </c>
      <c r="D128" s="134" t="str">
        <f>IF(C128="","",'03 Ações BR'!B131&amp;"")</f>
        <v/>
      </c>
      <c r="E128" s="134" t="str">
        <f>IF(C128="","",'03 Ações BR'!C131&amp;"")</f>
        <v/>
      </c>
      <c r="F128" s="134" t="str">
        <f>IF(C128="","",'03 Ações BR'!V131)</f>
        <v/>
      </c>
      <c r="G128" s="135" t="str">
        <f>IF(C128="","",'03 Ações BR'!E131)</f>
        <v/>
      </c>
      <c r="H128" s="136" t="str">
        <f>IF(C128="","",'03 Ações BR'!H131)</f>
        <v/>
      </c>
      <c r="I128" s="137" t="str">
        <f>IF(C128="","",'03 Ações BR'!J131)</f>
        <v/>
      </c>
      <c r="J128" s="138" t="str">
        <f>IF(C128="","",'03 Ações BR'!K131)</f>
        <v/>
      </c>
      <c r="K128" s="138" t="str">
        <f>IF(C128="","",'03 Ações BR'!Q131)</f>
        <v/>
      </c>
      <c r="L128" s="135" t="str">
        <f>IF(C128="","",'03 Ações BR'!R131)</f>
        <v/>
      </c>
      <c r="M128" s="138" t="str">
        <f>IF(C128="","",'03 Ações BR'!T131)</f>
        <v/>
      </c>
      <c r="N128" s="139" t="str">
        <f>IF(C128="","",IF($J$3&gt;0,J128/$J$3,0))</f>
        <v/>
      </c>
      <c r="O128" s="134" t="str">
        <f>IF(C128="","",'03 Ações BR'!I131)</f>
        <v/>
      </c>
      <c r="P128" s="140" t="str">
        <f>IF(C128="","",IF(N(J128)&gt;0,J128+ROW()/1E9,""))</f>
        <v/>
      </c>
      <c r="Q128" s="140" t="str">
        <f>IF(C128="","",IF(N(M128)&gt;0,M128+ROW()/1E9,""))</f>
        <v/>
      </c>
    </row>
    <row r="129">
      <c r="A129" s="141" t="str">
        <f>IF(C129="","","Ações")</f>
        <v/>
      </c>
      <c r="B129" s="141" t="str">
        <f>IF(C129="","","Brasil")</f>
        <v/>
      </c>
      <c r="C129" s="141" t="str">
        <f>IF('03 Ações BR'!A132="","",'03 Ações BR'!A132&amp;"")</f>
        <v/>
      </c>
      <c r="D129" s="141" t="str">
        <f>IF(C129="","",'03 Ações BR'!B132&amp;"")</f>
        <v/>
      </c>
      <c r="E129" s="141" t="str">
        <f>IF(C129="","",'03 Ações BR'!C132&amp;"")</f>
        <v/>
      </c>
      <c r="F129" s="141" t="str">
        <f>IF(C129="","",'03 Ações BR'!V132)</f>
        <v/>
      </c>
      <c r="G129" s="142" t="str">
        <f>IF(C129="","",'03 Ações BR'!E132)</f>
        <v/>
      </c>
      <c r="H129" s="143" t="str">
        <f>IF(C129="","",'03 Ações BR'!H132)</f>
        <v/>
      </c>
      <c r="I129" s="144" t="str">
        <f>IF(C129="","",'03 Ações BR'!J132)</f>
        <v/>
      </c>
      <c r="J129" s="145" t="str">
        <f>IF(C129="","",'03 Ações BR'!K132)</f>
        <v/>
      </c>
      <c r="K129" s="145" t="str">
        <f>IF(C129="","",'03 Ações BR'!Q132)</f>
        <v/>
      </c>
      <c r="L129" s="142" t="str">
        <f>IF(C129="","",'03 Ações BR'!R132)</f>
        <v/>
      </c>
      <c r="M129" s="145" t="str">
        <f>IF(C129="","",'03 Ações BR'!T132)</f>
        <v/>
      </c>
      <c r="N129" s="146" t="str">
        <f>IF(C129="","",IF($J$3&gt;0,J129/$J$3,0))</f>
        <v/>
      </c>
      <c r="O129" s="141" t="str">
        <f>IF(C129="","",'03 Ações BR'!I132)</f>
        <v/>
      </c>
      <c r="P129" s="147" t="str">
        <f>IF(C129="","",IF(N(J129)&gt;0,J129+ROW()/1E9,""))</f>
        <v/>
      </c>
      <c r="Q129" s="147" t="str">
        <f>IF(C129="","",IF(N(M129)&gt;0,M129+ROW()/1E9,""))</f>
        <v/>
      </c>
    </row>
    <row r="130">
      <c r="A130" s="134" t="str">
        <f>IF(C130="","","Ações")</f>
        <v/>
      </c>
      <c r="B130" s="134" t="str">
        <f>IF(C130="","","Brasil")</f>
        <v/>
      </c>
      <c r="C130" s="134" t="str">
        <f>IF('03 Ações BR'!A133="","",'03 Ações BR'!A133&amp;"")</f>
        <v/>
      </c>
      <c r="D130" s="134" t="str">
        <f>IF(C130="","",'03 Ações BR'!B133&amp;"")</f>
        <v/>
      </c>
      <c r="E130" s="134" t="str">
        <f>IF(C130="","",'03 Ações BR'!C133&amp;"")</f>
        <v/>
      </c>
      <c r="F130" s="134" t="str">
        <f>IF(C130="","",'03 Ações BR'!V133)</f>
        <v/>
      </c>
      <c r="G130" s="135" t="str">
        <f>IF(C130="","",'03 Ações BR'!E133)</f>
        <v/>
      </c>
      <c r="H130" s="136" t="str">
        <f>IF(C130="","",'03 Ações BR'!H133)</f>
        <v/>
      </c>
      <c r="I130" s="137" t="str">
        <f>IF(C130="","",'03 Ações BR'!J133)</f>
        <v/>
      </c>
      <c r="J130" s="138" t="str">
        <f>IF(C130="","",'03 Ações BR'!K133)</f>
        <v/>
      </c>
      <c r="K130" s="138" t="str">
        <f>IF(C130="","",'03 Ações BR'!Q133)</f>
        <v/>
      </c>
      <c r="L130" s="135" t="str">
        <f>IF(C130="","",'03 Ações BR'!R133)</f>
        <v/>
      </c>
      <c r="M130" s="138" t="str">
        <f>IF(C130="","",'03 Ações BR'!T133)</f>
        <v/>
      </c>
      <c r="N130" s="139" t="str">
        <f>IF(C130="","",IF($J$3&gt;0,J130/$J$3,0))</f>
        <v/>
      </c>
      <c r="O130" s="134" t="str">
        <f>IF(C130="","",'03 Ações BR'!I133)</f>
        <v/>
      </c>
      <c r="P130" s="140" t="str">
        <f>IF(C130="","",IF(N(J130)&gt;0,J130+ROW()/1E9,""))</f>
        <v/>
      </c>
      <c r="Q130" s="140" t="str">
        <f>IF(C130="","",IF(N(M130)&gt;0,M130+ROW()/1E9,""))</f>
        <v/>
      </c>
    </row>
    <row r="131">
      <c r="A131" s="141" t="str">
        <f>IF(C131="","","Ações")</f>
        <v/>
      </c>
      <c r="B131" s="141" t="str">
        <f>IF(C131="","","Brasil")</f>
        <v/>
      </c>
      <c r="C131" s="141" t="str">
        <f>IF('03 Ações BR'!A134="","",'03 Ações BR'!A134&amp;"")</f>
        <v/>
      </c>
      <c r="D131" s="141" t="str">
        <f>IF(C131="","",'03 Ações BR'!B134&amp;"")</f>
        <v/>
      </c>
      <c r="E131" s="141" t="str">
        <f>IF(C131="","",'03 Ações BR'!C134&amp;"")</f>
        <v/>
      </c>
      <c r="F131" s="141" t="str">
        <f>IF(C131="","",'03 Ações BR'!V134)</f>
        <v/>
      </c>
      <c r="G131" s="142" t="str">
        <f>IF(C131="","",'03 Ações BR'!E134)</f>
        <v/>
      </c>
      <c r="H131" s="143" t="str">
        <f>IF(C131="","",'03 Ações BR'!H134)</f>
        <v/>
      </c>
      <c r="I131" s="144" t="str">
        <f>IF(C131="","",'03 Ações BR'!J134)</f>
        <v/>
      </c>
      <c r="J131" s="145" t="str">
        <f>IF(C131="","",'03 Ações BR'!K134)</f>
        <v/>
      </c>
      <c r="K131" s="145" t="str">
        <f>IF(C131="","",'03 Ações BR'!Q134)</f>
        <v/>
      </c>
      <c r="L131" s="142" t="str">
        <f>IF(C131="","",'03 Ações BR'!R134)</f>
        <v/>
      </c>
      <c r="M131" s="145" t="str">
        <f>IF(C131="","",'03 Ações BR'!T134)</f>
        <v/>
      </c>
      <c r="N131" s="146" t="str">
        <f>IF(C131="","",IF($J$3&gt;0,J131/$J$3,0))</f>
        <v/>
      </c>
      <c r="O131" s="141" t="str">
        <f>IF(C131="","",'03 Ações BR'!I134)</f>
        <v/>
      </c>
      <c r="P131" s="147" t="str">
        <f>IF(C131="","",IF(N(J131)&gt;0,J131+ROW()/1E9,""))</f>
        <v/>
      </c>
      <c r="Q131" s="147" t="str">
        <f>IF(C131="","",IF(N(M131)&gt;0,M131+ROW()/1E9,""))</f>
        <v/>
      </c>
    </row>
    <row r="132">
      <c r="A132" s="134" t="str">
        <f>IF(C132="","","Ações")</f>
        <v/>
      </c>
      <c r="B132" s="134" t="str">
        <f>IF(C132="","","Brasil")</f>
        <v/>
      </c>
      <c r="C132" s="134" t="str">
        <f>IF('03 Ações BR'!A135="","",'03 Ações BR'!A135&amp;"")</f>
        <v/>
      </c>
      <c r="D132" s="134" t="str">
        <f>IF(C132="","",'03 Ações BR'!B135&amp;"")</f>
        <v/>
      </c>
      <c r="E132" s="134" t="str">
        <f>IF(C132="","",'03 Ações BR'!C135&amp;"")</f>
        <v/>
      </c>
      <c r="F132" s="134" t="str">
        <f>IF(C132="","",'03 Ações BR'!V135)</f>
        <v/>
      </c>
      <c r="G132" s="135" t="str">
        <f>IF(C132="","",'03 Ações BR'!E135)</f>
        <v/>
      </c>
      <c r="H132" s="136" t="str">
        <f>IF(C132="","",'03 Ações BR'!H135)</f>
        <v/>
      </c>
      <c r="I132" s="137" t="str">
        <f>IF(C132="","",'03 Ações BR'!J135)</f>
        <v/>
      </c>
      <c r="J132" s="138" t="str">
        <f>IF(C132="","",'03 Ações BR'!K135)</f>
        <v/>
      </c>
      <c r="K132" s="138" t="str">
        <f>IF(C132="","",'03 Ações BR'!Q135)</f>
        <v/>
      </c>
      <c r="L132" s="135" t="str">
        <f>IF(C132="","",'03 Ações BR'!R135)</f>
        <v/>
      </c>
      <c r="M132" s="138" t="str">
        <f>IF(C132="","",'03 Ações BR'!T135)</f>
        <v/>
      </c>
      <c r="N132" s="139" t="str">
        <f>IF(C132="","",IF($J$3&gt;0,J132/$J$3,0))</f>
        <v/>
      </c>
      <c r="O132" s="134" t="str">
        <f>IF(C132="","",'03 Ações BR'!I135)</f>
        <v/>
      </c>
      <c r="P132" s="140" t="str">
        <f>IF(C132="","",IF(N(J132)&gt;0,J132+ROW()/1E9,""))</f>
        <v/>
      </c>
      <c r="Q132" s="140" t="str">
        <f>IF(C132="","",IF(N(M132)&gt;0,M132+ROW()/1E9,""))</f>
        <v/>
      </c>
    </row>
    <row r="133">
      <c r="A133" s="141" t="str">
        <f>IF(C133="","","Ações")</f>
        <v/>
      </c>
      <c r="B133" s="141" t="str">
        <f>IF(C133="","","Brasil")</f>
        <v/>
      </c>
      <c r="C133" s="141" t="str">
        <f>IF('03 Ações BR'!A136="","",'03 Ações BR'!A136&amp;"")</f>
        <v/>
      </c>
      <c r="D133" s="141" t="str">
        <f>IF(C133="","",'03 Ações BR'!B136&amp;"")</f>
        <v/>
      </c>
      <c r="E133" s="141" t="str">
        <f>IF(C133="","",'03 Ações BR'!C136&amp;"")</f>
        <v/>
      </c>
      <c r="F133" s="141" t="str">
        <f>IF(C133="","",'03 Ações BR'!V136)</f>
        <v/>
      </c>
      <c r="G133" s="142" t="str">
        <f>IF(C133="","",'03 Ações BR'!E136)</f>
        <v/>
      </c>
      <c r="H133" s="143" t="str">
        <f>IF(C133="","",'03 Ações BR'!H136)</f>
        <v/>
      </c>
      <c r="I133" s="144" t="str">
        <f>IF(C133="","",'03 Ações BR'!J136)</f>
        <v/>
      </c>
      <c r="J133" s="145" t="str">
        <f>IF(C133="","",'03 Ações BR'!K136)</f>
        <v/>
      </c>
      <c r="K133" s="145" t="str">
        <f>IF(C133="","",'03 Ações BR'!Q136)</f>
        <v/>
      </c>
      <c r="L133" s="142" t="str">
        <f>IF(C133="","",'03 Ações BR'!R136)</f>
        <v/>
      </c>
      <c r="M133" s="145" t="str">
        <f>IF(C133="","",'03 Ações BR'!T136)</f>
        <v/>
      </c>
      <c r="N133" s="146" t="str">
        <f>IF(C133="","",IF($J$3&gt;0,J133/$J$3,0))</f>
        <v/>
      </c>
      <c r="O133" s="141" t="str">
        <f>IF(C133="","",'03 Ações BR'!I136)</f>
        <v/>
      </c>
      <c r="P133" s="147" t="str">
        <f>IF(C133="","",IF(N(J133)&gt;0,J133+ROW()/1E9,""))</f>
        <v/>
      </c>
      <c r="Q133" s="147" t="str">
        <f>IF(C133="","",IF(N(M133)&gt;0,M133+ROW()/1E9,""))</f>
        <v/>
      </c>
    </row>
    <row r="134">
      <c r="A134" s="134" t="str">
        <f>IF(C134="","","Ações")</f>
        <v/>
      </c>
      <c r="B134" s="134" t="str">
        <f>IF(C134="","","Brasil")</f>
        <v/>
      </c>
      <c r="C134" s="134" t="str">
        <f>IF('03 Ações BR'!A137="","",'03 Ações BR'!A137&amp;"")</f>
        <v/>
      </c>
      <c r="D134" s="134" t="str">
        <f>IF(C134="","",'03 Ações BR'!B137&amp;"")</f>
        <v/>
      </c>
      <c r="E134" s="134" t="str">
        <f>IF(C134="","",'03 Ações BR'!C137&amp;"")</f>
        <v/>
      </c>
      <c r="F134" s="134" t="str">
        <f>IF(C134="","",'03 Ações BR'!V137)</f>
        <v/>
      </c>
      <c r="G134" s="135" t="str">
        <f>IF(C134="","",'03 Ações BR'!E137)</f>
        <v/>
      </c>
      <c r="H134" s="136" t="str">
        <f>IF(C134="","",'03 Ações BR'!H137)</f>
        <v/>
      </c>
      <c r="I134" s="137" t="str">
        <f>IF(C134="","",'03 Ações BR'!J137)</f>
        <v/>
      </c>
      <c r="J134" s="138" t="str">
        <f>IF(C134="","",'03 Ações BR'!K137)</f>
        <v/>
      </c>
      <c r="K134" s="138" t="str">
        <f>IF(C134="","",'03 Ações BR'!Q137)</f>
        <v/>
      </c>
      <c r="L134" s="135" t="str">
        <f>IF(C134="","",'03 Ações BR'!R137)</f>
        <v/>
      </c>
      <c r="M134" s="138" t="str">
        <f>IF(C134="","",'03 Ações BR'!T137)</f>
        <v/>
      </c>
      <c r="N134" s="139" t="str">
        <f>IF(C134="","",IF($J$3&gt;0,J134/$J$3,0))</f>
        <v/>
      </c>
      <c r="O134" s="134" t="str">
        <f>IF(C134="","",'03 Ações BR'!I137)</f>
        <v/>
      </c>
      <c r="P134" s="140" t="str">
        <f>IF(C134="","",IF(N(J134)&gt;0,J134+ROW()/1E9,""))</f>
        <v/>
      </c>
      <c r="Q134" s="140" t="str">
        <f>IF(C134="","",IF(N(M134)&gt;0,M134+ROW()/1E9,""))</f>
        <v/>
      </c>
    </row>
    <row r="135">
      <c r="A135" s="141" t="str">
        <f>IF(C135="","","Ações")</f>
        <v/>
      </c>
      <c r="B135" s="141" t="str">
        <f>IF(C135="","","Brasil")</f>
        <v/>
      </c>
      <c r="C135" s="141" t="str">
        <f>IF('03 Ações BR'!A138="","",'03 Ações BR'!A138&amp;"")</f>
        <v/>
      </c>
      <c r="D135" s="141" t="str">
        <f>IF(C135="","",'03 Ações BR'!B138&amp;"")</f>
        <v/>
      </c>
      <c r="E135" s="141" t="str">
        <f>IF(C135="","",'03 Ações BR'!C138&amp;"")</f>
        <v/>
      </c>
      <c r="F135" s="141" t="str">
        <f>IF(C135="","",'03 Ações BR'!V138)</f>
        <v/>
      </c>
      <c r="G135" s="142" t="str">
        <f>IF(C135="","",'03 Ações BR'!E138)</f>
        <v/>
      </c>
      <c r="H135" s="143" t="str">
        <f>IF(C135="","",'03 Ações BR'!H138)</f>
        <v/>
      </c>
      <c r="I135" s="144" t="str">
        <f>IF(C135="","",'03 Ações BR'!J138)</f>
        <v/>
      </c>
      <c r="J135" s="145" t="str">
        <f>IF(C135="","",'03 Ações BR'!K138)</f>
        <v/>
      </c>
      <c r="K135" s="145" t="str">
        <f>IF(C135="","",'03 Ações BR'!Q138)</f>
        <v/>
      </c>
      <c r="L135" s="142" t="str">
        <f>IF(C135="","",'03 Ações BR'!R138)</f>
        <v/>
      </c>
      <c r="M135" s="145" t="str">
        <f>IF(C135="","",'03 Ações BR'!T138)</f>
        <v/>
      </c>
      <c r="N135" s="146" t="str">
        <f>IF(C135="","",IF($J$3&gt;0,J135/$J$3,0))</f>
        <v/>
      </c>
      <c r="O135" s="141" t="str">
        <f>IF(C135="","",'03 Ações BR'!I138)</f>
        <v/>
      </c>
      <c r="P135" s="147" t="str">
        <f>IF(C135="","",IF(N(J135)&gt;0,J135+ROW()/1E9,""))</f>
        <v/>
      </c>
      <c r="Q135" s="147" t="str">
        <f>IF(C135="","",IF(N(M135)&gt;0,M135+ROW()/1E9,""))</f>
        <v/>
      </c>
    </row>
    <row r="136">
      <c r="A136" s="134" t="str">
        <f>IF(C136="","","Ações")</f>
        <v/>
      </c>
      <c r="B136" s="134" t="str">
        <f>IF(C136="","","Brasil")</f>
        <v/>
      </c>
      <c r="C136" s="134" t="str">
        <f>IF('03 Ações BR'!A139="","",'03 Ações BR'!A139&amp;"")</f>
        <v/>
      </c>
      <c r="D136" s="134" t="str">
        <f>IF(C136="","",'03 Ações BR'!B139&amp;"")</f>
        <v/>
      </c>
      <c r="E136" s="134" t="str">
        <f>IF(C136="","",'03 Ações BR'!C139&amp;"")</f>
        <v/>
      </c>
      <c r="F136" s="134" t="str">
        <f>IF(C136="","",'03 Ações BR'!V139)</f>
        <v/>
      </c>
      <c r="G136" s="135" t="str">
        <f>IF(C136="","",'03 Ações BR'!E139)</f>
        <v/>
      </c>
      <c r="H136" s="136" t="str">
        <f>IF(C136="","",'03 Ações BR'!H139)</f>
        <v/>
      </c>
      <c r="I136" s="137" t="str">
        <f>IF(C136="","",'03 Ações BR'!J139)</f>
        <v/>
      </c>
      <c r="J136" s="138" t="str">
        <f>IF(C136="","",'03 Ações BR'!K139)</f>
        <v/>
      </c>
      <c r="K136" s="138" t="str">
        <f>IF(C136="","",'03 Ações BR'!Q139)</f>
        <v/>
      </c>
      <c r="L136" s="135" t="str">
        <f>IF(C136="","",'03 Ações BR'!R139)</f>
        <v/>
      </c>
      <c r="M136" s="138" t="str">
        <f>IF(C136="","",'03 Ações BR'!T139)</f>
        <v/>
      </c>
      <c r="N136" s="139" t="str">
        <f>IF(C136="","",IF($J$3&gt;0,J136/$J$3,0))</f>
        <v/>
      </c>
      <c r="O136" s="134" t="str">
        <f>IF(C136="","",'03 Ações BR'!I139)</f>
        <v/>
      </c>
      <c r="P136" s="140" t="str">
        <f>IF(C136="","",IF(N(J136)&gt;0,J136+ROW()/1E9,""))</f>
        <v/>
      </c>
      <c r="Q136" s="140" t="str">
        <f>IF(C136="","",IF(N(M136)&gt;0,M136+ROW()/1E9,""))</f>
        <v/>
      </c>
    </row>
    <row r="137">
      <c r="A137" s="141" t="str">
        <f>IF(C137="","","Ações")</f>
        <v/>
      </c>
      <c r="B137" s="141" t="str">
        <f>IF(C137="","","Brasil")</f>
        <v/>
      </c>
      <c r="C137" s="141" t="str">
        <f>IF('03 Ações BR'!A140="","",'03 Ações BR'!A140&amp;"")</f>
        <v/>
      </c>
      <c r="D137" s="141" t="str">
        <f>IF(C137="","",'03 Ações BR'!B140&amp;"")</f>
        <v/>
      </c>
      <c r="E137" s="141" t="str">
        <f>IF(C137="","",'03 Ações BR'!C140&amp;"")</f>
        <v/>
      </c>
      <c r="F137" s="141" t="str">
        <f>IF(C137="","",'03 Ações BR'!V140)</f>
        <v/>
      </c>
      <c r="G137" s="142" t="str">
        <f>IF(C137="","",'03 Ações BR'!E140)</f>
        <v/>
      </c>
      <c r="H137" s="143" t="str">
        <f>IF(C137="","",'03 Ações BR'!H140)</f>
        <v/>
      </c>
      <c r="I137" s="144" t="str">
        <f>IF(C137="","",'03 Ações BR'!J140)</f>
        <v/>
      </c>
      <c r="J137" s="145" t="str">
        <f>IF(C137="","",'03 Ações BR'!K140)</f>
        <v/>
      </c>
      <c r="K137" s="145" t="str">
        <f>IF(C137="","",'03 Ações BR'!Q140)</f>
        <v/>
      </c>
      <c r="L137" s="142" t="str">
        <f>IF(C137="","",'03 Ações BR'!R140)</f>
        <v/>
      </c>
      <c r="M137" s="145" t="str">
        <f>IF(C137="","",'03 Ações BR'!T140)</f>
        <v/>
      </c>
      <c r="N137" s="146" t="str">
        <f>IF(C137="","",IF($J$3&gt;0,J137/$J$3,0))</f>
        <v/>
      </c>
      <c r="O137" s="141" t="str">
        <f>IF(C137="","",'03 Ações BR'!I140)</f>
        <v/>
      </c>
      <c r="P137" s="147" t="str">
        <f>IF(C137="","",IF(N(J137)&gt;0,J137+ROW()/1E9,""))</f>
        <v/>
      </c>
      <c r="Q137" s="147" t="str">
        <f>IF(C137="","",IF(N(M137)&gt;0,M137+ROW()/1E9,""))</f>
        <v/>
      </c>
    </row>
    <row r="138">
      <c r="A138" s="134" t="str">
        <f>IF(C138="","","Ações")</f>
        <v/>
      </c>
      <c r="B138" s="134" t="str">
        <f>IF(C138="","","Brasil")</f>
        <v/>
      </c>
      <c r="C138" s="134" t="str">
        <f>IF('03 Ações BR'!A141="","",'03 Ações BR'!A141&amp;"")</f>
        <v/>
      </c>
      <c r="D138" s="134" t="str">
        <f>IF(C138="","",'03 Ações BR'!B141&amp;"")</f>
        <v/>
      </c>
      <c r="E138" s="134" t="str">
        <f>IF(C138="","",'03 Ações BR'!C141&amp;"")</f>
        <v/>
      </c>
      <c r="F138" s="134" t="str">
        <f>IF(C138="","",'03 Ações BR'!V141)</f>
        <v/>
      </c>
      <c r="G138" s="135" t="str">
        <f>IF(C138="","",'03 Ações BR'!E141)</f>
        <v/>
      </c>
      <c r="H138" s="136" t="str">
        <f>IF(C138="","",'03 Ações BR'!H141)</f>
        <v/>
      </c>
      <c r="I138" s="137" t="str">
        <f>IF(C138="","",'03 Ações BR'!J141)</f>
        <v/>
      </c>
      <c r="J138" s="138" t="str">
        <f>IF(C138="","",'03 Ações BR'!K141)</f>
        <v/>
      </c>
      <c r="K138" s="138" t="str">
        <f>IF(C138="","",'03 Ações BR'!Q141)</f>
        <v/>
      </c>
      <c r="L138" s="135" t="str">
        <f>IF(C138="","",'03 Ações BR'!R141)</f>
        <v/>
      </c>
      <c r="M138" s="138" t="str">
        <f>IF(C138="","",'03 Ações BR'!T141)</f>
        <v/>
      </c>
      <c r="N138" s="139" t="str">
        <f>IF(C138="","",IF($J$3&gt;0,J138/$J$3,0))</f>
        <v/>
      </c>
      <c r="O138" s="134" t="str">
        <f>IF(C138="","",'03 Ações BR'!I141)</f>
        <v/>
      </c>
      <c r="P138" s="140" t="str">
        <f>IF(C138="","",IF(N(J138)&gt;0,J138+ROW()/1E9,""))</f>
        <v/>
      </c>
      <c r="Q138" s="140" t="str">
        <f>IF(C138="","",IF(N(M138)&gt;0,M138+ROW()/1E9,""))</f>
        <v/>
      </c>
    </row>
    <row r="139">
      <c r="A139" s="141" t="str">
        <f>IF(C139="","","Ações")</f>
        <v/>
      </c>
      <c r="B139" s="141" t="str">
        <f>IF(C139="","","Brasil")</f>
        <v/>
      </c>
      <c r="C139" s="141" t="str">
        <f>IF('03 Ações BR'!A142="","",'03 Ações BR'!A142&amp;"")</f>
        <v/>
      </c>
      <c r="D139" s="141" t="str">
        <f>IF(C139="","",'03 Ações BR'!B142&amp;"")</f>
        <v/>
      </c>
      <c r="E139" s="141" t="str">
        <f>IF(C139="","",'03 Ações BR'!C142&amp;"")</f>
        <v/>
      </c>
      <c r="F139" s="141" t="str">
        <f>IF(C139="","",'03 Ações BR'!V142)</f>
        <v/>
      </c>
      <c r="G139" s="142" t="str">
        <f>IF(C139="","",'03 Ações BR'!E142)</f>
        <v/>
      </c>
      <c r="H139" s="143" t="str">
        <f>IF(C139="","",'03 Ações BR'!H142)</f>
        <v/>
      </c>
      <c r="I139" s="144" t="str">
        <f>IF(C139="","",'03 Ações BR'!J142)</f>
        <v/>
      </c>
      <c r="J139" s="145" t="str">
        <f>IF(C139="","",'03 Ações BR'!K142)</f>
        <v/>
      </c>
      <c r="K139" s="145" t="str">
        <f>IF(C139="","",'03 Ações BR'!Q142)</f>
        <v/>
      </c>
      <c r="L139" s="142" t="str">
        <f>IF(C139="","",'03 Ações BR'!R142)</f>
        <v/>
      </c>
      <c r="M139" s="145" t="str">
        <f>IF(C139="","",'03 Ações BR'!T142)</f>
        <v/>
      </c>
      <c r="N139" s="146" t="str">
        <f>IF(C139="","",IF($J$3&gt;0,J139/$J$3,0))</f>
        <v/>
      </c>
      <c r="O139" s="141" t="str">
        <f>IF(C139="","",'03 Ações BR'!I142)</f>
        <v/>
      </c>
      <c r="P139" s="147" t="str">
        <f>IF(C139="","",IF(N(J139)&gt;0,J139+ROW()/1E9,""))</f>
        <v/>
      </c>
      <c r="Q139" s="147" t="str">
        <f>IF(C139="","",IF(N(M139)&gt;0,M139+ROW()/1E9,""))</f>
        <v/>
      </c>
    </row>
    <row r="140">
      <c r="A140" s="134" t="str">
        <f>IF(C140="","","Ações")</f>
        <v/>
      </c>
      <c r="B140" s="134" t="str">
        <f>IF(C140="","","Brasil")</f>
        <v/>
      </c>
      <c r="C140" s="134" t="str">
        <f>IF('03 Ações BR'!A143="","",'03 Ações BR'!A143&amp;"")</f>
        <v/>
      </c>
      <c r="D140" s="134" t="str">
        <f>IF(C140="","",'03 Ações BR'!B143&amp;"")</f>
        <v/>
      </c>
      <c r="E140" s="134" t="str">
        <f>IF(C140="","",'03 Ações BR'!C143&amp;"")</f>
        <v/>
      </c>
      <c r="F140" s="134" t="str">
        <f>IF(C140="","",'03 Ações BR'!V143)</f>
        <v/>
      </c>
      <c r="G140" s="135" t="str">
        <f>IF(C140="","",'03 Ações BR'!E143)</f>
        <v/>
      </c>
      <c r="H140" s="136" t="str">
        <f>IF(C140="","",'03 Ações BR'!H143)</f>
        <v/>
      </c>
      <c r="I140" s="137" t="str">
        <f>IF(C140="","",'03 Ações BR'!J143)</f>
        <v/>
      </c>
      <c r="J140" s="138" t="str">
        <f>IF(C140="","",'03 Ações BR'!K143)</f>
        <v/>
      </c>
      <c r="K140" s="138" t="str">
        <f>IF(C140="","",'03 Ações BR'!Q143)</f>
        <v/>
      </c>
      <c r="L140" s="135" t="str">
        <f>IF(C140="","",'03 Ações BR'!R143)</f>
        <v/>
      </c>
      <c r="M140" s="138" t="str">
        <f>IF(C140="","",'03 Ações BR'!T143)</f>
        <v/>
      </c>
      <c r="N140" s="139" t="str">
        <f>IF(C140="","",IF($J$3&gt;0,J140/$J$3,0))</f>
        <v/>
      </c>
      <c r="O140" s="134" t="str">
        <f>IF(C140="","",'03 Ações BR'!I143)</f>
        <v/>
      </c>
      <c r="P140" s="140" t="str">
        <f>IF(C140="","",IF(N(J140)&gt;0,J140+ROW()/1E9,""))</f>
        <v/>
      </c>
      <c r="Q140" s="140" t="str">
        <f>IF(C140="","",IF(N(M140)&gt;0,M140+ROW()/1E9,""))</f>
        <v/>
      </c>
    </row>
    <row r="141">
      <c r="A141" s="141" t="str">
        <f>IF(C141="","","Ações")</f>
        <v/>
      </c>
      <c r="B141" s="141" t="str">
        <f>IF(C141="","","Brasil")</f>
        <v/>
      </c>
      <c r="C141" s="141" t="str">
        <f>IF('03 Ações BR'!A144="","",'03 Ações BR'!A144&amp;"")</f>
        <v/>
      </c>
      <c r="D141" s="141" t="str">
        <f>IF(C141="","",'03 Ações BR'!B144&amp;"")</f>
        <v/>
      </c>
      <c r="E141" s="141" t="str">
        <f>IF(C141="","",'03 Ações BR'!C144&amp;"")</f>
        <v/>
      </c>
      <c r="F141" s="141" t="str">
        <f>IF(C141="","",'03 Ações BR'!V144)</f>
        <v/>
      </c>
      <c r="G141" s="142" t="str">
        <f>IF(C141="","",'03 Ações BR'!E144)</f>
        <v/>
      </c>
      <c r="H141" s="143" t="str">
        <f>IF(C141="","",'03 Ações BR'!H144)</f>
        <v/>
      </c>
      <c r="I141" s="144" t="str">
        <f>IF(C141="","",'03 Ações BR'!J144)</f>
        <v/>
      </c>
      <c r="J141" s="145" t="str">
        <f>IF(C141="","",'03 Ações BR'!K144)</f>
        <v/>
      </c>
      <c r="K141" s="145" t="str">
        <f>IF(C141="","",'03 Ações BR'!Q144)</f>
        <v/>
      </c>
      <c r="L141" s="142" t="str">
        <f>IF(C141="","",'03 Ações BR'!R144)</f>
        <v/>
      </c>
      <c r="M141" s="145" t="str">
        <f>IF(C141="","",'03 Ações BR'!T144)</f>
        <v/>
      </c>
      <c r="N141" s="146" t="str">
        <f>IF(C141="","",IF($J$3&gt;0,J141/$J$3,0))</f>
        <v/>
      </c>
      <c r="O141" s="141" t="str">
        <f>IF(C141="","",'03 Ações BR'!I144)</f>
        <v/>
      </c>
      <c r="P141" s="147" t="str">
        <f>IF(C141="","",IF(N(J141)&gt;0,J141+ROW()/1E9,""))</f>
        <v/>
      </c>
      <c r="Q141" s="147" t="str">
        <f>IF(C141="","",IF(N(M141)&gt;0,M141+ROW()/1E9,""))</f>
        <v/>
      </c>
    </row>
    <row r="142">
      <c r="A142" s="134" t="str">
        <f>IF(C142="","","Ações")</f>
        <v/>
      </c>
      <c r="B142" s="134" t="str">
        <f>IF(C142="","","Brasil")</f>
        <v/>
      </c>
      <c r="C142" s="134" t="str">
        <f>IF('03 Ações BR'!A145="","",'03 Ações BR'!A145&amp;"")</f>
        <v/>
      </c>
      <c r="D142" s="134" t="str">
        <f>IF(C142="","",'03 Ações BR'!B145&amp;"")</f>
        <v/>
      </c>
      <c r="E142" s="134" t="str">
        <f>IF(C142="","",'03 Ações BR'!C145&amp;"")</f>
        <v/>
      </c>
      <c r="F142" s="134" t="str">
        <f>IF(C142="","",'03 Ações BR'!V145)</f>
        <v/>
      </c>
      <c r="G142" s="135" t="str">
        <f>IF(C142="","",'03 Ações BR'!E145)</f>
        <v/>
      </c>
      <c r="H142" s="136" t="str">
        <f>IF(C142="","",'03 Ações BR'!H145)</f>
        <v/>
      </c>
      <c r="I142" s="137" t="str">
        <f>IF(C142="","",'03 Ações BR'!J145)</f>
        <v/>
      </c>
      <c r="J142" s="138" t="str">
        <f>IF(C142="","",'03 Ações BR'!K145)</f>
        <v/>
      </c>
      <c r="K142" s="138" t="str">
        <f>IF(C142="","",'03 Ações BR'!Q145)</f>
        <v/>
      </c>
      <c r="L142" s="135" t="str">
        <f>IF(C142="","",'03 Ações BR'!R145)</f>
        <v/>
      </c>
      <c r="M142" s="138" t="str">
        <f>IF(C142="","",'03 Ações BR'!T145)</f>
        <v/>
      </c>
      <c r="N142" s="139" t="str">
        <f>IF(C142="","",IF($J$3&gt;0,J142/$J$3,0))</f>
        <v/>
      </c>
      <c r="O142" s="134" t="str">
        <f>IF(C142="","",'03 Ações BR'!I145)</f>
        <v/>
      </c>
      <c r="P142" s="140" t="str">
        <f>IF(C142="","",IF(N(J142)&gt;0,J142+ROW()/1E9,""))</f>
        <v/>
      </c>
      <c r="Q142" s="140" t="str">
        <f>IF(C142="","",IF(N(M142)&gt;0,M142+ROW()/1E9,""))</f>
        <v/>
      </c>
    </row>
    <row r="143">
      <c r="A143" s="141" t="str">
        <f>IF(C143="","","Ações")</f>
        <v/>
      </c>
      <c r="B143" s="141" t="str">
        <f>IF(C143="","","Brasil")</f>
        <v/>
      </c>
      <c r="C143" s="141" t="str">
        <f>IF('03 Ações BR'!A146="","",'03 Ações BR'!A146&amp;"")</f>
        <v/>
      </c>
      <c r="D143" s="141" t="str">
        <f>IF(C143="","",'03 Ações BR'!B146&amp;"")</f>
        <v/>
      </c>
      <c r="E143" s="141" t="str">
        <f>IF(C143="","",'03 Ações BR'!C146&amp;"")</f>
        <v/>
      </c>
      <c r="F143" s="141" t="str">
        <f>IF(C143="","",'03 Ações BR'!V146)</f>
        <v/>
      </c>
      <c r="G143" s="142" t="str">
        <f>IF(C143="","",'03 Ações BR'!E146)</f>
        <v/>
      </c>
      <c r="H143" s="143" t="str">
        <f>IF(C143="","",'03 Ações BR'!H146)</f>
        <v/>
      </c>
      <c r="I143" s="144" t="str">
        <f>IF(C143="","",'03 Ações BR'!J146)</f>
        <v/>
      </c>
      <c r="J143" s="145" t="str">
        <f>IF(C143="","",'03 Ações BR'!K146)</f>
        <v/>
      </c>
      <c r="K143" s="145" t="str">
        <f>IF(C143="","",'03 Ações BR'!Q146)</f>
        <v/>
      </c>
      <c r="L143" s="142" t="str">
        <f>IF(C143="","",'03 Ações BR'!R146)</f>
        <v/>
      </c>
      <c r="M143" s="145" t="str">
        <f>IF(C143="","",'03 Ações BR'!T146)</f>
        <v/>
      </c>
      <c r="N143" s="146" t="str">
        <f>IF(C143="","",IF($J$3&gt;0,J143/$J$3,0))</f>
        <v/>
      </c>
      <c r="O143" s="141" t="str">
        <f>IF(C143="","",'03 Ações BR'!I146)</f>
        <v/>
      </c>
      <c r="P143" s="147" t="str">
        <f>IF(C143="","",IF(N(J143)&gt;0,J143+ROW()/1E9,""))</f>
        <v/>
      </c>
      <c r="Q143" s="147" t="str">
        <f>IF(C143="","",IF(N(M143)&gt;0,M143+ROW()/1E9,""))</f>
        <v/>
      </c>
    </row>
    <row r="144">
      <c r="A144" s="134" t="str">
        <f>IF(C144="","","Ações")</f>
        <v/>
      </c>
      <c r="B144" s="134" t="str">
        <f>IF(C144="","","Brasil")</f>
        <v/>
      </c>
      <c r="C144" s="134" t="str">
        <f>IF('03 Ações BR'!A147="","",'03 Ações BR'!A147&amp;"")</f>
        <v/>
      </c>
      <c r="D144" s="134" t="str">
        <f>IF(C144="","",'03 Ações BR'!B147&amp;"")</f>
        <v/>
      </c>
      <c r="E144" s="134" t="str">
        <f>IF(C144="","",'03 Ações BR'!C147&amp;"")</f>
        <v/>
      </c>
      <c r="F144" s="134" t="str">
        <f>IF(C144="","",'03 Ações BR'!V147)</f>
        <v/>
      </c>
      <c r="G144" s="135" t="str">
        <f>IF(C144="","",'03 Ações BR'!E147)</f>
        <v/>
      </c>
      <c r="H144" s="136" t="str">
        <f>IF(C144="","",'03 Ações BR'!H147)</f>
        <v/>
      </c>
      <c r="I144" s="137" t="str">
        <f>IF(C144="","",'03 Ações BR'!J147)</f>
        <v/>
      </c>
      <c r="J144" s="138" t="str">
        <f>IF(C144="","",'03 Ações BR'!K147)</f>
        <v/>
      </c>
      <c r="K144" s="138" t="str">
        <f>IF(C144="","",'03 Ações BR'!Q147)</f>
        <v/>
      </c>
      <c r="L144" s="135" t="str">
        <f>IF(C144="","",'03 Ações BR'!R147)</f>
        <v/>
      </c>
      <c r="M144" s="138" t="str">
        <f>IF(C144="","",'03 Ações BR'!T147)</f>
        <v/>
      </c>
      <c r="N144" s="139" t="str">
        <f>IF(C144="","",IF($J$3&gt;0,J144/$J$3,0))</f>
        <v/>
      </c>
      <c r="O144" s="134" t="str">
        <f>IF(C144="","",'03 Ações BR'!I147)</f>
        <v/>
      </c>
      <c r="P144" s="140" t="str">
        <f>IF(C144="","",IF(N(J144)&gt;0,J144+ROW()/1E9,""))</f>
        <v/>
      </c>
      <c r="Q144" s="140" t="str">
        <f>IF(C144="","",IF(N(M144)&gt;0,M144+ROW()/1E9,""))</f>
        <v/>
      </c>
    </row>
    <row r="145">
      <c r="A145" s="141" t="str">
        <f>IF(C145="","","Ações")</f>
        <v/>
      </c>
      <c r="B145" s="141" t="str">
        <f>IF(C145="","","Brasil")</f>
        <v/>
      </c>
      <c r="C145" s="141" t="str">
        <f>IF('03 Ações BR'!A148="","",'03 Ações BR'!A148&amp;"")</f>
        <v/>
      </c>
      <c r="D145" s="141" t="str">
        <f>IF(C145="","",'03 Ações BR'!B148&amp;"")</f>
        <v/>
      </c>
      <c r="E145" s="141" t="str">
        <f>IF(C145="","",'03 Ações BR'!C148&amp;"")</f>
        <v/>
      </c>
      <c r="F145" s="141" t="str">
        <f>IF(C145="","",'03 Ações BR'!V148)</f>
        <v/>
      </c>
      <c r="G145" s="142" t="str">
        <f>IF(C145="","",'03 Ações BR'!E148)</f>
        <v/>
      </c>
      <c r="H145" s="143" t="str">
        <f>IF(C145="","",'03 Ações BR'!H148)</f>
        <v/>
      </c>
      <c r="I145" s="144" t="str">
        <f>IF(C145="","",'03 Ações BR'!J148)</f>
        <v/>
      </c>
      <c r="J145" s="145" t="str">
        <f>IF(C145="","",'03 Ações BR'!K148)</f>
        <v/>
      </c>
      <c r="K145" s="145" t="str">
        <f>IF(C145="","",'03 Ações BR'!Q148)</f>
        <v/>
      </c>
      <c r="L145" s="142" t="str">
        <f>IF(C145="","",'03 Ações BR'!R148)</f>
        <v/>
      </c>
      <c r="M145" s="145" t="str">
        <f>IF(C145="","",'03 Ações BR'!T148)</f>
        <v/>
      </c>
      <c r="N145" s="146" t="str">
        <f>IF(C145="","",IF($J$3&gt;0,J145/$J$3,0))</f>
        <v/>
      </c>
      <c r="O145" s="141" t="str">
        <f>IF(C145="","",'03 Ações BR'!I148)</f>
        <v/>
      </c>
      <c r="P145" s="147" t="str">
        <f>IF(C145="","",IF(N(J145)&gt;0,J145+ROW()/1E9,""))</f>
        <v/>
      </c>
      <c r="Q145" s="147" t="str">
        <f>IF(C145="","",IF(N(M145)&gt;0,M145+ROW()/1E9,""))</f>
        <v/>
      </c>
    </row>
    <row r="146">
      <c r="A146" s="134" t="str">
        <f>IF(C146="","","Ações")</f>
        <v/>
      </c>
      <c r="B146" s="134" t="str">
        <f>IF(C146="","","Brasil")</f>
        <v/>
      </c>
      <c r="C146" s="134" t="str">
        <f>IF('03 Ações BR'!A149="","",'03 Ações BR'!A149&amp;"")</f>
        <v/>
      </c>
      <c r="D146" s="134" t="str">
        <f>IF(C146="","",'03 Ações BR'!B149&amp;"")</f>
        <v/>
      </c>
      <c r="E146" s="134" t="str">
        <f>IF(C146="","",'03 Ações BR'!C149&amp;"")</f>
        <v/>
      </c>
      <c r="F146" s="134" t="str">
        <f>IF(C146="","",'03 Ações BR'!V149)</f>
        <v/>
      </c>
      <c r="G146" s="135" t="str">
        <f>IF(C146="","",'03 Ações BR'!E149)</f>
        <v/>
      </c>
      <c r="H146" s="136" t="str">
        <f>IF(C146="","",'03 Ações BR'!H149)</f>
        <v/>
      </c>
      <c r="I146" s="137" t="str">
        <f>IF(C146="","",'03 Ações BR'!J149)</f>
        <v/>
      </c>
      <c r="J146" s="138" t="str">
        <f>IF(C146="","",'03 Ações BR'!K149)</f>
        <v/>
      </c>
      <c r="K146" s="138" t="str">
        <f>IF(C146="","",'03 Ações BR'!Q149)</f>
        <v/>
      </c>
      <c r="L146" s="135" t="str">
        <f>IF(C146="","",'03 Ações BR'!R149)</f>
        <v/>
      </c>
      <c r="M146" s="138" t="str">
        <f>IF(C146="","",'03 Ações BR'!T149)</f>
        <v/>
      </c>
      <c r="N146" s="139" t="str">
        <f>IF(C146="","",IF($J$3&gt;0,J146/$J$3,0))</f>
        <v/>
      </c>
      <c r="O146" s="134" t="str">
        <f>IF(C146="","",'03 Ações BR'!I149)</f>
        <v/>
      </c>
      <c r="P146" s="140" t="str">
        <f>IF(C146="","",IF(N(J146)&gt;0,J146+ROW()/1E9,""))</f>
        <v/>
      </c>
      <c r="Q146" s="140" t="str">
        <f>IF(C146="","",IF(N(M146)&gt;0,M146+ROW()/1E9,""))</f>
        <v/>
      </c>
    </row>
    <row r="147">
      <c r="A147" s="141" t="str">
        <f>IF(C147="","","Ações")</f>
        <v/>
      </c>
      <c r="B147" s="141" t="str">
        <f>IF(C147="","","Brasil")</f>
        <v/>
      </c>
      <c r="C147" s="141" t="str">
        <f>IF('03 Ações BR'!A150="","",'03 Ações BR'!A150&amp;"")</f>
        <v/>
      </c>
      <c r="D147" s="141" t="str">
        <f>IF(C147="","",'03 Ações BR'!B150&amp;"")</f>
        <v/>
      </c>
      <c r="E147" s="141" t="str">
        <f>IF(C147="","",'03 Ações BR'!C150&amp;"")</f>
        <v/>
      </c>
      <c r="F147" s="141" t="str">
        <f>IF(C147="","",'03 Ações BR'!V150)</f>
        <v/>
      </c>
      <c r="G147" s="142" t="str">
        <f>IF(C147="","",'03 Ações BR'!E150)</f>
        <v/>
      </c>
      <c r="H147" s="143" t="str">
        <f>IF(C147="","",'03 Ações BR'!H150)</f>
        <v/>
      </c>
      <c r="I147" s="144" t="str">
        <f>IF(C147="","",'03 Ações BR'!J150)</f>
        <v/>
      </c>
      <c r="J147" s="145" t="str">
        <f>IF(C147="","",'03 Ações BR'!K150)</f>
        <v/>
      </c>
      <c r="K147" s="145" t="str">
        <f>IF(C147="","",'03 Ações BR'!Q150)</f>
        <v/>
      </c>
      <c r="L147" s="142" t="str">
        <f>IF(C147="","",'03 Ações BR'!R150)</f>
        <v/>
      </c>
      <c r="M147" s="145" t="str">
        <f>IF(C147="","",'03 Ações BR'!T150)</f>
        <v/>
      </c>
      <c r="N147" s="146" t="str">
        <f>IF(C147="","",IF($J$3&gt;0,J147/$J$3,0))</f>
        <v/>
      </c>
      <c r="O147" s="141" t="str">
        <f>IF(C147="","",'03 Ações BR'!I150)</f>
        <v/>
      </c>
      <c r="P147" s="147" t="str">
        <f>IF(C147="","",IF(N(J147)&gt;0,J147+ROW()/1E9,""))</f>
        <v/>
      </c>
      <c r="Q147" s="147" t="str">
        <f>IF(C147="","",IF(N(M147)&gt;0,M147+ROW()/1E9,""))</f>
        <v/>
      </c>
    </row>
    <row r="148">
      <c r="A148" s="134" t="str">
        <f>IF(C148="","","Ações")</f>
        <v/>
      </c>
      <c r="B148" s="134" t="str">
        <f>IF(C148="","","Brasil")</f>
        <v/>
      </c>
      <c r="C148" s="134" t="str">
        <f>IF('03 Ações BR'!A151="","",'03 Ações BR'!A151&amp;"")</f>
        <v/>
      </c>
      <c r="D148" s="134" t="str">
        <f>IF(C148="","",'03 Ações BR'!B151&amp;"")</f>
        <v/>
      </c>
      <c r="E148" s="134" t="str">
        <f>IF(C148="","",'03 Ações BR'!C151&amp;"")</f>
        <v/>
      </c>
      <c r="F148" s="134" t="str">
        <f>IF(C148="","",'03 Ações BR'!V151)</f>
        <v/>
      </c>
      <c r="G148" s="135" t="str">
        <f>IF(C148="","",'03 Ações BR'!E151)</f>
        <v/>
      </c>
      <c r="H148" s="136" t="str">
        <f>IF(C148="","",'03 Ações BR'!H151)</f>
        <v/>
      </c>
      <c r="I148" s="137" t="str">
        <f>IF(C148="","",'03 Ações BR'!J151)</f>
        <v/>
      </c>
      <c r="J148" s="138" t="str">
        <f>IF(C148="","",'03 Ações BR'!K151)</f>
        <v/>
      </c>
      <c r="K148" s="138" t="str">
        <f>IF(C148="","",'03 Ações BR'!Q151)</f>
        <v/>
      </c>
      <c r="L148" s="135" t="str">
        <f>IF(C148="","",'03 Ações BR'!R151)</f>
        <v/>
      </c>
      <c r="M148" s="138" t="str">
        <f>IF(C148="","",'03 Ações BR'!T151)</f>
        <v/>
      </c>
      <c r="N148" s="139" t="str">
        <f>IF(C148="","",IF($J$3&gt;0,J148/$J$3,0))</f>
        <v/>
      </c>
      <c r="O148" s="134" t="str">
        <f>IF(C148="","",'03 Ações BR'!I151)</f>
        <v/>
      </c>
      <c r="P148" s="140" t="str">
        <f>IF(C148="","",IF(N(J148)&gt;0,J148+ROW()/1E9,""))</f>
        <v/>
      </c>
      <c r="Q148" s="140" t="str">
        <f>IF(C148="","",IF(N(M148)&gt;0,M148+ROW()/1E9,""))</f>
        <v/>
      </c>
    </row>
    <row r="149">
      <c r="A149" s="141" t="str">
        <f>IF(C149="","","Ações")</f>
        <v/>
      </c>
      <c r="B149" s="141" t="str">
        <f>IF(C149="","","Brasil")</f>
        <v/>
      </c>
      <c r="C149" s="141" t="str">
        <f>IF('03 Ações BR'!A152="","",'03 Ações BR'!A152&amp;"")</f>
        <v/>
      </c>
      <c r="D149" s="141" t="str">
        <f>IF(C149="","",'03 Ações BR'!B152&amp;"")</f>
        <v/>
      </c>
      <c r="E149" s="141" t="str">
        <f>IF(C149="","",'03 Ações BR'!C152&amp;"")</f>
        <v/>
      </c>
      <c r="F149" s="141" t="str">
        <f>IF(C149="","",'03 Ações BR'!V152)</f>
        <v/>
      </c>
      <c r="G149" s="142" t="str">
        <f>IF(C149="","",'03 Ações BR'!E152)</f>
        <v/>
      </c>
      <c r="H149" s="143" t="str">
        <f>IF(C149="","",'03 Ações BR'!H152)</f>
        <v/>
      </c>
      <c r="I149" s="144" t="str">
        <f>IF(C149="","",'03 Ações BR'!J152)</f>
        <v/>
      </c>
      <c r="J149" s="145" t="str">
        <f>IF(C149="","",'03 Ações BR'!K152)</f>
        <v/>
      </c>
      <c r="K149" s="145" t="str">
        <f>IF(C149="","",'03 Ações BR'!Q152)</f>
        <v/>
      </c>
      <c r="L149" s="142" t="str">
        <f>IF(C149="","",'03 Ações BR'!R152)</f>
        <v/>
      </c>
      <c r="M149" s="145" t="str">
        <f>IF(C149="","",'03 Ações BR'!T152)</f>
        <v/>
      </c>
      <c r="N149" s="146" t="str">
        <f>IF(C149="","",IF($J$3&gt;0,J149/$J$3,0))</f>
        <v/>
      </c>
      <c r="O149" s="141" t="str">
        <f>IF(C149="","",'03 Ações BR'!I152)</f>
        <v/>
      </c>
      <c r="P149" s="147" t="str">
        <f>IF(C149="","",IF(N(J149)&gt;0,J149+ROW()/1E9,""))</f>
        <v/>
      </c>
      <c r="Q149" s="147" t="str">
        <f>IF(C149="","",IF(N(M149)&gt;0,M149+ROW()/1E9,""))</f>
        <v/>
      </c>
    </row>
    <row r="150">
      <c r="A150" s="134" t="str">
        <f>IF(C150="","","Ações")</f>
        <v/>
      </c>
      <c r="B150" s="134" t="str">
        <f>IF(C150="","","Brasil")</f>
        <v/>
      </c>
      <c r="C150" s="134" t="str">
        <f>IF('03 Ações BR'!A153="","",'03 Ações BR'!A153&amp;"")</f>
        <v/>
      </c>
      <c r="D150" s="134" t="str">
        <f>IF(C150="","",'03 Ações BR'!B153&amp;"")</f>
        <v/>
      </c>
      <c r="E150" s="134" t="str">
        <f>IF(C150="","",'03 Ações BR'!C153&amp;"")</f>
        <v/>
      </c>
      <c r="F150" s="134" t="str">
        <f>IF(C150="","",'03 Ações BR'!V153)</f>
        <v/>
      </c>
      <c r="G150" s="135" t="str">
        <f>IF(C150="","",'03 Ações BR'!E153)</f>
        <v/>
      </c>
      <c r="H150" s="136" t="str">
        <f>IF(C150="","",'03 Ações BR'!H153)</f>
        <v/>
      </c>
      <c r="I150" s="137" t="str">
        <f>IF(C150="","",'03 Ações BR'!J153)</f>
        <v/>
      </c>
      <c r="J150" s="138" t="str">
        <f>IF(C150="","",'03 Ações BR'!K153)</f>
        <v/>
      </c>
      <c r="K150" s="138" t="str">
        <f>IF(C150="","",'03 Ações BR'!Q153)</f>
        <v/>
      </c>
      <c r="L150" s="135" t="str">
        <f>IF(C150="","",'03 Ações BR'!R153)</f>
        <v/>
      </c>
      <c r="M150" s="138" t="str">
        <f>IF(C150="","",'03 Ações BR'!T153)</f>
        <v/>
      </c>
      <c r="N150" s="139" t="str">
        <f>IF(C150="","",IF($J$3&gt;0,J150/$J$3,0))</f>
        <v/>
      </c>
      <c r="O150" s="134" t="str">
        <f>IF(C150="","",'03 Ações BR'!I153)</f>
        <v/>
      </c>
      <c r="P150" s="140" t="str">
        <f>IF(C150="","",IF(N(J150)&gt;0,J150+ROW()/1E9,""))</f>
        <v/>
      </c>
      <c r="Q150" s="140" t="str">
        <f>IF(C150="","",IF(N(M150)&gt;0,M150+ROW()/1E9,""))</f>
        <v/>
      </c>
    </row>
    <row r="151">
      <c r="A151" s="141" t="str">
        <f>IF(C151="","","Ações")</f>
        <v/>
      </c>
      <c r="B151" s="141" t="str">
        <f>IF(C151="","","Brasil")</f>
        <v/>
      </c>
      <c r="C151" s="141" t="str">
        <f>IF('03 Ações BR'!A154="","",'03 Ações BR'!A154&amp;"")</f>
        <v/>
      </c>
      <c r="D151" s="141" t="str">
        <f>IF(C151="","",'03 Ações BR'!B154&amp;"")</f>
        <v/>
      </c>
      <c r="E151" s="141" t="str">
        <f>IF(C151="","",'03 Ações BR'!C154&amp;"")</f>
        <v/>
      </c>
      <c r="F151" s="141" t="str">
        <f>IF(C151="","",'03 Ações BR'!V154)</f>
        <v/>
      </c>
      <c r="G151" s="142" t="str">
        <f>IF(C151="","",'03 Ações BR'!E154)</f>
        <v/>
      </c>
      <c r="H151" s="143" t="str">
        <f>IF(C151="","",'03 Ações BR'!H154)</f>
        <v/>
      </c>
      <c r="I151" s="144" t="str">
        <f>IF(C151="","",'03 Ações BR'!J154)</f>
        <v/>
      </c>
      <c r="J151" s="145" t="str">
        <f>IF(C151="","",'03 Ações BR'!K154)</f>
        <v/>
      </c>
      <c r="K151" s="145" t="str">
        <f>IF(C151="","",'03 Ações BR'!Q154)</f>
        <v/>
      </c>
      <c r="L151" s="142" t="str">
        <f>IF(C151="","",'03 Ações BR'!R154)</f>
        <v/>
      </c>
      <c r="M151" s="145" t="str">
        <f>IF(C151="","",'03 Ações BR'!T154)</f>
        <v/>
      </c>
      <c r="N151" s="146" t="str">
        <f>IF(C151="","",IF($J$3&gt;0,J151/$J$3,0))</f>
        <v/>
      </c>
      <c r="O151" s="141" t="str">
        <f>IF(C151="","",'03 Ações BR'!I154)</f>
        <v/>
      </c>
      <c r="P151" s="147" t="str">
        <f>IF(C151="","",IF(N(J151)&gt;0,J151+ROW()/1E9,""))</f>
        <v/>
      </c>
      <c r="Q151" s="147" t="str">
        <f>IF(C151="","",IF(N(M151)&gt;0,M151+ROW()/1E9,""))</f>
        <v/>
      </c>
    </row>
    <row r="152">
      <c r="A152" s="134" t="str">
        <f>IF(C152="","","Ações")</f>
        <v/>
      </c>
      <c r="B152" s="134" t="str">
        <f>IF(C152="","","Brasil")</f>
        <v/>
      </c>
      <c r="C152" s="134" t="str">
        <f>IF('03 Ações BR'!A155="","",'03 Ações BR'!A155&amp;"")</f>
        <v/>
      </c>
      <c r="D152" s="134" t="str">
        <f>IF(C152="","",'03 Ações BR'!B155&amp;"")</f>
        <v/>
      </c>
      <c r="E152" s="134" t="str">
        <f>IF(C152="","",'03 Ações BR'!C155&amp;"")</f>
        <v/>
      </c>
      <c r="F152" s="134" t="str">
        <f>IF(C152="","",'03 Ações BR'!V155)</f>
        <v/>
      </c>
      <c r="G152" s="135" t="str">
        <f>IF(C152="","",'03 Ações BR'!E155)</f>
        <v/>
      </c>
      <c r="H152" s="136" t="str">
        <f>IF(C152="","",'03 Ações BR'!H155)</f>
        <v/>
      </c>
      <c r="I152" s="137" t="str">
        <f>IF(C152="","",'03 Ações BR'!J155)</f>
        <v/>
      </c>
      <c r="J152" s="138" t="str">
        <f>IF(C152="","",'03 Ações BR'!K155)</f>
        <v/>
      </c>
      <c r="K152" s="138" t="str">
        <f>IF(C152="","",'03 Ações BR'!Q155)</f>
        <v/>
      </c>
      <c r="L152" s="135" t="str">
        <f>IF(C152="","",'03 Ações BR'!R155)</f>
        <v/>
      </c>
      <c r="M152" s="138" t="str">
        <f>IF(C152="","",'03 Ações BR'!T155)</f>
        <v/>
      </c>
      <c r="N152" s="139" t="str">
        <f>IF(C152="","",IF($J$3&gt;0,J152/$J$3,0))</f>
        <v/>
      </c>
      <c r="O152" s="134" t="str">
        <f>IF(C152="","",'03 Ações BR'!I155)</f>
        <v/>
      </c>
      <c r="P152" s="140" t="str">
        <f>IF(C152="","",IF(N(J152)&gt;0,J152+ROW()/1E9,""))</f>
        <v/>
      </c>
      <c r="Q152" s="140" t="str">
        <f>IF(C152="","",IF(N(M152)&gt;0,M152+ROW()/1E9,""))</f>
        <v/>
      </c>
    </row>
    <row r="153">
      <c r="A153" s="141" t="str">
        <f>IF(C153="","","Ações")</f>
        <v/>
      </c>
      <c r="B153" s="141" t="str">
        <f>IF(C153="","","Brasil")</f>
        <v/>
      </c>
      <c r="C153" s="141" t="str">
        <f>IF('03 Ações BR'!A156="","",'03 Ações BR'!A156&amp;"")</f>
        <v/>
      </c>
      <c r="D153" s="141" t="str">
        <f>IF(C153="","",'03 Ações BR'!B156&amp;"")</f>
        <v/>
      </c>
      <c r="E153" s="141" t="str">
        <f>IF(C153="","",'03 Ações BR'!C156&amp;"")</f>
        <v/>
      </c>
      <c r="F153" s="141" t="str">
        <f>IF(C153="","",'03 Ações BR'!V156)</f>
        <v/>
      </c>
      <c r="G153" s="142" t="str">
        <f>IF(C153="","",'03 Ações BR'!E156)</f>
        <v/>
      </c>
      <c r="H153" s="143" t="str">
        <f>IF(C153="","",'03 Ações BR'!H156)</f>
        <v/>
      </c>
      <c r="I153" s="144" t="str">
        <f>IF(C153="","",'03 Ações BR'!J156)</f>
        <v/>
      </c>
      <c r="J153" s="145" t="str">
        <f>IF(C153="","",'03 Ações BR'!K156)</f>
        <v/>
      </c>
      <c r="K153" s="145" t="str">
        <f>IF(C153="","",'03 Ações BR'!Q156)</f>
        <v/>
      </c>
      <c r="L153" s="142" t="str">
        <f>IF(C153="","",'03 Ações BR'!R156)</f>
        <v/>
      </c>
      <c r="M153" s="145" t="str">
        <f>IF(C153="","",'03 Ações BR'!T156)</f>
        <v/>
      </c>
      <c r="N153" s="146" t="str">
        <f>IF(C153="","",IF($J$3&gt;0,J153/$J$3,0))</f>
        <v/>
      </c>
      <c r="O153" s="141" t="str">
        <f>IF(C153="","",'03 Ações BR'!I156)</f>
        <v/>
      </c>
      <c r="P153" s="147" t="str">
        <f>IF(C153="","",IF(N(J153)&gt;0,J153+ROW()/1E9,""))</f>
        <v/>
      </c>
      <c r="Q153" s="147" t="str">
        <f>IF(C153="","",IF(N(M153)&gt;0,M153+ROW()/1E9,""))</f>
        <v/>
      </c>
    </row>
    <row r="154">
      <c r="A154" s="134" t="str">
        <f>IF(C154="","","Ações")</f>
        <v/>
      </c>
      <c r="B154" s="134" t="str">
        <f>IF(C154="","","Brasil")</f>
        <v/>
      </c>
      <c r="C154" s="134" t="str">
        <f>IF('03 Ações BR'!A157="","",'03 Ações BR'!A157&amp;"")</f>
        <v/>
      </c>
      <c r="D154" s="134" t="str">
        <f>IF(C154="","",'03 Ações BR'!B157&amp;"")</f>
        <v/>
      </c>
      <c r="E154" s="134" t="str">
        <f>IF(C154="","",'03 Ações BR'!C157&amp;"")</f>
        <v/>
      </c>
      <c r="F154" s="134" t="str">
        <f>IF(C154="","",'03 Ações BR'!V157)</f>
        <v/>
      </c>
      <c r="G154" s="135" t="str">
        <f>IF(C154="","",'03 Ações BR'!E157)</f>
        <v/>
      </c>
      <c r="H154" s="136" t="str">
        <f>IF(C154="","",'03 Ações BR'!H157)</f>
        <v/>
      </c>
      <c r="I154" s="137" t="str">
        <f>IF(C154="","",'03 Ações BR'!J157)</f>
        <v/>
      </c>
      <c r="J154" s="138" t="str">
        <f>IF(C154="","",'03 Ações BR'!K157)</f>
        <v/>
      </c>
      <c r="K154" s="138" t="str">
        <f>IF(C154="","",'03 Ações BR'!Q157)</f>
        <v/>
      </c>
      <c r="L154" s="135" t="str">
        <f>IF(C154="","",'03 Ações BR'!R157)</f>
        <v/>
      </c>
      <c r="M154" s="138" t="str">
        <f>IF(C154="","",'03 Ações BR'!T157)</f>
        <v/>
      </c>
      <c r="N154" s="139" t="str">
        <f>IF(C154="","",IF($J$3&gt;0,J154/$J$3,0))</f>
        <v/>
      </c>
      <c r="O154" s="134" t="str">
        <f>IF(C154="","",'03 Ações BR'!I157)</f>
        <v/>
      </c>
      <c r="P154" s="140" t="str">
        <f>IF(C154="","",IF(N(J154)&gt;0,J154+ROW()/1E9,""))</f>
        <v/>
      </c>
      <c r="Q154" s="140" t="str">
        <f>IF(C154="","",IF(N(M154)&gt;0,M154+ROW()/1E9,""))</f>
        <v/>
      </c>
    </row>
    <row r="155">
      <c r="A155" s="141" t="str">
        <f>IF(C155="","","Ações")</f>
        <v/>
      </c>
      <c r="B155" s="141" t="str">
        <f>IF(C155="","","Brasil")</f>
        <v/>
      </c>
      <c r="C155" s="141" t="str">
        <f>IF('03 Ações BR'!A158="","",'03 Ações BR'!A158&amp;"")</f>
        <v/>
      </c>
      <c r="D155" s="141" t="str">
        <f>IF(C155="","",'03 Ações BR'!B158&amp;"")</f>
        <v/>
      </c>
      <c r="E155" s="141" t="str">
        <f>IF(C155="","",'03 Ações BR'!C158&amp;"")</f>
        <v/>
      </c>
      <c r="F155" s="141" t="str">
        <f>IF(C155="","",'03 Ações BR'!V158)</f>
        <v/>
      </c>
      <c r="G155" s="142" t="str">
        <f>IF(C155="","",'03 Ações BR'!E158)</f>
        <v/>
      </c>
      <c r="H155" s="143" t="str">
        <f>IF(C155="","",'03 Ações BR'!H158)</f>
        <v/>
      </c>
      <c r="I155" s="144" t="str">
        <f>IF(C155="","",'03 Ações BR'!J158)</f>
        <v/>
      </c>
      <c r="J155" s="145" t="str">
        <f>IF(C155="","",'03 Ações BR'!K158)</f>
        <v/>
      </c>
      <c r="K155" s="145" t="str">
        <f>IF(C155="","",'03 Ações BR'!Q158)</f>
        <v/>
      </c>
      <c r="L155" s="142" t="str">
        <f>IF(C155="","",'03 Ações BR'!R158)</f>
        <v/>
      </c>
      <c r="M155" s="145" t="str">
        <f>IF(C155="","",'03 Ações BR'!T158)</f>
        <v/>
      </c>
      <c r="N155" s="146" t="str">
        <f>IF(C155="","",IF($J$3&gt;0,J155/$J$3,0))</f>
        <v/>
      </c>
      <c r="O155" s="141" t="str">
        <f>IF(C155="","",'03 Ações BR'!I158)</f>
        <v/>
      </c>
      <c r="P155" s="147" t="str">
        <f>IF(C155="","",IF(N(J155)&gt;0,J155+ROW()/1E9,""))</f>
        <v/>
      </c>
      <c r="Q155" s="147" t="str">
        <f>IF(C155="","",IF(N(M155)&gt;0,M155+ROW()/1E9,""))</f>
        <v/>
      </c>
    </row>
    <row r="156">
      <c r="A156" s="134" t="str">
        <f>IF(C156="","","Ações")</f>
        <v/>
      </c>
      <c r="B156" s="134" t="str">
        <f>IF(C156="","","Brasil")</f>
        <v/>
      </c>
      <c r="C156" s="134" t="str">
        <f>IF('03 Ações BR'!A159="","",'03 Ações BR'!A159&amp;"")</f>
        <v/>
      </c>
      <c r="D156" s="134" t="str">
        <f>IF(C156="","",'03 Ações BR'!B159&amp;"")</f>
        <v/>
      </c>
      <c r="E156" s="134" t="str">
        <f>IF(C156="","",'03 Ações BR'!C159&amp;"")</f>
        <v/>
      </c>
      <c r="F156" s="134" t="str">
        <f>IF(C156="","",'03 Ações BR'!V159)</f>
        <v/>
      </c>
      <c r="G156" s="135" t="str">
        <f>IF(C156="","",'03 Ações BR'!E159)</f>
        <v/>
      </c>
      <c r="H156" s="136" t="str">
        <f>IF(C156="","",'03 Ações BR'!H159)</f>
        <v/>
      </c>
      <c r="I156" s="137" t="str">
        <f>IF(C156="","",'03 Ações BR'!J159)</f>
        <v/>
      </c>
      <c r="J156" s="138" t="str">
        <f>IF(C156="","",'03 Ações BR'!K159)</f>
        <v/>
      </c>
      <c r="K156" s="138" t="str">
        <f>IF(C156="","",'03 Ações BR'!Q159)</f>
        <v/>
      </c>
      <c r="L156" s="135" t="str">
        <f>IF(C156="","",'03 Ações BR'!R159)</f>
        <v/>
      </c>
      <c r="M156" s="138" t="str">
        <f>IF(C156="","",'03 Ações BR'!T159)</f>
        <v/>
      </c>
      <c r="N156" s="139" t="str">
        <f>IF(C156="","",IF($J$3&gt;0,J156/$J$3,0))</f>
        <v/>
      </c>
      <c r="O156" s="134" t="str">
        <f>IF(C156="","",'03 Ações BR'!I159)</f>
        <v/>
      </c>
      <c r="P156" s="140" t="str">
        <f>IF(C156="","",IF(N(J156)&gt;0,J156+ROW()/1E9,""))</f>
        <v/>
      </c>
      <c r="Q156" s="140" t="str">
        <f>IF(C156="","",IF(N(M156)&gt;0,M156+ROW()/1E9,""))</f>
        <v/>
      </c>
    </row>
    <row r="157">
      <c r="A157" s="141" t="str">
        <f>IF(C157="","","Ações")</f>
        <v/>
      </c>
      <c r="B157" s="141" t="str">
        <f>IF(C157="","","Brasil")</f>
        <v/>
      </c>
      <c r="C157" s="141" t="str">
        <f>IF('03 Ações BR'!A160="","",'03 Ações BR'!A160&amp;"")</f>
        <v/>
      </c>
      <c r="D157" s="141" t="str">
        <f>IF(C157="","",'03 Ações BR'!B160&amp;"")</f>
        <v/>
      </c>
      <c r="E157" s="141" t="str">
        <f>IF(C157="","",'03 Ações BR'!C160&amp;"")</f>
        <v/>
      </c>
      <c r="F157" s="141" t="str">
        <f>IF(C157="","",'03 Ações BR'!V160)</f>
        <v/>
      </c>
      <c r="G157" s="142" t="str">
        <f>IF(C157="","",'03 Ações BR'!E160)</f>
        <v/>
      </c>
      <c r="H157" s="143" t="str">
        <f>IF(C157="","",'03 Ações BR'!H160)</f>
        <v/>
      </c>
      <c r="I157" s="144" t="str">
        <f>IF(C157="","",'03 Ações BR'!J160)</f>
        <v/>
      </c>
      <c r="J157" s="145" t="str">
        <f>IF(C157="","",'03 Ações BR'!K160)</f>
        <v/>
      </c>
      <c r="K157" s="145" t="str">
        <f>IF(C157="","",'03 Ações BR'!Q160)</f>
        <v/>
      </c>
      <c r="L157" s="142" t="str">
        <f>IF(C157="","",'03 Ações BR'!R160)</f>
        <v/>
      </c>
      <c r="M157" s="145" t="str">
        <f>IF(C157="","",'03 Ações BR'!T160)</f>
        <v/>
      </c>
      <c r="N157" s="146" t="str">
        <f>IF(C157="","",IF($J$3&gt;0,J157/$J$3,0))</f>
        <v/>
      </c>
      <c r="O157" s="141" t="str">
        <f>IF(C157="","",'03 Ações BR'!I160)</f>
        <v/>
      </c>
      <c r="P157" s="147" t="str">
        <f>IF(C157="","",IF(N(J157)&gt;0,J157+ROW()/1E9,""))</f>
        <v/>
      </c>
      <c r="Q157" s="147" t="str">
        <f>IF(C157="","",IF(N(M157)&gt;0,M157+ROW()/1E9,""))</f>
        <v/>
      </c>
    </row>
    <row r="158">
      <c r="A158" s="134" t="str">
        <f>IF(C158="","","Ações")</f>
        <v/>
      </c>
      <c r="B158" s="134" t="str">
        <f>IF(C158="","","Brasil")</f>
        <v/>
      </c>
      <c r="C158" s="134" t="str">
        <f>IF('03 Ações BR'!A161="","",'03 Ações BR'!A161&amp;"")</f>
        <v/>
      </c>
      <c r="D158" s="134" t="str">
        <f>IF(C158="","",'03 Ações BR'!B161&amp;"")</f>
        <v/>
      </c>
      <c r="E158" s="134" t="str">
        <f>IF(C158="","",'03 Ações BR'!C161&amp;"")</f>
        <v/>
      </c>
      <c r="F158" s="134" t="str">
        <f>IF(C158="","",'03 Ações BR'!V161)</f>
        <v/>
      </c>
      <c r="G158" s="135" t="str">
        <f>IF(C158="","",'03 Ações BR'!E161)</f>
        <v/>
      </c>
      <c r="H158" s="136" t="str">
        <f>IF(C158="","",'03 Ações BR'!H161)</f>
        <v/>
      </c>
      <c r="I158" s="137" t="str">
        <f>IF(C158="","",'03 Ações BR'!J161)</f>
        <v/>
      </c>
      <c r="J158" s="138" t="str">
        <f>IF(C158="","",'03 Ações BR'!K161)</f>
        <v/>
      </c>
      <c r="K158" s="138" t="str">
        <f>IF(C158="","",'03 Ações BR'!Q161)</f>
        <v/>
      </c>
      <c r="L158" s="135" t="str">
        <f>IF(C158="","",'03 Ações BR'!R161)</f>
        <v/>
      </c>
      <c r="M158" s="138" t="str">
        <f>IF(C158="","",'03 Ações BR'!T161)</f>
        <v/>
      </c>
      <c r="N158" s="139" t="str">
        <f>IF(C158="","",IF($J$3&gt;0,J158/$J$3,0))</f>
        <v/>
      </c>
      <c r="O158" s="134" t="str">
        <f>IF(C158="","",'03 Ações BR'!I161)</f>
        <v/>
      </c>
      <c r="P158" s="140" t="str">
        <f>IF(C158="","",IF(N(J158)&gt;0,J158+ROW()/1E9,""))</f>
        <v/>
      </c>
      <c r="Q158" s="140" t="str">
        <f>IF(C158="","",IF(N(M158)&gt;0,M158+ROW()/1E9,""))</f>
        <v/>
      </c>
    </row>
    <row r="159">
      <c r="A159" s="141" t="str">
        <f>IF(C159="","","Ações")</f>
        <v/>
      </c>
      <c r="B159" s="141" t="str">
        <f>IF(C159="","","Brasil")</f>
        <v/>
      </c>
      <c r="C159" s="141" t="str">
        <f>IF('03 Ações BR'!A162="","",'03 Ações BR'!A162&amp;"")</f>
        <v/>
      </c>
      <c r="D159" s="141" t="str">
        <f>IF(C159="","",'03 Ações BR'!B162&amp;"")</f>
        <v/>
      </c>
      <c r="E159" s="141" t="str">
        <f>IF(C159="","",'03 Ações BR'!C162&amp;"")</f>
        <v/>
      </c>
      <c r="F159" s="141" t="str">
        <f>IF(C159="","",'03 Ações BR'!V162)</f>
        <v/>
      </c>
      <c r="G159" s="142" t="str">
        <f>IF(C159="","",'03 Ações BR'!E162)</f>
        <v/>
      </c>
      <c r="H159" s="143" t="str">
        <f>IF(C159="","",'03 Ações BR'!H162)</f>
        <v/>
      </c>
      <c r="I159" s="144" t="str">
        <f>IF(C159="","",'03 Ações BR'!J162)</f>
        <v/>
      </c>
      <c r="J159" s="145" t="str">
        <f>IF(C159="","",'03 Ações BR'!K162)</f>
        <v/>
      </c>
      <c r="K159" s="145" t="str">
        <f>IF(C159="","",'03 Ações BR'!Q162)</f>
        <v/>
      </c>
      <c r="L159" s="142" t="str">
        <f>IF(C159="","",'03 Ações BR'!R162)</f>
        <v/>
      </c>
      <c r="M159" s="145" t="str">
        <f>IF(C159="","",'03 Ações BR'!T162)</f>
        <v/>
      </c>
      <c r="N159" s="146" t="str">
        <f>IF(C159="","",IF($J$3&gt;0,J159/$J$3,0))</f>
        <v/>
      </c>
      <c r="O159" s="141" t="str">
        <f>IF(C159="","",'03 Ações BR'!I162)</f>
        <v/>
      </c>
      <c r="P159" s="147" t="str">
        <f>IF(C159="","",IF(N(J159)&gt;0,J159+ROW()/1E9,""))</f>
        <v/>
      </c>
      <c r="Q159" s="147" t="str">
        <f>IF(C159="","",IF(N(M159)&gt;0,M159+ROW()/1E9,""))</f>
        <v/>
      </c>
    </row>
    <row r="160">
      <c r="A160" s="134" t="str">
        <f>IF(C160="","","Ações")</f>
        <v/>
      </c>
      <c r="B160" s="134" t="str">
        <f>IF(C160="","","Brasil")</f>
        <v/>
      </c>
      <c r="C160" s="134" t="str">
        <f>IF('03 Ações BR'!A163="","",'03 Ações BR'!A163&amp;"")</f>
        <v/>
      </c>
      <c r="D160" s="134" t="str">
        <f>IF(C160="","",'03 Ações BR'!B163&amp;"")</f>
        <v/>
      </c>
      <c r="E160" s="134" t="str">
        <f>IF(C160="","",'03 Ações BR'!C163&amp;"")</f>
        <v/>
      </c>
      <c r="F160" s="134" t="str">
        <f>IF(C160="","",'03 Ações BR'!V163)</f>
        <v/>
      </c>
      <c r="G160" s="135" t="str">
        <f>IF(C160="","",'03 Ações BR'!E163)</f>
        <v/>
      </c>
      <c r="H160" s="136" t="str">
        <f>IF(C160="","",'03 Ações BR'!H163)</f>
        <v/>
      </c>
      <c r="I160" s="137" t="str">
        <f>IF(C160="","",'03 Ações BR'!J163)</f>
        <v/>
      </c>
      <c r="J160" s="138" t="str">
        <f>IF(C160="","",'03 Ações BR'!K163)</f>
        <v/>
      </c>
      <c r="K160" s="138" t="str">
        <f>IF(C160="","",'03 Ações BR'!Q163)</f>
        <v/>
      </c>
      <c r="L160" s="135" t="str">
        <f>IF(C160="","",'03 Ações BR'!R163)</f>
        <v/>
      </c>
      <c r="M160" s="138" t="str">
        <f>IF(C160="","",'03 Ações BR'!T163)</f>
        <v/>
      </c>
      <c r="N160" s="139" t="str">
        <f>IF(C160="","",IF($J$3&gt;0,J160/$J$3,0))</f>
        <v/>
      </c>
      <c r="O160" s="134" t="str">
        <f>IF(C160="","",'03 Ações BR'!I163)</f>
        <v/>
      </c>
      <c r="P160" s="140" t="str">
        <f>IF(C160="","",IF(N(J160)&gt;0,J160+ROW()/1E9,""))</f>
        <v/>
      </c>
      <c r="Q160" s="140" t="str">
        <f>IF(C160="","",IF(N(M160)&gt;0,M160+ROW()/1E9,""))</f>
        <v/>
      </c>
    </row>
    <row r="161">
      <c r="A161" s="141" t="str">
        <f>IF(C161="","","Ações")</f>
        <v/>
      </c>
      <c r="B161" s="141" t="str">
        <f>IF(C161="","","Brasil")</f>
        <v/>
      </c>
      <c r="C161" s="141" t="str">
        <f>IF('03 Ações BR'!A164="","",'03 Ações BR'!A164&amp;"")</f>
        <v/>
      </c>
      <c r="D161" s="141" t="str">
        <f>IF(C161="","",'03 Ações BR'!B164&amp;"")</f>
        <v/>
      </c>
      <c r="E161" s="141" t="str">
        <f>IF(C161="","",'03 Ações BR'!C164&amp;"")</f>
        <v/>
      </c>
      <c r="F161" s="141" t="str">
        <f>IF(C161="","",'03 Ações BR'!V164)</f>
        <v/>
      </c>
      <c r="G161" s="142" t="str">
        <f>IF(C161="","",'03 Ações BR'!E164)</f>
        <v/>
      </c>
      <c r="H161" s="143" t="str">
        <f>IF(C161="","",'03 Ações BR'!H164)</f>
        <v/>
      </c>
      <c r="I161" s="144" t="str">
        <f>IF(C161="","",'03 Ações BR'!J164)</f>
        <v/>
      </c>
      <c r="J161" s="145" t="str">
        <f>IF(C161="","",'03 Ações BR'!K164)</f>
        <v/>
      </c>
      <c r="K161" s="145" t="str">
        <f>IF(C161="","",'03 Ações BR'!Q164)</f>
        <v/>
      </c>
      <c r="L161" s="142" t="str">
        <f>IF(C161="","",'03 Ações BR'!R164)</f>
        <v/>
      </c>
      <c r="M161" s="145" t="str">
        <f>IF(C161="","",'03 Ações BR'!T164)</f>
        <v/>
      </c>
      <c r="N161" s="146" t="str">
        <f>IF(C161="","",IF($J$3&gt;0,J161/$J$3,0))</f>
        <v/>
      </c>
      <c r="O161" s="141" t="str">
        <f>IF(C161="","",'03 Ações BR'!I164)</f>
        <v/>
      </c>
      <c r="P161" s="147" t="str">
        <f>IF(C161="","",IF(N(J161)&gt;0,J161+ROW()/1E9,""))</f>
        <v/>
      </c>
      <c r="Q161" s="147" t="str">
        <f>IF(C161="","",IF(N(M161)&gt;0,M161+ROW()/1E9,""))</f>
        <v/>
      </c>
    </row>
    <row r="162">
      <c r="A162" s="134" t="str">
        <f>IF(C162="","","Ações")</f>
        <v/>
      </c>
      <c r="B162" s="134" t="str">
        <f>IF(C162="","","Brasil")</f>
        <v/>
      </c>
      <c r="C162" s="134" t="str">
        <f>IF('03 Ações BR'!A165="","",'03 Ações BR'!A165&amp;"")</f>
        <v/>
      </c>
      <c r="D162" s="134" t="str">
        <f>IF(C162="","",'03 Ações BR'!B165&amp;"")</f>
        <v/>
      </c>
      <c r="E162" s="134" t="str">
        <f>IF(C162="","",'03 Ações BR'!C165&amp;"")</f>
        <v/>
      </c>
      <c r="F162" s="134" t="str">
        <f>IF(C162="","",'03 Ações BR'!V165)</f>
        <v/>
      </c>
      <c r="G162" s="135" t="str">
        <f>IF(C162="","",'03 Ações BR'!E165)</f>
        <v/>
      </c>
      <c r="H162" s="136" t="str">
        <f>IF(C162="","",'03 Ações BR'!H165)</f>
        <v/>
      </c>
      <c r="I162" s="137" t="str">
        <f>IF(C162="","",'03 Ações BR'!J165)</f>
        <v/>
      </c>
      <c r="J162" s="138" t="str">
        <f>IF(C162="","",'03 Ações BR'!K165)</f>
        <v/>
      </c>
      <c r="K162" s="138" t="str">
        <f>IF(C162="","",'03 Ações BR'!Q165)</f>
        <v/>
      </c>
      <c r="L162" s="135" t="str">
        <f>IF(C162="","",'03 Ações BR'!R165)</f>
        <v/>
      </c>
      <c r="M162" s="138" t="str">
        <f>IF(C162="","",'03 Ações BR'!T165)</f>
        <v/>
      </c>
      <c r="N162" s="139" t="str">
        <f>IF(C162="","",IF($J$3&gt;0,J162/$J$3,0))</f>
        <v/>
      </c>
      <c r="O162" s="134" t="str">
        <f>IF(C162="","",'03 Ações BR'!I165)</f>
        <v/>
      </c>
      <c r="P162" s="140" t="str">
        <f>IF(C162="","",IF(N(J162)&gt;0,J162+ROW()/1E9,""))</f>
        <v/>
      </c>
      <c r="Q162" s="140" t="str">
        <f>IF(C162="","",IF(N(M162)&gt;0,M162+ROW()/1E9,""))</f>
        <v/>
      </c>
    </row>
    <row r="163">
      <c r="A163" s="141" t="str">
        <f>IF(C163="","","Ações")</f>
        <v/>
      </c>
      <c r="B163" s="141" t="str">
        <f>IF(C163="","","Brasil")</f>
        <v/>
      </c>
      <c r="C163" s="141" t="str">
        <f>IF('03 Ações BR'!A166="","",'03 Ações BR'!A166&amp;"")</f>
        <v/>
      </c>
      <c r="D163" s="141" t="str">
        <f>IF(C163="","",'03 Ações BR'!B166&amp;"")</f>
        <v/>
      </c>
      <c r="E163" s="141" t="str">
        <f>IF(C163="","",'03 Ações BR'!C166&amp;"")</f>
        <v/>
      </c>
      <c r="F163" s="141" t="str">
        <f>IF(C163="","",'03 Ações BR'!V166)</f>
        <v/>
      </c>
      <c r="G163" s="142" t="str">
        <f>IF(C163="","",'03 Ações BR'!E166)</f>
        <v/>
      </c>
      <c r="H163" s="143" t="str">
        <f>IF(C163="","",'03 Ações BR'!H166)</f>
        <v/>
      </c>
      <c r="I163" s="144" t="str">
        <f>IF(C163="","",'03 Ações BR'!J166)</f>
        <v/>
      </c>
      <c r="J163" s="145" t="str">
        <f>IF(C163="","",'03 Ações BR'!K166)</f>
        <v/>
      </c>
      <c r="K163" s="145" t="str">
        <f>IF(C163="","",'03 Ações BR'!Q166)</f>
        <v/>
      </c>
      <c r="L163" s="142" t="str">
        <f>IF(C163="","",'03 Ações BR'!R166)</f>
        <v/>
      </c>
      <c r="M163" s="145" t="str">
        <f>IF(C163="","",'03 Ações BR'!T166)</f>
        <v/>
      </c>
      <c r="N163" s="146" t="str">
        <f>IF(C163="","",IF($J$3&gt;0,J163/$J$3,0))</f>
        <v/>
      </c>
      <c r="O163" s="141" t="str">
        <f>IF(C163="","",'03 Ações BR'!I166)</f>
        <v/>
      </c>
      <c r="P163" s="147" t="str">
        <f>IF(C163="","",IF(N(J163)&gt;0,J163+ROW()/1E9,""))</f>
        <v/>
      </c>
      <c r="Q163" s="147" t="str">
        <f>IF(C163="","",IF(N(M163)&gt;0,M163+ROW()/1E9,""))</f>
        <v/>
      </c>
    </row>
    <row r="164">
      <c r="A164" s="134" t="str">
        <f>IF(C164="","","Ações")</f>
        <v/>
      </c>
      <c r="B164" s="134" t="str">
        <f>IF(C164="","","Brasil")</f>
        <v/>
      </c>
      <c r="C164" s="134" t="str">
        <f>IF('03 Ações BR'!A167="","",'03 Ações BR'!A167&amp;"")</f>
        <v/>
      </c>
      <c r="D164" s="134" t="str">
        <f>IF(C164="","",'03 Ações BR'!B167&amp;"")</f>
        <v/>
      </c>
      <c r="E164" s="134" t="str">
        <f>IF(C164="","",'03 Ações BR'!C167&amp;"")</f>
        <v/>
      </c>
      <c r="F164" s="134" t="str">
        <f>IF(C164="","",'03 Ações BR'!V167)</f>
        <v/>
      </c>
      <c r="G164" s="135" t="str">
        <f>IF(C164="","",'03 Ações BR'!E167)</f>
        <v/>
      </c>
      <c r="H164" s="136" t="str">
        <f>IF(C164="","",'03 Ações BR'!H167)</f>
        <v/>
      </c>
      <c r="I164" s="137" t="str">
        <f>IF(C164="","",'03 Ações BR'!J167)</f>
        <v/>
      </c>
      <c r="J164" s="138" t="str">
        <f>IF(C164="","",'03 Ações BR'!K167)</f>
        <v/>
      </c>
      <c r="K164" s="138" t="str">
        <f>IF(C164="","",'03 Ações BR'!Q167)</f>
        <v/>
      </c>
      <c r="L164" s="135" t="str">
        <f>IF(C164="","",'03 Ações BR'!R167)</f>
        <v/>
      </c>
      <c r="M164" s="138" t="str">
        <f>IF(C164="","",'03 Ações BR'!T167)</f>
        <v/>
      </c>
      <c r="N164" s="139" t="str">
        <f>IF(C164="","",IF($J$3&gt;0,J164/$J$3,0))</f>
        <v/>
      </c>
      <c r="O164" s="134" t="str">
        <f>IF(C164="","",'03 Ações BR'!I167)</f>
        <v/>
      </c>
      <c r="P164" s="140" t="str">
        <f>IF(C164="","",IF(N(J164)&gt;0,J164+ROW()/1E9,""))</f>
        <v/>
      </c>
      <c r="Q164" s="140" t="str">
        <f>IF(C164="","",IF(N(M164)&gt;0,M164+ROW()/1E9,""))</f>
        <v/>
      </c>
    </row>
    <row r="165">
      <c r="A165" s="141" t="str">
        <f>IF(C165="","","Ações")</f>
        <v/>
      </c>
      <c r="B165" s="141" t="str">
        <f>IF(C165="","","Brasil")</f>
        <v/>
      </c>
      <c r="C165" s="141" t="str">
        <f>IF('03 Ações BR'!A168="","",'03 Ações BR'!A168&amp;"")</f>
        <v/>
      </c>
      <c r="D165" s="141" t="str">
        <f>IF(C165="","",'03 Ações BR'!B168&amp;"")</f>
        <v/>
      </c>
      <c r="E165" s="141" t="str">
        <f>IF(C165="","",'03 Ações BR'!C168&amp;"")</f>
        <v/>
      </c>
      <c r="F165" s="141" t="str">
        <f>IF(C165="","",'03 Ações BR'!V168)</f>
        <v/>
      </c>
      <c r="G165" s="142" t="str">
        <f>IF(C165="","",'03 Ações BR'!E168)</f>
        <v/>
      </c>
      <c r="H165" s="143" t="str">
        <f>IF(C165="","",'03 Ações BR'!H168)</f>
        <v/>
      </c>
      <c r="I165" s="144" t="str">
        <f>IF(C165="","",'03 Ações BR'!J168)</f>
        <v/>
      </c>
      <c r="J165" s="145" t="str">
        <f>IF(C165="","",'03 Ações BR'!K168)</f>
        <v/>
      </c>
      <c r="K165" s="145" t="str">
        <f>IF(C165="","",'03 Ações BR'!Q168)</f>
        <v/>
      </c>
      <c r="L165" s="142" t="str">
        <f>IF(C165="","",'03 Ações BR'!R168)</f>
        <v/>
      </c>
      <c r="M165" s="145" t="str">
        <f>IF(C165="","",'03 Ações BR'!T168)</f>
        <v/>
      </c>
      <c r="N165" s="146" t="str">
        <f>IF(C165="","",IF($J$3&gt;0,J165/$J$3,0))</f>
        <v/>
      </c>
      <c r="O165" s="141" t="str">
        <f>IF(C165="","",'03 Ações BR'!I168)</f>
        <v/>
      </c>
      <c r="P165" s="147" t="str">
        <f>IF(C165="","",IF(N(J165)&gt;0,J165+ROW()/1E9,""))</f>
        <v/>
      </c>
      <c r="Q165" s="147" t="str">
        <f>IF(C165="","",IF(N(M165)&gt;0,M165+ROW()/1E9,""))</f>
        <v/>
      </c>
    </row>
    <row r="166">
      <c r="A166" s="134" t="str">
        <f>IF(C166="","","Ações")</f>
        <v/>
      </c>
      <c r="B166" s="134" t="str">
        <f>IF(C166="","","Brasil")</f>
        <v/>
      </c>
      <c r="C166" s="134" t="str">
        <f>IF('03 Ações BR'!A169="","",'03 Ações BR'!A169&amp;"")</f>
        <v/>
      </c>
      <c r="D166" s="134" t="str">
        <f>IF(C166="","",'03 Ações BR'!B169&amp;"")</f>
        <v/>
      </c>
      <c r="E166" s="134" t="str">
        <f>IF(C166="","",'03 Ações BR'!C169&amp;"")</f>
        <v/>
      </c>
      <c r="F166" s="134" t="str">
        <f>IF(C166="","",'03 Ações BR'!V169)</f>
        <v/>
      </c>
      <c r="G166" s="135" t="str">
        <f>IF(C166="","",'03 Ações BR'!E169)</f>
        <v/>
      </c>
      <c r="H166" s="136" t="str">
        <f>IF(C166="","",'03 Ações BR'!H169)</f>
        <v/>
      </c>
      <c r="I166" s="137" t="str">
        <f>IF(C166="","",'03 Ações BR'!J169)</f>
        <v/>
      </c>
      <c r="J166" s="138" t="str">
        <f>IF(C166="","",'03 Ações BR'!K169)</f>
        <v/>
      </c>
      <c r="K166" s="138" t="str">
        <f>IF(C166="","",'03 Ações BR'!Q169)</f>
        <v/>
      </c>
      <c r="L166" s="135" t="str">
        <f>IF(C166="","",'03 Ações BR'!R169)</f>
        <v/>
      </c>
      <c r="M166" s="138" t="str">
        <f>IF(C166="","",'03 Ações BR'!T169)</f>
        <v/>
      </c>
      <c r="N166" s="139" t="str">
        <f>IF(C166="","",IF($J$3&gt;0,J166/$J$3,0))</f>
        <v/>
      </c>
      <c r="O166" s="134" t="str">
        <f>IF(C166="","",'03 Ações BR'!I169)</f>
        <v/>
      </c>
      <c r="P166" s="140" t="str">
        <f>IF(C166="","",IF(N(J166)&gt;0,J166+ROW()/1E9,""))</f>
        <v/>
      </c>
      <c r="Q166" s="140" t="str">
        <f>IF(C166="","",IF(N(M166)&gt;0,M166+ROW()/1E9,""))</f>
        <v/>
      </c>
    </row>
    <row r="167">
      <c r="A167" s="141" t="str">
        <f>IF(C167="","","Ações")</f>
        <v/>
      </c>
      <c r="B167" s="141" t="str">
        <f>IF(C167="","","Brasil")</f>
        <v/>
      </c>
      <c r="C167" s="141" t="str">
        <f>IF('03 Ações BR'!A170="","",'03 Ações BR'!A170&amp;"")</f>
        <v/>
      </c>
      <c r="D167" s="141" t="str">
        <f>IF(C167="","",'03 Ações BR'!B170&amp;"")</f>
        <v/>
      </c>
      <c r="E167" s="141" t="str">
        <f>IF(C167="","",'03 Ações BR'!C170&amp;"")</f>
        <v/>
      </c>
      <c r="F167" s="141" t="str">
        <f>IF(C167="","",'03 Ações BR'!V170)</f>
        <v/>
      </c>
      <c r="G167" s="142" t="str">
        <f>IF(C167="","",'03 Ações BR'!E170)</f>
        <v/>
      </c>
      <c r="H167" s="143" t="str">
        <f>IF(C167="","",'03 Ações BR'!H170)</f>
        <v/>
      </c>
      <c r="I167" s="144" t="str">
        <f>IF(C167="","",'03 Ações BR'!J170)</f>
        <v/>
      </c>
      <c r="J167" s="145" t="str">
        <f>IF(C167="","",'03 Ações BR'!K170)</f>
        <v/>
      </c>
      <c r="K167" s="145" t="str">
        <f>IF(C167="","",'03 Ações BR'!Q170)</f>
        <v/>
      </c>
      <c r="L167" s="142" t="str">
        <f>IF(C167="","",'03 Ações BR'!R170)</f>
        <v/>
      </c>
      <c r="M167" s="145" t="str">
        <f>IF(C167="","",'03 Ações BR'!T170)</f>
        <v/>
      </c>
      <c r="N167" s="146" t="str">
        <f>IF(C167="","",IF($J$3&gt;0,J167/$J$3,0))</f>
        <v/>
      </c>
      <c r="O167" s="141" t="str">
        <f>IF(C167="","",'03 Ações BR'!I170)</f>
        <v/>
      </c>
      <c r="P167" s="147" t="str">
        <f>IF(C167="","",IF(N(J167)&gt;0,J167+ROW()/1E9,""))</f>
        <v/>
      </c>
      <c r="Q167" s="147" t="str">
        <f>IF(C167="","",IF(N(M167)&gt;0,M167+ROW()/1E9,""))</f>
        <v/>
      </c>
    </row>
    <row r="168">
      <c r="A168" s="134" t="str">
        <f>IF(C168="","","Ações")</f>
        <v/>
      </c>
      <c r="B168" s="134" t="str">
        <f>IF(C168="","","Brasil")</f>
        <v/>
      </c>
      <c r="C168" s="134" t="str">
        <f>IF('03 Ações BR'!A171="","",'03 Ações BR'!A171&amp;"")</f>
        <v/>
      </c>
      <c r="D168" s="134" t="str">
        <f>IF(C168="","",'03 Ações BR'!B171&amp;"")</f>
        <v/>
      </c>
      <c r="E168" s="134" t="str">
        <f>IF(C168="","",'03 Ações BR'!C171&amp;"")</f>
        <v/>
      </c>
      <c r="F168" s="134" t="str">
        <f>IF(C168="","",'03 Ações BR'!V171)</f>
        <v/>
      </c>
      <c r="G168" s="135" t="str">
        <f>IF(C168="","",'03 Ações BR'!E171)</f>
        <v/>
      </c>
      <c r="H168" s="136" t="str">
        <f>IF(C168="","",'03 Ações BR'!H171)</f>
        <v/>
      </c>
      <c r="I168" s="137" t="str">
        <f>IF(C168="","",'03 Ações BR'!J171)</f>
        <v/>
      </c>
      <c r="J168" s="138" t="str">
        <f>IF(C168="","",'03 Ações BR'!K171)</f>
        <v/>
      </c>
      <c r="K168" s="138" t="str">
        <f>IF(C168="","",'03 Ações BR'!Q171)</f>
        <v/>
      </c>
      <c r="L168" s="135" t="str">
        <f>IF(C168="","",'03 Ações BR'!R171)</f>
        <v/>
      </c>
      <c r="M168" s="138" t="str">
        <f>IF(C168="","",'03 Ações BR'!T171)</f>
        <v/>
      </c>
      <c r="N168" s="139" t="str">
        <f>IF(C168="","",IF($J$3&gt;0,J168/$J$3,0))</f>
        <v/>
      </c>
      <c r="O168" s="134" t="str">
        <f>IF(C168="","",'03 Ações BR'!I171)</f>
        <v/>
      </c>
      <c r="P168" s="140" t="str">
        <f>IF(C168="","",IF(N(J168)&gt;0,J168+ROW()/1E9,""))</f>
        <v/>
      </c>
      <c r="Q168" s="140" t="str">
        <f>IF(C168="","",IF(N(M168)&gt;0,M168+ROW()/1E9,""))</f>
        <v/>
      </c>
    </row>
    <row r="169">
      <c r="A169" s="141" t="str">
        <f>IF(C169="","","Ações")</f>
        <v/>
      </c>
      <c r="B169" s="141" t="str">
        <f>IF(C169="","","Brasil")</f>
        <v/>
      </c>
      <c r="C169" s="141" t="str">
        <f>IF('03 Ações BR'!A172="","",'03 Ações BR'!A172&amp;"")</f>
        <v/>
      </c>
      <c r="D169" s="141" t="str">
        <f>IF(C169="","",'03 Ações BR'!B172&amp;"")</f>
        <v/>
      </c>
      <c r="E169" s="141" t="str">
        <f>IF(C169="","",'03 Ações BR'!C172&amp;"")</f>
        <v/>
      </c>
      <c r="F169" s="141" t="str">
        <f>IF(C169="","",'03 Ações BR'!V172)</f>
        <v/>
      </c>
      <c r="G169" s="142" t="str">
        <f>IF(C169="","",'03 Ações BR'!E172)</f>
        <v/>
      </c>
      <c r="H169" s="143" t="str">
        <f>IF(C169="","",'03 Ações BR'!H172)</f>
        <v/>
      </c>
      <c r="I169" s="144" t="str">
        <f>IF(C169="","",'03 Ações BR'!J172)</f>
        <v/>
      </c>
      <c r="J169" s="145" t="str">
        <f>IF(C169="","",'03 Ações BR'!K172)</f>
        <v/>
      </c>
      <c r="K169" s="145" t="str">
        <f>IF(C169="","",'03 Ações BR'!Q172)</f>
        <v/>
      </c>
      <c r="L169" s="142" t="str">
        <f>IF(C169="","",'03 Ações BR'!R172)</f>
        <v/>
      </c>
      <c r="M169" s="145" t="str">
        <f>IF(C169="","",'03 Ações BR'!T172)</f>
        <v/>
      </c>
      <c r="N169" s="146" t="str">
        <f>IF(C169="","",IF($J$3&gt;0,J169/$J$3,0))</f>
        <v/>
      </c>
      <c r="O169" s="141" t="str">
        <f>IF(C169="","",'03 Ações BR'!I172)</f>
        <v/>
      </c>
      <c r="P169" s="147" t="str">
        <f>IF(C169="","",IF(N(J169)&gt;0,J169+ROW()/1E9,""))</f>
        <v/>
      </c>
      <c r="Q169" s="147" t="str">
        <f>IF(C169="","",IF(N(M169)&gt;0,M169+ROW()/1E9,""))</f>
        <v/>
      </c>
    </row>
    <row r="170">
      <c r="A170" s="134" t="str">
        <f>IF(C170="","","Ações")</f>
        <v/>
      </c>
      <c r="B170" s="134" t="str">
        <f>IF(C170="","","Brasil")</f>
        <v/>
      </c>
      <c r="C170" s="134" t="str">
        <f>IF('03 Ações BR'!A173="","",'03 Ações BR'!A173&amp;"")</f>
        <v/>
      </c>
      <c r="D170" s="134" t="str">
        <f>IF(C170="","",'03 Ações BR'!B173&amp;"")</f>
        <v/>
      </c>
      <c r="E170" s="134" t="str">
        <f>IF(C170="","",'03 Ações BR'!C173&amp;"")</f>
        <v/>
      </c>
      <c r="F170" s="134" t="str">
        <f>IF(C170="","",'03 Ações BR'!V173)</f>
        <v/>
      </c>
      <c r="G170" s="135" t="str">
        <f>IF(C170="","",'03 Ações BR'!E173)</f>
        <v/>
      </c>
      <c r="H170" s="136" t="str">
        <f>IF(C170="","",'03 Ações BR'!H173)</f>
        <v/>
      </c>
      <c r="I170" s="137" t="str">
        <f>IF(C170="","",'03 Ações BR'!J173)</f>
        <v/>
      </c>
      <c r="J170" s="138" t="str">
        <f>IF(C170="","",'03 Ações BR'!K173)</f>
        <v/>
      </c>
      <c r="K170" s="138" t="str">
        <f>IF(C170="","",'03 Ações BR'!Q173)</f>
        <v/>
      </c>
      <c r="L170" s="135" t="str">
        <f>IF(C170="","",'03 Ações BR'!R173)</f>
        <v/>
      </c>
      <c r="M170" s="138" t="str">
        <f>IF(C170="","",'03 Ações BR'!T173)</f>
        <v/>
      </c>
      <c r="N170" s="139" t="str">
        <f>IF(C170="","",IF($J$3&gt;0,J170/$J$3,0))</f>
        <v/>
      </c>
      <c r="O170" s="134" t="str">
        <f>IF(C170="","",'03 Ações BR'!I173)</f>
        <v/>
      </c>
      <c r="P170" s="140" t="str">
        <f>IF(C170="","",IF(N(J170)&gt;0,J170+ROW()/1E9,""))</f>
        <v/>
      </c>
      <c r="Q170" s="140" t="str">
        <f>IF(C170="","",IF(N(M170)&gt;0,M170+ROW()/1E9,""))</f>
        <v/>
      </c>
    </row>
    <row r="171">
      <c r="A171" s="141" t="str">
        <f>IF(C171="","","Ações")</f>
        <v/>
      </c>
      <c r="B171" s="141" t="str">
        <f>IF(C171="","","Brasil")</f>
        <v/>
      </c>
      <c r="C171" s="141" t="str">
        <f>IF('03 Ações BR'!A174="","",'03 Ações BR'!A174&amp;"")</f>
        <v/>
      </c>
      <c r="D171" s="141" t="str">
        <f>IF(C171="","",'03 Ações BR'!B174&amp;"")</f>
        <v/>
      </c>
      <c r="E171" s="141" t="str">
        <f>IF(C171="","",'03 Ações BR'!C174&amp;"")</f>
        <v/>
      </c>
      <c r="F171" s="141" t="str">
        <f>IF(C171="","",'03 Ações BR'!V174)</f>
        <v/>
      </c>
      <c r="G171" s="142" t="str">
        <f>IF(C171="","",'03 Ações BR'!E174)</f>
        <v/>
      </c>
      <c r="H171" s="143" t="str">
        <f>IF(C171="","",'03 Ações BR'!H174)</f>
        <v/>
      </c>
      <c r="I171" s="144" t="str">
        <f>IF(C171="","",'03 Ações BR'!J174)</f>
        <v/>
      </c>
      <c r="J171" s="145" t="str">
        <f>IF(C171="","",'03 Ações BR'!K174)</f>
        <v/>
      </c>
      <c r="K171" s="145" t="str">
        <f>IF(C171="","",'03 Ações BR'!Q174)</f>
        <v/>
      </c>
      <c r="L171" s="142" t="str">
        <f>IF(C171="","",'03 Ações BR'!R174)</f>
        <v/>
      </c>
      <c r="M171" s="145" t="str">
        <f>IF(C171="","",'03 Ações BR'!T174)</f>
        <v/>
      </c>
      <c r="N171" s="146" t="str">
        <f>IF(C171="","",IF($J$3&gt;0,J171/$J$3,0))</f>
        <v/>
      </c>
      <c r="O171" s="141" t="str">
        <f>IF(C171="","",'03 Ações BR'!I174)</f>
        <v/>
      </c>
      <c r="P171" s="147" t="str">
        <f>IF(C171="","",IF(N(J171)&gt;0,J171+ROW()/1E9,""))</f>
        <v/>
      </c>
      <c r="Q171" s="147" t="str">
        <f>IF(C171="","",IF(N(M171)&gt;0,M171+ROW()/1E9,""))</f>
        <v/>
      </c>
    </row>
    <row r="172">
      <c r="A172" s="134" t="str">
        <f>IF(C172="","","Ações")</f>
        <v/>
      </c>
      <c r="B172" s="134" t="str">
        <f>IF(C172="","","Brasil")</f>
        <v/>
      </c>
      <c r="C172" s="134" t="str">
        <f>IF('03 Ações BR'!A175="","",'03 Ações BR'!A175&amp;"")</f>
        <v/>
      </c>
      <c r="D172" s="134" t="str">
        <f>IF(C172="","",'03 Ações BR'!B175&amp;"")</f>
        <v/>
      </c>
      <c r="E172" s="134" t="str">
        <f>IF(C172="","",'03 Ações BR'!C175&amp;"")</f>
        <v/>
      </c>
      <c r="F172" s="134" t="str">
        <f>IF(C172="","",'03 Ações BR'!V175)</f>
        <v/>
      </c>
      <c r="G172" s="135" t="str">
        <f>IF(C172="","",'03 Ações BR'!E175)</f>
        <v/>
      </c>
      <c r="H172" s="136" t="str">
        <f>IF(C172="","",'03 Ações BR'!H175)</f>
        <v/>
      </c>
      <c r="I172" s="137" t="str">
        <f>IF(C172="","",'03 Ações BR'!J175)</f>
        <v/>
      </c>
      <c r="J172" s="138" t="str">
        <f>IF(C172="","",'03 Ações BR'!K175)</f>
        <v/>
      </c>
      <c r="K172" s="138" t="str">
        <f>IF(C172="","",'03 Ações BR'!Q175)</f>
        <v/>
      </c>
      <c r="L172" s="135" t="str">
        <f>IF(C172="","",'03 Ações BR'!R175)</f>
        <v/>
      </c>
      <c r="M172" s="138" t="str">
        <f>IF(C172="","",'03 Ações BR'!T175)</f>
        <v/>
      </c>
      <c r="N172" s="139" t="str">
        <f>IF(C172="","",IF($J$3&gt;0,J172/$J$3,0))</f>
        <v/>
      </c>
      <c r="O172" s="134" t="str">
        <f>IF(C172="","",'03 Ações BR'!I175)</f>
        <v/>
      </c>
      <c r="P172" s="140" t="str">
        <f>IF(C172="","",IF(N(J172)&gt;0,J172+ROW()/1E9,""))</f>
        <v/>
      </c>
      <c r="Q172" s="140" t="str">
        <f>IF(C172="","",IF(N(M172)&gt;0,M172+ROW()/1E9,""))</f>
        <v/>
      </c>
    </row>
    <row r="173">
      <c r="A173" s="141" t="str">
        <f>IF(C173="","","Ações")</f>
        <v/>
      </c>
      <c r="B173" s="141" t="str">
        <f>IF(C173="","","Brasil")</f>
        <v/>
      </c>
      <c r="C173" s="141" t="str">
        <f>IF('03 Ações BR'!A176="","",'03 Ações BR'!A176&amp;"")</f>
        <v/>
      </c>
      <c r="D173" s="141" t="str">
        <f>IF(C173="","",'03 Ações BR'!B176&amp;"")</f>
        <v/>
      </c>
      <c r="E173" s="141" t="str">
        <f>IF(C173="","",'03 Ações BR'!C176&amp;"")</f>
        <v/>
      </c>
      <c r="F173" s="141" t="str">
        <f>IF(C173="","",'03 Ações BR'!V176)</f>
        <v/>
      </c>
      <c r="G173" s="142" t="str">
        <f>IF(C173="","",'03 Ações BR'!E176)</f>
        <v/>
      </c>
      <c r="H173" s="143" t="str">
        <f>IF(C173="","",'03 Ações BR'!H176)</f>
        <v/>
      </c>
      <c r="I173" s="144" t="str">
        <f>IF(C173="","",'03 Ações BR'!J176)</f>
        <v/>
      </c>
      <c r="J173" s="145" t="str">
        <f>IF(C173="","",'03 Ações BR'!K176)</f>
        <v/>
      </c>
      <c r="K173" s="145" t="str">
        <f>IF(C173="","",'03 Ações BR'!Q176)</f>
        <v/>
      </c>
      <c r="L173" s="142" t="str">
        <f>IF(C173="","",'03 Ações BR'!R176)</f>
        <v/>
      </c>
      <c r="M173" s="145" t="str">
        <f>IF(C173="","",'03 Ações BR'!T176)</f>
        <v/>
      </c>
      <c r="N173" s="146" t="str">
        <f>IF(C173="","",IF($J$3&gt;0,J173/$J$3,0))</f>
        <v/>
      </c>
      <c r="O173" s="141" t="str">
        <f>IF(C173="","",'03 Ações BR'!I176)</f>
        <v/>
      </c>
      <c r="P173" s="147" t="str">
        <f>IF(C173="","",IF(N(J173)&gt;0,J173+ROW()/1E9,""))</f>
        <v/>
      </c>
      <c r="Q173" s="147" t="str">
        <f>IF(C173="","",IF(N(M173)&gt;0,M173+ROW()/1E9,""))</f>
        <v/>
      </c>
    </row>
    <row r="174">
      <c r="A174" s="134" t="str">
        <f>IF(C174="","","Ações")</f>
        <v/>
      </c>
      <c r="B174" s="134" t="str">
        <f>IF(C174="","","Brasil")</f>
        <v/>
      </c>
      <c r="C174" s="134" t="str">
        <f>IF('03 Ações BR'!A177="","",'03 Ações BR'!A177&amp;"")</f>
        <v/>
      </c>
      <c r="D174" s="134" t="str">
        <f>IF(C174="","",'03 Ações BR'!B177&amp;"")</f>
        <v/>
      </c>
      <c r="E174" s="134" t="str">
        <f>IF(C174="","",'03 Ações BR'!C177&amp;"")</f>
        <v/>
      </c>
      <c r="F174" s="134" t="str">
        <f>IF(C174="","",'03 Ações BR'!V177)</f>
        <v/>
      </c>
      <c r="G174" s="135" t="str">
        <f>IF(C174="","",'03 Ações BR'!E177)</f>
        <v/>
      </c>
      <c r="H174" s="136" t="str">
        <f>IF(C174="","",'03 Ações BR'!H177)</f>
        <v/>
      </c>
      <c r="I174" s="137" t="str">
        <f>IF(C174="","",'03 Ações BR'!J177)</f>
        <v/>
      </c>
      <c r="J174" s="138" t="str">
        <f>IF(C174="","",'03 Ações BR'!K177)</f>
        <v/>
      </c>
      <c r="K174" s="138" t="str">
        <f>IF(C174="","",'03 Ações BR'!Q177)</f>
        <v/>
      </c>
      <c r="L174" s="135" t="str">
        <f>IF(C174="","",'03 Ações BR'!R177)</f>
        <v/>
      </c>
      <c r="M174" s="138" t="str">
        <f>IF(C174="","",'03 Ações BR'!T177)</f>
        <v/>
      </c>
      <c r="N174" s="139" t="str">
        <f>IF(C174="","",IF($J$3&gt;0,J174/$J$3,0))</f>
        <v/>
      </c>
      <c r="O174" s="134" t="str">
        <f>IF(C174="","",'03 Ações BR'!I177)</f>
        <v/>
      </c>
      <c r="P174" s="140" t="str">
        <f>IF(C174="","",IF(N(J174)&gt;0,J174+ROW()/1E9,""))</f>
        <v/>
      </c>
      <c r="Q174" s="140" t="str">
        <f>IF(C174="","",IF(N(M174)&gt;0,M174+ROW()/1E9,""))</f>
        <v/>
      </c>
    </row>
    <row r="175">
      <c r="A175" s="141" t="str">
        <f>IF(C175="","","Ações")</f>
        <v/>
      </c>
      <c r="B175" s="141" t="str">
        <f>IF(C175="","","Brasil")</f>
        <v/>
      </c>
      <c r="C175" s="141" t="str">
        <f>IF('03 Ações BR'!A178="","",'03 Ações BR'!A178&amp;"")</f>
        <v/>
      </c>
      <c r="D175" s="141" t="str">
        <f>IF(C175="","",'03 Ações BR'!B178&amp;"")</f>
        <v/>
      </c>
      <c r="E175" s="141" t="str">
        <f>IF(C175="","",'03 Ações BR'!C178&amp;"")</f>
        <v/>
      </c>
      <c r="F175" s="141" t="str">
        <f>IF(C175="","",'03 Ações BR'!V178)</f>
        <v/>
      </c>
      <c r="G175" s="142" t="str">
        <f>IF(C175="","",'03 Ações BR'!E178)</f>
        <v/>
      </c>
      <c r="H175" s="143" t="str">
        <f>IF(C175="","",'03 Ações BR'!H178)</f>
        <v/>
      </c>
      <c r="I175" s="144" t="str">
        <f>IF(C175="","",'03 Ações BR'!J178)</f>
        <v/>
      </c>
      <c r="J175" s="145" t="str">
        <f>IF(C175="","",'03 Ações BR'!K178)</f>
        <v/>
      </c>
      <c r="K175" s="145" t="str">
        <f>IF(C175="","",'03 Ações BR'!Q178)</f>
        <v/>
      </c>
      <c r="L175" s="142" t="str">
        <f>IF(C175="","",'03 Ações BR'!R178)</f>
        <v/>
      </c>
      <c r="M175" s="145" t="str">
        <f>IF(C175="","",'03 Ações BR'!T178)</f>
        <v/>
      </c>
      <c r="N175" s="146" t="str">
        <f>IF(C175="","",IF($J$3&gt;0,J175/$J$3,0))</f>
        <v/>
      </c>
      <c r="O175" s="141" t="str">
        <f>IF(C175="","",'03 Ações BR'!I178)</f>
        <v/>
      </c>
      <c r="P175" s="147" t="str">
        <f>IF(C175="","",IF(N(J175)&gt;0,J175+ROW()/1E9,""))</f>
        <v/>
      </c>
      <c r="Q175" s="147" t="str">
        <f>IF(C175="","",IF(N(M175)&gt;0,M175+ROW()/1E9,""))</f>
        <v/>
      </c>
    </row>
    <row r="176">
      <c r="A176" s="134" t="str">
        <f>IF(C176="","","Ações")</f>
        <v/>
      </c>
      <c r="B176" s="134" t="str">
        <f>IF(C176="","","Brasil")</f>
        <v/>
      </c>
      <c r="C176" s="134" t="str">
        <f>IF('03 Ações BR'!A179="","",'03 Ações BR'!A179&amp;"")</f>
        <v/>
      </c>
      <c r="D176" s="134" t="str">
        <f>IF(C176="","",'03 Ações BR'!B179&amp;"")</f>
        <v/>
      </c>
      <c r="E176" s="134" t="str">
        <f>IF(C176="","",'03 Ações BR'!C179&amp;"")</f>
        <v/>
      </c>
      <c r="F176" s="134" t="str">
        <f>IF(C176="","",'03 Ações BR'!V179)</f>
        <v/>
      </c>
      <c r="G176" s="135" t="str">
        <f>IF(C176="","",'03 Ações BR'!E179)</f>
        <v/>
      </c>
      <c r="H176" s="136" t="str">
        <f>IF(C176="","",'03 Ações BR'!H179)</f>
        <v/>
      </c>
      <c r="I176" s="137" t="str">
        <f>IF(C176="","",'03 Ações BR'!J179)</f>
        <v/>
      </c>
      <c r="J176" s="138" t="str">
        <f>IF(C176="","",'03 Ações BR'!K179)</f>
        <v/>
      </c>
      <c r="K176" s="138" t="str">
        <f>IF(C176="","",'03 Ações BR'!Q179)</f>
        <v/>
      </c>
      <c r="L176" s="135" t="str">
        <f>IF(C176="","",'03 Ações BR'!R179)</f>
        <v/>
      </c>
      <c r="M176" s="138" t="str">
        <f>IF(C176="","",'03 Ações BR'!T179)</f>
        <v/>
      </c>
      <c r="N176" s="139" t="str">
        <f>IF(C176="","",IF($J$3&gt;0,J176/$J$3,0))</f>
        <v/>
      </c>
      <c r="O176" s="134" t="str">
        <f>IF(C176="","",'03 Ações BR'!I179)</f>
        <v/>
      </c>
      <c r="P176" s="140" t="str">
        <f>IF(C176="","",IF(N(J176)&gt;0,J176+ROW()/1E9,""))</f>
        <v/>
      </c>
      <c r="Q176" s="140" t="str">
        <f>IF(C176="","",IF(N(M176)&gt;0,M176+ROW()/1E9,""))</f>
        <v/>
      </c>
    </row>
    <row r="177">
      <c r="A177" s="141" t="str">
        <f>IF(C177="","","Ações")</f>
        <v/>
      </c>
      <c r="B177" s="141" t="str">
        <f>IF(C177="","","Brasil")</f>
        <v/>
      </c>
      <c r="C177" s="141" t="str">
        <f>IF('03 Ações BR'!A180="","",'03 Ações BR'!A180&amp;"")</f>
        <v/>
      </c>
      <c r="D177" s="141" t="str">
        <f>IF(C177="","",'03 Ações BR'!B180&amp;"")</f>
        <v/>
      </c>
      <c r="E177" s="141" t="str">
        <f>IF(C177="","",'03 Ações BR'!C180&amp;"")</f>
        <v/>
      </c>
      <c r="F177" s="141" t="str">
        <f>IF(C177="","",'03 Ações BR'!V180)</f>
        <v/>
      </c>
      <c r="G177" s="142" t="str">
        <f>IF(C177="","",'03 Ações BR'!E180)</f>
        <v/>
      </c>
      <c r="H177" s="143" t="str">
        <f>IF(C177="","",'03 Ações BR'!H180)</f>
        <v/>
      </c>
      <c r="I177" s="144" t="str">
        <f>IF(C177="","",'03 Ações BR'!J180)</f>
        <v/>
      </c>
      <c r="J177" s="145" t="str">
        <f>IF(C177="","",'03 Ações BR'!K180)</f>
        <v/>
      </c>
      <c r="K177" s="145" t="str">
        <f>IF(C177="","",'03 Ações BR'!Q180)</f>
        <v/>
      </c>
      <c r="L177" s="142" t="str">
        <f>IF(C177="","",'03 Ações BR'!R180)</f>
        <v/>
      </c>
      <c r="M177" s="145" t="str">
        <f>IF(C177="","",'03 Ações BR'!T180)</f>
        <v/>
      </c>
      <c r="N177" s="146" t="str">
        <f>IF(C177="","",IF($J$3&gt;0,J177/$J$3,0))</f>
        <v/>
      </c>
      <c r="O177" s="141" t="str">
        <f>IF(C177="","",'03 Ações BR'!I180)</f>
        <v/>
      </c>
      <c r="P177" s="147" t="str">
        <f>IF(C177="","",IF(N(J177)&gt;0,J177+ROW()/1E9,""))</f>
        <v/>
      </c>
      <c r="Q177" s="147" t="str">
        <f>IF(C177="","",IF(N(M177)&gt;0,M177+ROW()/1E9,""))</f>
        <v/>
      </c>
    </row>
    <row r="178">
      <c r="A178" s="134" t="str">
        <f>IF(C178="","","Ações")</f>
        <v/>
      </c>
      <c r="B178" s="134" t="str">
        <f>IF(C178="","","Brasil")</f>
        <v/>
      </c>
      <c r="C178" s="134" t="str">
        <f>IF('03 Ações BR'!A181="","",'03 Ações BR'!A181&amp;"")</f>
        <v/>
      </c>
      <c r="D178" s="134" t="str">
        <f>IF(C178="","",'03 Ações BR'!B181&amp;"")</f>
        <v/>
      </c>
      <c r="E178" s="134" t="str">
        <f>IF(C178="","",'03 Ações BR'!C181&amp;"")</f>
        <v/>
      </c>
      <c r="F178" s="134" t="str">
        <f>IF(C178="","",'03 Ações BR'!V181)</f>
        <v/>
      </c>
      <c r="G178" s="135" t="str">
        <f>IF(C178="","",'03 Ações BR'!E181)</f>
        <v/>
      </c>
      <c r="H178" s="136" t="str">
        <f>IF(C178="","",'03 Ações BR'!H181)</f>
        <v/>
      </c>
      <c r="I178" s="137" t="str">
        <f>IF(C178="","",'03 Ações BR'!J181)</f>
        <v/>
      </c>
      <c r="J178" s="138" t="str">
        <f>IF(C178="","",'03 Ações BR'!K181)</f>
        <v/>
      </c>
      <c r="K178" s="138" t="str">
        <f>IF(C178="","",'03 Ações BR'!Q181)</f>
        <v/>
      </c>
      <c r="L178" s="135" t="str">
        <f>IF(C178="","",'03 Ações BR'!R181)</f>
        <v/>
      </c>
      <c r="M178" s="138" t="str">
        <f>IF(C178="","",'03 Ações BR'!T181)</f>
        <v/>
      </c>
      <c r="N178" s="139" t="str">
        <f>IF(C178="","",IF($J$3&gt;0,J178/$J$3,0))</f>
        <v/>
      </c>
      <c r="O178" s="134" t="str">
        <f>IF(C178="","",'03 Ações BR'!I181)</f>
        <v/>
      </c>
      <c r="P178" s="140" t="str">
        <f>IF(C178="","",IF(N(J178)&gt;0,J178+ROW()/1E9,""))</f>
        <v/>
      </c>
      <c r="Q178" s="140" t="str">
        <f>IF(C178="","",IF(N(M178)&gt;0,M178+ROW()/1E9,""))</f>
        <v/>
      </c>
    </row>
    <row r="179">
      <c r="A179" s="141" t="str">
        <f>IF(C179="","","Ações")</f>
        <v/>
      </c>
      <c r="B179" s="141" t="str">
        <f>IF(C179="","","Brasil")</f>
        <v/>
      </c>
      <c r="C179" s="141" t="str">
        <f>IF('03 Ações BR'!A182="","",'03 Ações BR'!A182&amp;"")</f>
        <v/>
      </c>
      <c r="D179" s="141" t="str">
        <f>IF(C179="","",'03 Ações BR'!B182&amp;"")</f>
        <v/>
      </c>
      <c r="E179" s="141" t="str">
        <f>IF(C179="","",'03 Ações BR'!C182&amp;"")</f>
        <v/>
      </c>
      <c r="F179" s="141" t="str">
        <f>IF(C179="","",'03 Ações BR'!V182)</f>
        <v/>
      </c>
      <c r="G179" s="142" t="str">
        <f>IF(C179="","",'03 Ações BR'!E182)</f>
        <v/>
      </c>
      <c r="H179" s="143" t="str">
        <f>IF(C179="","",'03 Ações BR'!H182)</f>
        <v/>
      </c>
      <c r="I179" s="144" t="str">
        <f>IF(C179="","",'03 Ações BR'!J182)</f>
        <v/>
      </c>
      <c r="J179" s="145" t="str">
        <f>IF(C179="","",'03 Ações BR'!K182)</f>
        <v/>
      </c>
      <c r="K179" s="145" t="str">
        <f>IF(C179="","",'03 Ações BR'!Q182)</f>
        <v/>
      </c>
      <c r="L179" s="142" t="str">
        <f>IF(C179="","",'03 Ações BR'!R182)</f>
        <v/>
      </c>
      <c r="M179" s="145" t="str">
        <f>IF(C179="","",'03 Ações BR'!T182)</f>
        <v/>
      </c>
      <c r="N179" s="146" t="str">
        <f>IF(C179="","",IF($J$3&gt;0,J179/$J$3,0))</f>
        <v/>
      </c>
      <c r="O179" s="141" t="str">
        <f>IF(C179="","",'03 Ações BR'!I182)</f>
        <v/>
      </c>
      <c r="P179" s="147" t="str">
        <f>IF(C179="","",IF(N(J179)&gt;0,J179+ROW()/1E9,""))</f>
        <v/>
      </c>
      <c r="Q179" s="147" t="str">
        <f>IF(C179="","",IF(N(M179)&gt;0,M179+ROW()/1E9,""))</f>
        <v/>
      </c>
    </row>
    <row r="180">
      <c r="A180" s="134" t="str">
        <f>IF(C180="","","Ações")</f>
        <v/>
      </c>
      <c r="B180" s="134" t="str">
        <f>IF(C180="","","Brasil")</f>
        <v/>
      </c>
      <c r="C180" s="134" t="str">
        <f>IF('03 Ações BR'!A183="","",'03 Ações BR'!A183&amp;"")</f>
        <v/>
      </c>
      <c r="D180" s="134" t="str">
        <f>IF(C180="","",'03 Ações BR'!B183&amp;"")</f>
        <v/>
      </c>
      <c r="E180" s="134" t="str">
        <f>IF(C180="","",'03 Ações BR'!C183&amp;"")</f>
        <v/>
      </c>
      <c r="F180" s="134" t="str">
        <f>IF(C180="","",'03 Ações BR'!V183)</f>
        <v/>
      </c>
      <c r="G180" s="135" t="str">
        <f>IF(C180="","",'03 Ações BR'!E183)</f>
        <v/>
      </c>
      <c r="H180" s="136" t="str">
        <f>IF(C180="","",'03 Ações BR'!H183)</f>
        <v/>
      </c>
      <c r="I180" s="137" t="str">
        <f>IF(C180="","",'03 Ações BR'!J183)</f>
        <v/>
      </c>
      <c r="J180" s="138" t="str">
        <f>IF(C180="","",'03 Ações BR'!K183)</f>
        <v/>
      </c>
      <c r="K180" s="138" t="str">
        <f>IF(C180="","",'03 Ações BR'!Q183)</f>
        <v/>
      </c>
      <c r="L180" s="135" t="str">
        <f>IF(C180="","",'03 Ações BR'!R183)</f>
        <v/>
      </c>
      <c r="M180" s="138" t="str">
        <f>IF(C180="","",'03 Ações BR'!T183)</f>
        <v/>
      </c>
      <c r="N180" s="139" t="str">
        <f>IF(C180="","",IF($J$3&gt;0,J180/$J$3,0))</f>
        <v/>
      </c>
      <c r="O180" s="134" t="str">
        <f>IF(C180="","",'03 Ações BR'!I183)</f>
        <v/>
      </c>
      <c r="P180" s="140" t="str">
        <f>IF(C180="","",IF(N(J180)&gt;0,J180+ROW()/1E9,""))</f>
        <v/>
      </c>
      <c r="Q180" s="140" t="str">
        <f>IF(C180="","",IF(N(M180)&gt;0,M180+ROW()/1E9,""))</f>
        <v/>
      </c>
    </row>
    <row r="181">
      <c r="A181" s="141" t="str">
        <f>IF(C181="","","Ações")</f>
        <v/>
      </c>
      <c r="B181" s="141" t="str">
        <f>IF(C181="","","Brasil")</f>
        <v/>
      </c>
      <c r="C181" s="141" t="str">
        <f>IF('03 Ações BR'!A184="","",'03 Ações BR'!A184&amp;"")</f>
        <v/>
      </c>
      <c r="D181" s="141" t="str">
        <f>IF(C181="","",'03 Ações BR'!B184&amp;"")</f>
        <v/>
      </c>
      <c r="E181" s="141" t="str">
        <f>IF(C181="","",'03 Ações BR'!C184&amp;"")</f>
        <v/>
      </c>
      <c r="F181" s="141" t="str">
        <f>IF(C181="","",'03 Ações BR'!V184)</f>
        <v/>
      </c>
      <c r="G181" s="142" t="str">
        <f>IF(C181="","",'03 Ações BR'!E184)</f>
        <v/>
      </c>
      <c r="H181" s="143" t="str">
        <f>IF(C181="","",'03 Ações BR'!H184)</f>
        <v/>
      </c>
      <c r="I181" s="144" t="str">
        <f>IF(C181="","",'03 Ações BR'!J184)</f>
        <v/>
      </c>
      <c r="J181" s="145" t="str">
        <f>IF(C181="","",'03 Ações BR'!K184)</f>
        <v/>
      </c>
      <c r="K181" s="145" t="str">
        <f>IF(C181="","",'03 Ações BR'!Q184)</f>
        <v/>
      </c>
      <c r="L181" s="142" t="str">
        <f>IF(C181="","",'03 Ações BR'!R184)</f>
        <v/>
      </c>
      <c r="M181" s="145" t="str">
        <f>IF(C181="","",'03 Ações BR'!T184)</f>
        <v/>
      </c>
      <c r="N181" s="146" t="str">
        <f>IF(C181="","",IF($J$3&gt;0,J181/$J$3,0))</f>
        <v/>
      </c>
      <c r="O181" s="141" t="str">
        <f>IF(C181="","",'03 Ações BR'!I184)</f>
        <v/>
      </c>
      <c r="P181" s="147" t="str">
        <f>IF(C181="","",IF(N(J181)&gt;0,J181+ROW()/1E9,""))</f>
        <v/>
      </c>
      <c r="Q181" s="147" t="str">
        <f>IF(C181="","",IF(N(M181)&gt;0,M181+ROW()/1E9,""))</f>
        <v/>
      </c>
    </row>
    <row r="182">
      <c r="A182" s="134" t="str">
        <f>IF(C182="","","Ações")</f>
        <v/>
      </c>
      <c r="B182" s="134" t="str">
        <f>IF(C182="","","Brasil")</f>
        <v/>
      </c>
      <c r="C182" s="134" t="str">
        <f>IF('03 Ações BR'!A185="","",'03 Ações BR'!A185&amp;"")</f>
        <v/>
      </c>
      <c r="D182" s="134" t="str">
        <f>IF(C182="","",'03 Ações BR'!B185&amp;"")</f>
        <v/>
      </c>
      <c r="E182" s="134" t="str">
        <f>IF(C182="","",'03 Ações BR'!C185&amp;"")</f>
        <v/>
      </c>
      <c r="F182" s="134" t="str">
        <f>IF(C182="","",'03 Ações BR'!V185)</f>
        <v/>
      </c>
      <c r="G182" s="135" t="str">
        <f>IF(C182="","",'03 Ações BR'!E185)</f>
        <v/>
      </c>
      <c r="H182" s="136" t="str">
        <f>IF(C182="","",'03 Ações BR'!H185)</f>
        <v/>
      </c>
      <c r="I182" s="137" t="str">
        <f>IF(C182="","",'03 Ações BR'!J185)</f>
        <v/>
      </c>
      <c r="J182" s="138" t="str">
        <f>IF(C182="","",'03 Ações BR'!K185)</f>
        <v/>
      </c>
      <c r="K182" s="138" t="str">
        <f>IF(C182="","",'03 Ações BR'!Q185)</f>
        <v/>
      </c>
      <c r="L182" s="135" t="str">
        <f>IF(C182="","",'03 Ações BR'!R185)</f>
        <v/>
      </c>
      <c r="M182" s="138" t="str">
        <f>IF(C182="","",'03 Ações BR'!T185)</f>
        <v/>
      </c>
      <c r="N182" s="139" t="str">
        <f>IF(C182="","",IF($J$3&gt;0,J182/$J$3,0))</f>
        <v/>
      </c>
      <c r="O182" s="134" t="str">
        <f>IF(C182="","",'03 Ações BR'!I185)</f>
        <v/>
      </c>
      <c r="P182" s="140" t="str">
        <f>IF(C182="","",IF(N(J182)&gt;0,J182+ROW()/1E9,""))</f>
        <v/>
      </c>
      <c r="Q182" s="140" t="str">
        <f>IF(C182="","",IF(N(M182)&gt;0,M182+ROW()/1E9,""))</f>
        <v/>
      </c>
    </row>
    <row r="183">
      <c r="A183" s="141" t="str">
        <f>IF(C183="","","Ações")</f>
        <v/>
      </c>
      <c r="B183" s="141" t="str">
        <f>IF(C183="","","Brasil")</f>
        <v/>
      </c>
      <c r="C183" s="141" t="str">
        <f>IF('03 Ações BR'!A186="","",'03 Ações BR'!A186&amp;"")</f>
        <v/>
      </c>
      <c r="D183" s="141" t="str">
        <f>IF(C183="","",'03 Ações BR'!B186&amp;"")</f>
        <v/>
      </c>
      <c r="E183" s="141" t="str">
        <f>IF(C183="","",'03 Ações BR'!C186&amp;"")</f>
        <v/>
      </c>
      <c r="F183" s="141" t="str">
        <f>IF(C183="","",'03 Ações BR'!V186)</f>
        <v/>
      </c>
      <c r="G183" s="142" t="str">
        <f>IF(C183="","",'03 Ações BR'!E186)</f>
        <v/>
      </c>
      <c r="H183" s="143" t="str">
        <f>IF(C183="","",'03 Ações BR'!H186)</f>
        <v/>
      </c>
      <c r="I183" s="144" t="str">
        <f>IF(C183="","",'03 Ações BR'!J186)</f>
        <v/>
      </c>
      <c r="J183" s="145" t="str">
        <f>IF(C183="","",'03 Ações BR'!K186)</f>
        <v/>
      </c>
      <c r="K183" s="145" t="str">
        <f>IF(C183="","",'03 Ações BR'!Q186)</f>
        <v/>
      </c>
      <c r="L183" s="142" t="str">
        <f>IF(C183="","",'03 Ações BR'!R186)</f>
        <v/>
      </c>
      <c r="M183" s="145" t="str">
        <f>IF(C183="","",'03 Ações BR'!T186)</f>
        <v/>
      </c>
      <c r="N183" s="146" t="str">
        <f>IF(C183="","",IF($J$3&gt;0,J183/$J$3,0))</f>
        <v/>
      </c>
      <c r="O183" s="141" t="str">
        <f>IF(C183="","",'03 Ações BR'!I186)</f>
        <v/>
      </c>
      <c r="P183" s="147" t="str">
        <f>IF(C183="","",IF(N(J183)&gt;0,J183+ROW()/1E9,""))</f>
        <v/>
      </c>
      <c r="Q183" s="147" t="str">
        <f>IF(C183="","",IF(N(M183)&gt;0,M183+ROW()/1E9,""))</f>
        <v/>
      </c>
    </row>
    <row r="184">
      <c r="A184" s="134" t="str">
        <f>IF(C184="","","Ações")</f>
        <v/>
      </c>
      <c r="B184" s="134" t="str">
        <f>IF(C184="","","Brasil")</f>
        <v/>
      </c>
      <c r="C184" s="134" t="str">
        <f>IF('03 Ações BR'!A187="","",'03 Ações BR'!A187&amp;"")</f>
        <v/>
      </c>
      <c r="D184" s="134" t="str">
        <f>IF(C184="","",'03 Ações BR'!B187&amp;"")</f>
        <v/>
      </c>
      <c r="E184" s="134" t="str">
        <f>IF(C184="","",'03 Ações BR'!C187&amp;"")</f>
        <v/>
      </c>
      <c r="F184" s="134" t="str">
        <f>IF(C184="","",'03 Ações BR'!V187)</f>
        <v/>
      </c>
      <c r="G184" s="135" t="str">
        <f>IF(C184="","",'03 Ações BR'!E187)</f>
        <v/>
      </c>
      <c r="H184" s="136" t="str">
        <f>IF(C184="","",'03 Ações BR'!H187)</f>
        <v/>
      </c>
      <c r="I184" s="137" t="str">
        <f>IF(C184="","",'03 Ações BR'!J187)</f>
        <v/>
      </c>
      <c r="J184" s="138" t="str">
        <f>IF(C184="","",'03 Ações BR'!K187)</f>
        <v/>
      </c>
      <c r="K184" s="138" t="str">
        <f>IF(C184="","",'03 Ações BR'!Q187)</f>
        <v/>
      </c>
      <c r="L184" s="135" t="str">
        <f>IF(C184="","",'03 Ações BR'!R187)</f>
        <v/>
      </c>
      <c r="M184" s="138" t="str">
        <f>IF(C184="","",'03 Ações BR'!T187)</f>
        <v/>
      </c>
      <c r="N184" s="139" t="str">
        <f>IF(C184="","",IF($J$3&gt;0,J184/$J$3,0))</f>
        <v/>
      </c>
      <c r="O184" s="134" t="str">
        <f>IF(C184="","",'03 Ações BR'!I187)</f>
        <v/>
      </c>
      <c r="P184" s="140" t="str">
        <f>IF(C184="","",IF(N(J184)&gt;0,J184+ROW()/1E9,""))</f>
        <v/>
      </c>
      <c r="Q184" s="140" t="str">
        <f>IF(C184="","",IF(N(M184)&gt;0,M184+ROW()/1E9,""))</f>
        <v/>
      </c>
    </row>
    <row r="185">
      <c r="A185" s="141" t="str">
        <f>IF(C185="","","Ações")</f>
        <v/>
      </c>
      <c r="B185" s="141" t="str">
        <f>IF(C185="","","Brasil")</f>
        <v/>
      </c>
      <c r="C185" s="141" t="str">
        <f>IF('03 Ações BR'!A188="","",'03 Ações BR'!A188&amp;"")</f>
        <v/>
      </c>
      <c r="D185" s="141" t="str">
        <f>IF(C185="","",'03 Ações BR'!B188&amp;"")</f>
        <v/>
      </c>
      <c r="E185" s="141" t="str">
        <f>IF(C185="","",'03 Ações BR'!C188&amp;"")</f>
        <v/>
      </c>
      <c r="F185" s="141" t="str">
        <f>IF(C185="","",'03 Ações BR'!V188)</f>
        <v/>
      </c>
      <c r="G185" s="142" t="str">
        <f>IF(C185="","",'03 Ações BR'!E188)</f>
        <v/>
      </c>
      <c r="H185" s="143" t="str">
        <f>IF(C185="","",'03 Ações BR'!H188)</f>
        <v/>
      </c>
      <c r="I185" s="144" t="str">
        <f>IF(C185="","",'03 Ações BR'!J188)</f>
        <v/>
      </c>
      <c r="J185" s="145" t="str">
        <f>IF(C185="","",'03 Ações BR'!K188)</f>
        <v/>
      </c>
      <c r="K185" s="145" t="str">
        <f>IF(C185="","",'03 Ações BR'!Q188)</f>
        <v/>
      </c>
      <c r="L185" s="142" t="str">
        <f>IF(C185="","",'03 Ações BR'!R188)</f>
        <v/>
      </c>
      <c r="M185" s="145" t="str">
        <f>IF(C185="","",'03 Ações BR'!T188)</f>
        <v/>
      </c>
      <c r="N185" s="146" t="str">
        <f>IF(C185="","",IF($J$3&gt;0,J185/$J$3,0))</f>
        <v/>
      </c>
      <c r="O185" s="141" t="str">
        <f>IF(C185="","",'03 Ações BR'!I188)</f>
        <v/>
      </c>
      <c r="P185" s="147" t="str">
        <f>IF(C185="","",IF(N(J185)&gt;0,J185+ROW()/1E9,""))</f>
        <v/>
      </c>
      <c r="Q185" s="147" t="str">
        <f>IF(C185="","",IF(N(M185)&gt;0,M185+ROW()/1E9,""))</f>
        <v/>
      </c>
    </row>
    <row r="186">
      <c r="A186" s="134" t="str">
        <f>IF(C186="","","Ações")</f>
        <v/>
      </c>
      <c r="B186" s="134" t="str">
        <f>IF(C186="","","Brasil")</f>
        <v/>
      </c>
      <c r="C186" s="134" t="str">
        <f>IF('03 Ações BR'!A189="","",'03 Ações BR'!A189&amp;"")</f>
        <v/>
      </c>
      <c r="D186" s="134" t="str">
        <f>IF(C186="","",'03 Ações BR'!B189&amp;"")</f>
        <v/>
      </c>
      <c r="E186" s="134" t="str">
        <f>IF(C186="","",'03 Ações BR'!C189&amp;"")</f>
        <v/>
      </c>
      <c r="F186" s="134" t="str">
        <f>IF(C186="","",'03 Ações BR'!V189)</f>
        <v/>
      </c>
      <c r="G186" s="135" t="str">
        <f>IF(C186="","",'03 Ações BR'!E189)</f>
        <v/>
      </c>
      <c r="H186" s="136" t="str">
        <f>IF(C186="","",'03 Ações BR'!H189)</f>
        <v/>
      </c>
      <c r="I186" s="137" t="str">
        <f>IF(C186="","",'03 Ações BR'!J189)</f>
        <v/>
      </c>
      <c r="J186" s="138" t="str">
        <f>IF(C186="","",'03 Ações BR'!K189)</f>
        <v/>
      </c>
      <c r="K186" s="138" t="str">
        <f>IF(C186="","",'03 Ações BR'!Q189)</f>
        <v/>
      </c>
      <c r="L186" s="135" t="str">
        <f>IF(C186="","",'03 Ações BR'!R189)</f>
        <v/>
      </c>
      <c r="M186" s="138" t="str">
        <f>IF(C186="","",'03 Ações BR'!T189)</f>
        <v/>
      </c>
      <c r="N186" s="139" t="str">
        <f>IF(C186="","",IF($J$3&gt;0,J186/$J$3,0))</f>
        <v/>
      </c>
      <c r="O186" s="134" t="str">
        <f>IF(C186="","",'03 Ações BR'!I189)</f>
        <v/>
      </c>
      <c r="P186" s="140" t="str">
        <f>IF(C186="","",IF(N(J186)&gt;0,J186+ROW()/1E9,""))</f>
        <v/>
      </c>
      <c r="Q186" s="140" t="str">
        <f>IF(C186="","",IF(N(M186)&gt;0,M186+ROW()/1E9,""))</f>
        <v/>
      </c>
    </row>
    <row r="187">
      <c r="A187" s="141" t="str">
        <f>IF(C187="","","Ações")</f>
        <v/>
      </c>
      <c r="B187" s="141" t="str">
        <f>IF(C187="","","Brasil")</f>
        <v/>
      </c>
      <c r="C187" s="141" t="str">
        <f>IF('03 Ações BR'!A190="","",'03 Ações BR'!A190&amp;"")</f>
        <v/>
      </c>
      <c r="D187" s="141" t="str">
        <f>IF(C187="","",'03 Ações BR'!B190&amp;"")</f>
        <v/>
      </c>
      <c r="E187" s="141" t="str">
        <f>IF(C187="","",'03 Ações BR'!C190&amp;"")</f>
        <v/>
      </c>
      <c r="F187" s="141" t="str">
        <f>IF(C187="","",'03 Ações BR'!V190)</f>
        <v/>
      </c>
      <c r="G187" s="142" t="str">
        <f>IF(C187="","",'03 Ações BR'!E190)</f>
        <v/>
      </c>
      <c r="H187" s="143" t="str">
        <f>IF(C187="","",'03 Ações BR'!H190)</f>
        <v/>
      </c>
      <c r="I187" s="144" t="str">
        <f>IF(C187="","",'03 Ações BR'!J190)</f>
        <v/>
      </c>
      <c r="J187" s="145" t="str">
        <f>IF(C187="","",'03 Ações BR'!K190)</f>
        <v/>
      </c>
      <c r="K187" s="145" t="str">
        <f>IF(C187="","",'03 Ações BR'!Q190)</f>
        <v/>
      </c>
      <c r="L187" s="142" t="str">
        <f>IF(C187="","",'03 Ações BR'!R190)</f>
        <v/>
      </c>
      <c r="M187" s="145" t="str">
        <f>IF(C187="","",'03 Ações BR'!T190)</f>
        <v/>
      </c>
      <c r="N187" s="146" t="str">
        <f>IF(C187="","",IF($J$3&gt;0,J187/$J$3,0))</f>
        <v/>
      </c>
      <c r="O187" s="141" t="str">
        <f>IF(C187="","",'03 Ações BR'!I190)</f>
        <v/>
      </c>
      <c r="P187" s="147" t="str">
        <f>IF(C187="","",IF(N(J187)&gt;0,J187+ROW()/1E9,""))</f>
        <v/>
      </c>
      <c r="Q187" s="147" t="str">
        <f>IF(C187="","",IF(N(M187)&gt;0,M187+ROW()/1E9,""))</f>
        <v/>
      </c>
    </row>
    <row r="188">
      <c r="A188" s="134" t="str">
        <f>IF(C188="","","Ações")</f>
        <v/>
      </c>
      <c r="B188" s="134" t="str">
        <f>IF(C188="","","Brasil")</f>
        <v/>
      </c>
      <c r="C188" s="134" t="str">
        <f>IF('03 Ações BR'!A191="","",'03 Ações BR'!A191&amp;"")</f>
        <v/>
      </c>
      <c r="D188" s="134" t="str">
        <f>IF(C188="","",'03 Ações BR'!B191&amp;"")</f>
        <v/>
      </c>
      <c r="E188" s="134" t="str">
        <f>IF(C188="","",'03 Ações BR'!C191&amp;"")</f>
        <v/>
      </c>
      <c r="F188" s="134" t="str">
        <f>IF(C188="","",'03 Ações BR'!V191)</f>
        <v/>
      </c>
      <c r="G188" s="135" t="str">
        <f>IF(C188="","",'03 Ações BR'!E191)</f>
        <v/>
      </c>
      <c r="H188" s="136" t="str">
        <f>IF(C188="","",'03 Ações BR'!H191)</f>
        <v/>
      </c>
      <c r="I188" s="137" t="str">
        <f>IF(C188="","",'03 Ações BR'!J191)</f>
        <v/>
      </c>
      <c r="J188" s="138" t="str">
        <f>IF(C188="","",'03 Ações BR'!K191)</f>
        <v/>
      </c>
      <c r="K188" s="138" t="str">
        <f>IF(C188="","",'03 Ações BR'!Q191)</f>
        <v/>
      </c>
      <c r="L188" s="135" t="str">
        <f>IF(C188="","",'03 Ações BR'!R191)</f>
        <v/>
      </c>
      <c r="M188" s="138" t="str">
        <f>IF(C188="","",'03 Ações BR'!T191)</f>
        <v/>
      </c>
      <c r="N188" s="139" t="str">
        <f>IF(C188="","",IF($J$3&gt;0,J188/$J$3,0))</f>
        <v/>
      </c>
      <c r="O188" s="134" t="str">
        <f>IF(C188="","",'03 Ações BR'!I191)</f>
        <v/>
      </c>
      <c r="P188" s="140" t="str">
        <f>IF(C188="","",IF(N(J188)&gt;0,J188+ROW()/1E9,""))</f>
        <v/>
      </c>
      <c r="Q188" s="140" t="str">
        <f>IF(C188="","",IF(N(M188)&gt;0,M188+ROW()/1E9,""))</f>
        <v/>
      </c>
    </row>
    <row r="189">
      <c r="A189" s="141" t="str">
        <f>IF(C189="","","Ações")</f>
        <v/>
      </c>
      <c r="B189" s="141" t="str">
        <f>IF(C189="","","Brasil")</f>
        <v/>
      </c>
      <c r="C189" s="141" t="str">
        <f>IF('03 Ações BR'!A192="","",'03 Ações BR'!A192&amp;"")</f>
        <v/>
      </c>
      <c r="D189" s="141" t="str">
        <f>IF(C189="","",'03 Ações BR'!B192&amp;"")</f>
        <v/>
      </c>
      <c r="E189" s="141" t="str">
        <f>IF(C189="","",'03 Ações BR'!C192&amp;"")</f>
        <v/>
      </c>
      <c r="F189" s="141" t="str">
        <f>IF(C189="","",'03 Ações BR'!V192)</f>
        <v/>
      </c>
      <c r="G189" s="142" t="str">
        <f>IF(C189="","",'03 Ações BR'!E192)</f>
        <v/>
      </c>
      <c r="H189" s="143" t="str">
        <f>IF(C189="","",'03 Ações BR'!H192)</f>
        <v/>
      </c>
      <c r="I189" s="144" t="str">
        <f>IF(C189="","",'03 Ações BR'!J192)</f>
        <v/>
      </c>
      <c r="J189" s="145" t="str">
        <f>IF(C189="","",'03 Ações BR'!K192)</f>
        <v/>
      </c>
      <c r="K189" s="145" t="str">
        <f>IF(C189="","",'03 Ações BR'!Q192)</f>
        <v/>
      </c>
      <c r="L189" s="142" t="str">
        <f>IF(C189="","",'03 Ações BR'!R192)</f>
        <v/>
      </c>
      <c r="M189" s="145" t="str">
        <f>IF(C189="","",'03 Ações BR'!T192)</f>
        <v/>
      </c>
      <c r="N189" s="146" t="str">
        <f>IF(C189="","",IF($J$3&gt;0,J189/$J$3,0))</f>
        <v/>
      </c>
      <c r="O189" s="141" t="str">
        <f>IF(C189="","",'03 Ações BR'!I192)</f>
        <v/>
      </c>
      <c r="P189" s="147" t="str">
        <f>IF(C189="","",IF(N(J189)&gt;0,J189+ROW()/1E9,""))</f>
        <v/>
      </c>
      <c r="Q189" s="147" t="str">
        <f>IF(C189="","",IF(N(M189)&gt;0,M189+ROW()/1E9,""))</f>
        <v/>
      </c>
    </row>
    <row r="190">
      <c r="A190" s="134" t="str">
        <f>IF(C190="","","Ações")</f>
        <v/>
      </c>
      <c r="B190" s="134" t="str">
        <f>IF(C190="","","Brasil")</f>
        <v/>
      </c>
      <c r="C190" s="134" t="str">
        <f>IF('03 Ações BR'!A193="","",'03 Ações BR'!A193&amp;"")</f>
        <v/>
      </c>
      <c r="D190" s="134" t="str">
        <f>IF(C190="","",'03 Ações BR'!B193&amp;"")</f>
        <v/>
      </c>
      <c r="E190" s="134" t="str">
        <f>IF(C190="","",'03 Ações BR'!C193&amp;"")</f>
        <v/>
      </c>
      <c r="F190" s="134" t="str">
        <f>IF(C190="","",'03 Ações BR'!V193)</f>
        <v/>
      </c>
      <c r="G190" s="135" t="str">
        <f>IF(C190="","",'03 Ações BR'!E193)</f>
        <v/>
      </c>
      <c r="H190" s="136" t="str">
        <f>IF(C190="","",'03 Ações BR'!H193)</f>
        <v/>
      </c>
      <c r="I190" s="137" t="str">
        <f>IF(C190="","",'03 Ações BR'!J193)</f>
        <v/>
      </c>
      <c r="J190" s="138" t="str">
        <f>IF(C190="","",'03 Ações BR'!K193)</f>
        <v/>
      </c>
      <c r="K190" s="138" t="str">
        <f>IF(C190="","",'03 Ações BR'!Q193)</f>
        <v/>
      </c>
      <c r="L190" s="135" t="str">
        <f>IF(C190="","",'03 Ações BR'!R193)</f>
        <v/>
      </c>
      <c r="M190" s="138" t="str">
        <f>IF(C190="","",'03 Ações BR'!T193)</f>
        <v/>
      </c>
      <c r="N190" s="139" t="str">
        <f>IF(C190="","",IF($J$3&gt;0,J190/$J$3,0))</f>
        <v/>
      </c>
      <c r="O190" s="134" t="str">
        <f>IF(C190="","",'03 Ações BR'!I193)</f>
        <v/>
      </c>
      <c r="P190" s="140" t="str">
        <f>IF(C190="","",IF(N(J190)&gt;0,J190+ROW()/1E9,""))</f>
        <v/>
      </c>
      <c r="Q190" s="140" t="str">
        <f>IF(C190="","",IF(N(M190)&gt;0,M190+ROW()/1E9,""))</f>
        <v/>
      </c>
    </row>
    <row r="191">
      <c r="A191" s="141" t="str">
        <f>IF(C191="","","Ações")</f>
        <v/>
      </c>
      <c r="B191" s="141" t="str">
        <f>IF(C191="","","Brasil")</f>
        <v/>
      </c>
      <c r="C191" s="141" t="str">
        <f>IF('03 Ações BR'!A194="","",'03 Ações BR'!A194&amp;"")</f>
        <v/>
      </c>
      <c r="D191" s="141" t="str">
        <f>IF(C191="","",'03 Ações BR'!B194&amp;"")</f>
        <v/>
      </c>
      <c r="E191" s="141" t="str">
        <f>IF(C191="","",'03 Ações BR'!C194&amp;"")</f>
        <v/>
      </c>
      <c r="F191" s="141" t="str">
        <f>IF(C191="","",'03 Ações BR'!V194)</f>
        <v/>
      </c>
      <c r="G191" s="142" t="str">
        <f>IF(C191="","",'03 Ações BR'!E194)</f>
        <v/>
      </c>
      <c r="H191" s="143" t="str">
        <f>IF(C191="","",'03 Ações BR'!H194)</f>
        <v/>
      </c>
      <c r="I191" s="144" t="str">
        <f>IF(C191="","",'03 Ações BR'!J194)</f>
        <v/>
      </c>
      <c r="J191" s="145" t="str">
        <f>IF(C191="","",'03 Ações BR'!K194)</f>
        <v/>
      </c>
      <c r="K191" s="145" t="str">
        <f>IF(C191="","",'03 Ações BR'!Q194)</f>
        <v/>
      </c>
      <c r="L191" s="142" t="str">
        <f>IF(C191="","",'03 Ações BR'!R194)</f>
        <v/>
      </c>
      <c r="M191" s="145" t="str">
        <f>IF(C191="","",'03 Ações BR'!T194)</f>
        <v/>
      </c>
      <c r="N191" s="146" t="str">
        <f>IF(C191="","",IF($J$3&gt;0,J191/$J$3,0))</f>
        <v/>
      </c>
      <c r="O191" s="141" t="str">
        <f>IF(C191="","",'03 Ações BR'!I194)</f>
        <v/>
      </c>
      <c r="P191" s="147" t="str">
        <f>IF(C191="","",IF(N(J191)&gt;0,J191+ROW()/1E9,""))</f>
        <v/>
      </c>
      <c r="Q191" s="147" t="str">
        <f>IF(C191="","",IF(N(M191)&gt;0,M191+ROW()/1E9,""))</f>
        <v/>
      </c>
    </row>
    <row r="192">
      <c r="A192" s="134" t="str">
        <f>IF(C192="","","Ações")</f>
        <v/>
      </c>
      <c r="B192" s="134" t="str">
        <f>IF(C192="","","Brasil")</f>
        <v/>
      </c>
      <c r="C192" s="134" t="str">
        <f>IF('03 Ações BR'!A195="","",'03 Ações BR'!A195&amp;"")</f>
        <v/>
      </c>
      <c r="D192" s="134" t="str">
        <f>IF(C192="","",'03 Ações BR'!B195&amp;"")</f>
        <v/>
      </c>
      <c r="E192" s="134" t="str">
        <f>IF(C192="","",'03 Ações BR'!C195&amp;"")</f>
        <v/>
      </c>
      <c r="F192" s="134" t="str">
        <f>IF(C192="","",'03 Ações BR'!V195)</f>
        <v/>
      </c>
      <c r="G192" s="135" t="str">
        <f>IF(C192="","",'03 Ações BR'!E195)</f>
        <v/>
      </c>
      <c r="H192" s="136" t="str">
        <f>IF(C192="","",'03 Ações BR'!H195)</f>
        <v/>
      </c>
      <c r="I192" s="137" t="str">
        <f>IF(C192="","",'03 Ações BR'!J195)</f>
        <v/>
      </c>
      <c r="J192" s="138" t="str">
        <f>IF(C192="","",'03 Ações BR'!K195)</f>
        <v/>
      </c>
      <c r="K192" s="138" t="str">
        <f>IF(C192="","",'03 Ações BR'!Q195)</f>
        <v/>
      </c>
      <c r="L192" s="135" t="str">
        <f>IF(C192="","",'03 Ações BR'!R195)</f>
        <v/>
      </c>
      <c r="M192" s="138" t="str">
        <f>IF(C192="","",'03 Ações BR'!T195)</f>
        <v/>
      </c>
      <c r="N192" s="139" t="str">
        <f>IF(C192="","",IF($J$3&gt;0,J192/$J$3,0))</f>
        <v/>
      </c>
      <c r="O192" s="134" t="str">
        <f>IF(C192="","",'03 Ações BR'!I195)</f>
        <v/>
      </c>
      <c r="P192" s="140" t="str">
        <f>IF(C192="","",IF(N(J192)&gt;0,J192+ROW()/1E9,""))</f>
        <v/>
      </c>
      <c r="Q192" s="140" t="str">
        <f>IF(C192="","",IF(N(M192)&gt;0,M192+ROW()/1E9,""))</f>
        <v/>
      </c>
    </row>
    <row r="193">
      <c r="A193" s="141" t="str">
        <f>IF(C193="","","Ações")</f>
        <v/>
      </c>
      <c r="B193" s="141" t="str">
        <f>IF(C193="","","Brasil")</f>
        <v/>
      </c>
      <c r="C193" s="141" t="str">
        <f>IF('03 Ações BR'!A196="","",'03 Ações BR'!A196&amp;"")</f>
        <v/>
      </c>
      <c r="D193" s="141" t="str">
        <f>IF(C193="","",'03 Ações BR'!B196&amp;"")</f>
        <v/>
      </c>
      <c r="E193" s="141" t="str">
        <f>IF(C193="","",'03 Ações BR'!C196&amp;"")</f>
        <v/>
      </c>
      <c r="F193" s="141" t="str">
        <f>IF(C193="","",'03 Ações BR'!V196)</f>
        <v/>
      </c>
      <c r="G193" s="142" t="str">
        <f>IF(C193="","",'03 Ações BR'!E196)</f>
        <v/>
      </c>
      <c r="H193" s="143" t="str">
        <f>IF(C193="","",'03 Ações BR'!H196)</f>
        <v/>
      </c>
      <c r="I193" s="144" t="str">
        <f>IF(C193="","",'03 Ações BR'!J196)</f>
        <v/>
      </c>
      <c r="J193" s="145" t="str">
        <f>IF(C193="","",'03 Ações BR'!K196)</f>
        <v/>
      </c>
      <c r="K193" s="145" t="str">
        <f>IF(C193="","",'03 Ações BR'!Q196)</f>
        <v/>
      </c>
      <c r="L193" s="142" t="str">
        <f>IF(C193="","",'03 Ações BR'!R196)</f>
        <v/>
      </c>
      <c r="M193" s="145" t="str">
        <f>IF(C193="","",'03 Ações BR'!T196)</f>
        <v/>
      </c>
      <c r="N193" s="146" t="str">
        <f>IF(C193="","",IF($J$3&gt;0,J193/$J$3,0))</f>
        <v/>
      </c>
      <c r="O193" s="141" t="str">
        <f>IF(C193="","",'03 Ações BR'!I196)</f>
        <v/>
      </c>
      <c r="P193" s="147" t="str">
        <f>IF(C193="","",IF(N(J193)&gt;0,J193+ROW()/1E9,""))</f>
        <v/>
      </c>
      <c r="Q193" s="147" t="str">
        <f>IF(C193="","",IF(N(M193)&gt;0,M193+ROW()/1E9,""))</f>
        <v/>
      </c>
    </row>
    <row r="194">
      <c r="A194" s="134" t="str">
        <f>IF(C194="","","Ações")</f>
        <v/>
      </c>
      <c r="B194" s="134" t="str">
        <f>IF(C194="","","Brasil")</f>
        <v/>
      </c>
      <c r="C194" s="134" t="str">
        <f>IF('03 Ações BR'!A197="","",'03 Ações BR'!A197&amp;"")</f>
        <v/>
      </c>
      <c r="D194" s="134" t="str">
        <f>IF(C194="","",'03 Ações BR'!B197&amp;"")</f>
        <v/>
      </c>
      <c r="E194" s="134" t="str">
        <f>IF(C194="","",'03 Ações BR'!C197&amp;"")</f>
        <v/>
      </c>
      <c r="F194" s="134" t="str">
        <f>IF(C194="","",'03 Ações BR'!V197)</f>
        <v/>
      </c>
      <c r="G194" s="135" t="str">
        <f>IF(C194="","",'03 Ações BR'!E197)</f>
        <v/>
      </c>
      <c r="H194" s="136" t="str">
        <f>IF(C194="","",'03 Ações BR'!H197)</f>
        <v/>
      </c>
      <c r="I194" s="137" t="str">
        <f>IF(C194="","",'03 Ações BR'!J197)</f>
        <v/>
      </c>
      <c r="J194" s="138" t="str">
        <f>IF(C194="","",'03 Ações BR'!K197)</f>
        <v/>
      </c>
      <c r="K194" s="138" t="str">
        <f>IF(C194="","",'03 Ações BR'!Q197)</f>
        <v/>
      </c>
      <c r="L194" s="135" t="str">
        <f>IF(C194="","",'03 Ações BR'!R197)</f>
        <v/>
      </c>
      <c r="M194" s="138" t="str">
        <f>IF(C194="","",'03 Ações BR'!T197)</f>
        <v/>
      </c>
      <c r="N194" s="139" t="str">
        <f>IF(C194="","",IF($J$3&gt;0,J194/$J$3,0))</f>
        <v/>
      </c>
      <c r="O194" s="134" t="str">
        <f>IF(C194="","",'03 Ações BR'!I197)</f>
        <v/>
      </c>
      <c r="P194" s="140" t="str">
        <f>IF(C194="","",IF(N(J194)&gt;0,J194+ROW()/1E9,""))</f>
        <v/>
      </c>
      <c r="Q194" s="140" t="str">
        <f>IF(C194="","",IF(N(M194)&gt;0,M194+ROW()/1E9,""))</f>
        <v/>
      </c>
    </row>
    <row r="195">
      <c r="A195" s="141" t="str">
        <f>IF(C195="","","Ações")</f>
        <v/>
      </c>
      <c r="B195" s="141" t="str">
        <f>IF(C195="","","Brasil")</f>
        <v/>
      </c>
      <c r="C195" s="141" t="str">
        <f>IF('03 Ações BR'!A198="","",'03 Ações BR'!A198&amp;"")</f>
        <v/>
      </c>
      <c r="D195" s="141" t="str">
        <f>IF(C195="","",'03 Ações BR'!B198&amp;"")</f>
        <v/>
      </c>
      <c r="E195" s="141" t="str">
        <f>IF(C195="","",'03 Ações BR'!C198&amp;"")</f>
        <v/>
      </c>
      <c r="F195" s="141" t="str">
        <f>IF(C195="","",'03 Ações BR'!V198)</f>
        <v/>
      </c>
      <c r="G195" s="142" t="str">
        <f>IF(C195="","",'03 Ações BR'!E198)</f>
        <v/>
      </c>
      <c r="H195" s="143" t="str">
        <f>IF(C195="","",'03 Ações BR'!H198)</f>
        <v/>
      </c>
      <c r="I195" s="144" t="str">
        <f>IF(C195="","",'03 Ações BR'!J198)</f>
        <v/>
      </c>
      <c r="J195" s="145" t="str">
        <f>IF(C195="","",'03 Ações BR'!K198)</f>
        <v/>
      </c>
      <c r="K195" s="145" t="str">
        <f>IF(C195="","",'03 Ações BR'!Q198)</f>
        <v/>
      </c>
      <c r="L195" s="142" t="str">
        <f>IF(C195="","",'03 Ações BR'!R198)</f>
        <v/>
      </c>
      <c r="M195" s="145" t="str">
        <f>IF(C195="","",'03 Ações BR'!T198)</f>
        <v/>
      </c>
      <c r="N195" s="146" t="str">
        <f>IF(C195="","",IF($J$3&gt;0,J195/$J$3,0))</f>
        <v/>
      </c>
      <c r="O195" s="141" t="str">
        <f>IF(C195="","",'03 Ações BR'!I198)</f>
        <v/>
      </c>
      <c r="P195" s="147" t="str">
        <f>IF(C195="","",IF(N(J195)&gt;0,J195+ROW()/1E9,""))</f>
        <v/>
      </c>
      <c r="Q195" s="147" t="str">
        <f>IF(C195="","",IF(N(M195)&gt;0,M195+ROW()/1E9,""))</f>
        <v/>
      </c>
    </row>
    <row r="196">
      <c r="A196" s="134" t="str">
        <f>IF(C196="","","Ações")</f>
        <v/>
      </c>
      <c r="B196" s="134" t="str">
        <f>IF(C196="","","Brasil")</f>
        <v/>
      </c>
      <c r="C196" s="134" t="str">
        <f>IF('03 Ações BR'!A199="","",'03 Ações BR'!A199&amp;"")</f>
        <v/>
      </c>
      <c r="D196" s="134" t="str">
        <f>IF(C196="","",'03 Ações BR'!B199&amp;"")</f>
        <v/>
      </c>
      <c r="E196" s="134" t="str">
        <f>IF(C196="","",'03 Ações BR'!C199&amp;"")</f>
        <v/>
      </c>
      <c r="F196" s="134" t="str">
        <f>IF(C196="","",'03 Ações BR'!V199)</f>
        <v/>
      </c>
      <c r="G196" s="135" t="str">
        <f>IF(C196="","",'03 Ações BR'!E199)</f>
        <v/>
      </c>
      <c r="H196" s="136" t="str">
        <f>IF(C196="","",'03 Ações BR'!H199)</f>
        <v/>
      </c>
      <c r="I196" s="137" t="str">
        <f>IF(C196="","",'03 Ações BR'!J199)</f>
        <v/>
      </c>
      <c r="J196" s="138" t="str">
        <f>IF(C196="","",'03 Ações BR'!K199)</f>
        <v/>
      </c>
      <c r="K196" s="138" t="str">
        <f>IF(C196="","",'03 Ações BR'!Q199)</f>
        <v/>
      </c>
      <c r="L196" s="135" t="str">
        <f>IF(C196="","",'03 Ações BR'!R199)</f>
        <v/>
      </c>
      <c r="M196" s="138" t="str">
        <f>IF(C196="","",'03 Ações BR'!T199)</f>
        <v/>
      </c>
      <c r="N196" s="139" t="str">
        <f>IF(C196="","",IF($J$3&gt;0,J196/$J$3,0))</f>
        <v/>
      </c>
      <c r="O196" s="134" t="str">
        <f>IF(C196="","",'03 Ações BR'!I199)</f>
        <v/>
      </c>
      <c r="P196" s="140" t="str">
        <f>IF(C196="","",IF(N(J196)&gt;0,J196+ROW()/1E9,""))</f>
        <v/>
      </c>
      <c r="Q196" s="140" t="str">
        <f>IF(C196="","",IF(N(M196)&gt;0,M196+ROW()/1E9,""))</f>
        <v/>
      </c>
    </row>
    <row r="197">
      <c r="A197" s="141" t="str">
        <f>IF(C197="","","Ações")</f>
        <v/>
      </c>
      <c r="B197" s="141" t="str">
        <f>IF(C197="","","Brasil")</f>
        <v/>
      </c>
      <c r="C197" s="141" t="str">
        <f>IF('03 Ações BR'!A200="","",'03 Ações BR'!A200&amp;"")</f>
        <v/>
      </c>
      <c r="D197" s="141" t="str">
        <f>IF(C197="","",'03 Ações BR'!B200&amp;"")</f>
        <v/>
      </c>
      <c r="E197" s="141" t="str">
        <f>IF(C197="","",'03 Ações BR'!C200&amp;"")</f>
        <v/>
      </c>
      <c r="F197" s="141" t="str">
        <f>IF(C197="","",'03 Ações BR'!V200)</f>
        <v/>
      </c>
      <c r="G197" s="142" t="str">
        <f>IF(C197="","",'03 Ações BR'!E200)</f>
        <v/>
      </c>
      <c r="H197" s="143" t="str">
        <f>IF(C197="","",'03 Ações BR'!H200)</f>
        <v/>
      </c>
      <c r="I197" s="144" t="str">
        <f>IF(C197="","",'03 Ações BR'!J200)</f>
        <v/>
      </c>
      <c r="J197" s="145" t="str">
        <f>IF(C197="","",'03 Ações BR'!K200)</f>
        <v/>
      </c>
      <c r="K197" s="145" t="str">
        <f>IF(C197="","",'03 Ações BR'!Q200)</f>
        <v/>
      </c>
      <c r="L197" s="142" t="str">
        <f>IF(C197="","",'03 Ações BR'!R200)</f>
        <v/>
      </c>
      <c r="M197" s="145" t="str">
        <f>IF(C197="","",'03 Ações BR'!T200)</f>
        <v/>
      </c>
      <c r="N197" s="146" t="str">
        <f>IF(C197="","",IF($J$3&gt;0,J197/$J$3,0))</f>
        <v/>
      </c>
      <c r="O197" s="141" t="str">
        <f>IF(C197="","",'03 Ações BR'!I200)</f>
        <v/>
      </c>
      <c r="P197" s="147" t="str">
        <f>IF(C197="","",IF(N(J197)&gt;0,J197+ROW()/1E9,""))</f>
        <v/>
      </c>
      <c r="Q197" s="147" t="str">
        <f>IF(C197="","",IF(N(M197)&gt;0,M197+ROW()/1E9,""))</f>
        <v/>
      </c>
    </row>
    <row r="198">
      <c r="A198" s="134" t="str">
        <f>IF(C198="","","Ações")</f>
        <v/>
      </c>
      <c r="B198" s="134" t="str">
        <f>IF(C198="","","Brasil")</f>
        <v/>
      </c>
      <c r="C198" s="134" t="str">
        <f>IF('03 Ações BR'!A201="","",'03 Ações BR'!A201&amp;"")</f>
        <v/>
      </c>
      <c r="D198" s="134" t="str">
        <f>IF(C198="","",'03 Ações BR'!B201&amp;"")</f>
        <v/>
      </c>
      <c r="E198" s="134" t="str">
        <f>IF(C198="","",'03 Ações BR'!C201&amp;"")</f>
        <v/>
      </c>
      <c r="F198" s="134" t="str">
        <f>IF(C198="","",'03 Ações BR'!V201)</f>
        <v/>
      </c>
      <c r="G198" s="135" t="str">
        <f>IF(C198="","",'03 Ações BR'!E201)</f>
        <v/>
      </c>
      <c r="H198" s="136" t="str">
        <f>IF(C198="","",'03 Ações BR'!H201)</f>
        <v/>
      </c>
      <c r="I198" s="137" t="str">
        <f>IF(C198="","",'03 Ações BR'!J201)</f>
        <v/>
      </c>
      <c r="J198" s="138" t="str">
        <f>IF(C198="","",'03 Ações BR'!K201)</f>
        <v/>
      </c>
      <c r="K198" s="138" t="str">
        <f>IF(C198="","",'03 Ações BR'!Q201)</f>
        <v/>
      </c>
      <c r="L198" s="135" t="str">
        <f>IF(C198="","",'03 Ações BR'!R201)</f>
        <v/>
      </c>
      <c r="M198" s="138" t="str">
        <f>IF(C198="","",'03 Ações BR'!T201)</f>
        <v/>
      </c>
      <c r="N198" s="139" t="str">
        <f>IF(C198="","",IF($J$3&gt;0,J198/$J$3,0))</f>
        <v/>
      </c>
      <c r="O198" s="134" t="str">
        <f>IF(C198="","",'03 Ações BR'!I201)</f>
        <v/>
      </c>
      <c r="P198" s="140" t="str">
        <f>IF(C198="","",IF(N(J198)&gt;0,J198+ROW()/1E9,""))</f>
        <v/>
      </c>
      <c r="Q198" s="140" t="str">
        <f>IF(C198="","",IF(N(M198)&gt;0,M198+ROW()/1E9,""))</f>
        <v/>
      </c>
    </row>
    <row r="199">
      <c r="A199" s="141" t="str">
        <f>IF(C199="","","Ações")</f>
        <v/>
      </c>
      <c r="B199" s="141" t="str">
        <f>IF(C199="","","Brasil")</f>
        <v/>
      </c>
      <c r="C199" s="141" t="str">
        <f>IF('03 Ações BR'!A202="","",'03 Ações BR'!A202&amp;"")</f>
        <v/>
      </c>
      <c r="D199" s="141" t="str">
        <f>IF(C199="","",'03 Ações BR'!B202&amp;"")</f>
        <v/>
      </c>
      <c r="E199" s="141" t="str">
        <f>IF(C199="","",'03 Ações BR'!C202&amp;"")</f>
        <v/>
      </c>
      <c r="F199" s="141" t="str">
        <f>IF(C199="","",'03 Ações BR'!V202)</f>
        <v/>
      </c>
      <c r="G199" s="142" t="str">
        <f>IF(C199="","",'03 Ações BR'!E202)</f>
        <v/>
      </c>
      <c r="H199" s="143" t="str">
        <f>IF(C199="","",'03 Ações BR'!H202)</f>
        <v/>
      </c>
      <c r="I199" s="144" t="str">
        <f>IF(C199="","",'03 Ações BR'!J202)</f>
        <v/>
      </c>
      <c r="J199" s="145" t="str">
        <f>IF(C199="","",'03 Ações BR'!K202)</f>
        <v/>
      </c>
      <c r="K199" s="145" t="str">
        <f>IF(C199="","",'03 Ações BR'!Q202)</f>
        <v/>
      </c>
      <c r="L199" s="142" t="str">
        <f>IF(C199="","",'03 Ações BR'!R202)</f>
        <v/>
      </c>
      <c r="M199" s="145" t="str">
        <f>IF(C199="","",'03 Ações BR'!T202)</f>
        <v/>
      </c>
      <c r="N199" s="146" t="str">
        <f>IF(C199="","",IF($J$3&gt;0,J199/$J$3,0))</f>
        <v/>
      </c>
      <c r="O199" s="141" t="str">
        <f>IF(C199="","",'03 Ações BR'!I202)</f>
        <v/>
      </c>
      <c r="P199" s="147" t="str">
        <f>IF(C199="","",IF(N(J199)&gt;0,J199+ROW()/1E9,""))</f>
        <v/>
      </c>
      <c r="Q199" s="147" t="str">
        <f>IF(C199="","",IF(N(M199)&gt;0,M199+ROW()/1E9,""))</f>
        <v/>
      </c>
    </row>
    <row r="200">
      <c r="A200" s="134" t="str">
        <f>IF(C200="","","Ações")</f>
        <v/>
      </c>
      <c r="B200" s="134" t="str">
        <f>IF(C200="","","Brasil")</f>
        <v/>
      </c>
      <c r="C200" s="134" t="str">
        <f>IF('03 Ações BR'!A203="","",'03 Ações BR'!A203&amp;"")</f>
        <v/>
      </c>
      <c r="D200" s="134" t="str">
        <f>IF(C200="","",'03 Ações BR'!B203&amp;"")</f>
        <v/>
      </c>
      <c r="E200" s="134" t="str">
        <f>IF(C200="","",'03 Ações BR'!C203&amp;"")</f>
        <v/>
      </c>
      <c r="F200" s="134" t="str">
        <f>IF(C200="","",'03 Ações BR'!V203)</f>
        <v/>
      </c>
      <c r="G200" s="135" t="str">
        <f>IF(C200="","",'03 Ações BR'!E203)</f>
        <v/>
      </c>
      <c r="H200" s="136" t="str">
        <f>IF(C200="","",'03 Ações BR'!H203)</f>
        <v/>
      </c>
      <c r="I200" s="137" t="str">
        <f>IF(C200="","",'03 Ações BR'!J203)</f>
        <v/>
      </c>
      <c r="J200" s="138" t="str">
        <f>IF(C200="","",'03 Ações BR'!K203)</f>
        <v/>
      </c>
      <c r="K200" s="138" t="str">
        <f>IF(C200="","",'03 Ações BR'!Q203)</f>
        <v/>
      </c>
      <c r="L200" s="135" t="str">
        <f>IF(C200="","",'03 Ações BR'!R203)</f>
        <v/>
      </c>
      <c r="M200" s="138" t="str">
        <f>IF(C200="","",'03 Ações BR'!T203)</f>
        <v/>
      </c>
      <c r="N200" s="139" t="str">
        <f>IF(C200="","",IF($J$3&gt;0,J200/$J$3,0))</f>
        <v/>
      </c>
      <c r="O200" s="134" t="str">
        <f>IF(C200="","",'03 Ações BR'!I203)</f>
        <v/>
      </c>
      <c r="P200" s="140" t="str">
        <f>IF(C200="","",IF(N(J200)&gt;0,J200+ROW()/1E9,""))</f>
        <v/>
      </c>
      <c r="Q200" s="140" t="str">
        <f>IF(C200="","",IF(N(M200)&gt;0,M200+ROW()/1E9,""))</f>
        <v/>
      </c>
    </row>
    <row r="201">
      <c r="A201" s="141" t="str">
        <f>IF(C201="","","Ações")</f>
        <v/>
      </c>
      <c r="B201" s="141" t="str">
        <f>IF(C201="","","Brasil")</f>
        <v/>
      </c>
      <c r="C201" s="141" t="str">
        <f>IF('03 Ações BR'!A204="","",'03 Ações BR'!A204&amp;"")</f>
        <v/>
      </c>
      <c r="D201" s="141" t="str">
        <f>IF(C201="","",'03 Ações BR'!B204&amp;"")</f>
        <v/>
      </c>
      <c r="E201" s="141" t="str">
        <f>IF(C201="","",'03 Ações BR'!C204&amp;"")</f>
        <v/>
      </c>
      <c r="F201" s="141" t="str">
        <f>IF(C201="","",'03 Ações BR'!V204)</f>
        <v/>
      </c>
      <c r="G201" s="142" t="str">
        <f>IF(C201="","",'03 Ações BR'!E204)</f>
        <v/>
      </c>
      <c r="H201" s="143" t="str">
        <f>IF(C201="","",'03 Ações BR'!H204)</f>
        <v/>
      </c>
      <c r="I201" s="144" t="str">
        <f>IF(C201="","",'03 Ações BR'!J204)</f>
        <v/>
      </c>
      <c r="J201" s="145" t="str">
        <f>IF(C201="","",'03 Ações BR'!K204)</f>
        <v/>
      </c>
      <c r="K201" s="145" t="str">
        <f>IF(C201="","",'03 Ações BR'!Q204)</f>
        <v/>
      </c>
      <c r="L201" s="142" t="str">
        <f>IF(C201="","",'03 Ações BR'!R204)</f>
        <v/>
      </c>
      <c r="M201" s="145" t="str">
        <f>IF(C201="","",'03 Ações BR'!T204)</f>
        <v/>
      </c>
      <c r="N201" s="146" t="str">
        <f>IF(C201="","",IF($J$3&gt;0,J201/$J$3,0))</f>
        <v/>
      </c>
      <c r="O201" s="141" t="str">
        <f>IF(C201="","",'03 Ações BR'!I204)</f>
        <v/>
      </c>
      <c r="P201" s="147" t="str">
        <f>IF(C201="","",IF(N(J201)&gt;0,J201+ROW()/1E9,""))</f>
        <v/>
      </c>
      <c r="Q201" s="147" t="str">
        <f>IF(C201="","",IF(N(M201)&gt;0,M201+ROW()/1E9,""))</f>
        <v/>
      </c>
    </row>
    <row r="202">
      <c r="A202" s="134" t="str">
        <f>IF(C202="","","Ações")</f>
        <v/>
      </c>
      <c r="B202" s="134" t="str">
        <f>IF(C202="","","Brasil")</f>
        <v/>
      </c>
      <c r="C202" s="134" t="str">
        <f>IF('03 Ações BR'!A205="","",'03 Ações BR'!A205&amp;"")</f>
        <v/>
      </c>
      <c r="D202" s="134" t="str">
        <f>IF(C202="","",'03 Ações BR'!B205&amp;"")</f>
        <v/>
      </c>
      <c r="E202" s="134" t="str">
        <f>IF(C202="","",'03 Ações BR'!C205&amp;"")</f>
        <v/>
      </c>
      <c r="F202" s="134" t="str">
        <f>IF(C202="","",'03 Ações BR'!V205)</f>
        <v/>
      </c>
      <c r="G202" s="135" t="str">
        <f>IF(C202="","",'03 Ações BR'!E205)</f>
        <v/>
      </c>
      <c r="H202" s="136" t="str">
        <f>IF(C202="","",'03 Ações BR'!H205)</f>
        <v/>
      </c>
      <c r="I202" s="137" t="str">
        <f>IF(C202="","",'03 Ações BR'!J205)</f>
        <v/>
      </c>
      <c r="J202" s="138" t="str">
        <f>IF(C202="","",'03 Ações BR'!K205)</f>
        <v/>
      </c>
      <c r="K202" s="138" t="str">
        <f>IF(C202="","",'03 Ações BR'!Q205)</f>
        <v/>
      </c>
      <c r="L202" s="135" t="str">
        <f>IF(C202="","",'03 Ações BR'!R205)</f>
        <v/>
      </c>
      <c r="M202" s="138" t="str">
        <f>IF(C202="","",'03 Ações BR'!T205)</f>
        <v/>
      </c>
      <c r="N202" s="139" t="str">
        <f>IF(C202="","",IF($J$3&gt;0,J202/$J$3,0))</f>
        <v/>
      </c>
      <c r="O202" s="134" t="str">
        <f>IF(C202="","",'03 Ações BR'!I205)</f>
        <v/>
      </c>
      <c r="P202" s="140" t="str">
        <f>IF(C202="","",IF(N(J202)&gt;0,J202+ROW()/1E9,""))</f>
        <v/>
      </c>
      <c r="Q202" s="140" t="str">
        <f>IF(C202="","",IF(N(M202)&gt;0,M202+ROW()/1E9,""))</f>
        <v/>
      </c>
    </row>
    <row r="203">
      <c r="A203" s="141" t="str">
        <f>IF(C203="","","Ações")</f>
        <v/>
      </c>
      <c r="B203" s="141" t="str">
        <f>IF(C203="","","Brasil")</f>
        <v/>
      </c>
      <c r="C203" s="141" t="str">
        <f>IF('03 Ações BR'!A206="","",'03 Ações BR'!A206&amp;"")</f>
        <v/>
      </c>
      <c r="D203" s="141" t="str">
        <f>IF(C203="","",'03 Ações BR'!B206&amp;"")</f>
        <v/>
      </c>
      <c r="E203" s="141" t="str">
        <f>IF(C203="","",'03 Ações BR'!C206&amp;"")</f>
        <v/>
      </c>
      <c r="F203" s="141" t="str">
        <f>IF(C203="","",'03 Ações BR'!V206)</f>
        <v/>
      </c>
      <c r="G203" s="142" t="str">
        <f>IF(C203="","",'03 Ações BR'!E206)</f>
        <v/>
      </c>
      <c r="H203" s="143" t="str">
        <f>IF(C203="","",'03 Ações BR'!H206)</f>
        <v/>
      </c>
      <c r="I203" s="144" t="str">
        <f>IF(C203="","",'03 Ações BR'!J206)</f>
        <v/>
      </c>
      <c r="J203" s="145" t="str">
        <f>IF(C203="","",'03 Ações BR'!K206)</f>
        <v/>
      </c>
      <c r="K203" s="145" t="str">
        <f>IF(C203="","",'03 Ações BR'!Q206)</f>
        <v/>
      </c>
      <c r="L203" s="142" t="str">
        <f>IF(C203="","",'03 Ações BR'!R206)</f>
        <v/>
      </c>
      <c r="M203" s="145" t="str">
        <f>IF(C203="","",'03 Ações BR'!T206)</f>
        <v/>
      </c>
      <c r="N203" s="146" t="str">
        <f>IF(C203="","",IF($J$3&gt;0,J203/$J$3,0))</f>
        <v/>
      </c>
      <c r="O203" s="141" t="str">
        <f>IF(C203="","",'03 Ações BR'!I206)</f>
        <v/>
      </c>
      <c r="P203" s="147" t="str">
        <f>IF(C203="","",IF(N(J203)&gt;0,J203+ROW()/1E9,""))</f>
        <v/>
      </c>
      <c r="Q203" s="147" t="str">
        <f>IF(C203="","",IF(N(M203)&gt;0,M203+ROW()/1E9,""))</f>
        <v/>
      </c>
    </row>
    <row r="204">
      <c r="A204" s="134" t="str">
        <f>IF(C204="","","Ações")</f>
        <v/>
      </c>
      <c r="B204" s="134" t="str">
        <f>IF(C204="","","Brasil")</f>
        <v/>
      </c>
      <c r="C204" s="134" t="str">
        <f>IF('03 Ações BR'!A207="","",'03 Ações BR'!A207&amp;"")</f>
        <v/>
      </c>
      <c r="D204" s="134" t="str">
        <f>IF(C204="","",'03 Ações BR'!B207&amp;"")</f>
        <v/>
      </c>
      <c r="E204" s="134" t="str">
        <f>IF(C204="","",'03 Ações BR'!C207&amp;"")</f>
        <v/>
      </c>
      <c r="F204" s="134" t="str">
        <f>IF(C204="","",'03 Ações BR'!V207)</f>
        <v/>
      </c>
      <c r="G204" s="135" t="str">
        <f>IF(C204="","",'03 Ações BR'!E207)</f>
        <v/>
      </c>
      <c r="H204" s="136" t="str">
        <f>IF(C204="","",'03 Ações BR'!H207)</f>
        <v/>
      </c>
      <c r="I204" s="137" t="str">
        <f>IF(C204="","",'03 Ações BR'!J207)</f>
        <v/>
      </c>
      <c r="J204" s="138" t="str">
        <f>IF(C204="","",'03 Ações BR'!K207)</f>
        <v/>
      </c>
      <c r="K204" s="138" t="str">
        <f>IF(C204="","",'03 Ações BR'!Q207)</f>
        <v/>
      </c>
      <c r="L204" s="135" t="str">
        <f>IF(C204="","",'03 Ações BR'!R207)</f>
        <v/>
      </c>
      <c r="M204" s="138" t="str">
        <f>IF(C204="","",'03 Ações BR'!T207)</f>
        <v/>
      </c>
      <c r="N204" s="139" t="str">
        <f>IF(C204="","",IF($J$3&gt;0,J204/$J$3,0))</f>
        <v/>
      </c>
      <c r="O204" s="134" t="str">
        <f>IF(C204="","",'03 Ações BR'!I207)</f>
        <v/>
      </c>
      <c r="P204" s="140" t="str">
        <f>IF(C204="","",IF(N(J204)&gt;0,J204+ROW()/1E9,""))</f>
        <v/>
      </c>
      <c r="Q204" s="140" t="str">
        <f>IF(C204="","",IF(N(M204)&gt;0,M204+ROW()/1E9,""))</f>
        <v/>
      </c>
    </row>
    <row r="205">
      <c r="A205" s="141" t="str">
        <f>IF(C205="","","Ações")</f>
        <v/>
      </c>
      <c r="B205" s="141" t="str">
        <f>IF(C205="","","Brasil")</f>
        <v/>
      </c>
      <c r="C205" s="141" t="str">
        <f>IF('03 Ações BR'!A208="","",'03 Ações BR'!A208&amp;"")</f>
        <v/>
      </c>
      <c r="D205" s="141" t="str">
        <f>IF(C205="","",'03 Ações BR'!B208&amp;"")</f>
        <v/>
      </c>
      <c r="E205" s="141" t="str">
        <f>IF(C205="","",'03 Ações BR'!C208&amp;"")</f>
        <v/>
      </c>
      <c r="F205" s="141" t="str">
        <f>IF(C205="","",'03 Ações BR'!V208)</f>
        <v/>
      </c>
      <c r="G205" s="142" t="str">
        <f>IF(C205="","",'03 Ações BR'!E208)</f>
        <v/>
      </c>
      <c r="H205" s="143" t="str">
        <f>IF(C205="","",'03 Ações BR'!H208)</f>
        <v/>
      </c>
      <c r="I205" s="144" t="str">
        <f>IF(C205="","",'03 Ações BR'!J208)</f>
        <v/>
      </c>
      <c r="J205" s="145" t="str">
        <f>IF(C205="","",'03 Ações BR'!K208)</f>
        <v/>
      </c>
      <c r="K205" s="145" t="str">
        <f>IF(C205="","",'03 Ações BR'!Q208)</f>
        <v/>
      </c>
      <c r="L205" s="142" t="str">
        <f>IF(C205="","",'03 Ações BR'!R208)</f>
        <v/>
      </c>
      <c r="M205" s="145" t="str">
        <f>IF(C205="","",'03 Ações BR'!T208)</f>
        <v/>
      </c>
      <c r="N205" s="146" t="str">
        <f>IF(C205="","",IF($J$3&gt;0,J205/$J$3,0))</f>
        <v/>
      </c>
      <c r="O205" s="141" t="str">
        <f>IF(C205="","",'03 Ações BR'!I208)</f>
        <v/>
      </c>
      <c r="P205" s="147" t="str">
        <f>IF(C205="","",IF(N(J205)&gt;0,J205+ROW()/1E9,""))</f>
        <v/>
      </c>
      <c r="Q205" s="147" t="str">
        <f>IF(C205="","",IF(N(M205)&gt;0,M205+ROW()/1E9,""))</f>
        <v/>
      </c>
    </row>
    <row r="206">
      <c r="A206" s="134" t="str">
        <f>IF(C206="","","FIIs")</f>
        <v/>
      </c>
      <c r="B206" s="134" t="str">
        <f>IF(C206="","","Brasil")</f>
        <v/>
      </c>
      <c r="C206" s="134" t="str">
        <f>IF('04 FIIs'!A9="","",'04 FIIs'!A9&amp;"")</f>
        <v/>
      </c>
      <c r="D206" s="134" t="str">
        <f>IF(C206="","",'04 FIIs'!B9&amp;"")</f>
        <v/>
      </c>
      <c r="E206" s="134" t="str">
        <f>IF(C206="","",'04 FIIs'!C9&amp;"")</f>
        <v/>
      </c>
      <c r="F206" s="134" t="str">
        <f>IF(C206="","",'04 FIIs'!V9)</f>
        <v/>
      </c>
      <c r="G206" s="135" t="str">
        <f>IF(C206="","",'04 FIIs'!E9)</f>
        <v/>
      </c>
      <c r="H206" s="136" t="str">
        <f>IF(C206="","",'04 FIIs'!H9)</f>
        <v/>
      </c>
      <c r="I206" s="137" t="str">
        <f>IF(C206="","",'04 FIIs'!J9)</f>
        <v/>
      </c>
      <c r="J206" s="138" t="str">
        <f>IF(C206="","",'04 FIIs'!K9)</f>
        <v/>
      </c>
      <c r="K206" s="138" t="str">
        <f>IF(C206="","",'04 FIIs'!Q9)</f>
        <v/>
      </c>
      <c r="L206" s="135" t="str">
        <f>IF(C206="","",'04 FIIs'!R9)</f>
        <v/>
      </c>
      <c r="M206" s="138" t="str">
        <f>IF(C206="","",'04 FIIs'!T9)</f>
        <v/>
      </c>
      <c r="N206" s="139" t="str">
        <f>IF(C206="","",IF($J$3&gt;0,J206/$J$3,0))</f>
        <v/>
      </c>
      <c r="O206" s="134" t="str">
        <f>IF(C206="","",'04 FIIs'!I9)</f>
        <v/>
      </c>
      <c r="P206" s="140" t="str">
        <f>IF(C206="","",IF(N(J206)&gt;0,J206+ROW()/1E9,""))</f>
        <v/>
      </c>
      <c r="Q206" s="140" t="str">
        <f>IF(C206="","",IF(N(M206)&gt;0,M206+ROW()/1E9,""))</f>
        <v/>
      </c>
    </row>
    <row r="207">
      <c r="A207" s="141" t="str">
        <f>IF(C207="","","FIIs")</f>
        <v/>
      </c>
      <c r="B207" s="141" t="str">
        <f>IF(C207="","","Brasil")</f>
        <v/>
      </c>
      <c r="C207" s="141" t="str">
        <f>IF('04 FIIs'!A10="","",'04 FIIs'!A10&amp;"")</f>
        <v/>
      </c>
      <c r="D207" s="141" t="str">
        <f>IF(C207="","",'04 FIIs'!B10&amp;"")</f>
        <v/>
      </c>
      <c r="E207" s="141" t="str">
        <f>IF(C207="","",'04 FIIs'!C10&amp;"")</f>
        <v/>
      </c>
      <c r="F207" s="141" t="str">
        <f>IF(C207="","",'04 FIIs'!V10)</f>
        <v/>
      </c>
      <c r="G207" s="142" t="str">
        <f>IF(C207="","",'04 FIIs'!E10)</f>
        <v/>
      </c>
      <c r="H207" s="143" t="str">
        <f>IF(C207="","",'04 FIIs'!H10)</f>
        <v/>
      </c>
      <c r="I207" s="144" t="str">
        <f>IF(C207="","",'04 FIIs'!J10)</f>
        <v/>
      </c>
      <c r="J207" s="145" t="str">
        <f>IF(C207="","",'04 FIIs'!K10)</f>
        <v/>
      </c>
      <c r="K207" s="145" t="str">
        <f>IF(C207="","",'04 FIIs'!Q10)</f>
        <v/>
      </c>
      <c r="L207" s="142" t="str">
        <f>IF(C207="","",'04 FIIs'!R10)</f>
        <v/>
      </c>
      <c r="M207" s="145" t="str">
        <f>IF(C207="","",'04 FIIs'!T10)</f>
        <v/>
      </c>
      <c r="N207" s="146" t="str">
        <f>IF(C207="","",IF($J$3&gt;0,J207/$J$3,0))</f>
        <v/>
      </c>
      <c r="O207" s="141" t="str">
        <f>IF(C207="","",'04 FIIs'!I10)</f>
        <v/>
      </c>
      <c r="P207" s="147" t="str">
        <f>IF(C207="","",IF(N(J207)&gt;0,J207+ROW()/1E9,""))</f>
        <v/>
      </c>
      <c r="Q207" s="147" t="str">
        <f>IF(C207="","",IF(N(M207)&gt;0,M207+ROW()/1E9,""))</f>
        <v/>
      </c>
    </row>
    <row r="208">
      <c r="A208" s="134" t="str">
        <f>IF(C208="","","FIIs")</f>
        <v/>
      </c>
      <c r="B208" s="134" t="str">
        <f>IF(C208="","","Brasil")</f>
        <v/>
      </c>
      <c r="C208" s="134" t="str">
        <f>IF('04 FIIs'!A11="","",'04 FIIs'!A11&amp;"")</f>
        <v/>
      </c>
      <c r="D208" s="134" t="str">
        <f>IF(C208="","",'04 FIIs'!B11&amp;"")</f>
        <v/>
      </c>
      <c r="E208" s="134" t="str">
        <f>IF(C208="","",'04 FIIs'!C11&amp;"")</f>
        <v/>
      </c>
      <c r="F208" s="134" t="str">
        <f>IF(C208="","",'04 FIIs'!V11)</f>
        <v/>
      </c>
      <c r="G208" s="135" t="str">
        <f>IF(C208="","",'04 FIIs'!E11)</f>
        <v/>
      </c>
      <c r="H208" s="136" t="str">
        <f>IF(C208="","",'04 FIIs'!H11)</f>
        <v/>
      </c>
      <c r="I208" s="137" t="str">
        <f>IF(C208="","",'04 FIIs'!J11)</f>
        <v/>
      </c>
      <c r="J208" s="138" t="str">
        <f>IF(C208="","",'04 FIIs'!K11)</f>
        <v/>
      </c>
      <c r="K208" s="138" t="str">
        <f>IF(C208="","",'04 FIIs'!Q11)</f>
        <v/>
      </c>
      <c r="L208" s="135" t="str">
        <f>IF(C208="","",'04 FIIs'!R11)</f>
        <v/>
      </c>
      <c r="M208" s="138" t="str">
        <f>IF(C208="","",'04 FIIs'!T11)</f>
        <v/>
      </c>
      <c r="N208" s="139" t="str">
        <f>IF(C208="","",IF($J$3&gt;0,J208/$J$3,0))</f>
        <v/>
      </c>
      <c r="O208" s="134" t="str">
        <f>IF(C208="","",'04 FIIs'!I11)</f>
        <v/>
      </c>
      <c r="P208" s="140" t="str">
        <f>IF(C208="","",IF(N(J208)&gt;0,J208+ROW()/1E9,""))</f>
        <v/>
      </c>
      <c r="Q208" s="140" t="str">
        <f>IF(C208="","",IF(N(M208)&gt;0,M208+ROW()/1E9,""))</f>
        <v/>
      </c>
    </row>
    <row r="209">
      <c r="A209" s="141" t="str">
        <f>IF(C209="","","FIIs")</f>
        <v/>
      </c>
      <c r="B209" s="141" t="str">
        <f>IF(C209="","","Brasil")</f>
        <v/>
      </c>
      <c r="C209" s="141" t="str">
        <f>IF('04 FIIs'!A12="","",'04 FIIs'!A12&amp;"")</f>
        <v/>
      </c>
      <c r="D209" s="141" t="str">
        <f>IF(C209="","",'04 FIIs'!B12&amp;"")</f>
        <v/>
      </c>
      <c r="E209" s="141" t="str">
        <f>IF(C209="","",'04 FIIs'!C12&amp;"")</f>
        <v/>
      </c>
      <c r="F209" s="141" t="str">
        <f>IF(C209="","",'04 FIIs'!V12)</f>
        <v/>
      </c>
      <c r="G209" s="142" t="str">
        <f>IF(C209="","",'04 FIIs'!E12)</f>
        <v/>
      </c>
      <c r="H209" s="143" t="str">
        <f>IF(C209="","",'04 FIIs'!H12)</f>
        <v/>
      </c>
      <c r="I209" s="144" t="str">
        <f>IF(C209="","",'04 FIIs'!J12)</f>
        <v/>
      </c>
      <c r="J209" s="145" t="str">
        <f>IF(C209="","",'04 FIIs'!K12)</f>
        <v/>
      </c>
      <c r="K209" s="145" t="str">
        <f>IF(C209="","",'04 FIIs'!Q12)</f>
        <v/>
      </c>
      <c r="L209" s="142" t="str">
        <f>IF(C209="","",'04 FIIs'!R12)</f>
        <v/>
      </c>
      <c r="M209" s="145" t="str">
        <f>IF(C209="","",'04 FIIs'!T12)</f>
        <v/>
      </c>
      <c r="N209" s="146" t="str">
        <f>IF(C209="","",IF($J$3&gt;0,J209/$J$3,0))</f>
        <v/>
      </c>
      <c r="O209" s="141" t="str">
        <f>IF(C209="","",'04 FIIs'!I12)</f>
        <v/>
      </c>
      <c r="P209" s="147" t="str">
        <f>IF(C209="","",IF(N(J209)&gt;0,J209+ROW()/1E9,""))</f>
        <v/>
      </c>
      <c r="Q209" s="147" t="str">
        <f>IF(C209="","",IF(N(M209)&gt;0,M209+ROW()/1E9,""))</f>
        <v/>
      </c>
    </row>
    <row r="210">
      <c r="A210" s="134" t="str">
        <f>IF(C210="","","FIIs")</f>
        <v/>
      </c>
      <c r="B210" s="134" t="str">
        <f>IF(C210="","","Brasil")</f>
        <v/>
      </c>
      <c r="C210" s="134" t="str">
        <f>IF('04 FIIs'!A13="","",'04 FIIs'!A13&amp;"")</f>
        <v/>
      </c>
      <c r="D210" s="134" t="str">
        <f>IF(C210="","",'04 FIIs'!B13&amp;"")</f>
        <v/>
      </c>
      <c r="E210" s="134" t="str">
        <f>IF(C210="","",'04 FIIs'!C13&amp;"")</f>
        <v/>
      </c>
      <c r="F210" s="134" t="str">
        <f>IF(C210="","",'04 FIIs'!V13)</f>
        <v/>
      </c>
      <c r="G210" s="135" t="str">
        <f>IF(C210="","",'04 FIIs'!E13)</f>
        <v/>
      </c>
      <c r="H210" s="136" t="str">
        <f>IF(C210="","",'04 FIIs'!H13)</f>
        <v/>
      </c>
      <c r="I210" s="137" t="str">
        <f>IF(C210="","",'04 FIIs'!J13)</f>
        <v/>
      </c>
      <c r="J210" s="138" t="str">
        <f>IF(C210="","",'04 FIIs'!K13)</f>
        <v/>
      </c>
      <c r="K210" s="138" t="str">
        <f>IF(C210="","",'04 FIIs'!Q13)</f>
        <v/>
      </c>
      <c r="L210" s="135" t="str">
        <f>IF(C210="","",'04 FIIs'!R13)</f>
        <v/>
      </c>
      <c r="M210" s="138" t="str">
        <f>IF(C210="","",'04 FIIs'!T13)</f>
        <v/>
      </c>
      <c r="N210" s="139" t="str">
        <f>IF(C210="","",IF($J$3&gt;0,J210/$J$3,0))</f>
        <v/>
      </c>
      <c r="O210" s="134" t="str">
        <f>IF(C210="","",'04 FIIs'!I13)</f>
        <v/>
      </c>
      <c r="P210" s="140" t="str">
        <f>IF(C210="","",IF(N(J210)&gt;0,J210+ROW()/1E9,""))</f>
        <v/>
      </c>
      <c r="Q210" s="140" t="str">
        <f>IF(C210="","",IF(N(M210)&gt;0,M210+ROW()/1E9,""))</f>
        <v/>
      </c>
    </row>
    <row r="211">
      <c r="A211" s="141" t="str">
        <f>IF(C211="","","FIIs")</f>
        <v/>
      </c>
      <c r="B211" s="141" t="str">
        <f>IF(C211="","","Brasil")</f>
        <v/>
      </c>
      <c r="C211" s="141" t="str">
        <f>IF('04 FIIs'!A14="","",'04 FIIs'!A14&amp;"")</f>
        <v/>
      </c>
      <c r="D211" s="141" t="str">
        <f>IF(C211="","",'04 FIIs'!B14&amp;"")</f>
        <v/>
      </c>
      <c r="E211" s="141" t="str">
        <f>IF(C211="","",'04 FIIs'!C14&amp;"")</f>
        <v/>
      </c>
      <c r="F211" s="141" t="str">
        <f>IF(C211="","",'04 FIIs'!V14)</f>
        <v/>
      </c>
      <c r="G211" s="142" t="str">
        <f>IF(C211="","",'04 FIIs'!E14)</f>
        <v/>
      </c>
      <c r="H211" s="143" t="str">
        <f>IF(C211="","",'04 FIIs'!H14)</f>
        <v/>
      </c>
      <c r="I211" s="144" t="str">
        <f>IF(C211="","",'04 FIIs'!J14)</f>
        <v/>
      </c>
      <c r="J211" s="145" t="str">
        <f>IF(C211="","",'04 FIIs'!K14)</f>
        <v/>
      </c>
      <c r="K211" s="145" t="str">
        <f>IF(C211="","",'04 FIIs'!Q14)</f>
        <v/>
      </c>
      <c r="L211" s="142" t="str">
        <f>IF(C211="","",'04 FIIs'!R14)</f>
        <v/>
      </c>
      <c r="M211" s="145" t="str">
        <f>IF(C211="","",'04 FIIs'!T14)</f>
        <v/>
      </c>
      <c r="N211" s="146" t="str">
        <f>IF(C211="","",IF($J$3&gt;0,J211/$J$3,0))</f>
        <v/>
      </c>
      <c r="O211" s="141" t="str">
        <f>IF(C211="","",'04 FIIs'!I14)</f>
        <v/>
      </c>
      <c r="P211" s="147" t="str">
        <f>IF(C211="","",IF(N(J211)&gt;0,J211+ROW()/1E9,""))</f>
        <v/>
      </c>
      <c r="Q211" s="147" t="str">
        <f>IF(C211="","",IF(N(M211)&gt;0,M211+ROW()/1E9,""))</f>
        <v/>
      </c>
    </row>
    <row r="212">
      <c r="A212" s="134" t="str">
        <f>IF(C212="","","FIIs")</f>
        <v/>
      </c>
      <c r="B212" s="134" t="str">
        <f>IF(C212="","","Brasil")</f>
        <v/>
      </c>
      <c r="C212" s="134" t="str">
        <f>IF('04 FIIs'!A15="","",'04 FIIs'!A15&amp;"")</f>
        <v/>
      </c>
      <c r="D212" s="134" t="str">
        <f>IF(C212="","",'04 FIIs'!B15&amp;"")</f>
        <v/>
      </c>
      <c r="E212" s="134" t="str">
        <f>IF(C212="","",'04 FIIs'!C15&amp;"")</f>
        <v/>
      </c>
      <c r="F212" s="134" t="str">
        <f>IF(C212="","",'04 FIIs'!V15)</f>
        <v/>
      </c>
      <c r="G212" s="135" t="str">
        <f>IF(C212="","",'04 FIIs'!E15)</f>
        <v/>
      </c>
      <c r="H212" s="136" t="str">
        <f>IF(C212="","",'04 FIIs'!H15)</f>
        <v/>
      </c>
      <c r="I212" s="137" t="str">
        <f>IF(C212="","",'04 FIIs'!J15)</f>
        <v/>
      </c>
      <c r="J212" s="138" t="str">
        <f>IF(C212="","",'04 FIIs'!K15)</f>
        <v/>
      </c>
      <c r="K212" s="138" t="str">
        <f>IF(C212="","",'04 FIIs'!Q15)</f>
        <v/>
      </c>
      <c r="L212" s="135" t="str">
        <f>IF(C212="","",'04 FIIs'!R15)</f>
        <v/>
      </c>
      <c r="M212" s="138" t="str">
        <f>IF(C212="","",'04 FIIs'!T15)</f>
        <v/>
      </c>
      <c r="N212" s="139" t="str">
        <f>IF(C212="","",IF($J$3&gt;0,J212/$J$3,0))</f>
        <v/>
      </c>
      <c r="O212" s="134" t="str">
        <f>IF(C212="","",'04 FIIs'!I15)</f>
        <v/>
      </c>
      <c r="P212" s="140" t="str">
        <f>IF(C212="","",IF(N(J212)&gt;0,J212+ROW()/1E9,""))</f>
        <v/>
      </c>
      <c r="Q212" s="140" t="str">
        <f>IF(C212="","",IF(N(M212)&gt;0,M212+ROW()/1E9,""))</f>
        <v/>
      </c>
    </row>
    <row r="213">
      <c r="A213" s="141" t="str">
        <f>IF(C213="","","FIIs")</f>
        <v/>
      </c>
      <c r="B213" s="141" t="str">
        <f>IF(C213="","","Brasil")</f>
        <v/>
      </c>
      <c r="C213" s="141" t="str">
        <f>IF('04 FIIs'!A16="","",'04 FIIs'!A16&amp;"")</f>
        <v/>
      </c>
      <c r="D213" s="141" t="str">
        <f>IF(C213="","",'04 FIIs'!B16&amp;"")</f>
        <v/>
      </c>
      <c r="E213" s="141" t="str">
        <f>IF(C213="","",'04 FIIs'!C16&amp;"")</f>
        <v/>
      </c>
      <c r="F213" s="141" t="str">
        <f>IF(C213="","",'04 FIIs'!V16)</f>
        <v/>
      </c>
      <c r="G213" s="142" t="str">
        <f>IF(C213="","",'04 FIIs'!E16)</f>
        <v/>
      </c>
      <c r="H213" s="143" t="str">
        <f>IF(C213="","",'04 FIIs'!H16)</f>
        <v/>
      </c>
      <c r="I213" s="144" t="str">
        <f>IF(C213="","",'04 FIIs'!J16)</f>
        <v/>
      </c>
      <c r="J213" s="145" t="str">
        <f>IF(C213="","",'04 FIIs'!K16)</f>
        <v/>
      </c>
      <c r="K213" s="145" t="str">
        <f>IF(C213="","",'04 FIIs'!Q16)</f>
        <v/>
      </c>
      <c r="L213" s="142" t="str">
        <f>IF(C213="","",'04 FIIs'!R16)</f>
        <v/>
      </c>
      <c r="M213" s="145" t="str">
        <f>IF(C213="","",'04 FIIs'!T16)</f>
        <v/>
      </c>
      <c r="N213" s="146" t="str">
        <f>IF(C213="","",IF($J$3&gt;0,J213/$J$3,0))</f>
        <v/>
      </c>
      <c r="O213" s="141" t="str">
        <f>IF(C213="","",'04 FIIs'!I16)</f>
        <v/>
      </c>
      <c r="P213" s="147" t="str">
        <f>IF(C213="","",IF(N(J213)&gt;0,J213+ROW()/1E9,""))</f>
        <v/>
      </c>
      <c r="Q213" s="147" t="str">
        <f>IF(C213="","",IF(N(M213)&gt;0,M213+ROW()/1E9,""))</f>
        <v/>
      </c>
    </row>
    <row r="214">
      <c r="A214" s="134" t="str">
        <f>IF(C214="","","FIIs")</f>
        <v/>
      </c>
      <c r="B214" s="134" t="str">
        <f>IF(C214="","","Brasil")</f>
        <v/>
      </c>
      <c r="C214" s="134" t="str">
        <f>IF('04 FIIs'!A17="","",'04 FIIs'!A17&amp;"")</f>
        <v/>
      </c>
      <c r="D214" s="134" t="str">
        <f>IF(C214="","",'04 FIIs'!B17&amp;"")</f>
        <v/>
      </c>
      <c r="E214" s="134" t="str">
        <f>IF(C214="","",'04 FIIs'!C17&amp;"")</f>
        <v/>
      </c>
      <c r="F214" s="134" t="str">
        <f>IF(C214="","",'04 FIIs'!V17)</f>
        <v/>
      </c>
      <c r="G214" s="135" t="str">
        <f>IF(C214="","",'04 FIIs'!E17)</f>
        <v/>
      </c>
      <c r="H214" s="136" t="str">
        <f>IF(C214="","",'04 FIIs'!H17)</f>
        <v/>
      </c>
      <c r="I214" s="137" t="str">
        <f>IF(C214="","",'04 FIIs'!J17)</f>
        <v/>
      </c>
      <c r="J214" s="138" t="str">
        <f>IF(C214="","",'04 FIIs'!K17)</f>
        <v/>
      </c>
      <c r="K214" s="138" t="str">
        <f>IF(C214="","",'04 FIIs'!Q17)</f>
        <v/>
      </c>
      <c r="L214" s="135" t="str">
        <f>IF(C214="","",'04 FIIs'!R17)</f>
        <v/>
      </c>
      <c r="M214" s="138" t="str">
        <f>IF(C214="","",'04 FIIs'!T17)</f>
        <v/>
      </c>
      <c r="N214" s="139" t="str">
        <f>IF(C214="","",IF($J$3&gt;0,J214/$J$3,0))</f>
        <v/>
      </c>
      <c r="O214" s="134" t="str">
        <f>IF(C214="","",'04 FIIs'!I17)</f>
        <v/>
      </c>
      <c r="P214" s="140" t="str">
        <f>IF(C214="","",IF(N(J214)&gt;0,J214+ROW()/1E9,""))</f>
        <v/>
      </c>
      <c r="Q214" s="140" t="str">
        <f>IF(C214="","",IF(N(M214)&gt;0,M214+ROW()/1E9,""))</f>
        <v/>
      </c>
    </row>
    <row r="215">
      <c r="A215" s="141" t="str">
        <f>IF(C215="","","FIIs")</f>
        <v/>
      </c>
      <c r="B215" s="141" t="str">
        <f>IF(C215="","","Brasil")</f>
        <v/>
      </c>
      <c r="C215" s="141" t="str">
        <f>IF('04 FIIs'!A18="","",'04 FIIs'!A18&amp;"")</f>
        <v/>
      </c>
      <c r="D215" s="141" t="str">
        <f>IF(C215="","",'04 FIIs'!B18&amp;"")</f>
        <v/>
      </c>
      <c r="E215" s="141" t="str">
        <f>IF(C215="","",'04 FIIs'!C18&amp;"")</f>
        <v/>
      </c>
      <c r="F215" s="141" t="str">
        <f>IF(C215="","",'04 FIIs'!V18)</f>
        <v/>
      </c>
      <c r="G215" s="142" t="str">
        <f>IF(C215="","",'04 FIIs'!E18)</f>
        <v/>
      </c>
      <c r="H215" s="143" t="str">
        <f>IF(C215="","",'04 FIIs'!H18)</f>
        <v/>
      </c>
      <c r="I215" s="144" t="str">
        <f>IF(C215="","",'04 FIIs'!J18)</f>
        <v/>
      </c>
      <c r="J215" s="145" t="str">
        <f>IF(C215="","",'04 FIIs'!K18)</f>
        <v/>
      </c>
      <c r="K215" s="145" t="str">
        <f>IF(C215="","",'04 FIIs'!Q18)</f>
        <v/>
      </c>
      <c r="L215" s="142" t="str">
        <f>IF(C215="","",'04 FIIs'!R18)</f>
        <v/>
      </c>
      <c r="M215" s="145" t="str">
        <f>IF(C215="","",'04 FIIs'!T18)</f>
        <v/>
      </c>
      <c r="N215" s="146" t="str">
        <f>IF(C215="","",IF($J$3&gt;0,J215/$J$3,0))</f>
        <v/>
      </c>
      <c r="O215" s="141" t="str">
        <f>IF(C215="","",'04 FIIs'!I18)</f>
        <v/>
      </c>
      <c r="P215" s="147" t="str">
        <f>IF(C215="","",IF(N(J215)&gt;0,J215+ROW()/1E9,""))</f>
        <v/>
      </c>
      <c r="Q215" s="147" t="str">
        <f>IF(C215="","",IF(N(M215)&gt;0,M215+ROW()/1E9,""))</f>
        <v/>
      </c>
    </row>
    <row r="216">
      <c r="A216" s="134" t="str">
        <f>IF(C216="","","FIIs")</f>
        <v/>
      </c>
      <c r="B216" s="134" t="str">
        <f>IF(C216="","","Brasil")</f>
        <v/>
      </c>
      <c r="C216" s="134" t="str">
        <f>IF('04 FIIs'!A19="","",'04 FIIs'!A19&amp;"")</f>
        <v/>
      </c>
      <c r="D216" s="134" t="str">
        <f>IF(C216="","",'04 FIIs'!B19&amp;"")</f>
        <v/>
      </c>
      <c r="E216" s="134" t="str">
        <f>IF(C216="","",'04 FIIs'!C19&amp;"")</f>
        <v/>
      </c>
      <c r="F216" s="134" t="str">
        <f>IF(C216="","",'04 FIIs'!V19)</f>
        <v/>
      </c>
      <c r="G216" s="135" t="str">
        <f>IF(C216="","",'04 FIIs'!E19)</f>
        <v/>
      </c>
      <c r="H216" s="136" t="str">
        <f>IF(C216="","",'04 FIIs'!H19)</f>
        <v/>
      </c>
      <c r="I216" s="137" t="str">
        <f>IF(C216="","",'04 FIIs'!J19)</f>
        <v/>
      </c>
      <c r="J216" s="138" t="str">
        <f>IF(C216="","",'04 FIIs'!K19)</f>
        <v/>
      </c>
      <c r="K216" s="138" t="str">
        <f>IF(C216="","",'04 FIIs'!Q19)</f>
        <v/>
      </c>
      <c r="L216" s="135" t="str">
        <f>IF(C216="","",'04 FIIs'!R19)</f>
        <v/>
      </c>
      <c r="M216" s="138" t="str">
        <f>IF(C216="","",'04 FIIs'!T19)</f>
        <v/>
      </c>
      <c r="N216" s="139" t="str">
        <f>IF(C216="","",IF($J$3&gt;0,J216/$J$3,0))</f>
        <v/>
      </c>
      <c r="O216" s="134" t="str">
        <f>IF(C216="","",'04 FIIs'!I19)</f>
        <v/>
      </c>
      <c r="P216" s="140" t="str">
        <f>IF(C216="","",IF(N(J216)&gt;0,J216+ROW()/1E9,""))</f>
        <v/>
      </c>
      <c r="Q216" s="140" t="str">
        <f>IF(C216="","",IF(N(M216)&gt;0,M216+ROW()/1E9,""))</f>
        <v/>
      </c>
    </row>
    <row r="217">
      <c r="A217" s="141" t="str">
        <f>IF(C217="","","FIIs")</f>
        <v/>
      </c>
      <c r="B217" s="141" t="str">
        <f>IF(C217="","","Brasil")</f>
        <v/>
      </c>
      <c r="C217" s="141" t="str">
        <f>IF('04 FIIs'!A20="","",'04 FIIs'!A20&amp;"")</f>
        <v/>
      </c>
      <c r="D217" s="141" t="str">
        <f>IF(C217="","",'04 FIIs'!B20&amp;"")</f>
        <v/>
      </c>
      <c r="E217" s="141" t="str">
        <f>IF(C217="","",'04 FIIs'!C20&amp;"")</f>
        <v/>
      </c>
      <c r="F217" s="141" t="str">
        <f>IF(C217="","",'04 FIIs'!V20)</f>
        <v/>
      </c>
      <c r="G217" s="142" t="str">
        <f>IF(C217="","",'04 FIIs'!E20)</f>
        <v/>
      </c>
      <c r="H217" s="143" t="str">
        <f>IF(C217="","",'04 FIIs'!H20)</f>
        <v/>
      </c>
      <c r="I217" s="144" t="str">
        <f>IF(C217="","",'04 FIIs'!J20)</f>
        <v/>
      </c>
      <c r="J217" s="145" t="str">
        <f>IF(C217="","",'04 FIIs'!K20)</f>
        <v/>
      </c>
      <c r="K217" s="145" t="str">
        <f>IF(C217="","",'04 FIIs'!Q20)</f>
        <v/>
      </c>
      <c r="L217" s="142" t="str">
        <f>IF(C217="","",'04 FIIs'!R20)</f>
        <v/>
      </c>
      <c r="M217" s="145" t="str">
        <f>IF(C217="","",'04 FIIs'!T20)</f>
        <v/>
      </c>
      <c r="N217" s="146" t="str">
        <f>IF(C217="","",IF($J$3&gt;0,J217/$J$3,0))</f>
        <v/>
      </c>
      <c r="O217" s="141" t="str">
        <f>IF(C217="","",'04 FIIs'!I20)</f>
        <v/>
      </c>
      <c r="P217" s="147" t="str">
        <f>IF(C217="","",IF(N(J217)&gt;0,J217+ROW()/1E9,""))</f>
        <v/>
      </c>
      <c r="Q217" s="147" t="str">
        <f>IF(C217="","",IF(N(M217)&gt;0,M217+ROW()/1E9,""))</f>
        <v/>
      </c>
    </row>
    <row r="218">
      <c r="A218" s="134" t="str">
        <f>IF(C218="","","FIIs")</f>
        <v/>
      </c>
      <c r="B218" s="134" t="str">
        <f>IF(C218="","","Brasil")</f>
        <v/>
      </c>
      <c r="C218" s="134" t="str">
        <f>IF('04 FIIs'!A21="","",'04 FIIs'!A21&amp;"")</f>
        <v/>
      </c>
      <c r="D218" s="134" t="str">
        <f>IF(C218="","",'04 FIIs'!B21&amp;"")</f>
        <v/>
      </c>
      <c r="E218" s="134" t="str">
        <f>IF(C218="","",'04 FIIs'!C21&amp;"")</f>
        <v/>
      </c>
      <c r="F218" s="134" t="str">
        <f>IF(C218="","",'04 FIIs'!V21)</f>
        <v/>
      </c>
      <c r="G218" s="135" t="str">
        <f>IF(C218="","",'04 FIIs'!E21)</f>
        <v/>
      </c>
      <c r="H218" s="136" t="str">
        <f>IF(C218="","",'04 FIIs'!H21)</f>
        <v/>
      </c>
      <c r="I218" s="137" t="str">
        <f>IF(C218="","",'04 FIIs'!J21)</f>
        <v/>
      </c>
      <c r="J218" s="138" t="str">
        <f>IF(C218="","",'04 FIIs'!K21)</f>
        <v/>
      </c>
      <c r="K218" s="138" t="str">
        <f>IF(C218="","",'04 FIIs'!Q21)</f>
        <v/>
      </c>
      <c r="L218" s="135" t="str">
        <f>IF(C218="","",'04 FIIs'!R21)</f>
        <v/>
      </c>
      <c r="M218" s="138" t="str">
        <f>IF(C218="","",'04 FIIs'!T21)</f>
        <v/>
      </c>
      <c r="N218" s="139" t="str">
        <f>IF(C218="","",IF($J$3&gt;0,J218/$J$3,0))</f>
        <v/>
      </c>
      <c r="O218" s="134" t="str">
        <f>IF(C218="","",'04 FIIs'!I21)</f>
        <v/>
      </c>
      <c r="P218" s="140" t="str">
        <f>IF(C218="","",IF(N(J218)&gt;0,J218+ROW()/1E9,""))</f>
        <v/>
      </c>
      <c r="Q218" s="140" t="str">
        <f>IF(C218="","",IF(N(M218)&gt;0,M218+ROW()/1E9,""))</f>
        <v/>
      </c>
    </row>
    <row r="219">
      <c r="A219" s="141" t="str">
        <f>IF(C219="","","FIIs")</f>
        <v/>
      </c>
      <c r="B219" s="141" t="str">
        <f>IF(C219="","","Brasil")</f>
        <v/>
      </c>
      <c r="C219" s="141" t="str">
        <f>IF('04 FIIs'!A22="","",'04 FIIs'!A22&amp;"")</f>
        <v/>
      </c>
      <c r="D219" s="141" t="str">
        <f>IF(C219="","",'04 FIIs'!B22&amp;"")</f>
        <v/>
      </c>
      <c r="E219" s="141" t="str">
        <f>IF(C219="","",'04 FIIs'!C22&amp;"")</f>
        <v/>
      </c>
      <c r="F219" s="141" t="str">
        <f>IF(C219="","",'04 FIIs'!V22)</f>
        <v/>
      </c>
      <c r="G219" s="142" t="str">
        <f>IF(C219="","",'04 FIIs'!E22)</f>
        <v/>
      </c>
      <c r="H219" s="143" t="str">
        <f>IF(C219="","",'04 FIIs'!H22)</f>
        <v/>
      </c>
      <c r="I219" s="144" t="str">
        <f>IF(C219="","",'04 FIIs'!J22)</f>
        <v/>
      </c>
      <c r="J219" s="145" t="str">
        <f>IF(C219="","",'04 FIIs'!K22)</f>
        <v/>
      </c>
      <c r="K219" s="145" t="str">
        <f>IF(C219="","",'04 FIIs'!Q22)</f>
        <v/>
      </c>
      <c r="L219" s="142" t="str">
        <f>IF(C219="","",'04 FIIs'!R22)</f>
        <v/>
      </c>
      <c r="M219" s="145" t="str">
        <f>IF(C219="","",'04 FIIs'!T22)</f>
        <v/>
      </c>
      <c r="N219" s="146" t="str">
        <f>IF(C219="","",IF($J$3&gt;0,J219/$J$3,0))</f>
        <v/>
      </c>
      <c r="O219" s="141" t="str">
        <f>IF(C219="","",'04 FIIs'!I22)</f>
        <v/>
      </c>
      <c r="P219" s="147" t="str">
        <f>IF(C219="","",IF(N(J219)&gt;0,J219+ROW()/1E9,""))</f>
        <v/>
      </c>
      <c r="Q219" s="147" t="str">
        <f>IF(C219="","",IF(N(M219)&gt;0,M219+ROW()/1E9,""))</f>
        <v/>
      </c>
    </row>
    <row r="220">
      <c r="A220" s="134" t="str">
        <f>IF(C220="","","FIIs")</f>
        <v/>
      </c>
      <c r="B220" s="134" t="str">
        <f>IF(C220="","","Brasil")</f>
        <v/>
      </c>
      <c r="C220" s="134" t="str">
        <f>IF('04 FIIs'!A23="","",'04 FIIs'!A23&amp;"")</f>
        <v/>
      </c>
      <c r="D220" s="134" t="str">
        <f>IF(C220="","",'04 FIIs'!B23&amp;"")</f>
        <v/>
      </c>
      <c r="E220" s="134" t="str">
        <f>IF(C220="","",'04 FIIs'!C23&amp;"")</f>
        <v/>
      </c>
      <c r="F220" s="134" t="str">
        <f>IF(C220="","",'04 FIIs'!V23)</f>
        <v/>
      </c>
      <c r="G220" s="135" t="str">
        <f>IF(C220="","",'04 FIIs'!E23)</f>
        <v/>
      </c>
      <c r="H220" s="136" t="str">
        <f>IF(C220="","",'04 FIIs'!H23)</f>
        <v/>
      </c>
      <c r="I220" s="137" t="str">
        <f>IF(C220="","",'04 FIIs'!J23)</f>
        <v/>
      </c>
      <c r="J220" s="138" t="str">
        <f>IF(C220="","",'04 FIIs'!K23)</f>
        <v/>
      </c>
      <c r="K220" s="138" t="str">
        <f>IF(C220="","",'04 FIIs'!Q23)</f>
        <v/>
      </c>
      <c r="L220" s="135" t="str">
        <f>IF(C220="","",'04 FIIs'!R23)</f>
        <v/>
      </c>
      <c r="M220" s="138" t="str">
        <f>IF(C220="","",'04 FIIs'!T23)</f>
        <v/>
      </c>
      <c r="N220" s="139" t="str">
        <f>IF(C220="","",IF($J$3&gt;0,J220/$J$3,0))</f>
        <v/>
      </c>
      <c r="O220" s="134" t="str">
        <f>IF(C220="","",'04 FIIs'!I23)</f>
        <v/>
      </c>
      <c r="P220" s="140" t="str">
        <f>IF(C220="","",IF(N(J220)&gt;0,J220+ROW()/1E9,""))</f>
        <v/>
      </c>
      <c r="Q220" s="140" t="str">
        <f>IF(C220="","",IF(N(M220)&gt;0,M220+ROW()/1E9,""))</f>
        <v/>
      </c>
    </row>
    <row r="221">
      <c r="A221" s="141" t="str">
        <f>IF(C221="","","FIIs")</f>
        <v/>
      </c>
      <c r="B221" s="141" t="str">
        <f>IF(C221="","","Brasil")</f>
        <v/>
      </c>
      <c r="C221" s="141" t="str">
        <f>IF('04 FIIs'!A24="","",'04 FIIs'!A24&amp;"")</f>
        <v/>
      </c>
      <c r="D221" s="141" t="str">
        <f>IF(C221="","",'04 FIIs'!B24&amp;"")</f>
        <v/>
      </c>
      <c r="E221" s="141" t="str">
        <f>IF(C221="","",'04 FIIs'!C24&amp;"")</f>
        <v/>
      </c>
      <c r="F221" s="141" t="str">
        <f>IF(C221="","",'04 FIIs'!V24)</f>
        <v/>
      </c>
      <c r="G221" s="142" t="str">
        <f>IF(C221="","",'04 FIIs'!E24)</f>
        <v/>
      </c>
      <c r="H221" s="143" t="str">
        <f>IF(C221="","",'04 FIIs'!H24)</f>
        <v/>
      </c>
      <c r="I221" s="144" t="str">
        <f>IF(C221="","",'04 FIIs'!J24)</f>
        <v/>
      </c>
      <c r="J221" s="145" t="str">
        <f>IF(C221="","",'04 FIIs'!K24)</f>
        <v/>
      </c>
      <c r="K221" s="145" t="str">
        <f>IF(C221="","",'04 FIIs'!Q24)</f>
        <v/>
      </c>
      <c r="L221" s="142" t="str">
        <f>IF(C221="","",'04 FIIs'!R24)</f>
        <v/>
      </c>
      <c r="M221" s="145" t="str">
        <f>IF(C221="","",'04 FIIs'!T24)</f>
        <v/>
      </c>
      <c r="N221" s="146" t="str">
        <f>IF(C221="","",IF($J$3&gt;0,J221/$J$3,0))</f>
        <v/>
      </c>
      <c r="O221" s="141" t="str">
        <f>IF(C221="","",'04 FIIs'!I24)</f>
        <v/>
      </c>
      <c r="P221" s="147" t="str">
        <f>IF(C221="","",IF(N(J221)&gt;0,J221+ROW()/1E9,""))</f>
        <v/>
      </c>
      <c r="Q221" s="147" t="str">
        <f>IF(C221="","",IF(N(M221)&gt;0,M221+ROW()/1E9,""))</f>
        <v/>
      </c>
    </row>
    <row r="222">
      <c r="A222" s="134" t="str">
        <f>IF(C222="","","FIIs")</f>
        <v/>
      </c>
      <c r="B222" s="134" t="str">
        <f>IF(C222="","","Brasil")</f>
        <v/>
      </c>
      <c r="C222" s="134" t="str">
        <f>IF('04 FIIs'!A25="","",'04 FIIs'!A25&amp;"")</f>
        <v/>
      </c>
      <c r="D222" s="134" t="str">
        <f>IF(C222="","",'04 FIIs'!B25&amp;"")</f>
        <v/>
      </c>
      <c r="E222" s="134" t="str">
        <f>IF(C222="","",'04 FIIs'!C25&amp;"")</f>
        <v/>
      </c>
      <c r="F222" s="134" t="str">
        <f>IF(C222="","",'04 FIIs'!V25)</f>
        <v/>
      </c>
      <c r="G222" s="135" t="str">
        <f>IF(C222="","",'04 FIIs'!E25)</f>
        <v/>
      </c>
      <c r="H222" s="136" t="str">
        <f>IF(C222="","",'04 FIIs'!H25)</f>
        <v/>
      </c>
      <c r="I222" s="137" t="str">
        <f>IF(C222="","",'04 FIIs'!J25)</f>
        <v/>
      </c>
      <c r="J222" s="138" t="str">
        <f>IF(C222="","",'04 FIIs'!K25)</f>
        <v/>
      </c>
      <c r="K222" s="138" t="str">
        <f>IF(C222="","",'04 FIIs'!Q25)</f>
        <v/>
      </c>
      <c r="L222" s="135" t="str">
        <f>IF(C222="","",'04 FIIs'!R25)</f>
        <v/>
      </c>
      <c r="M222" s="138" t="str">
        <f>IF(C222="","",'04 FIIs'!T25)</f>
        <v/>
      </c>
      <c r="N222" s="139" t="str">
        <f>IF(C222="","",IF($J$3&gt;0,J222/$J$3,0))</f>
        <v/>
      </c>
      <c r="O222" s="134" t="str">
        <f>IF(C222="","",'04 FIIs'!I25)</f>
        <v/>
      </c>
      <c r="P222" s="140" t="str">
        <f>IF(C222="","",IF(N(J222)&gt;0,J222+ROW()/1E9,""))</f>
        <v/>
      </c>
      <c r="Q222" s="140" t="str">
        <f>IF(C222="","",IF(N(M222)&gt;0,M222+ROW()/1E9,""))</f>
        <v/>
      </c>
    </row>
    <row r="223">
      <c r="A223" s="141" t="str">
        <f>IF(C223="","","FIIs")</f>
        <v/>
      </c>
      <c r="B223" s="141" t="str">
        <f>IF(C223="","","Brasil")</f>
        <v/>
      </c>
      <c r="C223" s="141" t="str">
        <f>IF('04 FIIs'!A26="","",'04 FIIs'!A26&amp;"")</f>
        <v/>
      </c>
      <c r="D223" s="141" t="str">
        <f>IF(C223="","",'04 FIIs'!B26&amp;"")</f>
        <v/>
      </c>
      <c r="E223" s="141" t="str">
        <f>IF(C223="","",'04 FIIs'!C26&amp;"")</f>
        <v/>
      </c>
      <c r="F223" s="141" t="str">
        <f>IF(C223="","",'04 FIIs'!V26)</f>
        <v/>
      </c>
      <c r="G223" s="142" t="str">
        <f>IF(C223="","",'04 FIIs'!E26)</f>
        <v/>
      </c>
      <c r="H223" s="143" t="str">
        <f>IF(C223="","",'04 FIIs'!H26)</f>
        <v/>
      </c>
      <c r="I223" s="144" t="str">
        <f>IF(C223="","",'04 FIIs'!J26)</f>
        <v/>
      </c>
      <c r="J223" s="145" t="str">
        <f>IF(C223="","",'04 FIIs'!K26)</f>
        <v/>
      </c>
      <c r="K223" s="145" t="str">
        <f>IF(C223="","",'04 FIIs'!Q26)</f>
        <v/>
      </c>
      <c r="L223" s="142" t="str">
        <f>IF(C223="","",'04 FIIs'!R26)</f>
        <v/>
      </c>
      <c r="M223" s="145" t="str">
        <f>IF(C223="","",'04 FIIs'!T26)</f>
        <v/>
      </c>
      <c r="N223" s="146" t="str">
        <f>IF(C223="","",IF($J$3&gt;0,J223/$J$3,0))</f>
        <v/>
      </c>
      <c r="O223" s="141" t="str">
        <f>IF(C223="","",'04 FIIs'!I26)</f>
        <v/>
      </c>
      <c r="P223" s="147" t="str">
        <f>IF(C223="","",IF(N(J223)&gt;0,J223+ROW()/1E9,""))</f>
        <v/>
      </c>
      <c r="Q223" s="147" t="str">
        <f>IF(C223="","",IF(N(M223)&gt;0,M223+ROW()/1E9,""))</f>
        <v/>
      </c>
    </row>
    <row r="224">
      <c r="A224" s="134" t="str">
        <f>IF(C224="","","FIIs")</f>
        <v/>
      </c>
      <c r="B224" s="134" t="str">
        <f>IF(C224="","","Brasil")</f>
        <v/>
      </c>
      <c r="C224" s="134" t="str">
        <f>IF('04 FIIs'!A27="","",'04 FIIs'!A27&amp;"")</f>
        <v/>
      </c>
      <c r="D224" s="134" t="str">
        <f>IF(C224="","",'04 FIIs'!B27&amp;"")</f>
        <v/>
      </c>
      <c r="E224" s="134" t="str">
        <f>IF(C224="","",'04 FIIs'!C27&amp;"")</f>
        <v/>
      </c>
      <c r="F224" s="134" t="str">
        <f>IF(C224="","",'04 FIIs'!V27)</f>
        <v/>
      </c>
      <c r="G224" s="135" t="str">
        <f>IF(C224="","",'04 FIIs'!E27)</f>
        <v/>
      </c>
      <c r="H224" s="136" t="str">
        <f>IF(C224="","",'04 FIIs'!H27)</f>
        <v/>
      </c>
      <c r="I224" s="137" t="str">
        <f>IF(C224="","",'04 FIIs'!J27)</f>
        <v/>
      </c>
      <c r="J224" s="138" t="str">
        <f>IF(C224="","",'04 FIIs'!K27)</f>
        <v/>
      </c>
      <c r="K224" s="138" t="str">
        <f>IF(C224="","",'04 FIIs'!Q27)</f>
        <v/>
      </c>
      <c r="L224" s="135" t="str">
        <f>IF(C224="","",'04 FIIs'!R27)</f>
        <v/>
      </c>
      <c r="M224" s="138" t="str">
        <f>IF(C224="","",'04 FIIs'!T27)</f>
        <v/>
      </c>
      <c r="N224" s="139" t="str">
        <f>IF(C224="","",IF($J$3&gt;0,J224/$J$3,0))</f>
        <v/>
      </c>
      <c r="O224" s="134" t="str">
        <f>IF(C224="","",'04 FIIs'!I27)</f>
        <v/>
      </c>
      <c r="P224" s="140" t="str">
        <f>IF(C224="","",IF(N(J224)&gt;0,J224+ROW()/1E9,""))</f>
        <v/>
      </c>
      <c r="Q224" s="140" t="str">
        <f>IF(C224="","",IF(N(M224)&gt;0,M224+ROW()/1E9,""))</f>
        <v/>
      </c>
    </row>
    <row r="225">
      <c r="A225" s="141" t="str">
        <f>IF(C225="","","FIIs")</f>
        <v/>
      </c>
      <c r="B225" s="141" t="str">
        <f>IF(C225="","","Brasil")</f>
        <v/>
      </c>
      <c r="C225" s="141" t="str">
        <f>IF('04 FIIs'!A28="","",'04 FIIs'!A28&amp;"")</f>
        <v/>
      </c>
      <c r="D225" s="141" t="str">
        <f>IF(C225="","",'04 FIIs'!B28&amp;"")</f>
        <v/>
      </c>
      <c r="E225" s="141" t="str">
        <f>IF(C225="","",'04 FIIs'!C28&amp;"")</f>
        <v/>
      </c>
      <c r="F225" s="141" t="str">
        <f>IF(C225="","",'04 FIIs'!V28)</f>
        <v/>
      </c>
      <c r="G225" s="142" t="str">
        <f>IF(C225="","",'04 FIIs'!E28)</f>
        <v/>
      </c>
      <c r="H225" s="143" t="str">
        <f>IF(C225="","",'04 FIIs'!H28)</f>
        <v/>
      </c>
      <c r="I225" s="144" t="str">
        <f>IF(C225="","",'04 FIIs'!J28)</f>
        <v/>
      </c>
      <c r="J225" s="145" t="str">
        <f>IF(C225="","",'04 FIIs'!K28)</f>
        <v/>
      </c>
      <c r="K225" s="145" t="str">
        <f>IF(C225="","",'04 FIIs'!Q28)</f>
        <v/>
      </c>
      <c r="L225" s="142" t="str">
        <f>IF(C225="","",'04 FIIs'!R28)</f>
        <v/>
      </c>
      <c r="M225" s="145" t="str">
        <f>IF(C225="","",'04 FIIs'!T28)</f>
        <v/>
      </c>
      <c r="N225" s="146" t="str">
        <f>IF(C225="","",IF($J$3&gt;0,J225/$J$3,0))</f>
        <v/>
      </c>
      <c r="O225" s="141" t="str">
        <f>IF(C225="","",'04 FIIs'!I28)</f>
        <v/>
      </c>
      <c r="P225" s="147" t="str">
        <f>IF(C225="","",IF(N(J225)&gt;0,J225+ROW()/1E9,""))</f>
        <v/>
      </c>
      <c r="Q225" s="147" t="str">
        <f>IF(C225="","",IF(N(M225)&gt;0,M225+ROW()/1E9,""))</f>
        <v/>
      </c>
    </row>
    <row r="226">
      <c r="A226" s="134" t="str">
        <f>IF(C226="","","FIIs")</f>
        <v/>
      </c>
      <c r="B226" s="134" t="str">
        <f>IF(C226="","","Brasil")</f>
        <v/>
      </c>
      <c r="C226" s="134" t="str">
        <f>IF('04 FIIs'!A29="","",'04 FIIs'!A29&amp;"")</f>
        <v/>
      </c>
      <c r="D226" s="134" t="str">
        <f>IF(C226="","",'04 FIIs'!B29&amp;"")</f>
        <v/>
      </c>
      <c r="E226" s="134" t="str">
        <f>IF(C226="","",'04 FIIs'!C29&amp;"")</f>
        <v/>
      </c>
      <c r="F226" s="134" t="str">
        <f>IF(C226="","",'04 FIIs'!V29)</f>
        <v/>
      </c>
      <c r="G226" s="135" t="str">
        <f>IF(C226="","",'04 FIIs'!E29)</f>
        <v/>
      </c>
      <c r="H226" s="136" t="str">
        <f>IF(C226="","",'04 FIIs'!H29)</f>
        <v/>
      </c>
      <c r="I226" s="137" t="str">
        <f>IF(C226="","",'04 FIIs'!J29)</f>
        <v/>
      </c>
      <c r="J226" s="138" t="str">
        <f>IF(C226="","",'04 FIIs'!K29)</f>
        <v/>
      </c>
      <c r="K226" s="138" t="str">
        <f>IF(C226="","",'04 FIIs'!Q29)</f>
        <v/>
      </c>
      <c r="L226" s="135" t="str">
        <f>IF(C226="","",'04 FIIs'!R29)</f>
        <v/>
      </c>
      <c r="M226" s="138" t="str">
        <f>IF(C226="","",'04 FIIs'!T29)</f>
        <v/>
      </c>
      <c r="N226" s="139" t="str">
        <f>IF(C226="","",IF($J$3&gt;0,J226/$J$3,0))</f>
        <v/>
      </c>
      <c r="O226" s="134" t="str">
        <f>IF(C226="","",'04 FIIs'!I29)</f>
        <v/>
      </c>
      <c r="P226" s="140" t="str">
        <f>IF(C226="","",IF(N(J226)&gt;0,J226+ROW()/1E9,""))</f>
        <v/>
      </c>
      <c r="Q226" s="140" t="str">
        <f>IF(C226="","",IF(N(M226)&gt;0,M226+ROW()/1E9,""))</f>
        <v/>
      </c>
    </row>
    <row r="227">
      <c r="A227" s="141" t="str">
        <f>IF(C227="","","FIIs")</f>
        <v/>
      </c>
      <c r="B227" s="141" t="str">
        <f>IF(C227="","","Brasil")</f>
        <v/>
      </c>
      <c r="C227" s="141" t="str">
        <f>IF('04 FIIs'!A30="","",'04 FIIs'!A30&amp;"")</f>
        <v/>
      </c>
      <c r="D227" s="141" t="str">
        <f>IF(C227="","",'04 FIIs'!B30&amp;"")</f>
        <v/>
      </c>
      <c r="E227" s="141" t="str">
        <f>IF(C227="","",'04 FIIs'!C30&amp;"")</f>
        <v/>
      </c>
      <c r="F227" s="141" t="str">
        <f>IF(C227="","",'04 FIIs'!V30)</f>
        <v/>
      </c>
      <c r="G227" s="142" t="str">
        <f>IF(C227="","",'04 FIIs'!E30)</f>
        <v/>
      </c>
      <c r="H227" s="143" t="str">
        <f>IF(C227="","",'04 FIIs'!H30)</f>
        <v/>
      </c>
      <c r="I227" s="144" t="str">
        <f>IF(C227="","",'04 FIIs'!J30)</f>
        <v/>
      </c>
      <c r="J227" s="145" t="str">
        <f>IF(C227="","",'04 FIIs'!K30)</f>
        <v/>
      </c>
      <c r="K227" s="145" t="str">
        <f>IF(C227="","",'04 FIIs'!Q30)</f>
        <v/>
      </c>
      <c r="L227" s="142" t="str">
        <f>IF(C227="","",'04 FIIs'!R30)</f>
        <v/>
      </c>
      <c r="M227" s="145" t="str">
        <f>IF(C227="","",'04 FIIs'!T30)</f>
        <v/>
      </c>
      <c r="N227" s="146" t="str">
        <f>IF(C227="","",IF($J$3&gt;0,J227/$J$3,0))</f>
        <v/>
      </c>
      <c r="O227" s="141" t="str">
        <f>IF(C227="","",'04 FIIs'!I30)</f>
        <v/>
      </c>
      <c r="P227" s="147" t="str">
        <f>IF(C227="","",IF(N(J227)&gt;0,J227+ROW()/1E9,""))</f>
        <v/>
      </c>
      <c r="Q227" s="147" t="str">
        <f>IF(C227="","",IF(N(M227)&gt;0,M227+ROW()/1E9,""))</f>
        <v/>
      </c>
    </row>
    <row r="228">
      <c r="A228" s="134" t="str">
        <f>IF(C228="","","FIIs")</f>
        <v/>
      </c>
      <c r="B228" s="134" t="str">
        <f>IF(C228="","","Brasil")</f>
        <v/>
      </c>
      <c r="C228" s="134" t="str">
        <f>IF('04 FIIs'!A31="","",'04 FIIs'!A31&amp;"")</f>
        <v/>
      </c>
      <c r="D228" s="134" t="str">
        <f>IF(C228="","",'04 FIIs'!B31&amp;"")</f>
        <v/>
      </c>
      <c r="E228" s="134" t="str">
        <f>IF(C228="","",'04 FIIs'!C31&amp;"")</f>
        <v/>
      </c>
      <c r="F228" s="134" t="str">
        <f>IF(C228="","",'04 FIIs'!V31)</f>
        <v/>
      </c>
      <c r="G228" s="135" t="str">
        <f>IF(C228="","",'04 FIIs'!E31)</f>
        <v/>
      </c>
      <c r="H228" s="136" t="str">
        <f>IF(C228="","",'04 FIIs'!H31)</f>
        <v/>
      </c>
      <c r="I228" s="137" t="str">
        <f>IF(C228="","",'04 FIIs'!J31)</f>
        <v/>
      </c>
      <c r="J228" s="138" t="str">
        <f>IF(C228="","",'04 FIIs'!K31)</f>
        <v/>
      </c>
      <c r="K228" s="138" t="str">
        <f>IF(C228="","",'04 FIIs'!Q31)</f>
        <v/>
      </c>
      <c r="L228" s="135" t="str">
        <f>IF(C228="","",'04 FIIs'!R31)</f>
        <v/>
      </c>
      <c r="M228" s="138" t="str">
        <f>IF(C228="","",'04 FIIs'!T31)</f>
        <v/>
      </c>
      <c r="N228" s="139" t="str">
        <f>IF(C228="","",IF($J$3&gt;0,J228/$J$3,0))</f>
        <v/>
      </c>
      <c r="O228" s="134" t="str">
        <f>IF(C228="","",'04 FIIs'!I31)</f>
        <v/>
      </c>
      <c r="P228" s="140" t="str">
        <f>IF(C228="","",IF(N(J228)&gt;0,J228+ROW()/1E9,""))</f>
        <v/>
      </c>
      <c r="Q228" s="140" t="str">
        <f>IF(C228="","",IF(N(M228)&gt;0,M228+ROW()/1E9,""))</f>
        <v/>
      </c>
    </row>
    <row r="229">
      <c r="A229" s="141" t="str">
        <f>IF(C229="","","FIIs")</f>
        <v/>
      </c>
      <c r="B229" s="141" t="str">
        <f>IF(C229="","","Brasil")</f>
        <v/>
      </c>
      <c r="C229" s="141" t="str">
        <f>IF('04 FIIs'!A32="","",'04 FIIs'!A32&amp;"")</f>
        <v/>
      </c>
      <c r="D229" s="141" t="str">
        <f>IF(C229="","",'04 FIIs'!B32&amp;"")</f>
        <v/>
      </c>
      <c r="E229" s="141" t="str">
        <f>IF(C229="","",'04 FIIs'!C32&amp;"")</f>
        <v/>
      </c>
      <c r="F229" s="141" t="str">
        <f>IF(C229="","",'04 FIIs'!V32)</f>
        <v/>
      </c>
      <c r="G229" s="142" t="str">
        <f>IF(C229="","",'04 FIIs'!E32)</f>
        <v/>
      </c>
      <c r="H229" s="143" t="str">
        <f>IF(C229="","",'04 FIIs'!H32)</f>
        <v/>
      </c>
      <c r="I229" s="144" t="str">
        <f>IF(C229="","",'04 FIIs'!J32)</f>
        <v/>
      </c>
      <c r="J229" s="145" t="str">
        <f>IF(C229="","",'04 FIIs'!K32)</f>
        <v/>
      </c>
      <c r="K229" s="145" t="str">
        <f>IF(C229="","",'04 FIIs'!Q32)</f>
        <v/>
      </c>
      <c r="L229" s="142" t="str">
        <f>IF(C229="","",'04 FIIs'!R32)</f>
        <v/>
      </c>
      <c r="M229" s="145" t="str">
        <f>IF(C229="","",'04 FIIs'!T32)</f>
        <v/>
      </c>
      <c r="N229" s="146" t="str">
        <f>IF(C229="","",IF($J$3&gt;0,J229/$J$3,0))</f>
        <v/>
      </c>
      <c r="O229" s="141" t="str">
        <f>IF(C229="","",'04 FIIs'!I32)</f>
        <v/>
      </c>
      <c r="P229" s="147" t="str">
        <f>IF(C229="","",IF(N(J229)&gt;0,J229+ROW()/1E9,""))</f>
        <v/>
      </c>
      <c r="Q229" s="147" t="str">
        <f>IF(C229="","",IF(N(M229)&gt;0,M229+ROW()/1E9,""))</f>
        <v/>
      </c>
    </row>
    <row r="230">
      <c r="A230" s="134" t="str">
        <f>IF(C230="","","FIIs")</f>
        <v/>
      </c>
      <c r="B230" s="134" t="str">
        <f>IF(C230="","","Brasil")</f>
        <v/>
      </c>
      <c r="C230" s="134" t="str">
        <f>IF('04 FIIs'!A33="","",'04 FIIs'!A33&amp;"")</f>
        <v/>
      </c>
      <c r="D230" s="134" t="str">
        <f>IF(C230="","",'04 FIIs'!B33&amp;"")</f>
        <v/>
      </c>
      <c r="E230" s="134" t="str">
        <f>IF(C230="","",'04 FIIs'!C33&amp;"")</f>
        <v/>
      </c>
      <c r="F230" s="134" t="str">
        <f>IF(C230="","",'04 FIIs'!V33)</f>
        <v/>
      </c>
      <c r="G230" s="135" t="str">
        <f>IF(C230="","",'04 FIIs'!E33)</f>
        <v/>
      </c>
      <c r="H230" s="136" t="str">
        <f>IF(C230="","",'04 FIIs'!H33)</f>
        <v/>
      </c>
      <c r="I230" s="137" t="str">
        <f>IF(C230="","",'04 FIIs'!J33)</f>
        <v/>
      </c>
      <c r="J230" s="138" t="str">
        <f>IF(C230="","",'04 FIIs'!K33)</f>
        <v/>
      </c>
      <c r="K230" s="138" t="str">
        <f>IF(C230="","",'04 FIIs'!Q33)</f>
        <v/>
      </c>
      <c r="L230" s="135" t="str">
        <f>IF(C230="","",'04 FIIs'!R33)</f>
        <v/>
      </c>
      <c r="M230" s="138" t="str">
        <f>IF(C230="","",'04 FIIs'!T33)</f>
        <v/>
      </c>
      <c r="N230" s="139" t="str">
        <f>IF(C230="","",IF($J$3&gt;0,J230/$J$3,0))</f>
        <v/>
      </c>
      <c r="O230" s="134" t="str">
        <f>IF(C230="","",'04 FIIs'!I33)</f>
        <v/>
      </c>
      <c r="P230" s="140" t="str">
        <f>IF(C230="","",IF(N(J230)&gt;0,J230+ROW()/1E9,""))</f>
        <v/>
      </c>
      <c r="Q230" s="140" t="str">
        <f>IF(C230="","",IF(N(M230)&gt;0,M230+ROW()/1E9,""))</f>
        <v/>
      </c>
    </row>
    <row r="231">
      <c r="A231" s="141" t="str">
        <f>IF(C231="","","FIIs")</f>
        <v/>
      </c>
      <c r="B231" s="141" t="str">
        <f>IF(C231="","","Brasil")</f>
        <v/>
      </c>
      <c r="C231" s="141" t="str">
        <f>IF('04 FIIs'!A34="","",'04 FIIs'!A34&amp;"")</f>
        <v/>
      </c>
      <c r="D231" s="141" t="str">
        <f>IF(C231="","",'04 FIIs'!B34&amp;"")</f>
        <v/>
      </c>
      <c r="E231" s="141" t="str">
        <f>IF(C231="","",'04 FIIs'!C34&amp;"")</f>
        <v/>
      </c>
      <c r="F231" s="141" t="str">
        <f>IF(C231="","",'04 FIIs'!V34)</f>
        <v/>
      </c>
      <c r="G231" s="142" t="str">
        <f>IF(C231="","",'04 FIIs'!E34)</f>
        <v/>
      </c>
      <c r="H231" s="143" t="str">
        <f>IF(C231="","",'04 FIIs'!H34)</f>
        <v/>
      </c>
      <c r="I231" s="144" t="str">
        <f>IF(C231="","",'04 FIIs'!J34)</f>
        <v/>
      </c>
      <c r="J231" s="145" t="str">
        <f>IF(C231="","",'04 FIIs'!K34)</f>
        <v/>
      </c>
      <c r="K231" s="145" t="str">
        <f>IF(C231="","",'04 FIIs'!Q34)</f>
        <v/>
      </c>
      <c r="L231" s="142" t="str">
        <f>IF(C231="","",'04 FIIs'!R34)</f>
        <v/>
      </c>
      <c r="M231" s="145" t="str">
        <f>IF(C231="","",'04 FIIs'!T34)</f>
        <v/>
      </c>
      <c r="N231" s="146" t="str">
        <f>IF(C231="","",IF($J$3&gt;0,J231/$J$3,0))</f>
        <v/>
      </c>
      <c r="O231" s="141" t="str">
        <f>IF(C231="","",'04 FIIs'!I34)</f>
        <v/>
      </c>
      <c r="P231" s="147" t="str">
        <f>IF(C231="","",IF(N(J231)&gt;0,J231+ROW()/1E9,""))</f>
        <v/>
      </c>
      <c r="Q231" s="147" t="str">
        <f>IF(C231="","",IF(N(M231)&gt;0,M231+ROW()/1E9,""))</f>
        <v/>
      </c>
    </row>
    <row r="232">
      <c r="A232" s="134" t="str">
        <f>IF(C232="","","FIIs")</f>
        <v/>
      </c>
      <c r="B232" s="134" t="str">
        <f>IF(C232="","","Brasil")</f>
        <v/>
      </c>
      <c r="C232" s="134" t="str">
        <f>IF('04 FIIs'!A35="","",'04 FIIs'!A35&amp;"")</f>
        <v/>
      </c>
      <c r="D232" s="134" t="str">
        <f>IF(C232="","",'04 FIIs'!B35&amp;"")</f>
        <v/>
      </c>
      <c r="E232" s="134" t="str">
        <f>IF(C232="","",'04 FIIs'!C35&amp;"")</f>
        <v/>
      </c>
      <c r="F232" s="134" t="str">
        <f>IF(C232="","",'04 FIIs'!V35)</f>
        <v/>
      </c>
      <c r="G232" s="135" t="str">
        <f>IF(C232="","",'04 FIIs'!E35)</f>
        <v/>
      </c>
      <c r="H232" s="136" t="str">
        <f>IF(C232="","",'04 FIIs'!H35)</f>
        <v/>
      </c>
      <c r="I232" s="137" t="str">
        <f>IF(C232="","",'04 FIIs'!J35)</f>
        <v/>
      </c>
      <c r="J232" s="138" t="str">
        <f>IF(C232="","",'04 FIIs'!K35)</f>
        <v/>
      </c>
      <c r="K232" s="138" t="str">
        <f>IF(C232="","",'04 FIIs'!Q35)</f>
        <v/>
      </c>
      <c r="L232" s="135" t="str">
        <f>IF(C232="","",'04 FIIs'!R35)</f>
        <v/>
      </c>
      <c r="M232" s="138" t="str">
        <f>IF(C232="","",'04 FIIs'!T35)</f>
        <v/>
      </c>
      <c r="N232" s="139" t="str">
        <f>IF(C232="","",IF($J$3&gt;0,J232/$J$3,0))</f>
        <v/>
      </c>
      <c r="O232" s="134" t="str">
        <f>IF(C232="","",'04 FIIs'!I35)</f>
        <v/>
      </c>
      <c r="P232" s="140" t="str">
        <f>IF(C232="","",IF(N(J232)&gt;0,J232+ROW()/1E9,""))</f>
        <v/>
      </c>
      <c r="Q232" s="140" t="str">
        <f>IF(C232="","",IF(N(M232)&gt;0,M232+ROW()/1E9,""))</f>
        <v/>
      </c>
    </row>
    <row r="233">
      <c r="A233" s="141" t="str">
        <f>IF(C233="","","FIIs")</f>
        <v/>
      </c>
      <c r="B233" s="141" t="str">
        <f>IF(C233="","","Brasil")</f>
        <v/>
      </c>
      <c r="C233" s="141" t="str">
        <f>IF('04 FIIs'!A36="","",'04 FIIs'!A36&amp;"")</f>
        <v/>
      </c>
      <c r="D233" s="141" t="str">
        <f>IF(C233="","",'04 FIIs'!B36&amp;"")</f>
        <v/>
      </c>
      <c r="E233" s="141" t="str">
        <f>IF(C233="","",'04 FIIs'!C36&amp;"")</f>
        <v/>
      </c>
      <c r="F233" s="141" t="str">
        <f>IF(C233="","",'04 FIIs'!V36)</f>
        <v/>
      </c>
      <c r="G233" s="142" t="str">
        <f>IF(C233="","",'04 FIIs'!E36)</f>
        <v/>
      </c>
      <c r="H233" s="143" t="str">
        <f>IF(C233="","",'04 FIIs'!H36)</f>
        <v/>
      </c>
      <c r="I233" s="144" t="str">
        <f>IF(C233="","",'04 FIIs'!J36)</f>
        <v/>
      </c>
      <c r="J233" s="145" t="str">
        <f>IF(C233="","",'04 FIIs'!K36)</f>
        <v/>
      </c>
      <c r="K233" s="145" t="str">
        <f>IF(C233="","",'04 FIIs'!Q36)</f>
        <v/>
      </c>
      <c r="L233" s="142" t="str">
        <f>IF(C233="","",'04 FIIs'!R36)</f>
        <v/>
      </c>
      <c r="M233" s="145" t="str">
        <f>IF(C233="","",'04 FIIs'!T36)</f>
        <v/>
      </c>
      <c r="N233" s="146" t="str">
        <f>IF(C233="","",IF($J$3&gt;0,J233/$J$3,0))</f>
        <v/>
      </c>
      <c r="O233" s="141" t="str">
        <f>IF(C233="","",'04 FIIs'!I36)</f>
        <v/>
      </c>
      <c r="P233" s="147" t="str">
        <f>IF(C233="","",IF(N(J233)&gt;0,J233+ROW()/1E9,""))</f>
        <v/>
      </c>
      <c r="Q233" s="147" t="str">
        <f>IF(C233="","",IF(N(M233)&gt;0,M233+ROW()/1E9,""))</f>
        <v/>
      </c>
    </row>
    <row r="234">
      <c r="A234" s="134" t="str">
        <f>IF(C234="","","FIIs")</f>
        <v/>
      </c>
      <c r="B234" s="134" t="str">
        <f>IF(C234="","","Brasil")</f>
        <v/>
      </c>
      <c r="C234" s="134" t="str">
        <f>IF('04 FIIs'!A37="","",'04 FIIs'!A37&amp;"")</f>
        <v/>
      </c>
      <c r="D234" s="134" t="str">
        <f>IF(C234="","",'04 FIIs'!B37&amp;"")</f>
        <v/>
      </c>
      <c r="E234" s="134" t="str">
        <f>IF(C234="","",'04 FIIs'!C37&amp;"")</f>
        <v/>
      </c>
      <c r="F234" s="134" t="str">
        <f>IF(C234="","",'04 FIIs'!V37)</f>
        <v/>
      </c>
      <c r="G234" s="135" t="str">
        <f>IF(C234="","",'04 FIIs'!E37)</f>
        <v/>
      </c>
      <c r="H234" s="136" t="str">
        <f>IF(C234="","",'04 FIIs'!H37)</f>
        <v/>
      </c>
      <c r="I234" s="137" t="str">
        <f>IF(C234="","",'04 FIIs'!J37)</f>
        <v/>
      </c>
      <c r="J234" s="138" t="str">
        <f>IF(C234="","",'04 FIIs'!K37)</f>
        <v/>
      </c>
      <c r="K234" s="138" t="str">
        <f>IF(C234="","",'04 FIIs'!Q37)</f>
        <v/>
      </c>
      <c r="L234" s="135" t="str">
        <f>IF(C234="","",'04 FIIs'!R37)</f>
        <v/>
      </c>
      <c r="M234" s="138" t="str">
        <f>IF(C234="","",'04 FIIs'!T37)</f>
        <v/>
      </c>
      <c r="N234" s="139" t="str">
        <f>IF(C234="","",IF($J$3&gt;0,J234/$J$3,0))</f>
        <v/>
      </c>
      <c r="O234" s="134" t="str">
        <f>IF(C234="","",'04 FIIs'!I37)</f>
        <v/>
      </c>
      <c r="P234" s="140" t="str">
        <f>IF(C234="","",IF(N(J234)&gt;0,J234+ROW()/1E9,""))</f>
        <v/>
      </c>
      <c r="Q234" s="140" t="str">
        <f>IF(C234="","",IF(N(M234)&gt;0,M234+ROW()/1E9,""))</f>
        <v/>
      </c>
    </row>
    <row r="235">
      <c r="A235" s="141" t="str">
        <f>IF(C235="","","FIIs")</f>
        <v/>
      </c>
      <c r="B235" s="141" t="str">
        <f>IF(C235="","","Brasil")</f>
        <v/>
      </c>
      <c r="C235" s="141" t="str">
        <f>IF('04 FIIs'!A38="","",'04 FIIs'!A38&amp;"")</f>
        <v/>
      </c>
      <c r="D235" s="141" t="str">
        <f>IF(C235="","",'04 FIIs'!B38&amp;"")</f>
        <v/>
      </c>
      <c r="E235" s="141" t="str">
        <f>IF(C235="","",'04 FIIs'!C38&amp;"")</f>
        <v/>
      </c>
      <c r="F235" s="141" t="str">
        <f>IF(C235="","",'04 FIIs'!V38)</f>
        <v/>
      </c>
      <c r="G235" s="142" t="str">
        <f>IF(C235="","",'04 FIIs'!E38)</f>
        <v/>
      </c>
      <c r="H235" s="143" t="str">
        <f>IF(C235="","",'04 FIIs'!H38)</f>
        <v/>
      </c>
      <c r="I235" s="144" t="str">
        <f>IF(C235="","",'04 FIIs'!J38)</f>
        <v/>
      </c>
      <c r="J235" s="145" t="str">
        <f>IF(C235="","",'04 FIIs'!K38)</f>
        <v/>
      </c>
      <c r="K235" s="145" t="str">
        <f>IF(C235="","",'04 FIIs'!Q38)</f>
        <v/>
      </c>
      <c r="L235" s="142" t="str">
        <f>IF(C235="","",'04 FIIs'!R38)</f>
        <v/>
      </c>
      <c r="M235" s="145" t="str">
        <f>IF(C235="","",'04 FIIs'!T38)</f>
        <v/>
      </c>
      <c r="N235" s="146" t="str">
        <f>IF(C235="","",IF($J$3&gt;0,J235/$J$3,0))</f>
        <v/>
      </c>
      <c r="O235" s="141" t="str">
        <f>IF(C235="","",'04 FIIs'!I38)</f>
        <v/>
      </c>
      <c r="P235" s="147" t="str">
        <f>IF(C235="","",IF(N(J235)&gt;0,J235+ROW()/1E9,""))</f>
        <v/>
      </c>
      <c r="Q235" s="147" t="str">
        <f>IF(C235="","",IF(N(M235)&gt;0,M235+ROW()/1E9,""))</f>
        <v/>
      </c>
    </row>
    <row r="236">
      <c r="A236" s="134" t="str">
        <f>IF(C236="","","FIIs")</f>
        <v/>
      </c>
      <c r="B236" s="134" t="str">
        <f>IF(C236="","","Brasil")</f>
        <v/>
      </c>
      <c r="C236" s="134" t="str">
        <f>IF('04 FIIs'!A39="","",'04 FIIs'!A39&amp;"")</f>
        <v/>
      </c>
      <c r="D236" s="134" t="str">
        <f>IF(C236="","",'04 FIIs'!B39&amp;"")</f>
        <v/>
      </c>
      <c r="E236" s="134" t="str">
        <f>IF(C236="","",'04 FIIs'!C39&amp;"")</f>
        <v/>
      </c>
      <c r="F236" s="134" t="str">
        <f>IF(C236="","",'04 FIIs'!V39)</f>
        <v/>
      </c>
      <c r="G236" s="135" t="str">
        <f>IF(C236="","",'04 FIIs'!E39)</f>
        <v/>
      </c>
      <c r="H236" s="136" t="str">
        <f>IF(C236="","",'04 FIIs'!H39)</f>
        <v/>
      </c>
      <c r="I236" s="137" t="str">
        <f>IF(C236="","",'04 FIIs'!J39)</f>
        <v/>
      </c>
      <c r="J236" s="138" t="str">
        <f>IF(C236="","",'04 FIIs'!K39)</f>
        <v/>
      </c>
      <c r="K236" s="138" t="str">
        <f>IF(C236="","",'04 FIIs'!Q39)</f>
        <v/>
      </c>
      <c r="L236" s="135" t="str">
        <f>IF(C236="","",'04 FIIs'!R39)</f>
        <v/>
      </c>
      <c r="M236" s="138" t="str">
        <f>IF(C236="","",'04 FIIs'!T39)</f>
        <v/>
      </c>
      <c r="N236" s="139" t="str">
        <f>IF(C236="","",IF($J$3&gt;0,J236/$J$3,0))</f>
        <v/>
      </c>
      <c r="O236" s="134" t="str">
        <f>IF(C236="","",'04 FIIs'!I39)</f>
        <v/>
      </c>
      <c r="P236" s="140" t="str">
        <f>IF(C236="","",IF(N(J236)&gt;0,J236+ROW()/1E9,""))</f>
        <v/>
      </c>
      <c r="Q236" s="140" t="str">
        <f>IF(C236="","",IF(N(M236)&gt;0,M236+ROW()/1E9,""))</f>
        <v/>
      </c>
    </row>
    <row r="237">
      <c r="A237" s="141" t="str">
        <f>IF(C237="","","FIIs")</f>
        <v/>
      </c>
      <c r="B237" s="141" t="str">
        <f>IF(C237="","","Brasil")</f>
        <v/>
      </c>
      <c r="C237" s="141" t="str">
        <f>IF('04 FIIs'!A40="","",'04 FIIs'!A40&amp;"")</f>
        <v/>
      </c>
      <c r="D237" s="141" t="str">
        <f>IF(C237="","",'04 FIIs'!B40&amp;"")</f>
        <v/>
      </c>
      <c r="E237" s="141" t="str">
        <f>IF(C237="","",'04 FIIs'!C40&amp;"")</f>
        <v/>
      </c>
      <c r="F237" s="141" t="str">
        <f>IF(C237="","",'04 FIIs'!V40)</f>
        <v/>
      </c>
      <c r="G237" s="142" t="str">
        <f>IF(C237="","",'04 FIIs'!E40)</f>
        <v/>
      </c>
      <c r="H237" s="143" t="str">
        <f>IF(C237="","",'04 FIIs'!H40)</f>
        <v/>
      </c>
      <c r="I237" s="144" t="str">
        <f>IF(C237="","",'04 FIIs'!J40)</f>
        <v/>
      </c>
      <c r="J237" s="145" t="str">
        <f>IF(C237="","",'04 FIIs'!K40)</f>
        <v/>
      </c>
      <c r="K237" s="145" t="str">
        <f>IF(C237="","",'04 FIIs'!Q40)</f>
        <v/>
      </c>
      <c r="L237" s="142" t="str">
        <f>IF(C237="","",'04 FIIs'!R40)</f>
        <v/>
      </c>
      <c r="M237" s="145" t="str">
        <f>IF(C237="","",'04 FIIs'!T40)</f>
        <v/>
      </c>
      <c r="N237" s="146" t="str">
        <f>IF(C237="","",IF($J$3&gt;0,J237/$J$3,0))</f>
        <v/>
      </c>
      <c r="O237" s="141" t="str">
        <f>IF(C237="","",'04 FIIs'!I40)</f>
        <v/>
      </c>
      <c r="P237" s="147" t="str">
        <f>IF(C237="","",IF(N(J237)&gt;0,J237+ROW()/1E9,""))</f>
        <v/>
      </c>
      <c r="Q237" s="147" t="str">
        <f>IF(C237="","",IF(N(M237)&gt;0,M237+ROW()/1E9,""))</f>
        <v/>
      </c>
    </row>
    <row r="238">
      <c r="A238" s="134" t="str">
        <f>IF(C238="","","FIIs")</f>
        <v/>
      </c>
      <c r="B238" s="134" t="str">
        <f>IF(C238="","","Brasil")</f>
        <v/>
      </c>
      <c r="C238" s="134" t="str">
        <f>IF('04 FIIs'!A41="","",'04 FIIs'!A41&amp;"")</f>
        <v/>
      </c>
      <c r="D238" s="134" t="str">
        <f>IF(C238="","",'04 FIIs'!B41&amp;"")</f>
        <v/>
      </c>
      <c r="E238" s="134" t="str">
        <f>IF(C238="","",'04 FIIs'!C41&amp;"")</f>
        <v/>
      </c>
      <c r="F238" s="134" t="str">
        <f>IF(C238="","",'04 FIIs'!V41)</f>
        <v/>
      </c>
      <c r="G238" s="135" t="str">
        <f>IF(C238="","",'04 FIIs'!E41)</f>
        <v/>
      </c>
      <c r="H238" s="136" t="str">
        <f>IF(C238="","",'04 FIIs'!H41)</f>
        <v/>
      </c>
      <c r="I238" s="137" t="str">
        <f>IF(C238="","",'04 FIIs'!J41)</f>
        <v/>
      </c>
      <c r="J238" s="138" t="str">
        <f>IF(C238="","",'04 FIIs'!K41)</f>
        <v/>
      </c>
      <c r="K238" s="138" t="str">
        <f>IF(C238="","",'04 FIIs'!Q41)</f>
        <v/>
      </c>
      <c r="L238" s="135" t="str">
        <f>IF(C238="","",'04 FIIs'!R41)</f>
        <v/>
      </c>
      <c r="M238" s="138" t="str">
        <f>IF(C238="","",'04 FIIs'!T41)</f>
        <v/>
      </c>
      <c r="N238" s="139" t="str">
        <f>IF(C238="","",IF($J$3&gt;0,J238/$J$3,0))</f>
        <v/>
      </c>
      <c r="O238" s="134" t="str">
        <f>IF(C238="","",'04 FIIs'!I41)</f>
        <v/>
      </c>
      <c r="P238" s="140" t="str">
        <f>IF(C238="","",IF(N(J238)&gt;0,J238+ROW()/1E9,""))</f>
        <v/>
      </c>
      <c r="Q238" s="140" t="str">
        <f>IF(C238="","",IF(N(M238)&gt;0,M238+ROW()/1E9,""))</f>
        <v/>
      </c>
    </row>
    <row r="239">
      <c r="A239" s="141" t="str">
        <f>IF(C239="","","FIIs")</f>
        <v/>
      </c>
      <c r="B239" s="141" t="str">
        <f>IF(C239="","","Brasil")</f>
        <v/>
      </c>
      <c r="C239" s="141" t="str">
        <f>IF('04 FIIs'!A42="","",'04 FIIs'!A42&amp;"")</f>
        <v/>
      </c>
      <c r="D239" s="141" t="str">
        <f>IF(C239="","",'04 FIIs'!B42&amp;"")</f>
        <v/>
      </c>
      <c r="E239" s="141" t="str">
        <f>IF(C239="","",'04 FIIs'!C42&amp;"")</f>
        <v/>
      </c>
      <c r="F239" s="141" t="str">
        <f>IF(C239="","",'04 FIIs'!V42)</f>
        <v/>
      </c>
      <c r="G239" s="142" t="str">
        <f>IF(C239="","",'04 FIIs'!E42)</f>
        <v/>
      </c>
      <c r="H239" s="143" t="str">
        <f>IF(C239="","",'04 FIIs'!H42)</f>
        <v/>
      </c>
      <c r="I239" s="144" t="str">
        <f>IF(C239="","",'04 FIIs'!J42)</f>
        <v/>
      </c>
      <c r="J239" s="145" t="str">
        <f>IF(C239="","",'04 FIIs'!K42)</f>
        <v/>
      </c>
      <c r="K239" s="145" t="str">
        <f>IF(C239="","",'04 FIIs'!Q42)</f>
        <v/>
      </c>
      <c r="L239" s="142" t="str">
        <f>IF(C239="","",'04 FIIs'!R42)</f>
        <v/>
      </c>
      <c r="M239" s="145" t="str">
        <f>IF(C239="","",'04 FIIs'!T42)</f>
        <v/>
      </c>
      <c r="N239" s="146" t="str">
        <f>IF(C239="","",IF($J$3&gt;0,J239/$J$3,0))</f>
        <v/>
      </c>
      <c r="O239" s="141" t="str">
        <f>IF(C239="","",'04 FIIs'!I42)</f>
        <v/>
      </c>
      <c r="P239" s="147" t="str">
        <f>IF(C239="","",IF(N(J239)&gt;0,J239+ROW()/1E9,""))</f>
        <v/>
      </c>
      <c r="Q239" s="147" t="str">
        <f>IF(C239="","",IF(N(M239)&gt;0,M239+ROW()/1E9,""))</f>
        <v/>
      </c>
    </row>
    <row r="240">
      <c r="A240" s="134" t="str">
        <f>IF(C240="","","FIIs")</f>
        <v/>
      </c>
      <c r="B240" s="134" t="str">
        <f>IF(C240="","","Brasil")</f>
        <v/>
      </c>
      <c r="C240" s="134" t="str">
        <f>IF('04 FIIs'!A43="","",'04 FIIs'!A43&amp;"")</f>
        <v/>
      </c>
      <c r="D240" s="134" t="str">
        <f>IF(C240="","",'04 FIIs'!B43&amp;"")</f>
        <v/>
      </c>
      <c r="E240" s="134" t="str">
        <f>IF(C240="","",'04 FIIs'!C43&amp;"")</f>
        <v/>
      </c>
      <c r="F240" s="134" t="str">
        <f>IF(C240="","",'04 FIIs'!V43)</f>
        <v/>
      </c>
      <c r="G240" s="135" t="str">
        <f>IF(C240="","",'04 FIIs'!E43)</f>
        <v/>
      </c>
      <c r="H240" s="136" t="str">
        <f>IF(C240="","",'04 FIIs'!H43)</f>
        <v/>
      </c>
      <c r="I240" s="137" t="str">
        <f>IF(C240="","",'04 FIIs'!J43)</f>
        <v/>
      </c>
      <c r="J240" s="138" t="str">
        <f>IF(C240="","",'04 FIIs'!K43)</f>
        <v/>
      </c>
      <c r="K240" s="138" t="str">
        <f>IF(C240="","",'04 FIIs'!Q43)</f>
        <v/>
      </c>
      <c r="L240" s="135" t="str">
        <f>IF(C240="","",'04 FIIs'!R43)</f>
        <v/>
      </c>
      <c r="M240" s="138" t="str">
        <f>IF(C240="","",'04 FIIs'!T43)</f>
        <v/>
      </c>
      <c r="N240" s="139" t="str">
        <f>IF(C240="","",IF($J$3&gt;0,J240/$J$3,0))</f>
        <v/>
      </c>
      <c r="O240" s="134" t="str">
        <f>IF(C240="","",'04 FIIs'!I43)</f>
        <v/>
      </c>
      <c r="P240" s="140" t="str">
        <f>IF(C240="","",IF(N(J240)&gt;0,J240+ROW()/1E9,""))</f>
        <v/>
      </c>
      <c r="Q240" s="140" t="str">
        <f>IF(C240="","",IF(N(M240)&gt;0,M240+ROW()/1E9,""))</f>
        <v/>
      </c>
    </row>
    <row r="241">
      <c r="A241" s="141" t="str">
        <f>IF(C241="","","FIIs")</f>
        <v/>
      </c>
      <c r="B241" s="141" t="str">
        <f>IF(C241="","","Brasil")</f>
        <v/>
      </c>
      <c r="C241" s="141" t="str">
        <f>IF('04 FIIs'!A44="","",'04 FIIs'!A44&amp;"")</f>
        <v/>
      </c>
      <c r="D241" s="141" t="str">
        <f>IF(C241="","",'04 FIIs'!B44&amp;"")</f>
        <v/>
      </c>
      <c r="E241" s="141" t="str">
        <f>IF(C241="","",'04 FIIs'!C44&amp;"")</f>
        <v/>
      </c>
      <c r="F241" s="141" t="str">
        <f>IF(C241="","",'04 FIIs'!V44)</f>
        <v/>
      </c>
      <c r="G241" s="142" t="str">
        <f>IF(C241="","",'04 FIIs'!E44)</f>
        <v/>
      </c>
      <c r="H241" s="143" t="str">
        <f>IF(C241="","",'04 FIIs'!H44)</f>
        <v/>
      </c>
      <c r="I241" s="144" t="str">
        <f>IF(C241="","",'04 FIIs'!J44)</f>
        <v/>
      </c>
      <c r="J241" s="145" t="str">
        <f>IF(C241="","",'04 FIIs'!K44)</f>
        <v/>
      </c>
      <c r="K241" s="145" t="str">
        <f>IF(C241="","",'04 FIIs'!Q44)</f>
        <v/>
      </c>
      <c r="L241" s="142" t="str">
        <f>IF(C241="","",'04 FIIs'!R44)</f>
        <v/>
      </c>
      <c r="M241" s="145" t="str">
        <f>IF(C241="","",'04 FIIs'!T44)</f>
        <v/>
      </c>
      <c r="N241" s="146" t="str">
        <f>IF(C241="","",IF($J$3&gt;0,J241/$J$3,0))</f>
        <v/>
      </c>
      <c r="O241" s="141" t="str">
        <f>IF(C241="","",'04 FIIs'!I44)</f>
        <v/>
      </c>
      <c r="P241" s="147" t="str">
        <f>IF(C241="","",IF(N(J241)&gt;0,J241+ROW()/1E9,""))</f>
        <v/>
      </c>
      <c r="Q241" s="147" t="str">
        <f>IF(C241="","",IF(N(M241)&gt;0,M241+ROW()/1E9,""))</f>
        <v/>
      </c>
    </row>
    <row r="242">
      <c r="A242" s="134" t="str">
        <f>IF(C242="","","FIIs")</f>
        <v/>
      </c>
      <c r="B242" s="134" t="str">
        <f>IF(C242="","","Brasil")</f>
        <v/>
      </c>
      <c r="C242" s="134" t="str">
        <f>IF('04 FIIs'!A45="","",'04 FIIs'!A45&amp;"")</f>
        <v/>
      </c>
      <c r="D242" s="134" t="str">
        <f>IF(C242="","",'04 FIIs'!B45&amp;"")</f>
        <v/>
      </c>
      <c r="E242" s="134" t="str">
        <f>IF(C242="","",'04 FIIs'!C45&amp;"")</f>
        <v/>
      </c>
      <c r="F242" s="134" t="str">
        <f>IF(C242="","",'04 FIIs'!V45)</f>
        <v/>
      </c>
      <c r="G242" s="135" t="str">
        <f>IF(C242="","",'04 FIIs'!E45)</f>
        <v/>
      </c>
      <c r="H242" s="136" t="str">
        <f>IF(C242="","",'04 FIIs'!H45)</f>
        <v/>
      </c>
      <c r="I242" s="137" t="str">
        <f>IF(C242="","",'04 FIIs'!J45)</f>
        <v/>
      </c>
      <c r="J242" s="138" t="str">
        <f>IF(C242="","",'04 FIIs'!K45)</f>
        <v/>
      </c>
      <c r="K242" s="138" t="str">
        <f>IF(C242="","",'04 FIIs'!Q45)</f>
        <v/>
      </c>
      <c r="L242" s="135" t="str">
        <f>IF(C242="","",'04 FIIs'!R45)</f>
        <v/>
      </c>
      <c r="M242" s="138" t="str">
        <f>IF(C242="","",'04 FIIs'!T45)</f>
        <v/>
      </c>
      <c r="N242" s="139" t="str">
        <f>IF(C242="","",IF($J$3&gt;0,J242/$J$3,0))</f>
        <v/>
      </c>
      <c r="O242" s="134" t="str">
        <f>IF(C242="","",'04 FIIs'!I45)</f>
        <v/>
      </c>
      <c r="P242" s="140" t="str">
        <f>IF(C242="","",IF(N(J242)&gt;0,J242+ROW()/1E9,""))</f>
        <v/>
      </c>
      <c r="Q242" s="140" t="str">
        <f>IF(C242="","",IF(N(M242)&gt;0,M242+ROW()/1E9,""))</f>
        <v/>
      </c>
    </row>
    <row r="243">
      <c r="A243" s="141" t="str">
        <f>IF(C243="","","FIIs")</f>
        <v/>
      </c>
      <c r="B243" s="141" t="str">
        <f>IF(C243="","","Brasil")</f>
        <v/>
      </c>
      <c r="C243" s="141" t="str">
        <f>IF('04 FIIs'!A46="","",'04 FIIs'!A46&amp;"")</f>
        <v/>
      </c>
      <c r="D243" s="141" t="str">
        <f>IF(C243="","",'04 FIIs'!B46&amp;"")</f>
        <v/>
      </c>
      <c r="E243" s="141" t="str">
        <f>IF(C243="","",'04 FIIs'!C46&amp;"")</f>
        <v/>
      </c>
      <c r="F243" s="141" t="str">
        <f>IF(C243="","",'04 FIIs'!V46)</f>
        <v/>
      </c>
      <c r="G243" s="142" t="str">
        <f>IF(C243="","",'04 FIIs'!E46)</f>
        <v/>
      </c>
      <c r="H243" s="143" t="str">
        <f>IF(C243="","",'04 FIIs'!H46)</f>
        <v/>
      </c>
      <c r="I243" s="144" t="str">
        <f>IF(C243="","",'04 FIIs'!J46)</f>
        <v/>
      </c>
      <c r="J243" s="145" t="str">
        <f>IF(C243="","",'04 FIIs'!K46)</f>
        <v/>
      </c>
      <c r="K243" s="145" t="str">
        <f>IF(C243="","",'04 FIIs'!Q46)</f>
        <v/>
      </c>
      <c r="L243" s="142" t="str">
        <f>IF(C243="","",'04 FIIs'!R46)</f>
        <v/>
      </c>
      <c r="M243" s="145" t="str">
        <f>IF(C243="","",'04 FIIs'!T46)</f>
        <v/>
      </c>
      <c r="N243" s="146" t="str">
        <f>IF(C243="","",IF($J$3&gt;0,J243/$J$3,0))</f>
        <v/>
      </c>
      <c r="O243" s="141" t="str">
        <f>IF(C243="","",'04 FIIs'!I46)</f>
        <v/>
      </c>
      <c r="P243" s="147" t="str">
        <f>IF(C243="","",IF(N(J243)&gt;0,J243+ROW()/1E9,""))</f>
        <v/>
      </c>
      <c r="Q243" s="147" t="str">
        <f>IF(C243="","",IF(N(M243)&gt;0,M243+ROW()/1E9,""))</f>
        <v/>
      </c>
    </row>
    <row r="244">
      <c r="A244" s="134" t="str">
        <f>IF(C244="","","FIIs")</f>
        <v/>
      </c>
      <c r="B244" s="134" t="str">
        <f>IF(C244="","","Brasil")</f>
        <v/>
      </c>
      <c r="C244" s="134" t="str">
        <f>IF('04 FIIs'!A47="","",'04 FIIs'!A47&amp;"")</f>
        <v/>
      </c>
      <c r="D244" s="134" t="str">
        <f>IF(C244="","",'04 FIIs'!B47&amp;"")</f>
        <v/>
      </c>
      <c r="E244" s="134" t="str">
        <f>IF(C244="","",'04 FIIs'!C47&amp;"")</f>
        <v/>
      </c>
      <c r="F244" s="134" t="str">
        <f>IF(C244="","",'04 FIIs'!V47)</f>
        <v/>
      </c>
      <c r="G244" s="135" t="str">
        <f>IF(C244="","",'04 FIIs'!E47)</f>
        <v/>
      </c>
      <c r="H244" s="136" t="str">
        <f>IF(C244="","",'04 FIIs'!H47)</f>
        <v/>
      </c>
      <c r="I244" s="137" t="str">
        <f>IF(C244="","",'04 FIIs'!J47)</f>
        <v/>
      </c>
      <c r="J244" s="138" t="str">
        <f>IF(C244="","",'04 FIIs'!K47)</f>
        <v/>
      </c>
      <c r="K244" s="138" t="str">
        <f>IF(C244="","",'04 FIIs'!Q47)</f>
        <v/>
      </c>
      <c r="L244" s="135" t="str">
        <f>IF(C244="","",'04 FIIs'!R47)</f>
        <v/>
      </c>
      <c r="M244" s="138" t="str">
        <f>IF(C244="","",'04 FIIs'!T47)</f>
        <v/>
      </c>
      <c r="N244" s="139" t="str">
        <f>IF(C244="","",IF($J$3&gt;0,J244/$J$3,0))</f>
        <v/>
      </c>
      <c r="O244" s="134" t="str">
        <f>IF(C244="","",'04 FIIs'!I47)</f>
        <v/>
      </c>
      <c r="P244" s="140" t="str">
        <f>IF(C244="","",IF(N(J244)&gt;0,J244+ROW()/1E9,""))</f>
        <v/>
      </c>
      <c r="Q244" s="140" t="str">
        <f>IF(C244="","",IF(N(M244)&gt;0,M244+ROW()/1E9,""))</f>
        <v/>
      </c>
    </row>
    <row r="245">
      <c r="A245" s="141" t="str">
        <f>IF(C245="","","FIIs")</f>
        <v/>
      </c>
      <c r="B245" s="141" t="str">
        <f>IF(C245="","","Brasil")</f>
        <v/>
      </c>
      <c r="C245" s="141" t="str">
        <f>IF('04 FIIs'!A48="","",'04 FIIs'!A48&amp;"")</f>
        <v/>
      </c>
      <c r="D245" s="141" t="str">
        <f>IF(C245="","",'04 FIIs'!B48&amp;"")</f>
        <v/>
      </c>
      <c r="E245" s="141" t="str">
        <f>IF(C245="","",'04 FIIs'!C48&amp;"")</f>
        <v/>
      </c>
      <c r="F245" s="141" t="str">
        <f>IF(C245="","",'04 FIIs'!V48)</f>
        <v/>
      </c>
      <c r="G245" s="142" t="str">
        <f>IF(C245="","",'04 FIIs'!E48)</f>
        <v/>
      </c>
      <c r="H245" s="143" t="str">
        <f>IF(C245="","",'04 FIIs'!H48)</f>
        <v/>
      </c>
      <c r="I245" s="144" t="str">
        <f>IF(C245="","",'04 FIIs'!J48)</f>
        <v/>
      </c>
      <c r="J245" s="145" t="str">
        <f>IF(C245="","",'04 FIIs'!K48)</f>
        <v/>
      </c>
      <c r="K245" s="145" t="str">
        <f>IF(C245="","",'04 FIIs'!Q48)</f>
        <v/>
      </c>
      <c r="L245" s="142" t="str">
        <f>IF(C245="","",'04 FIIs'!R48)</f>
        <v/>
      </c>
      <c r="M245" s="145" t="str">
        <f>IF(C245="","",'04 FIIs'!T48)</f>
        <v/>
      </c>
      <c r="N245" s="146" t="str">
        <f>IF(C245="","",IF($J$3&gt;0,J245/$J$3,0))</f>
        <v/>
      </c>
      <c r="O245" s="141" t="str">
        <f>IF(C245="","",'04 FIIs'!I48)</f>
        <v/>
      </c>
      <c r="P245" s="147" t="str">
        <f>IF(C245="","",IF(N(J245)&gt;0,J245+ROW()/1E9,""))</f>
        <v/>
      </c>
      <c r="Q245" s="147" t="str">
        <f>IF(C245="","",IF(N(M245)&gt;0,M245+ROW()/1E9,""))</f>
        <v/>
      </c>
    </row>
    <row r="246">
      <c r="A246" s="134" t="str">
        <f>IF(C246="","","FIIs")</f>
        <v/>
      </c>
      <c r="B246" s="134" t="str">
        <f>IF(C246="","","Brasil")</f>
        <v/>
      </c>
      <c r="C246" s="134" t="str">
        <f>IF('04 FIIs'!A49="","",'04 FIIs'!A49&amp;"")</f>
        <v/>
      </c>
      <c r="D246" s="134" t="str">
        <f>IF(C246="","",'04 FIIs'!B49&amp;"")</f>
        <v/>
      </c>
      <c r="E246" s="134" t="str">
        <f>IF(C246="","",'04 FIIs'!C49&amp;"")</f>
        <v/>
      </c>
      <c r="F246" s="134" t="str">
        <f>IF(C246="","",'04 FIIs'!V49)</f>
        <v/>
      </c>
      <c r="G246" s="135" t="str">
        <f>IF(C246="","",'04 FIIs'!E49)</f>
        <v/>
      </c>
      <c r="H246" s="136" t="str">
        <f>IF(C246="","",'04 FIIs'!H49)</f>
        <v/>
      </c>
      <c r="I246" s="137" t="str">
        <f>IF(C246="","",'04 FIIs'!J49)</f>
        <v/>
      </c>
      <c r="J246" s="138" t="str">
        <f>IF(C246="","",'04 FIIs'!K49)</f>
        <v/>
      </c>
      <c r="K246" s="138" t="str">
        <f>IF(C246="","",'04 FIIs'!Q49)</f>
        <v/>
      </c>
      <c r="L246" s="135" t="str">
        <f>IF(C246="","",'04 FIIs'!R49)</f>
        <v/>
      </c>
      <c r="M246" s="138" t="str">
        <f>IF(C246="","",'04 FIIs'!T49)</f>
        <v/>
      </c>
      <c r="N246" s="139" t="str">
        <f>IF(C246="","",IF($J$3&gt;0,J246/$J$3,0))</f>
        <v/>
      </c>
      <c r="O246" s="134" t="str">
        <f>IF(C246="","",'04 FIIs'!I49)</f>
        <v/>
      </c>
      <c r="P246" s="140" t="str">
        <f>IF(C246="","",IF(N(J246)&gt;0,J246+ROW()/1E9,""))</f>
        <v/>
      </c>
      <c r="Q246" s="140" t="str">
        <f>IF(C246="","",IF(N(M246)&gt;0,M246+ROW()/1E9,""))</f>
        <v/>
      </c>
    </row>
    <row r="247">
      <c r="A247" s="141" t="str">
        <f>IF(C247="","","FIIs")</f>
        <v/>
      </c>
      <c r="B247" s="141" t="str">
        <f>IF(C247="","","Brasil")</f>
        <v/>
      </c>
      <c r="C247" s="141" t="str">
        <f>IF('04 FIIs'!A50="","",'04 FIIs'!A50&amp;"")</f>
        <v/>
      </c>
      <c r="D247" s="141" t="str">
        <f>IF(C247="","",'04 FIIs'!B50&amp;"")</f>
        <v/>
      </c>
      <c r="E247" s="141" t="str">
        <f>IF(C247="","",'04 FIIs'!C50&amp;"")</f>
        <v/>
      </c>
      <c r="F247" s="141" t="str">
        <f>IF(C247="","",'04 FIIs'!V50)</f>
        <v/>
      </c>
      <c r="G247" s="142" t="str">
        <f>IF(C247="","",'04 FIIs'!E50)</f>
        <v/>
      </c>
      <c r="H247" s="143" t="str">
        <f>IF(C247="","",'04 FIIs'!H50)</f>
        <v/>
      </c>
      <c r="I247" s="144" t="str">
        <f>IF(C247="","",'04 FIIs'!J50)</f>
        <v/>
      </c>
      <c r="J247" s="145" t="str">
        <f>IF(C247="","",'04 FIIs'!K50)</f>
        <v/>
      </c>
      <c r="K247" s="145" t="str">
        <f>IF(C247="","",'04 FIIs'!Q50)</f>
        <v/>
      </c>
      <c r="L247" s="142" t="str">
        <f>IF(C247="","",'04 FIIs'!R50)</f>
        <v/>
      </c>
      <c r="M247" s="145" t="str">
        <f>IF(C247="","",'04 FIIs'!T50)</f>
        <v/>
      </c>
      <c r="N247" s="146" t="str">
        <f>IF(C247="","",IF($J$3&gt;0,J247/$J$3,0))</f>
        <v/>
      </c>
      <c r="O247" s="141" t="str">
        <f>IF(C247="","",'04 FIIs'!I50)</f>
        <v/>
      </c>
      <c r="P247" s="147" t="str">
        <f>IF(C247="","",IF(N(J247)&gt;0,J247+ROW()/1E9,""))</f>
        <v/>
      </c>
      <c r="Q247" s="147" t="str">
        <f>IF(C247="","",IF(N(M247)&gt;0,M247+ROW()/1E9,""))</f>
        <v/>
      </c>
    </row>
    <row r="248">
      <c r="A248" s="134" t="str">
        <f>IF(C248="","","FIIs")</f>
        <v/>
      </c>
      <c r="B248" s="134" t="str">
        <f>IF(C248="","","Brasil")</f>
        <v/>
      </c>
      <c r="C248" s="134" t="str">
        <f>IF('04 FIIs'!A51="","",'04 FIIs'!A51&amp;"")</f>
        <v/>
      </c>
      <c r="D248" s="134" t="str">
        <f>IF(C248="","",'04 FIIs'!B51&amp;"")</f>
        <v/>
      </c>
      <c r="E248" s="134" t="str">
        <f>IF(C248="","",'04 FIIs'!C51&amp;"")</f>
        <v/>
      </c>
      <c r="F248" s="134" t="str">
        <f>IF(C248="","",'04 FIIs'!V51)</f>
        <v/>
      </c>
      <c r="G248" s="135" t="str">
        <f>IF(C248="","",'04 FIIs'!E51)</f>
        <v/>
      </c>
      <c r="H248" s="136" t="str">
        <f>IF(C248="","",'04 FIIs'!H51)</f>
        <v/>
      </c>
      <c r="I248" s="137" t="str">
        <f>IF(C248="","",'04 FIIs'!J51)</f>
        <v/>
      </c>
      <c r="J248" s="138" t="str">
        <f>IF(C248="","",'04 FIIs'!K51)</f>
        <v/>
      </c>
      <c r="K248" s="138" t="str">
        <f>IF(C248="","",'04 FIIs'!Q51)</f>
        <v/>
      </c>
      <c r="L248" s="135" t="str">
        <f>IF(C248="","",'04 FIIs'!R51)</f>
        <v/>
      </c>
      <c r="M248" s="138" t="str">
        <f>IF(C248="","",'04 FIIs'!T51)</f>
        <v/>
      </c>
      <c r="N248" s="139" t="str">
        <f>IF(C248="","",IF($J$3&gt;0,J248/$J$3,0))</f>
        <v/>
      </c>
      <c r="O248" s="134" t="str">
        <f>IF(C248="","",'04 FIIs'!I51)</f>
        <v/>
      </c>
      <c r="P248" s="140" t="str">
        <f>IF(C248="","",IF(N(J248)&gt;0,J248+ROW()/1E9,""))</f>
        <v/>
      </c>
      <c r="Q248" s="140" t="str">
        <f>IF(C248="","",IF(N(M248)&gt;0,M248+ROW()/1E9,""))</f>
        <v/>
      </c>
    </row>
    <row r="249">
      <c r="A249" s="141" t="str">
        <f>IF(C249="","","FIIs")</f>
        <v/>
      </c>
      <c r="B249" s="141" t="str">
        <f>IF(C249="","","Brasil")</f>
        <v/>
      </c>
      <c r="C249" s="141" t="str">
        <f>IF('04 FIIs'!A52="","",'04 FIIs'!A52&amp;"")</f>
        <v/>
      </c>
      <c r="D249" s="141" t="str">
        <f>IF(C249="","",'04 FIIs'!B52&amp;"")</f>
        <v/>
      </c>
      <c r="E249" s="141" t="str">
        <f>IF(C249="","",'04 FIIs'!C52&amp;"")</f>
        <v/>
      </c>
      <c r="F249" s="141" t="str">
        <f>IF(C249="","",'04 FIIs'!V52)</f>
        <v/>
      </c>
      <c r="G249" s="142" t="str">
        <f>IF(C249="","",'04 FIIs'!E52)</f>
        <v/>
      </c>
      <c r="H249" s="143" t="str">
        <f>IF(C249="","",'04 FIIs'!H52)</f>
        <v/>
      </c>
      <c r="I249" s="144" t="str">
        <f>IF(C249="","",'04 FIIs'!J52)</f>
        <v/>
      </c>
      <c r="J249" s="145" t="str">
        <f>IF(C249="","",'04 FIIs'!K52)</f>
        <v/>
      </c>
      <c r="K249" s="145" t="str">
        <f>IF(C249="","",'04 FIIs'!Q52)</f>
        <v/>
      </c>
      <c r="L249" s="142" t="str">
        <f>IF(C249="","",'04 FIIs'!R52)</f>
        <v/>
      </c>
      <c r="M249" s="145" t="str">
        <f>IF(C249="","",'04 FIIs'!T52)</f>
        <v/>
      </c>
      <c r="N249" s="146" t="str">
        <f>IF(C249="","",IF($J$3&gt;0,J249/$J$3,0))</f>
        <v/>
      </c>
      <c r="O249" s="141" t="str">
        <f>IF(C249="","",'04 FIIs'!I52)</f>
        <v/>
      </c>
      <c r="P249" s="147" t="str">
        <f>IF(C249="","",IF(N(J249)&gt;0,J249+ROW()/1E9,""))</f>
        <v/>
      </c>
      <c r="Q249" s="147" t="str">
        <f>IF(C249="","",IF(N(M249)&gt;0,M249+ROW()/1E9,""))</f>
        <v/>
      </c>
    </row>
    <row r="250">
      <c r="A250" s="134" t="str">
        <f>IF(C250="","","FIIs")</f>
        <v/>
      </c>
      <c r="B250" s="134" t="str">
        <f>IF(C250="","","Brasil")</f>
        <v/>
      </c>
      <c r="C250" s="134" t="str">
        <f>IF('04 FIIs'!A53="","",'04 FIIs'!A53&amp;"")</f>
        <v/>
      </c>
      <c r="D250" s="134" t="str">
        <f>IF(C250="","",'04 FIIs'!B53&amp;"")</f>
        <v/>
      </c>
      <c r="E250" s="134" t="str">
        <f>IF(C250="","",'04 FIIs'!C53&amp;"")</f>
        <v/>
      </c>
      <c r="F250" s="134" t="str">
        <f>IF(C250="","",'04 FIIs'!V53)</f>
        <v/>
      </c>
      <c r="G250" s="135" t="str">
        <f>IF(C250="","",'04 FIIs'!E53)</f>
        <v/>
      </c>
      <c r="H250" s="136" t="str">
        <f>IF(C250="","",'04 FIIs'!H53)</f>
        <v/>
      </c>
      <c r="I250" s="137" t="str">
        <f>IF(C250="","",'04 FIIs'!J53)</f>
        <v/>
      </c>
      <c r="J250" s="138" t="str">
        <f>IF(C250="","",'04 FIIs'!K53)</f>
        <v/>
      </c>
      <c r="K250" s="138" t="str">
        <f>IF(C250="","",'04 FIIs'!Q53)</f>
        <v/>
      </c>
      <c r="L250" s="135" t="str">
        <f>IF(C250="","",'04 FIIs'!R53)</f>
        <v/>
      </c>
      <c r="M250" s="138" t="str">
        <f>IF(C250="","",'04 FIIs'!T53)</f>
        <v/>
      </c>
      <c r="N250" s="139" t="str">
        <f>IF(C250="","",IF($J$3&gt;0,J250/$J$3,0))</f>
        <v/>
      </c>
      <c r="O250" s="134" t="str">
        <f>IF(C250="","",'04 FIIs'!I53)</f>
        <v/>
      </c>
      <c r="P250" s="140" t="str">
        <f>IF(C250="","",IF(N(J250)&gt;0,J250+ROW()/1E9,""))</f>
        <v/>
      </c>
      <c r="Q250" s="140" t="str">
        <f>IF(C250="","",IF(N(M250)&gt;0,M250+ROW()/1E9,""))</f>
        <v/>
      </c>
    </row>
    <row r="251">
      <c r="A251" s="141" t="str">
        <f>IF(C251="","","FIIs")</f>
        <v/>
      </c>
      <c r="B251" s="141" t="str">
        <f>IF(C251="","","Brasil")</f>
        <v/>
      </c>
      <c r="C251" s="141" t="str">
        <f>IF('04 FIIs'!A54="","",'04 FIIs'!A54&amp;"")</f>
        <v/>
      </c>
      <c r="D251" s="141" t="str">
        <f>IF(C251="","",'04 FIIs'!B54&amp;"")</f>
        <v/>
      </c>
      <c r="E251" s="141" t="str">
        <f>IF(C251="","",'04 FIIs'!C54&amp;"")</f>
        <v/>
      </c>
      <c r="F251" s="141" t="str">
        <f>IF(C251="","",'04 FIIs'!V54)</f>
        <v/>
      </c>
      <c r="G251" s="142" t="str">
        <f>IF(C251="","",'04 FIIs'!E54)</f>
        <v/>
      </c>
      <c r="H251" s="143" t="str">
        <f>IF(C251="","",'04 FIIs'!H54)</f>
        <v/>
      </c>
      <c r="I251" s="144" t="str">
        <f>IF(C251="","",'04 FIIs'!J54)</f>
        <v/>
      </c>
      <c r="J251" s="145" t="str">
        <f>IF(C251="","",'04 FIIs'!K54)</f>
        <v/>
      </c>
      <c r="K251" s="145" t="str">
        <f>IF(C251="","",'04 FIIs'!Q54)</f>
        <v/>
      </c>
      <c r="L251" s="142" t="str">
        <f>IF(C251="","",'04 FIIs'!R54)</f>
        <v/>
      </c>
      <c r="M251" s="145" t="str">
        <f>IF(C251="","",'04 FIIs'!T54)</f>
        <v/>
      </c>
      <c r="N251" s="146" t="str">
        <f>IF(C251="","",IF($J$3&gt;0,J251/$J$3,0))</f>
        <v/>
      </c>
      <c r="O251" s="141" t="str">
        <f>IF(C251="","",'04 FIIs'!I54)</f>
        <v/>
      </c>
      <c r="P251" s="147" t="str">
        <f>IF(C251="","",IF(N(J251)&gt;0,J251+ROW()/1E9,""))</f>
        <v/>
      </c>
      <c r="Q251" s="147" t="str">
        <f>IF(C251="","",IF(N(M251)&gt;0,M251+ROW()/1E9,""))</f>
        <v/>
      </c>
    </row>
    <row r="252">
      <c r="A252" s="134" t="str">
        <f>IF(C252="","","FIIs")</f>
        <v/>
      </c>
      <c r="B252" s="134" t="str">
        <f>IF(C252="","","Brasil")</f>
        <v/>
      </c>
      <c r="C252" s="134" t="str">
        <f>IF('04 FIIs'!A55="","",'04 FIIs'!A55&amp;"")</f>
        <v/>
      </c>
      <c r="D252" s="134" t="str">
        <f>IF(C252="","",'04 FIIs'!B55&amp;"")</f>
        <v/>
      </c>
      <c r="E252" s="134" t="str">
        <f>IF(C252="","",'04 FIIs'!C55&amp;"")</f>
        <v/>
      </c>
      <c r="F252" s="134" t="str">
        <f>IF(C252="","",'04 FIIs'!V55)</f>
        <v/>
      </c>
      <c r="G252" s="135" t="str">
        <f>IF(C252="","",'04 FIIs'!E55)</f>
        <v/>
      </c>
      <c r="H252" s="136" t="str">
        <f>IF(C252="","",'04 FIIs'!H55)</f>
        <v/>
      </c>
      <c r="I252" s="137" t="str">
        <f>IF(C252="","",'04 FIIs'!J55)</f>
        <v/>
      </c>
      <c r="J252" s="138" t="str">
        <f>IF(C252="","",'04 FIIs'!K55)</f>
        <v/>
      </c>
      <c r="K252" s="138" t="str">
        <f>IF(C252="","",'04 FIIs'!Q55)</f>
        <v/>
      </c>
      <c r="L252" s="135" t="str">
        <f>IF(C252="","",'04 FIIs'!R55)</f>
        <v/>
      </c>
      <c r="M252" s="138" t="str">
        <f>IF(C252="","",'04 FIIs'!T55)</f>
        <v/>
      </c>
      <c r="N252" s="139" t="str">
        <f>IF(C252="","",IF($J$3&gt;0,J252/$J$3,0))</f>
        <v/>
      </c>
      <c r="O252" s="134" t="str">
        <f>IF(C252="","",'04 FIIs'!I55)</f>
        <v/>
      </c>
      <c r="P252" s="140" t="str">
        <f>IF(C252="","",IF(N(J252)&gt;0,J252+ROW()/1E9,""))</f>
        <v/>
      </c>
      <c r="Q252" s="140" t="str">
        <f>IF(C252="","",IF(N(M252)&gt;0,M252+ROW()/1E9,""))</f>
        <v/>
      </c>
    </row>
    <row r="253">
      <c r="A253" s="141" t="str">
        <f>IF(C253="","","FIIs")</f>
        <v/>
      </c>
      <c r="B253" s="141" t="str">
        <f>IF(C253="","","Brasil")</f>
        <v/>
      </c>
      <c r="C253" s="141" t="str">
        <f>IF('04 FIIs'!A56="","",'04 FIIs'!A56&amp;"")</f>
        <v/>
      </c>
      <c r="D253" s="141" t="str">
        <f>IF(C253="","",'04 FIIs'!B56&amp;"")</f>
        <v/>
      </c>
      <c r="E253" s="141" t="str">
        <f>IF(C253="","",'04 FIIs'!C56&amp;"")</f>
        <v/>
      </c>
      <c r="F253" s="141" t="str">
        <f>IF(C253="","",'04 FIIs'!V56)</f>
        <v/>
      </c>
      <c r="G253" s="142" t="str">
        <f>IF(C253="","",'04 FIIs'!E56)</f>
        <v/>
      </c>
      <c r="H253" s="143" t="str">
        <f>IF(C253="","",'04 FIIs'!H56)</f>
        <v/>
      </c>
      <c r="I253" s="144" t="str">
        <f>IF(C253="","",'04 FIIs'!J56)</f>
        <v/>
      </c>
      <c r="J253" s="145" t="str">
        <f>IF(C253="","",'04 FIIs'!K56)</f>
        <v/>
      </c>
      <c r="K253" s="145" t="str">
        <f>IF(C253="","",'04 FIIs'!Q56)</f>
        <v/>
      </c>
      <c r="L253" s="142" t="str">
        <f>IF(C253="","",'04 FIIs'!R56)</f>
        <v/>
      </c>
      <c r="M253" s="145" t="str">
        <f>IF(C253="","",'04 FIIs'!T56)</f>
        <v/>
      </c>
      <c r="N253" s="146" t="str">
        <f>IF(C253="","",IF($J$3&gt;0,J253/$J$3,0))</f>
        <v/>
      </c>
      <c r="O253" s="141" t="str">
        <f>IF(C253="","",'04 FIIs'!I56)</f>
        <v/>
      </c>
      <c r="P253" s="147" t="str">
        <f>IF(C253="","",IF(N(J253)&gt;0,J253+ROW()/1E9,""))</f>
        <v/>
      </c>
      <c r="Q253" s="147" t="str">
        <f>IF(C253="","",IF(N(M253)&gt;0,M253+ROW()/1E9,""))</f>
        <v/>
      </c>
    </row>
    <row r="254">
      <c r="A254" s="134" t="str">
        <f>IF(C254="","","FIIs")</f>
        <v/>
      </c>
      <c r="B254" s="134" t="str">
        <f>IF(C254="","","Brasil")</f>
        <v/>
      </c>
      <c r="C254" s="134" t="str">
        <f>IF('04 FIIs'!A57="","",'04 FIIs'!A57&amp;"")</f>
        <v/>
      </c>
      <c r="D254" s="134" t="str">
        <f>IF(C254="","",'04 FIIs'!B57&amp;"")</f>
        <v/>
      </c>
      <c r="E254" s="134" t="str">
        <f>IF(C254="","",'04 FIIs'!C57&amp;"")</f>
        <v/>
      </c>
      <c r="F254" s="134" t="str">
        <f>IF(C254="","",'04 FIIs'!V57)</f>
        <v/>
      </c>
      <c r="G254" s="135" t="str">
        <f>IF(C254="","",'04 FIIs'!E57)</f>
        <v/>
      </c>
      <c r="H254" s="136" t="str">
        <f>IF(C254="","",'04 FIIs'!H57)</f>
        <v/>
      </c>
      <c r="I254" s="137" t="str">
        <f>IF(C254="","",'04 FIIs'!J57)</f>
        <v/>
      </c>
      <c r="J254" s="138" t="str">
        <f>IF(C254="","",'04 FIIs'!K57)</f>
        <v/>
      </c>
      <c r="K254" s="138" t="str">
        <f>IF(C254="","",'04 FIIs'!Q57)</f>
        <v/>
      </c>
      <c r="L254" s="135" t="str">
        <f>IF(C254="","",'04 FIIs'!R57)</f>
        <v/>
      </c>
      <c r="M254" s="138" t="str">
        <f>IF(C254="","",'04 FIIs'!T57)</f>
        <v/>
      </c>
      <c r="N254" s="139" t="str">
        <f>IF(C254="","",IF($J$3&gt;0,J254/$J$3,0))</f>
        <v/>
      </c>
      <c r="O254" s="134" t="str">
        <f>IF(C254="","",'04 FIIs'!I57)</f>
        <v/>
      </c>
      <c r="P254" s="140" t="str">
        <f>IF(C254="","",IF(N(J254)&gt;0,J254+ROW()/1E9,""))</f>
        <v/>
      </c>
      <c r="Q254" s="140" t="str">
        <f>IF(C254="","",IF(N(M254)&gt;0,M254+ROW()/1E9,""))</f>
        <v/>
      </c>
    </row>
    <row r="255">
      <c r="A255" s="141" t="str">
        <f>IF(C255="","","FIIs")</f>
        <v/>
      </c>
      <c r="B255" s="141" t="str">
        <f>IF(C255="","","Brasil")</f>
        <v/>
      </c>
      <c r="C255" s="141" t="str">
        <f>IF('04 FIIs'!A58="","",'04 FIIs'!A58&amp;"")</f>
        <v/>
      </c>
      <c r="D255" s="141" t="str">
        <f>IF(C255="","",'04 FIIs'!B58&amp;"")</f>
        <v/>
      </c>
      <c r="E255" s="141" t="str">
        <f>IF(C255="","",'04 FIIs'!C58&amp;"")</f>
        <v/>
      </c>
      <c r="F255" s="141" t="str">
        <f>IF(C255="","",'04 FIIs'!V58)</f>
        <v/>
      </c>
      <c r="G255" s="142" t="str">
        <f>IF(C255="","",'04 FIIs'!E58)</f>
        <v/>
      </c>
      <c r="H255" s="143" t="str">
        <f>IF(C255="","",'04 FIIs'!H58)</f>
        <v/>
      </c>
      <c r="I255" s="144" t="str">
        <f>IF(C255="","",'04 FIIs'!J58)</f>
        <v/>
      </c>
      <c r="J255" s="145" t="str">
        <f>IF(C255="","",'04 FIIs'!K58)</f>
        <v/>
      </c>
      <c r="K255" s="145" t="str">
        <f>IF(C255="","",'04 FIIs'!Q58)</f>
        <v/>
      </c>
      <c r="L255" s="142" t="str">
        <f>IF(C255="","",'04 FIIs'!R58)</f>
        <v/>
      </c>
      <c r="M255" s="145" t="str">
        <f>IF(C255="","",'04 FIIs'!T58)</f>
        <v/>
      </c>
      <c r="N255" s="146" t="str">
        <f>IF(C255="","",IF($J$3&gt;0,J255/$J$3,0))</f>
        <v/>
      </c>
      <c r="O255" s="141" t="str">
        <f>IF(C255="","",'04 FIIs'!I58)</f>
        <v/>
      </c>
      <c r="P255" s="147" t="str">
        <f>IF(C255="","",IF(N(J255)&gt;0,J255+ROW()/1E9,""))</f>
        <v/>
      </c>
      <c r="Q255" s="147" t="str">
        <f>IF(C255="","",IF(N(M255)&gt;0,M255+ROW()/1E9,""))</f>
        <v/>
      </c>
    </row>
    <row r="256">
      <c r="A256" s="134" t="str">
        <f>IF(C256="","","FIIs")</f>
        <v/>
      </c>
      <c r="B256" s="134" t="str">
        <f>IF(C256="","","Brasil")</f>
        <v/>
      </c>
      <c r="C256" s="134" t="str">
        <f>IF('04 FIIs'!A59="","",'04 FIIs'!A59&amp;"")</f>
        <v/>
      </c>
      <c r="D256" s="134" t="str">
        <f>IF(C256="","",'04 FIIs'!B59&amp;"")</f>
        <v/>
      </c>
      <c r="E256" s="134" t="str">
        <f>IF(C256="","",'04 FIIs'!C59&amp;"")</f>
        <v/>
      </c>
      <c r="F256" s="134" t="str">
        <f>IF(C256="","",'04 FIIs'!V59)</f>
        <v/>
      </c>
      <c r="G256" s="135" t="str">
        <f>IF(C256="","",'04 FIIs'!E59)</f>
        <v/>
      </c>
      <c r="H256" s="136" t="str">
        <f>IF(C256="","",'04 FIIs'!H59)</f>
        <v/>
      </c>
      <c r="I256" s="137" t="str">
        <f>IF(C256="","",'04 FIIs'!J59)</f>
        <v/>
      </c>
      <c r="J256" s="138" t="str">
        <f>IF(C256="","",'04 FIIs'!K59)</f>
        <v/>
      </c>
      <c r="K256" s="138" t="str">
        <f>IF(C256="","",'04 FIIs'!Q59)</f>
        <v/>
      </c>
      <c r="L256" s="135" t="str">
        <f>IF(C256="","",'04 FIIs'!R59)</f>
        <v/>
      </c>
      <c r="M256" s="138" t="str">
        <f>IF(C256="","",'04 FIIs'!T59)</f>
        <v/>
      </c>
      <c r="N256" s="139" t="str">
        <f>IF(C256="","",IF($J$3&gt;0,J256/$J$3,0))</f>
        <v/>
      </c>
      <c r="O256" s="134" t="str">
        <f>IF(C256="","",'04 FIIs'!I59)</f>
        <v/>
      </c>
      <c r="P256" s="140" t="str">
        <f>IF(C256="","",IF(N(J256)&gt;0,J256+ROW()/1E9,""))</f>
        <v/>
      </c>
      <c r="Q256" s="140" t="str">
        <f>IF(C256="","",IF(N(M256)&gt;0,M256+ROW()/1E9,""))</f>
        <v/>
      </c>
    </row>
    <row r="257">
      <c r="A257" s="141" t="str">
        <f>IF(C257="","","FIIs")</f>
        <v/>
      </c>
      <c r="B257" s="141" t="str">
        <f>IF(C257="","","Brasil")</f>
        <v/>
      </c>
      <c r="C257" s="141" t="str">
        <f>IF('04 FIIs'!A60="","",'04 FIIs'!A60&amp;"")</f>
        <v/>
      </c>
      <c r="D257" s="141" t="str">
        <f>IF(C257="","",'04 FIIs'!B60&amp;"")</f>
        <v/>
      </c>
      <c r="E257" s="141" t="str">
        <f>IF(C257="","",'04 FIIs'!C60&amp;"")</f>
        <v/>
      </c>
      <c r="F257" s="141" t="str">
        <f>IF(C257="","",'04 FIIs'!V60)</f>
        <v/>
      </c>
      <c r="G257" s="142" t="str">
        <f>IF(C257="","",'04 FIIs'!E60)</f>
        <v/>
      </c>
      <c r="H257" s="143" t="str">
        <f>IF(C257="","",'04 FIIs'!H60)</f>
        <v/>
      </c>
      <c r="I257" s="144" t="str">
        <f>IF(C257="","",'04 FIIs'!J60)</f>
        <v/>
      </c>
      <c r="J257" s="145" t="str">
        <f>IF(C257="","",'04 FIIs'!K60)</f>
        <v/>
      </c>
      <c r="K257" s="145" t="str">
        <f>IF(C257="","",'04 FIIs'!Q60)</f>
        <v/>
      </c>
      <c r="L257" s="142" t="str">
        <f>IF(C257="","",'04 FIIs'!R60)</f>
        <v/>
      </c>
      <c r="M257" s="145" t="str">
        <f>IF(C257="","",'04 FIIs'!T60)</f>
        <v/>
      </c>
      <c r="N257" s="146" t="str">
        <f>IF(C257="","",IF($J$3&gt;0,J257/$J$3,0))</f>
        <v/>
      </c>
      <c r="O257" s="141" t="str">
        <f>IF(C257="","",'04 FIIs'!I60)</f>
        <v/>
      </c>
      <c r="P257" s="147" t="str">
        <f>IF(C257="","",IF(N(J257)&gt;0,J257+ROW()/1E9,""))</f>
        <v/>
      </c>
      <c r="Q257" s="147" t="str">
        <f>IF(C257="","",IF(N(M257)&gt;0,M257+ROW()/1E9,""))</f>
        <v/>
      </c>
    </row>
    <row r="258">
      <c r="A258" s="134" t="str">
        <f>IF(C258="","","FIIs")</f>
        <v/>
      </c>
      <c r="B258" s="134" t="str">
        <f>IF(C258="","","Brasil")</f>
        <v/>
      </c>
      <c r="C258" s="134" t="str">
        <f>IF('04 FIIs'!A61="","",'04 FIIs'!A61&amp;"")</f>
        <v/>
      </c>
      <c r="D258" s="134" t="str">
        <f>IF(C258="","",'04 FIIs'!B61&amp;"")</f>
        <v/>
      </c>
      <c r="E258" s="134" t="str">
        <f>IF(C258="","",'04 FIIs'!C61&amp;"")</f>
        <v/>
      </c>
      <c r="F258" s="134" t="str">
        <f>IF(C258="","",'04 FIIs'!V61)</f>
        <v/>
      </c>
      <c r="G258" s="135" t="str">
        <f>IF(C258="","",'04 FIIs'!E61)</f>
        <v/>
      </c>
      <c r="H258" s="136" t="str">
        <f>IF(C258="","",'04 FIIs'!H61)</f>
        <v/>
      </c>
      <c r="I258" s="137" t="str">
        <f>IF(C258="","",'04 FIIs'!J61)</f>
        <v/>
      </c>
      <c r="J258" s="138" t="str">
        <f>IF(C258="","",'04 FIIs'!K61)</f>
        <v/>
      </c>
      <c r="K258" s="138" t="str">
        <f>IF(C258="","",'04 FIIs'!Q61)</f>
        <v/>
      </c>
      <c r="L258" s="135" t="str">
        <f>IF(C258="","",'04 FIIs'!R61)</f>
        <v/>
      </c>
      <c r="M258" s="138" t="str">
        <f>IF(C258="","",'04 FIIs'!T61)</f>
        <v/>
      </c>
      <c r="N258" s="139" t="str">
        <f>IF(C258="","",IF($J$3&gt;0,J258/$J$3,0))</f>
        <v/>
      </c>
      <c r="O258" s="134" t="str">
        <f>IF(C258="","",'04 FIIs'!I61)</f>
        <v/>
      </c>
      <c r="P258" s="140" t="str">
        <f>IF(C258="","",IF(N(J258)&gt;0,J258+ROW()/1E9,""))</f>
        <v/>
      </c>
      <c r="Q258" s="140" t="str">
        <f>IF(C258="","",IF(N(M258)&gt;0,M258+ROW()/1E9,""))</f>
        <v/>
      </c>
    </row>
    <row r="259">
      <c r="A259" s="141" t="str">
        <f>IF(C259="","","FIIs")</f>
        <v/>
      </c>
      <c r="B259" s="141" t="str">
        <f>IF(C259="","","Brasil")</f>
        <v/>
      </c>
      <c r="C259" s="141" t="str">
        <f>IF('04 FIIs'!A62="","",'04 FIIs'!A62&amp;"")</f>
        <v/>
      </c>
      <c r="D259" s="141" t="str">
        <f>IF(C259="","",'04 FIIs'!B62&amp;"")</f>
        <v/>
      </c>
      <c r="E259" s="141" t="str">
        <f>IF(C259="","",'04 FIIs'!C62&amp;"")</f>
        <v/>
      </c>
      <c r="F259" s="141" t="str">
        <f>IF(C259="","",'04 FIIs'!V62)</f>
        <v/>
      </c>
      <c r="G259" s="142" t="str">
        <f>IF(C259="","",'04 FIIs'!E62)</f>
        <v/>
      </c>
      <c r="H259" s="143" t="str">
        <f>IF(C259="","",'04 FIIs'!H62)</f>
        <v/>
      </c>
      <c r="I259" s="144" t="str">
        <f>IF(C259="","",'04 FIIs'!J62)</f>
        <v/>
      </c>
      <c r="J259" s="145" t="str">
        <f>IF(C259="","",'04 FIIs'!K62)</f>
        <v/>
      </c>
      <c r="K259" s="145" t="str">
        <f>IF(C259="","",'04 FIIs'!Q62)</f>
        <v/>
      </c>
      <c r="L259" s="142" t="str">
        <f>IF(C259="","",'04 FIIs'!R62)</f>
        <v/>
      </c>
      <c r="M259" s="145" t="str">
        <f>IF(C259="","",'04 FIIs'!T62)</f>
        <v/>
      </c>
      <c r="N259" s="146" t="str">
        <f>IF(C259="","",IF($J$3&gt;0,J259/$J$3,0))</f>
        <v/>
      </c>
      <c r="O259" s="141" t="str">
        <f>IF(C259="","",'04 FIIs'!I62)</f>
        <v/>
      </c>
      <c r="P259" s="147" t="str">
        <f>IF(C259="","",IF(N(J259)&gt;0,J259+ROW()/1E9,""))</f>
        <v/>
      </c>
      <c r="Q259" s="147" t="str">
        <f>IF(C259="","",IF(N(M259)&gt;0,M259+ROW()/1E9,""))</f>
        <v/>
      </c>
    </row>
    <row r="260">
      <c r="A260" s="134" t="str">
        <f>IF(C260="","","FIIs")</f>
        <v/>
      </c>
      <c r="B260" s="134" t="str">
        <f>IF(C260="","","Brasil")</f>
        <v/>
      </c>
      <c r="C260" s="134" t="str">
        <f>IF('04 FIIs'!A63="","",'04 FIIs'!A63&amp;"")</f>
        <v/>
      </c>
      <c r="D260" s="134" t="str">
        <f>IF(C260="","",'04 FIIs'!B63&amp;"")</f>
        <v/>
      </c>
      <c r="E260" s="134" t="str">
        <f>IF(C260="","",'04 FIIs'!C63&amp;"")</f>
        <v/>
      </c>
      <c r="F260" s="134" t="str">
        <f>IF(C260="","",'04 FIIs'!V63)</f>
        <v/>
      </c>
      <c r="G260" s="135" t="str">
        <f>IF(C260="","",'04 FIIs'!E63)</f>
        <v/>
      </c>
      <c r="H260" s="136" t="str">
        <f>IF(C260="","",'04 FIIs'!H63)</f>
        <v/>
      </c>
      <c r="I260" s="137" t="str">
        <f>IF(C260="","",'04 FIIs'!J63)</f>
        <v/>
      </c>
      <c r="J260" s="138" t="str">
        <f>IF(C260="","",'04 FIIs'!K63)</f>
        <v/>
      </c>
      <c r="K260" s="138" t="str">
        <f>IF(C260="","",'04 FIIs'!Q63)</f>
        <v/>
      </c>
      <c r="L260" s="135" t="str">
        <f>IF(C260="","",'04 FIIs'!R63)</f>
        <v/>
      </c>
      <c r="M260" s="138" t="str">
        <f>IF(C260="","",'04 FIIs'!T63)</f>
        <v/>
      </c>
      <c r="N260" s="139" t="str">
        <f>IF(C260="","",IF($J$3&gt;0,J260/$J$3,0))</f>
        <v/>
      </c>
      <c r="O260" s="134" t="str">
        <f>IF(C260="","",'04 FIIs'!I63)</f>
        <v/>
      </c>
      <c r="P260" s="140" t="str">
        <f>IF(C260="","",IF(N(J260)&gt;0,J260+ROW()/1E9,""))</f>
        <v/>
      </c>
      <c r="Q260" s="140" t="str">
        <f>IF(C260="","",IF(N(M260)&gt;0,M260+ROW()/1E9,""))</f>
        <v/>
      </c>
    </row>
    <row r="261">
      <c r="A261" s="141" t="str">
        <f>IF(C261="","","FIIs")</f>
        <v/>
      </c>
      <c r="B261" s="141" t="str">
        <f>IF(C261="","","Brasil")</f>
        <v/>
      </c>
      <c r="C261" s="141" t="str">
        <f>IF('04 FIIs'!A64="","",'04 FIIs'!A64&amp;"")</f>
        <v/>
      </c>
      <c r="D261" s="141" t="str">
        <f>IF(C261="","",'04 FIIs'!B64&amp;"")</f>
        <v/>
      </c>
      <c r="E261" s="141" t="str">
        <f>IF(C261="","",'04 FIIs'!C64&amp;"")</f>
        <v/>
      </c>
      <c r="F261" s="141" t="str">
        <f>IF(C261="","",'04 FIIs'!V64)</f>
        <v/>
      </c>
      <c r="G261" s="142" t="str">
        <f>IF(C261="","",'04 FIIs'!E64)</f>
        <v/>
      </c>
      <c r="H261" s="143" t="str">
        <f>IF(C261="","",'04 FIIs'!H64)</f>
        <v/>
      </c>
      <c r="I261" s="144" t="str">
        <f>IF(C261="","",'04 FIIs'!J64)</f>
        <v/>
      </c>
      <c r="J261" s="145" t="str">
        <f>IF(C261="","",'04 FIIs'!K64)</f>
        <v/>
      </c>
      <c r="K261" s="145" t="str">
        <f>IF(C261="","",'04 FIIs'!Q64)</f>
        <v/>
      </c>
      <c r="L261" s="142" t="str">
        <f>IF(C261="","",'04 FIIs'!R64)</f>
        <v/>
      </c>
      <c r="M261" s="145" t="str">
        <f>IF(C261="","",'04 FIIs'!T64)</f>
        <v/>
      </c>
      <c r="N261" s="146" t="str">
        <f>IF(C261="","",IF($J$3&gt;0,J261/$J$3,0))</f>
        <v/>
      </c>
      <c r="O261" s="141" t="str">
        <f>IF(C261="","",'04 FIIs'!I64)</f>
        <v/>
      </c>
      <c r="P261" s="147" t="str">
        <f>IF(C261="","",IF(N(J261)&gt;0,J261+ROW()/1E9,""))</f>
        <v/>
      </c>
      <c r="Q261" s="147" t="str">
        <f>IF(C261="","",IF(N(M261)&gt;0,M261+ROW()/1E9,""))</f>
        <v/>
      </c>
    </row>
    <row r="262">
      <c r="A262" s="134" t="str">
        <f>IF(C262="","","FIIs")</f>
        <v/>
      </c>
      <c r="B262" s="134" t="str">
        <f>IF(C262="","","Brasil")</f>
        <v/>
      </c>
      <c r="C262" s="134" t="str">
        <f>IF('04 FIIs'!A65="","",'04 FIIs'!A65&amp;"")</f>
        <v/>
      </c>
      <c r="D262" s="134" t="str">
        <f>IF(C262="","",'04 FIIs'!B65&amp;"")</f>
        <v/>
      </c>
      <c r="E262" s="134" t="str">
        <f>IF(C262="","",'04 FIIs'!C65&amp;"")</f>
        <v/>
      </c>
      <c r="F262" s="134" t="str">
        <f>IF(C262="","",'04 FIIs'!V65)</f>
        <v/>
      </c>
      <c r="G262" s="135" t="str">
        <f>IF(C262="","",'04 FIIs'!E65)</f>
        <v/>
      </c>
      <c r="H262" s="136" t="str">
        <f>IF(C262="","",'04 FIIs'!H65)</f>
        <v/>
      </c>
      <c r="I262" s="137" t="str">
        <f>IF(C262="","",'04 FIIs'!J65)</f>
        <v/>
      </c>
      <c r="J262" s="138" t="str">
        <f>IF(C262="","",'04 FIIs'!K65)</f>
        <v/>
      </c>
      <c r="K262" s="138" t="str">
        <f>IF(C262="","",'04 FIIs'!Q65)</f>
        <v/>
      </c>
      <c r="L262" s="135" t="str">
        <f>IF(C262="","",'04 FIIs'!R65)</f>
        <v/>
      </c>
      <c r="M262" s="138" t="str">
        <f>IF(C262="","",'04 FIIs'!T65)</f>
        <v/>
      </c>
      <c r="N262" s="139" t="str">
        <f>IF(C262="","",IF($J$3&gt;0,J262/$J$3,0))</f>
        <v/>
      </c>
      <c r="O262" s="134" t="str">
        <f>IF(C262="","",'04 FIIs'!I65)</f>
        <v/>
      </c>
      <c r="P262" s="140" t="str">
        <f>IF(C262="","",IF(N(J262)&gt;0,J262+ROW()/1E9,""))</f>
        <v/>
      </c>
      <c r="Q262" s="140" t="str">
        <f>IF(C262="","",IF(N(M262)&gt;0,M262+ROW()/1E9,""))</f>
        <v/>
      </c>
    </row>
    <row r="263">
      <c r="A263" s="141" t="str">
        <f>IF(C263="","","FIIs")</f>
        <v/>
      </c>
      <c r="B263" s="141" t="str">
        <f>IF(C263="","","Brasil")</f>
        <v/>
      </c>
      <c r="C263" s="141" t="str">
        <f>IF('04 FIIs'!A66="","",'04 FIIs'!A66&amp;"")</f>
        <v/>
      </c>
      <c r="D263" s="141" t="str">
        <f>IF(C263="","",'04 FIIs'!B66&amp;"")</f>
        <v/>
      </c>
      <c r="E263" s="141" t="str">
        <f>IF(C263="","",'04 FIIs'!C66&amp;"")</f>
        <v/>
      </c>
      <c r="F263" s="141" t="str">
        <f>IF(C263="","",'04 FIIs'!V66)</f>
        <v/>
      </c>
      <c r="G263" s="142" t="str">
        <f>IF(C263="","",'04 FIIs'!E66)</f>
        <v/>
      </c>
      <c r="H263" s="143" t="str">
        <f>IF(C263="","",'04 FIIs'!H66)</f>
        <v/>
      </c>
      <c r="I263" s="144" t="str">
        <f>IF(C263="","",'04 FIIs'!J66)</f>
        <v/>
      </c>
      <c r="J263" s="145" t="str">
        <f>IF(C263="","",'04 FIIs'!K66)</f>
        <v/>
      </c>
      <c r="K263" s="145" t="str">
        <f>IF(C263="","",'04 FIIs'!Q66)</f>
        <v/>
      </c>
      <c r="L263" s="142" t="str">
        <f>IF(C263="","",'04 FIIs'!R66)</f>
        <v/>
      </c>
      <c r="M263" s="145" t="str">
        <f>IF(C263="","",'04 FIIs'!T66)</f>
        <v/>
      </c>
      <c r="N263" s="146" t="str">
        <f>IF(C263="","",IF($J$3&gt;0,J263/$J$3,0))</f>
        <v/>
      </c>
      <c r="O263" s="141" t="str">
        <f>IF(C263="","",'04 FIIs'!I66)</f>
        <v/>
      </c>
      <c r="P263" s="147" t="str">
        <f>IF(C263="","",IF(N(J263)&gt;0,J263+ROW()/1E9,""))</f>
        <v/>
      </c>
      <c r="Q263" s="147" t="str">
        <f>IF(C263="","",IF(N(M263)&gt;0,M263+ROW()/1E9,""))</f>
        <v/>
      </c>
    </row>
    <row r="264">
      <c r="A264" s="134" t="str">
        <f>IF(C264="","","FIIs")</f>
        <v/>
      </c>
      <c r="B264" s="134" t="str">
        <f>IF(C264="","","Brasil")</f>
        <v/>
      </c>
      <c r="C264" s="134" t="str">
        <f>IF('04 FIIs'!A67="","",'04 FIIs'!A67&amp;"")</f>
        <v/>
      </c>
      <c r="D264" s="134" t="str">
        <f>IF(C264="","",'04 FIIs'!B67&amp;"")</f>
        <v/>
      </c>
      <c r="E264" s="134" t="str">
        <f>IF(C264="","",'04 FIIs'!C67&amp;"")</f>
        <v/>
      </c>
      <c r="F264" s="134" t="str">
        <f>IF(C264="","",'04 FIIs'!V67)</f>
        <v/>
      </c>
      <c r="G264" s="135" t="str">
        <f>IF(C264="","",'04 FIIs'!E67)</f>
        <v/>
      </c>
      <c r="H264" s="136" t="str">
        <f>IF(C264="","",'04 FIIs'!H67)</f>
        <v/>
      </c>
      <c r="I264" s="137" t="str">
        <f>IF(C264="","",'04 FIIs'!J67)</f>
        <v/>
      </c>
      <c r="J264" s="138" t="str">
        <f>IF(C264="","",'04 FIIs'!K67)</f>
        <v/>
      </c>
      <c r="K264" s="138" t="str">
        <f>IF(C264="","",'04 FIIs'!Q67)</f>
        <v/>
      </c>
      <c r="L264" s="135" t="str">
        <f>IF(C264="","",'04 FIIs'!R67)</f>
        <v/>
      </c>
      <c r="M264" s="138" t="str">
        <f>IF(C264="","",'04 FIIs'!T67)</f>
        <v/>
      </c>
      <c r="N264" s="139" t="str">
        <f>IF(C264="","",IF($J$3&gt;0,J264/$J$3,0))</f>
        <v/>
      </c>
      <c r="O264" s="134" t="str">
        <f>IF(C264="","",'04 FIIs'!I67)</f>
        <v/>
      </c>
      <c r="P264" s="140" t="str">
        <f>IF(C264="","",IF(N(J264)&gt;0,J264+ROW()/1E9,""))</f>
        <v/>
      </c>
      <c r="Q264" s="140" t="str">
        <f>IF(C264="","",IF(N(M264)&gt;0,M264+ROW()/1E9,""))</f>
        <v/>
      </c>
    </row>
    <row r="265">
      <c r="A265" s="141" t="str">
        <f>IF(C265="","","FIIs")</f>
        <v/>
      </c>
      <c r="B265" s="141" t="str">
        <f>IF(C265="","","Brasil")</f>
        <v/>
      </c>
      <c r="C265" s="141" t="str">
        <f>IF('04 FIIs'!A68="","",'04 FIIs'!A68&amp;"")</f>
        <v/>
      </c>
      <c r="D265" s="141" t="str">
        <f>IF(C265="","",'04 FIIs'!B68&amp;"")</f>
        <v/>
      </c>
      <c r="E265" s="141" t="str">
        <f>IF(C265="","",'04 FIIs'!C68&amp;"")</f>
        <v/>
      </c>
      <c r="F265" s="141" t="str">
        <f>IF(C265="","",'04 FIIs'!V68)</f>
        <v/>
      </c>
      <c r="G265" s="142" t="str">
        <f>IF(C265="","",'04 FIIs'!E68)</f>
        <v/>
      </c>
      <c r="H265" s="143" t="str">
        <f>IF(C265="","",'04 FIIs'!H68)</f>
        <v/>
      </c>
      <c r="I265" s="144" t="str">
        <f>IF(C265="","",'04 FIIs'!J68)</f>
        <v/>
      </c>
      <c r="J265" s="145" t="str">
        <f>IF(C265="","",'04 FIIs'!K68)</f>
        <v/>
      </c>
      <c r="K265" s="145" t="str">
        <f>IF(C265="","",'04 FIIs'!Q68)</f>
        <v/>
      </c>
      <c r="L265" s="142" t="str">
        <f>IF(C265="","",'04 FIIs'!R68)</f>
        <v/>
      </c>
      <c r="M265" s="145" t="str">
        <f>IF(C265="","",'04 FIIs'!T68)</f>
        <v/>
      </c>
      <c r="N265" s="146" t="str">
        <f>IF(C265="","",IF($J$3&gt;0,J265/$J$3,0))</f>
        <v/>
      </c>
      <c r="O265" s="141" t="str">
        <f>IF(C265="","",'04 FIIs'!I68)</f>
        <v/>
      </c>
      <c r="P265" s="147" t="str">
        <f>IF(C265="","",IF(N(J265)&gt;0,J265+ROW()/1E9,""))</f>
        <v/>
      </c>
      <c r="Q265" s="147" t="str">
        <f>IF(C265="","",IF(N(M265)&gt;0,M265+ROW()/1E9,""))</f>
        <v/>
      </c>
    </row>
    <row r="266">
      <c r="A266" s="134" t="str">
        <f>IF(C266="","","FIIs")</f>
        <v/>
      </c>
      <c r="B266" s="134" t="str">
        <f>IF(C266="","","Brasil")</f>
        <v/>
      </c>
      <c r="C266" s="134" t="str">
        <f>IF('04 FIIs'!A69="","",'04 FIIs'!A69&amp;"")</f>
        <v/>
      </c>
      <c r="D266" s="134" t="str">
        <f>IF(C266="","",'04 FIIs'!B69&amp;"")</f>
        <v/>
      </c>
      <c r="E266" s="134" t="str">
        <f>IF(C266="","",'04 FIIs'!C69&amp;"")</f>
        <v/>
      </c>
      <c r="F266" s="134" t="str">
        <f>IF(C266="","",'04 FIIs'!V69)</f>
        <v/>
      </c>
      <c r="G266" s="135" t="str">
        <f>IF(C266="","",'04 FIIs'!E69)</f>
        <v/>
      </c>
      <c r="H266" s="136" t="str">
        <f>IF(C266="","",'04 FIIs'!H69)</f>
        <v/>
      </c>
      <c r="I266" s="137" t="str">
        <f>IF(C266="","",'04 FIIs'!J69)</f>
        <v/>
      </c>
      <c r="J266" s="138" t="str">
        <f>IF(C266="","",'04 FIIs'!K69)</f>
        <v/>
      </c>
      <c r="K266" s="138" t="str">
        <f>IF(C266="","",'04 FIIs'!Q69)</f>
        <v/>
      </c>
      <c r="L266" s="135" t="str">
        <f>IF(C266="","",'04 FIIs'!R69)</f>
        <v/>
      </c>
      <c r="M266" s="138" t="str">
        <f>IF(C266="","",'04 FIIs'!T69)</f>
        <v/>
      </c>
      <c r="N266" s="139" t="str">
        <f>IF(C266="","",IF($J$3&gt;0,J266/$J$3,0))</f>
        <v/>
      </c>
      <c r="O266" s="134" t="str">
        <f>IF(C266="","",'04 FIIs'!I69)</f>
        <v/>
      </c>
      <c r="P266" s="140" t="str">
        <f>IF(C266="","",IF(N(J266)&gt;0,J266+ROW()/1E9,""))</f>
        <v/>
      </c>
      <c r="Q266" s="140" t="str">
        <f>IF(C266="","",IF(N(M266)&gt;0,M266+ROW()/1E9,""))</f>
        <v/>
      </c>
    </row>
    <row r="267">
      <c r="A267" s="141" t="str">
        <f>IF(C267="","","FIIs")</f>
        <v/>
      </c>
      <c r="B267" s="141" t="str">
        <f>IF(C267="","","Brasil")</f>
        <v/>
      </c>
      <c r="C267" s="141" t="str">
        <f>IF('04 FIIs'!A70="","",'04 FIIs'!A70&amp;"")</f>
        <v/>
      </c>
      <c r="D267" s="141" t="str">
        <f>IF(C267="","",'04 FIIs'!B70&amp;"")</f>
        <v/>
      </c>
      <c r="E267" s="141" t="str">
        <f>IF(C267="","",'04 FIIs'!C70&amp;"")</f>
        <v/>
      </c>
      <c r="F267" s="141" t="str">
        <f>IF(C267="","",'04 FIIs'!V70)</f>
        <v/>
      </c>
      <c r="G267" s="142" t="str">
        <f>IF(C267="","",'04 FIIs'!E70)</f>
        <v/>
      </c>
      <c r="H267" s="143" t="str">
        <f>IF(C267="","",'04 FIIs'!H70)</f>
        <v/>
      </c>
      <c r="I267" s="144" t="str">
        <f>IF(C267="","",'04 FIIs'!J70)</f>
        <v/>
      </c>
      <c r="J267" s="145" t="str">
        <f>IF(C267="","",'04 FIIs'!K70)</f>
        <v/>
      </c>
      <c r="K267" s="145" t="str">
        <f>IF(C267="","",'04 FIIs'!Q70)</f>
        <v/>
      </c>
      <c r="L267" s="142" t="str">
        <f>IF(C267="","",'04 FIIs'!R70)</f>
        <v/>
      </c>
      <c r="M267" s="145" t="str">
        <f>IF(C267="","",'04 FIIs'!T70)</f>
        <v/>
      </c>
      <c r="N267" s="146" t="str">
        <f>IF(C267="","",IF($J$3&gt;0,J267/$J$3,0))</f>
        <v/>
      </c>
      <c r="O267" s="141" t="str">
        <f>IF(C267="","",'04 FIIs'!I70)</f>
        <v/>
      </c>
      <c r="P267" s="147" t="str">
        <f>IF(C267="","",IF(N(J267)&gt;0,J267+ROW()/1E9,""))</f>
        <v/>
      </c>
      <c r="Q267" s="147" t="str">
        <f>IF(C267="","",IF(N(M267)&gt;0,M267+ROW()/1E9,""))</f>
        <v/>
      </c>
    </row>
    <row r="268">
      <c r="A268" s="134" t="str">
        <f>IF(C268="","","FIIs")</f>
        <v/>
      </c>
      <c r="B268" s="134" t="str">
        <f>IF(C268="","","Brasil")</f>
        <v/>
      </c>
      <c r="C268" s="134" t="str">
        <f>IF('04 FIIs'!A71="","",'04 FIIs'!A71&amp;"")</f>
        <v/>
      </c>
      <c r="D268" s="134" t="str">
        <f>IF(C268="","",'04 FIIs'!B71&amp;"")</f>
        <v/>
      </c>
      <c r="E268" s="134" t="str">
        <f>IF(C268="","",'04 FIIs'!C71&amp;"")</f>
        <v/>
      </c>
      <c r="F268" s="134" t="str">
        <f>IF(C268="","",'04 FIIs'!V71)</f>
        <v/>
      </c>
      <c r="G268" s="135" t="str">
        <f>IF(C268="","",'04 FIIs'!E71)</f>
        <v/>
      </c>
      <c r="H268" s="136" t="str">
        <f>IF(C268="","",'04 FIIs'!H71)</f>
        <v/>
      </c>
      <c r="I268" s="137" t="str">
        <f>IF(C268="","",'04 FIIs'!J71)</f>
        <v/>
      </c>
      <c r="J268" s="138" t="str">
        <f>IF(C268="","",'04 FIIs'!K71)</f>
        <v/>
      </c>
      <c r="K268" s="138" t="str">
        <f>IF(C268="","",'04 FIIs'!Q71)</f>
        <v/>
      </c>
      <c r="L268" s="135" t="str">
        <f>IF(C268="","",'04 FIIs'!R71)</f>
        <v/>
      </c>
      <c r="M268" s="138" t="str">
        <f>IF(C268="","",'04 FIIs'!T71)</f>
        <v/>
      </c>
      <c r="N268" s="139" t="str">
        <f>IF(C268="","",IF($J$3&gt;0,J268/$J$3,0))</f>
        <v/>
      </c>
      <c r="O268" s="134" t="str">
        <f>IF(C268="","",'04 FIIs'!I71)</f>
        <v/>
      </c>
      <c r="P268" s="140" t="str">
        <f>IF(C268="","",IF(N(J268)&gt;0,J268+ROW()/1E9,""))</f>
        <v/>
      </c>
      <c r="Q268" s="140" t="str">
        <f>IF(C268="","",IF(N(M268)&gt;0,M268+ROW()/1E9,""))</f>
        <v/>
      </c>
    </row>
    <row r="269">
      <c r="A269" s="141" t="str">
        <f>IF(C269="","","FIIs")</f>
        <v/>
      </c>
      <c r="B269" s="141" t="str">
        <f>IF(C269="","","Brasil")</f>
        <v/>
      </c>
      <c r="C269" s="141" t="str">
        <f>IF('04 FIIs'!A72="","",'04 FIIs'!A72&amp;"")</f>
        <v/>
      </c>
      <c r="D269" s="141" t="str">
        <f>IF(C269="","",'04 FIIs'!B72&amp;"")</f>
        <v/>
      </c>
      <c r="E269" s="141" t="str">
        <f>IF(C269="","",'04 FIIs'!C72&amp;"")</f>
        <v/>
      </c>
      <c r="F269" s="141" t="str">
        <f>IF(C269="","",'04 FIIs'!V72)</f>
        <v/>
      </c>
      <c r="G269" s="142" t="str">
        <f>IF(C269="","",'04 FIIs'!E72)</f>
        <v/>
      </c>
      <c r="H269" s="143" t="str">
        <f>IF(C269="","",'04 FIIs'!H72)</f>
        <v/>
      </c>
      <c r="I269" s="144" t="str">
        <f>IF(C269="","",'04 FIIs'!J72)</f>
        <v/>
      </c>
      <c r="J269" s="145" t="str">
        <f>IF(C269="","",'04 FIIs'!K72)</f>
        <v/>
      </c>
      <c r="K269" s="145" t="str">
        <f>IF(C269="","",'04 FIIs'!Q72)</f>
        <v/>
      </c>
      <c r="L269" s="142" t="str">
        <f>IF(C269="","",'04 FIIs'!R72)</f>
        <v/>
      </c>
      <c r="M269" s="145" t="str">
        <f>IF(C269="","",'04 FIIs'!T72)</f>
        <v/>
      </c>
      <c r="N269" s="146" t="str">
        <f>IF(C269="","",IF($J$3&gt;0,J269/$J$3,0))</f>
        <v/>
      </c>
      <c r="O269" s="141" t="str">
        <f>IF(C269="","",'04 FIIs'!I72)</f>
        <v/>
      </c>
      <c r="P269" s="147" t="str">
        <f>IF(C269="","",IF(N(J269)&gt;0,J269+ROW()/1E9,""))</f>
        <v/>
      </c>
      <c r="Q269" s="147" t="str">
        <f>IF(C269="","",IF(N(M269)&gt;0,M269+ROW()/1E9,""))</f>
        <v/>
      </c>
    </row>
    <row r="270">
      <c r="A270" s="134" t="str">
        <f>IF(C270="","","FIIs")</f>
        <v/>
      </c>
      <c r="B270" s="134" t="str">
        <f>IF(C270="","","Brasil")</f>
        <v/>
      </c>
      <c r="C270" s="134" t="str">
        <f>IF('04 FIIs'!A73="","",'04 FIIs'!A73&amp;"")</f>
        <v/>
      </c>
      <c r="D270" s="134" t="str">
        <f>IF(C270="","",'04 FIIs'!B73&amp;"")</f>
        <v/>
      </c>
      <c r="E270" s="134" t="str">
        <f>IF(C270="","",'04 FIIs'!C73&amp;"")</f>
        <v/>
      </c>
      <c r="F270" s="134" t="str">
        <f>IF(C270="","",'04 FIIs'!V73)</f>
        <v/>
      </c>
      <c r="G270" s="135" t="str">
        <f>IF(C270="","",'04 FIIs'!E73)</f>
        <v/>
      </c>
      <c r="H270" s="136" t="str">
        <f>IF(C270="","",'04 FIIs'!H73)</f>
        <v/>
      </c>
      <c r="I270" s="137" t="str">
        <f>IF(C270="","",'04 FIIs'!J73)</f>
        <v/>
      </c>
      <c r="J270" s="138" t="str">
        <f>IF(C270="","",'04 FIIs'!K73)</f>
        <v/>
      </c>
      <c r="K270" s="138" t="str">
        <f>IF(C270="","",'04 FIIs'!Q73)</f>
        <v/>
      </c>
      <c r="L270" s="135" t="str">
        <f>IF(C270="","",'04 FIIs'!R73)</f>
        <v/>
      </c>
      <c r="M270" s="138" t="str">
        <f>IF(C270="","",'04 FIIs'!T73)</f>
        <v/>
      </c>
      <c r="N270" s="139" t="str">
        <f>IF(C270="","",IF($J$3&gt;0,J270/$J$3,0))</f>
        <v/>
      </c>
      <c r="O270" s="134" t="str">
        <f>IF(C270="","",'04 FIIs'!I73)</f>
        <v/>
      </c>
      <c r="P270" s="140" t="str">
        <f>IF(C270="","",IF(N(J270)&gt;0,J270+ROW()/1E9,""))</f>
        <v/>
      </c>
      <c r="Q270" s="140" t="str">
        <f>IF(C270="","",IF(N(M270)&gt;0,M270+ROW()/1E9,""))</f>
        <v/>
      </c>
    </row>
    <row r="271">
      <c r="A271" s="141" t="str">
        <f>IF(C271="","","FIIs")</f>
        <v/>
      </c>
      <c r="B271" s="141" t="str">
        <f>IF(C271="","","Brasil")</f>
        <v/>
      </c>
      <c r="C271" s="141" t="str">
        <f>IF('04 FIIs'!A74="","",'04 FIIs'!A74&amp;"")</f>
        <v/>
      </c>
      <c r="D271" s="141" t="str">
        <f>IF(C271="","",'04 FIIs'!B74&amp;"")</f>
        <v/>
      </c>
      <c r="E271" s="141" t="str">
        <f>IF(C271="","",'04 FIIs'!C74&amp;"")</f>
        <v/>
      </c>
      <c r="F271" s="141" t="str">
        <f>IF(C271="","",'04 FIIs'!V74)</f>
        <v/>
      </c>
      <c r="G271" s="142" t="str">
        <f>IF(C271="","",'04 FIIs'!E74)</f>
        <v/>
      </c>
      <c r="H271" s="143" t="str">
        <f>IF(C271="","",'04 FIIs'!H74)</f>
        <v/>
      </c>
      <c r="I271" s="144" t="str">
        <f>IF(C271="","",'04 FIIs'!J74)</f>
        <v/>
      </c>
      <c r="J271" s="145" t="str">
        <f>IF(C271="","",'04 FIIs'!K74)</f>
        <v/>
      </c>
      <c r="K271" s="145" t="str">
        <f>IF(C271="","",'04 FIIs'!Q74)</f>
        <v/>
      </c>
      <c r="L271" s="142" t="str">
        <f>IF(C271="","",'04 FIIs'!R74)</f>
        <v/>
      </c>
      <c r="M271" s="145" t="str">
        <f>IF(C271="","",'04 FIIs'!T74)</f>
        <v/>
      </c>
      <c r="N271" s="146" t="str">
        <f>IF(C271="","",IF($J$3&gt;0,J271/$J$3,0))</f>
        <v/>
      </c>
      <c r="O271" s="141" t="str">
        <f>IF(C271="","",'04 FIIs'!I74)</f>
        <v/>
      </c>
      <c r="P271" s="147" t="str">
        <f>IF(C271="","",IF(N(J271)&gt;0,J271+ROW()/1E9,""))</f>
        <v/>
      </c>
      <c r="Q271" s="147" t="str">
        <f>IF(C271="","",IF(N(M271)&gt;0,M271+ROW()/1E9,""))</f>
        <v/>
      </c>
    </row>
    <row r="272">
      <c r="A272" s="134" t="str">
        <f>IF(C272="","","FIIs")</f>
        <v/>
      </c>
      <c r="B272" s="134" t="str">
        <f>IF(C272="","","Brasil")</f>
        <v/>
      </c>
      <c r="C272" s="134" t="str">
        <f>IF('04 FIIs'!A75="","",'04 FIIs'!A75&amp;"")</f>
        <v/>
      </c>
      <c r="D272" s="134" t="str">
        <f>IF(C272="","",'04 FIIs'!B75&amp;"")</f>
        <v/>
      </c>
      <c r="E272" s="134" t="str">
        <f>IF(C272="","",'04 FIIs'!C75&amp;"")</f>
        <v/>
      </c>
      <c r="F272" s="134" t="str">
        <f>IF(C272="","",'04 FIIs'!V75)</f>
        <v/>
      </c>
      <c r="G272" s="135" t="str">
        <f>IF(C272="","",'04 FIIs'!E75)</f>
        <v/>
      </c>
      <c r="H272" s="136" t="str">
        <f>IF(C272="","",'04 FIIs'!H75)</f>
        <v/>
      </c>
      <c r="I272" s="137" t="str">
        <f>IF(C272="","",'04 FIIs'!J75)</f>
        <v/>
      </c>
      <c r="J272" s="138" t="str">
        <f>IF(C272="","",'04 FIIs'!K75)</f>
        <v/>
      </c>
      <c r="K272" s="138" t="str">
        <f>IF(C272="","",'04 FIIs'!Q75)</f>
        <v/>
      </c>
      <c r="L272" s="135" t="str">
        <f>IF(C272="","",'04 FIIs'!R75)</f>
        <v/>
      </c>
      <c r="M272" s="138" t="str">
        <f>IF(C272="","",'04 FIIs'!T75)</f>
        <v/>
      </c>
      <c r="N272" s="139" t="str">
        <f>IF(C272="","",IF($J$3&gt;0,J272/$J$3,0))</f>
        <v/>
      </c>
      <c r="O272" s="134" t="str">
        <f>IF(C272="","",'04 FIIs'!I75)</f>
        <v/>
      </c>
      <c r="P272" s="140" t="str">
        <f>IF(C272="","",IF(N(J272)&gt;0,J272+ROW()/1E9,""))</f>
        <v/>
      </c>
      <c r="Q272" s="140" t="str">
        <f>IF(C272="","",IF(N(M272)&gt;0,M272+ROW()/1E9,""))</f>
        <v/>
      </c>
    </row>
    <row r="273">
      <c r="A273" s="141" t="str">
        <f>IF(C273="","","FIIs")</f>
        <v/>
      </c>
      <c r="B273" s="141" t="str">
        <f>IF(C273="","","Brasil")</f>
        <v/>
      </c>
      <c r="C273" s="141" t="str">
        <f>IF('04 FIIs'!A76="","",'04 FIIs'!A76&amp;"")</f>
        <v/>
      </c>
      <c r="D273" s="141" t="str">
        <f>IF(C273="","",'04 FIIs'!B76&amp;"")</f>
        <v/>
      </c>
      <c r="E273" s="141" t="str">
        <f>IF(C273="","",'04 FIIs'!C76&amp;"")</f>
        <v/>
      </c>
      <c r="F273" s="141" t="str">
        <f>IF(C273="","",'04 FIIs'!V76)</f>
        <v/>
      </c>
      <c r="G273" s="142" t="str">
        <f>IF(C273="","",'04 FIIs'!E76)</f>
        <v/>
      </c>
      <c r="H273" s="143" t="str">
        <f>IF(C273="","",'04 FIIs'!H76)</f>
        <v/>
      </c>
      <c r="I273" s="144" t="str">
        <f>IF(C273="","",'04 FIIs'!J76)</f>
        <v/>
      </c>
      <c r="J273" s="145" t="str">
        <f>IF(C273="","",'04 FIIs'!K76)</f>
        <v/>
      </c>
      <c r="K273" s="145" t="str">
        <f>IF(C273="","",'04 FIIs'!Q76)</f>
        <v/>
      </c>
      <c r="L273" s="142" t="str">
        <f>IF(C273="","",'04 FIIs'!R76)</f>
        <v/>
      </c>
      <c r="M273" s="145" t="str">
        <f>IF(C273="","",'04 FIIs'!T76)</f>
        <v/>
      </c>
      <c r="N273" s="146" t="str">
        <f>IF(C273="","",IF($J$3&gt;0,J273/$J$3,0))</f>
        <v/>
      </c>
      <c r="O273" s="141" t="str">
        <f>IF(C273="","",'04 FIIs'!I76)</f>
        <v/>
      </c>
      <c r="P273" s="147" t="str">
        <f>IF(C273="","",IF(N(J273)&gt;0,J273+ROW()/1E9,""))</f>
        <v/>
      </c>
      <c r="Q273" s="147" t="str">
        <f>IF(C273="","",IF(N(M273)&gt;0,M273+ROW()/1E9,""))</f>
        <v/>
      </c>
    </row>
    <row r="274">
      <c r="A274" s="134" t="str">
        <f>IF(C274="","","FIIs")</f>
        <v/>
      </c>
      <c r="B274" s="134" t="str">
        <f>IF(C274="","","Brasil")</f>
        <v/>
      </c>
      <c r="C274" s="134" t="str">
        <f>IF('04 FIIs'!A77="","",'04 FIIs'!A77&amp;"")</f>
        <v/>
      </c>
      <c r="D274" s="134" t="str">
        <f>IF(C274="","",'04 FIIs'!B77&amp;"")</f>
        <v/>
      </c>
      <c r="E274" s="134" t="str">
        <f>IF(C274="","",'04 FIIs'!C77&amp;"")</f>
        <v/>
      </c>
      <c r="F274" s="134" t="str">
        <f>IF(C274="","",'04 FIIs'!V77)</f>
        <v/>
      </c>
      <c r="G274" s="135" t="str">
        <f>IF(C274="","",'04 FIIs'!E77)</f>
        <v/>
      </c>
      <c r="H274" s="136" t="str">
        <f>IF(C274="","",'04 FIIs'!H77)</f>
        <v/>
      </c>
      <c r="I274" s="137" t="str">
        <f>IF(C274="","",'04 FIIs'!J77)</f>
        <v/>
      </c>
      <c r="J274" s="138" t="str">
        <f>IF(C274="","",'04 FIIs'!K77)</f>
        <v/>
      </c>
      <c r="K274" s="138" t="str">
        <f>IF(C274="","",'04 FIIs'!Q77)</f>
        <v/>
      </c>
      <c r="L274" s="135" t="str">
        <f>IF(C274="","",'04 FIIs'!R77)</f>
        <v/>
      </c>
      <c r="M274" s="138" t="str">
        <f>IF(C274="","",'04 FIIs'!T77)</f>
        <v/>
      </c>
      <c r="N274" s="139" t="str">
        <f>IF(C274="","",IF($J$3&gt;0,J274/$J$3,0))</f>
        <v/>
      </c>
      <c r="O274" s="134" t="str">
        <f>IF(C274="","",'04 FIIs'!I77)</f>
        <v/>
      </c>
      <c r="P274" s="140" t="str">
        <f>IF(C274="","",IF(N(J274)&gt;0,J274+ROW()/1E9,""))</f>
        <v/>
      </c>
      <c r="Q274" s="140" t="str">
        <f>IF(C274="","",IF(N(M274)&gt;0,M274+ROW()/1E9,""))</f>
        <v/>
      </c>
    </row>
    <row r="275">
      <c r="A275" s="141" t="str">
        <f>IF(C275="","","FIIs")</f>
        <v/>
      </c>
      <c r="B275" s="141" t="str">
        <f>IF(C275="","","Brasil")</f>
        <v/>
      </c>
      <c r="C275" s="141" t="str">
        <f>IF('04 FIIs'!A78="","",'04 FIIs'!A78&amp;"")</f>
        <v/>
      </c>
      <c r="D275" s="141" t="str">
        <f>IF(C275="","",'04 FIIs'!B78&amp;"")</f>
        <v/>
      </c>
      <c r="E275" s="141" t="str">
        <f>IF(C275="","",'04 FIIs'!C78&amp;"")</f>
        <v/>
      </c>
      <c r="F275" s="141" t="str">
        <f>IF(C275="","",'04 FIIs'!V78)</f>
        <v/>
      </c>
      <c r="G275" s="142" t="str">
        <f>IF(C275="","",'04 FIIs'!E78)</f>
        <v/>
      </c>
      <c r="H275" s="143" t="str">
        <f>IF(C275="","",'04 FIIs'!H78)</f>
        <v/>
      </c>
      <c r="I275" s="144" t="str">
        <f>IF(C275="","",'04 FIIs'!J78)</f>
        <v/>
      </c>
      <c r="J275" s="145" t="str">
        <f>IF(C275="","",'04 FIIs'!K78)</f>
        <v/>
      </c>
      <c r="K275" s="145" t="str">
        <f>IF(C275="","",'04 FIIs'!Q78)</f>
        <v/>
      </c>
      <c r="L275" s="142" t="str">
        <f>IF(C275="","",'04 FIIs'!R78)</f>
        <v/>
      </c>
      <c r="M275" s="145" t="str">
        <f>IF(C275="","",'04 FIIs'!T78)</f>
        <v/>
      </c>
      <c r="N275" s="146" t="str">
        <f>IF(C275="","",IF($J$3&gt;0,J275/$J$3,0))</f>
        <v/>
      </c>
      <c r="O275" s="141" t="str">
        <f>IF(C275="","",'04 FIIs'!I78)</f>
        <v/>
      </c>
      <c r="P275" s="147" t="str">
        <f>IF(C275="","",IF(N(J275)&gt;0,J275+ROW()/1E9,""))</f>
        <v/>
      </c>
      <c r="Q275" s="147" t="str">
        <f>IF(C275="","",IF(N(M275)&gt;0,M275+ROW()/1E9,""))</f>
        <v/>
      </c>
    </row>
    <row r="276">
      <c r="A276" s="134" t="str">
        <f>IF(C276="","","FIIs")</f>
        <v/>
      </c>
      <c r="B276" s="134" t="str">
        <f>IF(C276="","","Brasil")</f>
        <v/>
      </c>
      <c r="C276" s="134" t="str">
        <f>IF('04 FIIs'!A79="","",'04 FIIs'!A79&amp;"")</f>
        <v/>
      </c>
      <c r="D276" s="134" t="str">
        <f>IF(C276="","",'04 FIIs'!B79&amp;"")</f>
        <v/>
      </c>
      <c r="E276" s="134" t="str">
        <f>IF(C276="","",'04 FIIs'!C79&amp;"")</f>
        <v/>
      </c>
      <c r="F276" s="134" t="str">
        <f>IF(C276="","",'04 FIIs'!V79)</f>
        <v/>
      </c>
      <c r="G276" s="135" t="str">
        <f>IF(C276="","",'04 FIIs'!E79)</f>
        <v/>
      </c>
      <c r="H276" s="136" t="str">
        <f>IF(C276="","",'04 FIIs'!H79)</f>
        <v/>
      </c>
      <c r="I276" s="137" t="str">
        <f>IF(C276="","",'04 FIIs'!J79)</f>
        <v/>
      </c>
      <c r="J276" s="138" t="str">
        <f>IF(C276="","",'04 FIIs'!K79)</f>
        <v/>
      </c>
      <c r="K276" s="138" t="str">
        <f>IF(C276="","",'04 FIIs'!Q79)</f>
        <v/>
      </c>
      <c r="L276" s="135" t="str">
        <f>IF(C276="","",'04 FIIs'!R79)</f>
        <v/>
      </c>
      <c r="M276" s="138" t="str">
        <f>IF(C276="","",'04 FIIs'!T79)</f>
        <v/>
      </c>
      <c r="N276" s="139" t="str">
        <f>IF(C276="","",IF($J$3&gt;0,J276/$J$3,0))</f>
        <v/>
      </c>
      <c r="O276" s="134" t="str">
        <f>IF(C276="","",'04 FIIs'!I79)</f>
        <v/>
      </c>
      <c r="P276" s="140" t="str">
        <f>IF(C276="","",IF(N(J276)&gt;0,J276+ROW()/1E9,""))</f>
        <v/>
      </c>
      <c r="Q276" s="140" t="str">
        <f>IF(C276="","",IF(N(M276)&gt;0,M276+ROW()/1E9,""))</f>
        <v/>
      </c>
    </row>
    <row r="277">
      <c r="A277" s="141" t="str">
        <f>IF(C277="","","FIIs")</f>
        <v/>
      </c>
      <c r="B277" s="141" t="str">
        <f>IF(C277="","","Brasil")</f>
        <v/>
      </c>
      <c r="C277" s="141" t="str">
        <f>IF('04 FIIs'!A80="","",'04 FIIs'!A80&amp;"")</f>
        <v/>
      </c>
      <c r="D277" s="141" t="str">
        <f>IF(C277="","",'04 FIIs'!B80&amp;"")</f>
        <v/>
      </c>
      <c r="E277" s="141" t="str">
        <f>IF(C277="","",'04 FIIs'!C80&amp;"")</f>
        <v/>
      </c>
      <c r="F277" s="141" t="str">
        <f>IF(C277="","",'04 FIIs'!V80)</f>
        <v/>
      </c>
      <c r="G277" s="142" t="str">
        <f>IF(C277="","",'04 FIIs'!E80)</f>
        <v/>
      </c>
      <c r="H277" s="143" t="str">
        <f>IF(C277="","",'04 FIIs'!H80)</f>
        <v/>
      </c>
      <c r="I277" s="144" t="str">
        <f>IF(C277="","",'04 FIIs'!J80)</f>
        <v/>
      </c>
      <c r="J277" s="145" t="str">
        <f>IF(C277="","",'04 FIIs'!K80)</f>
        <v/>
      </c>
      <c r="K277" s="145" t="str">
        <f>IF(C277="","",'04 FIIs'!Q80)</f>
        <v/>
      </c>
      <c r="L277" s="142" t="str">
        <f>IF(C277="","",'04 FIIs'!R80)</f>
        <v/>
      </c>
      <c r="M277" s="145" t="str">
        <f>IF(C277="","",'04 FIIs'!T80)</f>
        <v/>
      </c>
      <c r="N277" s="146" t="str">
        <f>IF(C277="","",IF($J$3&gt;0,J277/$J$3,0))</f>
        <v/>
      </c>
      <c r="O277" s="141" t="str">
        <f>IF(C277="","",'04 FIIs'!I80)</f>
        <v/>
      </c>
      <c r="P277" s="147" t="str">
        <f>IF(C277="","",IF(N(J277)&gt;0,J277+ROW()/1E9,""))</f>
        <v/>
      </c>
      <c r="Q277" s="147" t="str">
        <f>IF(C277="","",IF(N(M277)&gt;0,M277+ROW()/1E9,""))</f>
        <v/>
      </c>
    </row>
    <row r="278">
      <c r="A278" s="134" t="str">
        <f>IF(C278="","","FIIs")</f>
        <v/>
      </c>
      <c r="B278" s="134" t="str">
        <f>IF(C278="","","Brasil")</f>
        <v/>
      </c>
      <c r="C278" s="134" t="str">
        <f>IF('04 FIIs'!A81="","",'04 FIIs'!A81&amp;"")</f>
        <v/>
      </c>
      <c r="D278" s="134" t="str">
        <f>IF(C278="","",'04 FIIs'!B81&amp;"")</f>
        <v/>
      </c>
      <c r="E278" s="134" t="str">
        <f>IF(C278="","",'04 FIIs'!C81&amp;"")</f>
        <v/>
      </c>
      <c r="F278" s="134" t="str">
        <f>IF(C278="","",'04 FIIs'!V81)</f>
        <v/>
      </c>
      <c r="G278" s="135" t="str">
        <f>IF(C278="","",'04 FIIs'!E81)</f>
        <v/>
      </c>
      <c r="H278" s="136" t="str">
        <f>IF(C278="","",'04 FIIs'!H81)</f>
        <v/>
      </c>
      <c r="I278" s="137" t="str">
        <f>IF(C278="","",'04 FIIs'!J81)</f>
        <v/>
      </c>
      <c r="J278" s="138" t="str">
        <f>IF(C278="","",'04 FIIs'!K81)</f>
        <v/>
      </c>
      <c r="K278" s="138" t="str">
        <f>IF(C278="","",'04 FIIs'!Q81)</f>
        <v/>
      </c>
      <c r="L278" s="135" t="str">
        <f>IF(C278="","",'04 FIIs'!R81)</f>
        <v/>
      </c>
      <c r="M278" s="138" t="str">
        <f>IF(C278="","",'04 FIIs'!T81)</f>
        <v/>
      </c>
      <c r="N278" s="139" t="str">
        <f>IF(C278="","",IF($J$3&gt;0,J278/$J$3,0))</f>
        <v/>
      </c>
      <c r="O278" s="134" t="str">
        <f>IF(C278="","",'04 FIIs'!I81)</f>
        <v/>
      </c>
      <c r="P278" s="140" t="str">
        <f>IF(C278="","",IF(N(J278)&gt;0,J278+ROW()/1E9,""))</f>
        <v/>
      </c>
      <c r="Q278" s="140" t="str">
        <f>IF(C278="","",IF(N(M278)&gt;0,M278+ROW()/1E9,""))</f>
        <v/>
      </c>
    </row>
    <row r="279">
      <c r="A279" s="141" t="str">
        <f>IF(C279="","","FIIs")</f>
        <v/>
      </c>
      <c r="B279" s="141" t="str">
        <f>IF(C279="","","Brasil")</f>
        <v/>
      </c>
      <c r="C279" s="141" t="str">
        <f>IF('04 FIIs'!A82="","",'04 FIIs'!A82&amp;"")</f>
        <v/>
      </c>
      <c r="D279" s="141" t="str">
        <f>IF(C279="","",'04 FIIs'!B82&amp;"")</f>
        <v/>
      </c>
      <c r="E279" s="141" t="str">
        <f>IF(C279="","",'04 FIIs'!C82&amp;"")</f>
        <v/>
      </c>
      <c r="F279" s="141" t="str">
        <f>IF(C279="","",'04 FIIs'!V82)</f>
        <v/>
      </c>
      <c r="G279" s="142" t="str">
        <f>IF(C279="","",'04 FIIs'!E82)</f>
        <v/>
      </c>
      <c r="H279" s="143" t="str">
        <f>IF(C279="","",'04 FIIs'!H82)</f>
        <v/>
      </c>
      <c r="I279" s="144" t="str">
        <f>IF(C279="","",'04 FIIs'!J82)</f>
        <v/>
      </c>
      <c r="J279" s="145" t="str">
        <f>IF(C279="","",'04 FIIs'!K82)</f>
        <v/>
      </c>
      <c r="K279" s="145" t="str">
        <f>IF(C279="","",'04 FIIs'!Q82)</f>
        <v/>
      </c>
      <c r="L279" s="142" t="str">
        <f>IF(C279="","",'04 FIIs'!R82)</f>
        <v/>
      </c>
      <c r="M279" s="145" t="str">
        <f>IF(C279="","",'04 FIIs'!T82)</f>
        <v/>
      </c>
      <c r="N279" s="146" t="str">
        <f>IF(C279="","",IF($J$3&gt;0,J279/$J$3,0))</f>
        <v/>
      </c>
      <c r="O279" s="141" t="str">
        <f>IF(C279="","",'04 FIIs'!I82)</f>
        <v/>
      </c>
      <c r="P279" s="147" t="str">
        <f>IF(C279="","",IF(N(J279)&gt;0,J279+ROW()/1E9,""))</f>
        <v/>
      </c>
      <c r="Q279" s="147" t="str">
        <f>IF(C279="","",IF(N(M279)&gt;0,M279+ROW()/1E9,""))</f>
        <v/>
      </c>
    </row>
    <row r="280">
      <c r="A280" s="134" t="str">
        <f>IF(C280="","","FIIs")</f>
        <v/>
      </c>
      <c r="B280" s="134" t="str">
        <f>IF(C280="","","Brasil")</f>
        <v/>
      </c>
      <c r="C280" s="134" t="str">
        <f>IF('04 FIIs'!A83="","",'04 FIIs'!A83&amp;"")</f>
        <v/>
      </c>
      <c r="D280" s="134" t="str">
        <f>IF(C280="","",'04 FIIs'!B83&amp;"")</f>
        <v/>
      </c>
      <c r="E280" s="134" t="str">
        <f>IF(C280="","",'04 FIIs'!C83&amp;"")</f>
        <v/>
      </c>
      <c r="F280" s="134" t="str">
        <f>IF(C280="","",'04 FIIs'!V83)</f>
        <v/>
      </c>
      <c r="G280" s="135" t="str">
        <f>IF(C280="","",'04 FIIs'!E83)</f>
        <v/>
      </c>
      <c r="H280" s="136" t="str">
        <f>IF(C280="","",'04 FIIs'!H83)</f>
        <v/>
      </c>
      <c r="I280" s="137" t="str">
        <f>IF(C280="","",'04 FIIs'!J83)</f>
        <v/>
      </c>
      <c r="J280" s="138" t="str">
        <f>IF(C280="","",'04 FIIs'!K83)</f>
        <v/>
      </c>
      <c r="K280" s="138" t="str">
        <f>IF(C280="","",'04 FIIs'!Q83)</f>
        <v/>
      </c>
      <c r="L280" s="135" t="str">
        <f>IF(C280="","",'04 FIIs'!R83)</f>
        <v/>
      </c>
      <c r="M280" s="138" t="str">
        <f>IF(C280="","",'04 FIIs'!T83)</f>
        <v/>
      </c>
      <c r="N280" s="139" t="str">
        <f>IF(C280="","",IF($J$3&gt;0,J280/$J$3,0))</f>
        <v/>
      </c>
      <c r="O280" s="134" t="str">
        <f>IF(C280="","",'04 FIIs'!I83)</f>
        <v/>
      </c>
      <c r="P280" s="140" t="str">
        <f>IF(C280="","",IF(N(J280)&gt;0,J280+ROW()/1E9,""))</f>
        <v/>
      </c>
      <c r="Q280" s="140" t="str">
        <f>IF(C280="","",IF(N(M280)&gt;0,M280+ROW()/1E9,""))</f>
        <v/>
      </c>
    </row>
    <row r="281">
      <c r="A281" s="141" t="str">
        <f>IF(C281="","","FIIs")</f>
        <v/>
      </c>
      <c r="B281" s="141" t="str">
        <f>IF(C281="","","Brasil")</f>
        <v/>
      </c>
      <c r="C281" s="141" t="str">
        <f>IF('04 FIIs'!A84="","",'04 FIIs'!A84&amp;"")</f>
        <v/>
      </c>
      <c r="D281" s="141" t="str">
        <f>IF(C281="","",'04 FIIs'!B84&amp;"")</f>
        <v/>
      </c>
      <c r="E281" s="141" t="str">
        <f>IF(C281="","",'04 FIIs'!C84&amp;"")</f>
        <v/>
      </c>
      <c r="F281" s="141" t="str">
        <f>IF(C281="","",'04 FIIs'!V84)</f>
        <v/>
      </c>
      <c r="G281" s="142" t="str">
        <f>IF(C281="","",'04 FIIs'!E84)</f>
        <v/>
      </c>
      <c r="H281" s="143" t="str">
        <f>IF(C281="","",'04 FIIs'!H84)</f>
        <v/>
      </c>
      <c r="I281" s="144" t="str">
        <f>IF(C281="","",'04 FIIs'!J84)</f>
        <v/>
      </c>
      <c r="J281" s="145" t="str">
        <f>IF(C281="","",'04 FIIs'!K84)</f>
        <v/>
      </c>
      <c r="K281" s="145" t="str">
        <f>IF(C281="","",'04 FIIs'!Q84)</f>
        <v/>
      </c>
      <c r="L281" s="142" t="str">
        <f>IF(C281="","",'04 FIIs'!R84)</f>
        <v/>
      </c>
      <c r="M281" s="145" t="str">
        <f>IF(C281="","",'04 FIIs'!T84)</f>
        <v/>
      </c>
      <c r="N281" s="146" t="str">
        <f>IF(C281="","",IF($J$3&gt;0,J281/$J$3,0))</f>
        <v/>
      </c>
      <c r="O281" s="141" t="str">
        <f>IF(C281="","",'04 FIIs'!I84)</f>
        <v/>
      </c>
      <c r="P281" s="147" t="str">
        <f>IF(C281="","",IF(N(J281)&gt;0,J281+ROW()/1E9,""))</f>
        <v/>
      </c>
      <c r="Q281" s="147" t="str">
        <f>IF(C281="","",IF(N(M281)&gt;0,M281+ROW()/1E9,""))</f>
        <v/>
      </c>
    </row>
    <row r="282">
      <c r="A282" s="134" t="str">
        <f>IF(C282="","","FIIs")</f>
        <v/>
      </c>
      <c r="B282" s="134" t="str">
        <f>IF(C282="","","Brasil")</f>
        <v/>
      </c>
      <c r="C282" s="134" t="str">
        <f>IF('04 FIIs'!A85="","",'04 FIIs'!A85&amp;"")</f>
        <v/>
      </c>
      <c r="D282" s="134" t="str">
        <f>IF(C282="","",'04 FIIs'!B85&amp;"")</f>
        <v/>
      </c>
      <c r="E282" s="134" t="str">
        <f>IF(C282="","",'04 FIIs'!C85&amp;"")</f>
        <v/>
      </c>
      <c r="F282" s="134" t="str">
        <f>IF(C282="","",'04 FIIs'!V85)</f>
        <v/>
      </c>
      <c r="G282" s="135" t="str">
        <f>IF(C282="","",'04 FIIs'!E85)</f>
        <v/>
      </c>
      <c r="H282" s="136" t="str">
        <f>IF(C282="","",'04 FIIs'!H85)</f>
        <v/>
      </c>
      <c r="I282" s="137" t="str">
        <f>IF(C282="","",'04 FIIs'!J85)</f>
        <v/>
      </c>
      <c r="J282" s="138" t="str">
        <f>IF(C282="","",'04 FIIs'!K85)</f>
        <v/>
      </c>
      <c r="K282" s="138" t="str">
        <f>IF(C282="","",'04 FIIs'!Q85)</f>
        <v/>
      </c>
      <c r="L282" s="135" t="str">
        <f>IF(C282="","",'04 FIIs'!R85)</f>
        <v/>
      </c>
      <c r="M282" s="138" t="str">
        <f>IF(C282="","",'04 FIIs'!T85)</f>
        <v/>
      </c>
      <c r="N282" s="139" t="str">
        <f>IF(C282="","",IF($J$3&gt;0,J282/$J$3,0))</f>
        <v/>
      </c>
      <c r="O282" s="134" t="str">
        <f>IF(C282="","",'04 FIIs'!I85)</f>
        <v/>
      </c>
      <c r="P282" s="140" t="str">
        <f>IF(C282="","",IF(N(J282)&gt;0,J282+ROW()/1E9,""))</f>
        <v/>
      </c>
      <c r="Q282" s="140" t="str">
        <f>IF(C282="","",IF(N(M282)&gt;0,M282+ROW()/1E9,""))</f>
        <v/>
      </c>
    </row>
    <row r="283">
      <c r="A283" s="141" t="str">
        <f>IF(C283="","","FIIs")</f>
        <v/>
      </c>
      <c r="B283" s="141" t="str">
        <f>IF(C283="","","Brasil")</f>
        <v/>
      </c>
      <c r="C283" s="141" t="str">
        <f>IF('04 FIIs'!A86="","",'04 FIIs'!A86&amp;"")</f>
        <v/>
      </c>
      <c r="D283" s="141" t="str">
        <f>IF(C283="","",'04 FIIs'!B86&amp;"")</f>
        <v/>
      </c>
      <c r="E283" s="141" t="str">
        <f>IF(C283="","",'04 FIIs'!C86&amp;"")</f>
        <v/>
      </c>
      <c r="F283" s="141" t="str">
        <f>IF(C283="","",'04 FIIs'!V86)</f>
        <v/>
      </c>
      <c r="G283" s="142" t="str">
        <f>IF(C283="","",'04 FIIs'!E86)</f>
        <v/>
      </c>
      <c r="H283" s="143" t="str">
        <f>IF(C283="","",'04 FIIs'!H86)</f>
        <v/>
      </c>
      <c r="I283" s="144" t="str">
        <f>IF(C283="","",'04 FIIs'!J86)</f>
        <v/>
      </c>
      <c r="J283" s="145" t="str">
        <f>IF(C283="","",'04 FIIs'!K86)</f>
        <v/>
      </c>
      <c r="K283" s="145" t="str">
        <f>IF(C283="","",'04 FIIs'!Q86)</f>
        <v/>
      </c>
      <c r="L283" s="142" t="str">
        <f>IF(C283="","",'04 FIIs'!R86)</f>
        <v/>
      </c>
      <c r="M283" s="145" t="str">
        <f>IF(C283="","",'04 FIIs'!T86)</f>
        <v/>
      </c>
      <c r="N283" s="146" t="str">
        <f>IF(C283="","",IF($J$3&gt;0,J283/$J$3,0))</f>
        <v/>
      </c>
      <c r="O283" s="141" t="str">
        <f>IF(C283="","",'04 FIIs'!I86)</f>
        <v/>
      </c>
      <c r="P283" s="147" t="str">
        <f>IF(C283="","",IF(N(J283)&gt;0,J283+ROW()/1E9,""))</f>
        <v/>
      </c>
      <c r="Q283" s="147" t="str">
        <f>IF(C283="","",IF(N(M283)&gt;0,M283+ROW()/1E9,""))</f>
        <v/>
      </c>
    </row>
    <row r="284">
      <c r="A284" s="134" t="str">
        <f>IF(C284="","","FIIs")</f>
        <v/>
      </c>
      <c r="B284" s="134" t="str">
        <f>IF(C284="","","Brasil")</f>
        <v/>
      </c>
      <c r="C284" s="134" t="str">
        <f>IF('04 FIIs'!A87="","",'04 FIIs'!A87&amp;"")</f>
        <v/>
      </c>
      <c r="D284" s="134" t="str">
        <f>IF(C284="","",'04 FIIs'!B87&amp;"")</f>
        <v/>
      </c>
      <c r="E284" s="134" t="str">
        <f>IF(C284="","",'04 FIIs'!C87&amp;"")</f>
        <v/>
      </c>
      <c r="F284" s="134" t="str">
        <f>IF(C284="","",'04 FIIs'!V87)</f>
        <v/>
      </c>
      <c r="G284" s="135" t="str">
        <f>IF(C284="","",'04 FIIs'!E87)</f>
        <v/>
      </c>
      <c r="H284" s="136" t="str">
        <f>IF(C284="","",'04 FIIs'!H87)</f>
        <v/>
      </c>
      <c r="I284" s="137" t="str">
        <f>IF(C284="","",'04 FIIs'!J87)</f>
        <v/>
      </c>
      <c r="J284" s="138" t="str">
        <f>IF(C284="","",'04 FIIs'!K87)</f>
        <v/>
      </c>
      <c r="K284" s="138" t="str">
        <f>IF(C284="","",'04 FIIs'!Q87)</f>
        <v/>
      </c>
      <c r="L284" s="135" t="str">
        <f>IF(C284="","",'04 FIIs'!R87)</f>
        <v/>
      </c>
      <c r="M284" s="138" t="str">
        <f>IF(C284="","",'04 FIIs'!T87)</f>
        <v/>
      </c>
      <c r="N284" s="139" t="str">
        <f>IF(C284="","",IF($J$3&gt;0,J284/$J$3,0))</f>
        <v/>
      </c>
      <c r="O284" s="134" t="str">
        <f>IF(C284="","",'04 FIIs'!I87)</f>
        <v/>
      </c>
      <c r="P284" s="140" t="str">
        <f>IF(C284="","",IF(N(J284)&gt;0,J284+ROW()/1E9,""))</f>
        <v/>
      </c>
      <c r="Q284" s="140" t="str">
        <f>IF(C284="","",IF(N(M284)&gt;0,M284+ROW()/1E9,""))</f>
        <v/>
      </c>
    </row>
    <row r="285">
      <c r="A285" s="141" t="str">
        <f>IF(C285="","","FIIs")</f>
        <v/>
      </c>
      <c r="B285" s="141" t="str">
        <f>IF(C285="","","Brasil")</f>
        <v/>
      </c>
      <c r="C285" s="141" t="str">
        <f>IF('04 FIIs'!A88="","",'04 FIIs'!A88&amp;"")</f>
        <v/>
      </c>
      <c r="D285" s="141" t="str">
        <f>IF(C285="","",'04 FIIs'!B88&amp;"")</f>
        <v/>
      </c>
      <c r="E285" s="141" t="str">
        <f>IF(C285="","",'04 FIIs'!C88&amp;"")</f>
        <v/>
      </c>
      <c r="F285" s="141" t="str">
        <f>IF(C285="","",'04 FIIs'!V88)</f>
        <v/>
      </c>
      <c r="G285" s="142" t="str">
        <f>IF(C285="","",'04 FIIs'!E88)</f>
        <v/>
      </c>
      <c r="H285" s="143" t="str">
        <f>IF(C285="","",'04 FIIs'!H88)</f>
        <v/>
      </c>
      <c r="I285" s="144" t="str">
        <f>IF(C285="","",'04 FIIs'!J88)</f>
        <v/>
      </c>
      <c r="J285" s="145" t="str">
        <f>IF(C285="","",'04 FIIs'!K88)</f>
        <v/>
      </c>
      <c r="K285" s="145" t="str">
        <f>IF(C285="","",'04 FIIs'!Q88)</f>
        <v/>
      </c>
      <c r="L285" s="142" t="str">
        <f>IF(C285="","",'04 FIIs'!R88)</f>
        <v/>
      </c>
      <c r="M285" s="145" t="str">
        <f>IF(C285="","",'04 FIIs'!T88)</f>
        <v/>
      </c>
      <c r="N285" s="146" t="str">
        <f>IF(C285="","",IF($J$3&gt;0,J285/$J$3,0))</f>
        <v/>
      </c>
      <c r="O285" s="141" t="str">
        <f>IF(C285="","",'04 FIIs'!I88)</f>
        <v/>
      </c>
      <c r="P285" s="147" t="str">
        <f>IF(C285="","",IF(N(J285)&gt;0,J285+ROW()/1E9,""))</f>
        <v/>
      </c>
      <c r="Q285" s="147" t="str">
        <f>IF(C285="","",IF(N(M285)&gt;0,M285+ROW()/1E9,""))</f>
        <v/>
      </c>
    </row>
    <row r="286">
      <c r="A286" s="134" t="str">
        <f>IF(C286="","","FIIs")</f>
        <v/>
      </c>
      <c r="B286" s="134" t="str">
        <f>IF(C286="","","Brasil")</f>
        <v/>
      </c>
      <c r="C286" s="134" t="str">
        <f>IF('04 FIIs'!A89="","",'04 FIIs'!A89&amp;"")</f>
        <v/>
      </c>
      <c r="D286" s="134" t="str">
        <f>IF(C286="","",'04 FIIs'!B89&amp;"")</f>
        <v/>
      </c>
      <c r="E286" s="134" t="str">
        <f>IF(C286="","",'04 FIIs'!C89&amp;"")</f>
        <v/>
      </c>
      <c r="F286" s="134" t="str">
        <f>IF(C286="","",'04 FIIs'!V89)</f>
        <v/>
      </c>
      <c r="G286" s="135" t="str">
        <f>IF(C286="","",'04 FIIs'!E89)</f>
        <v/>
      </c>
      <c r="H286" s="136" t="str">
        <f>IF(C286="","",'04 FIIs'!H89)</f>
        <v/>
      </c>
      <c r="I286" s="137" t="str">
        <f>IF(C286="","",'04 FIIs'!J89)</f>
        <v/>
      </c>
      <c r="J286" s="138" t="str">
        <f>IF(C286="","",'04 FIIs'!K89)</f>
        <v/>
      </c>
      <c r="K286" s="138" t="str">
        <f>IF(C286="","",'04 FIIs'!Q89)</f>
        <v/>
      </c>
      <c r="L286" s="135" t="str">
        <f>IF(C286="","",'04 FIIs'!R89)</f>
        <v/>
      </c>
      <c r="M286" s="138" t="str">
        <f>IF(C286="","",'04 FIIs'!T89)</f>
        <v/>
      </c>
      <c r="N286" s="139" t="str">
        <f>IF(C286="","",IF($J$3&gt;0,J286/$J$3,0))</f>
        <v/>
      </c>
      <c r="O286" s="134" t="str">
        <f>IF(C286="","",'04 FIIs'!I89)</f>
        <v/>
      </c>
      <c r="P286" s="140" t="str">
        <f>IF(C286="","",IF(N(J286)&gt;0,J286+ROW()/1E9,""))</f>
        <v/>
      </c>
      <c r="Q286" s="140" t="str">
        <f>IF(C286="","",IF(N(M286)&gt;0,M286+ROW()/1E9,""))</f>
        <v/>
      </c>
    </row>
    <row r="287">
      <c r="A287" s="141" t="str">
        <f>IF(C287="","","FIIs")</f>
        <v/>
      </c>
      <c r="B287" s="141" t="str">
        <f>IF(C287="","","Brasil")</f>
        <v/>
      </c>
      <c r="C287" s="141" t="str">
        <f>IF('04 FIIs'!A90="","",'04 FIIs'!A90&amp;"")</f>
        <v/>
      </c>
      <c r="D287" s="141" t="str">
        <f>IF(C287="","",'04 FIIs'!B90&amp;"")</f>
        <v/>
      </c>
      <c r="E287" s="141" t="str">
        <f>IF(C287="","",'04 FIIs'!C90&amp;"")</f>
        <v/>
      </c>
      <c r="F287" s="141" t="str">
        <f>IF(C287="","",'04 FIIs'!V90)</f>
        <v/>
      </c>
      <c r="G287" s="142" t="str">
        <f>IF(C287="","",'04 FIIs'!E90)</f>
        <v/>
      </c>
      <c r="H287" s="143" t="str">
        <f>IF(C287="","",'04 FIIs'!H90)</f>
        <v/>
      </c>
      <c r="I287" s="144" t="str">
        <f>IF(C287="","",'04 FIIs'!J90)</f>
        <v/>
      </c>
      <c r="J287" s="145" t="str">
        <f>IF(C287="","",'04 FIIs'!K90)</f>
        <v/>
      </c>
      <c r="K287" s="145" t="str">
        <f>IF(C287="","",'04 FIIs'!Q90)</f>
        <v/>
      </c>
      <c r="L287" s="142" t="str">
        <f>IF(C287="","",'04 FIIs'!R90)</f>
        <v/>
      </c>
      <c r="M287" s="145" t="str">
        <f>IF(C287="","",'04 FIIs'!T90)</f>
        <v/>
      </c>
      <c r="N287" s="146" t="str">
        <f>IF(C287="","",IF($J$3&gt;0,J287/$J$3,0))</f>
        <v/>
      </c>
      <c r="O287" s="141" t="str">
        <f>IF(C287="","",'04 FIIs'!I90)</f>
        <v/>
      </c>
      <c r="P287" s="147" t="str">
        <f>IF(C287="","",IF(N(J287)&gt;0,J287+ROW()/1E9,""))</f>
        <v/>
      </c>
      <c r="Q287" s="147" t="str">
        <f>IF(C287="","",IF(N(M287)&gt;0,M287+ROW()/1E9,""))</f>
        <v/>
      </c>
    </row>
    <row r="288">
      <c r="A288" s="134" t="str">
        <f>IF(C288="","","FIIs")</f>
        <v/>
      </c>
      <c r="B288" s="134" t="str">
        <f>IF(C288="","","Brasil")</f>
        <v/>
      </c>
      <c r="C288" s="134" t="str">
        <f>IF('04 FIIs'!A91="","",'04 FIIs'!A91&amp;"")</f>
        <v/>
      </c>
      <c r="D288" s="134" t="str">
        <f>IF(C288="","",'04 FIIs'!B91&amp;"")</f>
        <v/>
      </c>
      <c r="E288" s="134" t="str">
        <f>IF(C288="","",'04 FIIs'!C91&amp;"")</f>
        <v/>
      </c>
      <c r="F288" s="134" t="str">
        <f>IF(C288="","",'04 FIIs'!V91)</f>
        <v/>
      </c>
      <c r="G288" s="135" t="str">
        <f>IF(C288="","",'04 FIIs'!E91)</f>
        <v/>
      </c>
      <c r="H288" s="136" t="str">
        <f>IF(C288="","",'04 FIIs'!H91)</f>
        <v/>
      </c>
      <c r="I288" s="137" t="str">
        <f>IF(C288="","",'04 FIIs'!J91)</f>
        <v/>
      </c>
      <c r="J288" s="138" t="str">
        <f>IF(C288="","",'04 FIIs'!K91)</f>
        <v/>
      </c>
      <c r="K288" s="138" t="str">
        <f>IF(C288="","",'04 FIIs'!Q91)</f>
        <v/>
      </c>
      <c r="L288" s="135" t="str">
        <f>IF(C288="","",'04 FIIs'!R91)</f>
        <v/>
      </c>
      <c r="M288" s="138" t="str">
        <f>IF(C288="","",'04 FIIs'!T91)</f>
        <v/>
      </c>
      <c r="N288" s="139" t="str">
        <f>IF(C288="","",IF($J$3&gt;0,J288/$J$3,0))</f>
        <v/>
      </c>
      <c r="O288" s="134" t="str">
        <f>IF(C288="","",'04 FIIs'!I91)</f>
        <v/>
      </c>
      <c r="P288" s="140" t="str">
        <f>IF(C288="","",IF(N(J288)&gt;0,J288+ROW()/1E9,""))</f>
        <v/>
      </c>
      <c r="Q288" s="140" t="str">
        <f>IF(C288="","",IF(N(M288)&gt;0,M288+ROW()/1E9,""))</f>
        <v/>
      </c>
    </row>
    <row r="289">
      <c r="A289" s="141" t="str">
        <f>IF(C289="","","FIIs")</f>
        <v/>
      </c>
      <c r="B289" s="141" t="str">
        <f>IF(C289="","","Brasil")</f>
        <v/>
      </c>
      <c r="C289" s="141" t="str">
        <f>IF('04 FIIs'!A92="","",'04 FIIs'!A92&amp;"")</f>
        <v/>
      </c>
      <c r="D289" s="141" t="str">
        <f>IF(C289="","",'04 FIIs'!B92&amp;"")</f>
        <v/>
      </c>
      <c r="E289" s="141" t="str">
        <f>IF(C289="","",'04 FIIs'!C92&amp;"")</f>
        <v/>
      </c>
      <c r="F289" s="141" t="str">
        <f>IF(C289="","",'04 FIIs'!V92)</f>
        <v/>
      </c>
      <c r="G289" s="142" t="str">
        <f>IF(C289="","",'04 FIIs'!E92)</f>
        <v/>
      </c>
      <c r="H289" s="143" t="str">
        <f>IF(C289="","",'04 FIIs'!H92)</f>
        <v/>
      </c>
      <c r="I289" s="144" t="str">
        <f>IF(C289="","",'04 FIIs'!J92)</f>
        <v/>
      </c>
      <c r="J289" s="145" t="str">
        <f>IF(C289="","",'04 FIIs'!K92)</f>
        <v/>
      </c>
      <c r="K289" s="145" t="str">
        <f>IF(C289="","",'04 FIIs'!Q92)</f>
        <v/>
      </c>
      <c r="L289" s="142" t="str">
        <f>IF(C289="","",'04 FIIs'!R92)</f>
        <v/>
      </c>
      <c r="M289" s="145" t="str">
        <f>IF(C289="","",'04 FIIs'!T92)</f>
        <v/>
      </c>
      <c r="N289" s="146" t="str">
        <f>IF(C289="","",IF($J$3&gt;0,J289/$J$3,0))</f>
        <v/>
      </c>
      <c r="O289" s="141" t="str">
        <f>IF(C289="","",'04 FIIs'!I92)</f>
        <v/>
      </c>
      <c r="P289" s="147" t="str">
        <f>IF(C289="","",IF(N(J289)&gt;0,J289+ROW()/1E9,""))</f>
        <v/>
      </c>
      <c r="Q289" s="147" t="str">
        <f>IF(C289="","",IF(N(M289)&gt;0,M289+ROW()/1E9,""))</f>
        <v/>
      </c>
    </row>
    <row r="290">
      <c r="A290" s="134" t="str">
        <f>IF(C290="","","FIIs")</f>
        <v/>
      </c>
      <c r="B290" s="134" t="str">
        <f>IF(C290="","","Brasil")</f>
        <v/>
      </c>
      <c r="C290" s="134" t="str">
        <f>IF('04 FIIs'!A93="","",'04 FIIs'!A93&amp;"")</f>
        <v/>
      </c>
      <c r="D290" s="134" t="str">
        <f>IF(C290="","",'04 FIIs'!B93&amp;"")</f>
        <v/>
      </c>
      <c r="E290" s="134" t="str">
        <f>IF(C290="","",'04 FIIs'!C93&amp;"")</f>
        <v/>
      </c>
      <c r="F290" s="134" t="str">
        <f>IF(C290="","",'04 FIIs'!V93)</f>
        <v/>
      </c>
      <c r="G290" s="135" t="str">
        <f>IF(C290="","",'04 FIIs'!E93)</f>
        <v/>
      </c>
      <c r="H290" s="136" t="str">
        <f>IF(C290="","",'04 FIIs'!H93)</f>
        <v/>
      </c>
      <c r="I290" s="137" t="str">
        <f>IF(C290="","",'04 FIIs'!J93)</f>
        <v/>
      </c>
      <c r="J290" s="138" t="str">
        <f>IF(C290="","",'04 FIIs'!K93)</f>
        <v/>
      </c>
      <c r="K290" s="138" t="str">
        <f>IF(C290="","",'04 FIIs'!Q93)</f>
        <v/>
      </c>
      <c r="L290" s="135" t="str">
        <f>IF(C290="","",'04 FIIs'!R93)</f>
        <v/>
      </c>
      <c r="M290" s="138" t="str">
        <f>IF(C290="","",'04 FIIs'!T93)</f>
        <v/>
      </c>
      <c r="N290" s="139" t="str">
        <f>IF(C290="","",IF($J$3&gt;0,J290/$J$3,0))</f>
        <v/>
      </c>
      <c r="O290" s="134" t="str">
        <f>IF(C290="","",'04 FIIs'!I93)</f>
        <v/>
      </c>
      <c r="P290" s="140" t="str">
        <f>IF(C290="","",IF(N(J290)&gt;0,J290+ROW()/1E9,""))</f>
        <v/>
      </c>
      <c r="Q290" s="140" t="str">
        <f>IF(C290="","",IF(N(M290)&gt;0,M290+ROW()/1E9,""))</f>
        <v/>
      </c>
    </row>
    <row r="291">
      <c r="A291" s="141" t="str">
        <f>IF(C291="","","FIIs")</f>
        <v/>
      </c>
      <c r="B291" s="141" t="str">
        <f>IF(C291="","","Brasil")</f>
        <v/>
      </c>
      <c r="C291" s="141" t="str">
        <f>IF('04 FIIs'!A94="","",'04 FIIs'!A94&amp;"")</f>
        <v/>
      </c>
      <c r="D291" s="141" t="str">
        <f>IF(C291="","",'04 FIIs'!B94&amp;"")</f>
        <v/>
      </c>
      <c r="E291" s="141" t="str">
        <f>IF(C291="","",'04 FIIs'!C94&amp;"")</f>
        <v/>
      </c>
      <c r="F291" s="141" t="str">
        <f>IF(C291="","",'04 FIIs'!V94)</f>
        <v/>
      </c>
      <c r="G291" s="142" t="str">
        <f>IF(C291="","",'04 FIIs'!E94)</f>
        <v/>
      </c>
      <c r="H291" s="143" t="str">
        <f>IF(C291="","",'04 FIIs'!H94)</f>
        <v/>
      </c>
      <c r="I291" s="144" t="str">
        <f>IF(C291="","",'04 FIIs'!J94)</f>
        <v/>
      </c>
      <c r="J291" s="145" t="str">
        <f>IF(C291="","",'04 FIIs'!K94)</f>
        <v/>
      </c>
      <c r="K291" s="145" t="str">
        <f>IF(C291="","",'04 FIIs'!Q94)</f>
        <v/>
      </c>
      <c r="L291" s="142" t="str">
        <f>IF(C291="","",'04 FIIs'!R94)</f>
        <v/>
      </c>
      <c r="M291" s="145" t="str">
        <f>IF(C291="","",'04 FIIs'!T94)</f>
        <v/>
      </c>
      <c r="N291" s="146" t="str">
        <f>IF(C291="","",IF($J$3&gt;0,J291/$J$3,0))</f>
        <v/>
      </c>
      <c r="O291" s="141" t="str">
        <f>IF(C291="","",'04 FIIs'!I94)</f>
        <v/>
      </c>
      <c r="P291" s="147" t="str">
        <f>IF(C291="","",IF(N(J291)&gt;0,J291+ROW()/1E9,""))</f>
        <v/>
      </c>
      <c r="Q291" s="147" t="str">
        <f>IF(C291="","",IF(N(M291)&gt;0,M291+ROW()/1E9,""))</f>
        <v/>
      </c>
    </row>
    <row r="292">
      <c r="A292" s="134" t="str">
        <f>IF(C292="","","FIIs")</f>
        <v/>
      </c>
      <c r="B292" s="134" t="str">
        <f>IF(C292="","","Brasil")</f>
        <v/>
      </c>
      <c r="C292" s="134" t="str">
        <f>IF('04 FIIs'!A95="","",'04 FIIs'!A95&amp;"")</f>
        <v/>
      </c>
      <c r="D292" s="134" t="str">
        <f>IF(C292="","",'04 FIIs'!B95&amp;"")</f>
        <v/>
      </c>
      <c r="E292" s="134" t="str">
        <f>IF(C292="","",'04 FIIs'!C95&amp;"")</f>
        <v/>
      </c>
      <c r="F292" s="134" t="str">
        <f>IF(C292="","",'04 FIIs'!V95)</f>
        <v/>
      </c>
      <c r="G292" s="135" t="str">
        <f>IF(C292="","",'04 FIIs'!E95)</f>
        <v/>
      </c>
      <c r="H292" s="136" t="str">
        <f>IF(C292="","",'04 FIIs'!H95)</f>
        <v/>
      </c>
      <c r="I292" s="137" t="str">
        <f>IF(C292="","",'04 FIIs'!J95)</f>
        <v/>
      </c>
      <c r="J292" s="138" t="str">
        <f>IF(C292="","",'04 FIIs'!K95)</f>
        <v/>
      </c>
      <c r="K292" s="138" t="str">
        <f>IF(C292="","",'04 FIIs'!Q95)</f>
        <v/>
      </c>
      <c r="L292" s="135" t="str">
        <f>IF(C292="","",'04 FIIs'!R95)</f>
        <v/>
      </c>
      <c r="M292" s="138" t="str">
        <f>IF(C292="","",'04 FIIs'!T95)</f>
        <v/>
      </c>
      <c r="N292" s="139" t="str">
        <f>IF(C292="","",IF($J$3&gt;0,J292/$J$3,0))</f>
        <v/>
      </c>
      <c r="O292" s="134" t="str">
        <f>IF(C292="","",'04 FIIs'!I95)</f>
        <v/>
      </c>
      <c r="P292" s="140" t="str">
        <f>IF(C292="","",IF(N(J292)&gt;0,J292+ROW()/1E9,""))</f>
        <v/>
      </c>
      <c r="Q292" s="140" t="str">
        <f>IF(C292="","",IF(N(M292)&gt;0,M292+ROW()/1E9,""))</f>
        <v/>
      </c>
    </row>
    <row r="293">
      <c r="A293" s="141" t="str">
        <f>IF(C293="","","FIIs")</f>
        <v/>
      </c>
      <c r="B293" s="141" t="str">
        <f>IF(C293="","","Brasil")</f>
        <v/>
      </c>
      <c r="C293" s="141" t="str">
        <f>IF('04 FIIs'!A96="","",'04 FIIs'!A96&amp;"")</f>
        <v/>
      </c>
      <c r="D293" s="141" t="str">
        <f>IF(C293="","",'04 FIIs'!B96&amp;"")</f>
        <v/>
      </c>
      <c r="E293" s="141" t="str">
        <f>IF(C293="","",'04 FIIs'!C96&amp;"")</f>
        <v/>
      </c>
      <c r="F293" s="141" t="str">
        <f>IF(C293="","",'04 FIIs'!V96)</f>
        <v/>
      </c>
      <c r="G293" s="142" t="str">
        <f>IF(C293="","",'04 FIIs'!E96)</f>
        <v/>
      </c>
      <c r="H293" s="143" t="str">
        <f>IF(C293="","",'04 FIIs'!H96)</f>
        <v/>
      </c>
      <c r="I293" s="144" t="str">
        <f>IF(C293="","",'04 FIIs'!J96)</f>
        <v/>
      </c>
      <c r="J293" s="145" t="str">
        <f>IF(C293="","",'04 FIIs'!K96)</f>
        <v/>
      </c>
      <c r="K293" s="145" t="str">
        <f>IF(C293="","",'04 FIIs'!Q96)</f>
        <v/>
      </c>
      <c r="L293" s="142" t="str">
        <f>IF(C293="","",'04 FIIs'!R96)</f>
        <v/>
      </c>
      <c r="M293" s="145" t="str">
        <f>IF(C293="","",'04 FIIs'!T96)</f>
        <v/>
      </c>
      <c r="N293" s="146" t="str">
        <f>IF(C293="","",IF($J$3&gt;0,J293/$J$3,0))</f>
        <v/>
      </c>
      <c r="O293" s="141" t="str">
        <f>IF(C293="","",'04 FIIs'!I96)</f>
        <v/>
      </c>
      <c r="P293" s="147" t="str">
        <f>IF(C293="","",IF(N(J293)&gt;0,J293+ROW()/1E9,""))</f>
        <v/>
      </c>
      <c r="Q293" s="147" t="str">
        <f>IF(C293="","",IF(N(M293)&gt;0,M293+ROW()/1E9,""))</f>
        <v/>
      </c>
    </row>
    <row r="294">
      <c r="A294" s="134" t="str">
        <f>IF(C294="","","FIIs")</f>
        <v/>
      </c>
      <c r="B294" s="134" t="str">
        <f>IF(C294="","","Brasil")</f>
        <v/>
      </c>
      <c r="C294" s="134" t="str">
        <f>IF('04 FIIs'!A97="","",'04 FIIs'!A97&amp;"")</f>
        <v/>
      </c>
      <c r="D294" s="134" t="str">
        <f>IF(C294="","",'04 FIIs'!B97&amp;"")</f>
        <v/>
      </c>
      <c r="E294" s="134" t="str">
        <f>IF(C294="","",'04 FIIs'!C97&amp;"")</f>
        <v/>
      </c>
      <c r="F294" s="134" t="str">
        <f>IF(C294="","",'04 FIIs'!V97)</f>
        <v/>
      </c>
      <c r="G294" s="135" t="str">
        <f>IF(C294="","",'04 FIIs'!E97)</f>
        <v/>
      </c>
      <c r="H294" s="136" t="str">
        <f>IF(C294="","",'04 FIIs'!H97)</f>
        <v/>
      </c>
      <c r="I294" s="137" t="str">
        <f>IF(C294="","",'04 FIIs'!J97)</f>
        <v/>
      </c>
      <c r="J294" s="138" t="str">
        <f>IF(C294="","",'04 FIIs'!K97)</f>
        <v/>
      </c>
      <c r="K294" s="138" t="str">
        <f>IF(C294="","",'04 FIIs'!Q97)</f>
        <v/>
      </c>
      <c r="L294" s="135" t="str">
        <f>IF(C294="","",'04 FIIs'!R97)</f>
        <v/>
      </c>
      <c r="M294" s="138" t="str">
        <f>IF(C294="","",'04 FIIs'!T97)</f>
        <v/>
      </c>
      <c r="N294" s="139" t="str">
        <f>IF(C294="","",IF($J$3&gt;0,J294/$J$3,0))</f>
        <v/>
      </c>
      <c r="O294" s="134" t="str">
        <f>IF(C294="","",'04 FIIs'!I97)</f>
        <v/>
      </c>
      <c r="P294" s="140" t="str">
        <f>IF(C294="","",IF(N(J294)&gt;0,J294+ROW()/1E9,""))</f>
        <v/>
      </c>
      <c r="Q294" s="140" t="str">
        <f>IF(C294="","",IF(N(M294)&gt;0,M294+ROW()/1E9,""))</f>
        <v/>
      </c>
    </row>
    <row r="295">
      <c r="A295" s="141" t="str">
        <f>IF(C295="","","FIIs")</f>
        <v/>
      </c>
      <c r="B295" s="141" t="str">
        <f>IF(C295="","","Brasil")</f>
        <v/>
      </c>
      <c r="C295" s="141" t="str">
        <f>IF('04 FIIs'!A98="","",'04 FIIs'!A98&amp;"")</f>
        <v/>
      </c>
      <c r="D295" s="141" t="str">
        <f>IF(C295="","",'04 FIIs'!B98&amp;"")</f>
        <v/>
      </c>
      <c r="E295" s="141" t="str">
        <f>IF(C295="","",'04 FIIs'!C98&amp;"")</f>
        <v/>
      </c>
      <c r="F295" s="141" t="str">
        <f>IF(C295="","",'04 FIIs'!V98)</f>
        <v/>
      </c>
      <c r="G295" s="142" t="str">
        <f>IF(C295="","",'04 FIIs'!E98)</f>
        <v/>
      </c>
      <c r="H295" s="143" t="str">
        <f>IF(C295="","",'04 FIIs'!H98)</f>
        <v/>
      </c>
      <c r="I295" s="144" t="str">
        <f>IF(C295="","",'04 FIIs'!J98)</f>
        <v/>
      </c>
      <c r="J295" s="145" t="str">
        <f>IF(C295="","",'04 FIIs'!K98)</f>
        <v/>
      </c>
      <c r="K295" s="145" t="str">
        <f>IF(C295="","",'04 FIIs'!Q98)</f>
        <v/>
      </c>
      <c r="L295" s="142" t="str">
        <f>IF(C295="","",'04 FIIs'!R98)</f>
        <v/>
      </c>
      <c r="M295" s="145" t="str">
        <f>IF(C295="","",'04 FIIs'!T98)</f>
        <v/>
      </c>
      <c r="N295" s="146" t="str">
        <f>IF(C295="","",IF($J$3&gt;0,J295/$J$3,0))</f>
        <v/>
      </c>
      <c r="O295" s="141" t="str">
        <f>IF(C295="","",'04 FIIs'!I98)</f>
        <v/>
      </c>
      <c r="P295" s="147" t="str">
        <f>IF(C295="","",IF(N(J295)&gt;0,J295+ROW()/1E9,""))</f>
        <v/>
      </c>
      <c r="Q295" s="147" t="str">
        <f>IF(C295="","",IF(N(M295)&gt;0,M295+ROW()/1E9,""))</f>
        <v/>
      </c>
    </row>
    <row r="296">
      <c r="A296" s="134" t="str">
        <f>IF(C296="","","FIIs")</f>
        <v/>
      </c>
      <c r="B296" s="134" t="str">
        <f>IF(C296="","","Brasil")</f>
        <v/>
      </c>
      <c r="C296" s="134" t="str">
        <f>IF('04 FIIs'!A99="","",'04 FIIs'!A99&amp;"")</f>
        <v/>
      </c>
      <c r="D296" s="134" t="str">
        <f>IF(C296="","",'04 FIIs'!B99&amp;"")</f>
        <v/>
      </c>
      <c r="E296" s="134" t="str">
        <f>IF(C296="","",'04 FIIs'!C99&amp;"")</f>
        <v/>
      </c>
      <c r="F296" s="134" t="str">
        <f>IF(C296="","",'04 FIIs'!V99)</f>
        <v/>
      </c>
      <c r="G296" s="135" t="str">
        <f>IF(C296="","",'04 FIIs'!E99)</f>
        <v/>
      </c>
      <c r="H296" s="136" t="str">
        <f>IF(C296="","",'04 FIIs'!H99)</f>
        <v/>
      </c>
      <c r="I296" s="137" t="str">
        <f>IF(C296="","",'04 FIIs'!J99)</f>
        <v/>
      </c>
      <c r="J296" s="138" t="str">
        <f>IF(C296="","",'04 FIIs'!K99)</f>
        <v/>
      </c>
      <c r="K296" s="138" t="str">
        <f>IF(C296="","",'04 FIIs'!Q99)</f>
        <v/>
      </c>
      <c r="L296" s="135" t="str">
        <f>IF(C296="","",'04 FIIs'!R99)</f>
        <v/>
      </c>
      <c r="M296" s="138" t="str">
        <f>IF(C296="","",'04 FIIs'!T99)</f>
        <v/>
      </c>
      <c r="N296" s="139" t="str">
        <f>IF(C296="","",IF($J$3&gt;0,J296/$J$3,0))</f>
        <v/>
      </c>
      <c r="O296" s="134" t="str">
        <f>IF(C296="","",'04 FIIs'!I99)</f>
        <v/>
      </c>
      <c r="P296" s="140" t="str">
        <f>IF(C296="","",IF(N(J296)&gt;0,J296+ROW()/1E9,""))</f>
        <v/>
      </c>
      <c r="Q296" s="140" t="str">
        <f>IF(C296="","",IF(N(M296)&gt;0,M296+ROW()/1E9,""))</f>
        <v/>
      </c>
    </row>
    <row r="297">
      <c r="A297" s="141" t="str">
        <f>IF(C297="","","FIIs")</f>
        <v/>
      </c>
      <c r="B297" s="141" t="str">
        <f>IF(C297="","","Brasil")</f>
        <v/>
      </c>
      <c r="C297" s="141" t="str">
        <f>IF('04 FIIs'!A100="","",'04 FIIs'!A100&amp;"")</f>
        <v/>
      </c>
      <c r="D297" s="141" t="str">
        <f>IF(C297="","",'04 FIIs'!B100&amp;"")</f>
        <v/>
      </c>
      <c r="E297" s="141" t="str">
        <f>IF(C297="","",'04 FIIs'!C100&amp;"")</f>
        <v/>
      </c>
      <c r="F297" s="141" t="str">
        <f>IF(C297="","",'04 FIIs'!V100)</f>
        <v/>
      </c>
      <c r="G297" s="142" t="str">
        <f>IF(C297="","",'04 FIIs'!E100)</f>
        <v/>
      </c>
      <c r="H297" s="143" t="str">
        <f>IF(C297="","",'04 FIIs'!H100)</f>
        <v/>
      </c>
      <c r="I297" s="144" t="str">
        <f>IF(C297="","",'04 FIIs'!J100)</f>
        <v/>
      </c>
      <c r="J297" s="145" t="str">
        <f>IF(C297="","",'04 FIIs'!K100)</f>
        <v/>
      </c>
      <c r="K297" s="145" t="str">
        <f>IF(C297="","",'04 FIIs'!Q100)</f>
        <v/>
      </c>
      <c r="L297" s="142" t="str">
        <f>IF(C297="","",'04 FIIs'!R100)</f>
        <v/>
      </c>
      <c r="M297" s="145" t="str">
        <f>IF(C297="","",'04 FIIs'!T100)</f>
        <v/>
      </c>
      <c r="N297" s="146" t="str">
        <f>IF(C297="","",IF($J$3&gt;0,J297/$J$3,0))</f>
        <v/>
      </c>
      <c r="O297" s="141" t="str">
        <f>IF(C297="","",'04 FIIs'!I100)</f>
        <v/>
      </c>
      <c r="P297" s="147" t="str">
        <f>IF(C297="","",IF(N(J297)&gt;0,J297+ROW()/1E9,""))</f>
        <v/>
      </c>
      <c r="Q297" s="147" t="str">
        <f>IF(C297="","",IF(N(M297)&gt;0,M297+ROW()/1E9,""))</f>
        <v/>
      </c>
    </row>
    <row r="298">
      <c r="A298" s="134" t="str">
        <f>IF(C298="","","FIIs")</f>
        <v/>
      </c>
      <c r="B298" s="134" t="str">
        <f>IF(C298="","","Brasil")</f>
        <v/>
      </c>
      <c r="C298" s="134" t="str">
        <f>IF('04 FIIs'!A101="","",'04 FIIs'!A101&amp;"")</f>
        <v/>
      </c>
      <c r="D298" s="134" t="str">
        <f>IF(C298="","",'04 FIIs'!B101&amp;"")</f>
        <v/>
      </c>
      <c r="E298" s="134" t="str">
        <f>IF(C298="","",'04 FIIs'!C101&amp;"")</f>
        <v/>
      </c>
      <c r="F298" s="134" t="str">
        <f>IF(C298="","",'04 FIIs'!V101)</f>
        <v/>
      </c>
      <c r="G298" s="135" t="str">
        <f>IF(C298="","",'04 FIIs'!E101)</f>
        <v/>
      </c>
      <c r="H298" s="136" t="str">
        <f>IF(C298="","",'04 FIIs'!H101)</f>
        <v/>
      </c>
      <c r="I298" s="137" t="str">
        <f>IF(C298="","",'04 FIIs'!J101)</f>
        <v/>
      </c>
      <c r="J298" s="138" t="str">
        <f>IF(C298="","",'04 FIIs'!K101)</f>
        <v/>
      </c>
      <c r="K298" s="138" t="str">
        <f>IF(C298="","",'04 FIIs'!Q101)</f>
        <v/>
      </c>
      <c r="L298" s="135" t="str">
        <f>IF(C298="","",'04 FIIs'!R101)</f>
        <v/>
      </c>
      <c r="M298" s="138" t="str">
        <f>IF(C298="","",'04 FIIs'!T101)</f>
        <v/>
      </c>
      <c r="N298" s="139" t="str">
        <f>IF(C298="","",IF($J$3&gt;0,J298/$J$3,0))</f>
        <v/>
      </c>
      <c r="O298" s="134" t="str">
        <f>IF(C298="","",'04 FIIs'!I101)</f>
        <v/>
      </c>
      <c r="P298" s="140" t="str">
        <f>IF(C298="","",IF(N(J298)&gt;0,J298+ROW()/1E9,""))</f>
        <v/>
      </c>
      <c r="Q298" s="140" t="str">
        <f>IF(C298="","",IF(N(M298)&gt;0,M298+ROW()/1E9,""))</f>
        <v/>
      </c>
    </row>
    <row r="299">
      <c r="A299" s="141" t="str">
        <f>IF(C299="","","FIIs")</f>
        <v/>
      </c>
      <c r="B299" s="141" t="str">
        <f>IF(C299="","","Brasil")</f>
        <v/>
      </c>
      <c r="C299" s="141" t="str">
        <f>IF('04 FIIs'!A102="","",'04 FIIs'!A102&amp;"")</f>
        <v/>
      </c>
      <c r="D299" s="141" t="str">
        <f>IF(C299="","",'04 FIIs'!B102&amp;"")</f>
        <v/>
      </c>
      <c r="E299" s="141" t="str">
        <f>IF(C299="","",'04 FIIs'!C102&amp;"")</f>
        <v/>
      </c>
      <c r="F299" s="141" t="str">
        <f>IF(C299="","",'04 FIIs'!V102)</f>
        <v/>
      </c>
      <c r="G299" s="142" t="str">
        <f>IF(C299="","",'04 FIIs'!E102)</f>
        <v/>
      </c>
      <c r="H299" s="143" t="str">
        <f>IF(C299="","",'04 FIIs'!H102)</f>
        <v/>
      </c>
      <c r="I299" s="144" t="str">
        <f>IF(C299="","",'04 FIIs'!J102)</f>
        <v/>
      </c>
      <c r="J299" s="145" t="str">
        <f>IF(C299="","",'04 FIIs'!K102)</f>
        <v/>
      </c>
      <c r="K299" s="145" t="str">
        <f>IF(C299="","",'04 FIIs'!Q102)</f>
        <v/>
      </c>
      <c r="L299" s="142" t="str">
        <f>IF(C299="","",'04 FIIs'!R102)</f>
        <v/>
      </c>
      <c r="M299" s="145" t="str">
        <f>IF(C299="","",'04 FIIs'!T102)</f>
        <v/>
      </c>
      <c r="N299" s="146" t="str">
        <f>IF(C299="","",IF($J$3&gt;0,J299/$J$3,0))</f>
        <v/>
      </c>
      <c r="O299" s="141" t="str">
        <f>IF(C299="","",'04 FIIs'!I102)</f>
        <v/>
      </c>
      <c r="P299" s="147" t="str">
        <f>IF(C299="","",IF(N(J299)&gt;0,J299+ROW()/1E9,""))</f>
        <v/>
      </c>
      <c r="Q299" s="147" t="str">
        <f>IF(C299="","",IF(N(M299)&gt;0,M299+ROW()/1E9,""))</f>
        <v/>
      </c>
    </row>
    <row r="300">
      <c r="A300" s="134" t="str">
        <f>IF(C300="","","FIIs")</f>
        <v/>
      </c>
      <c r="B300" s="134" t="str">
        <f>IF(C300="","","Brasil")</f>
        <v/>
      </c>
      <c r="C300" s="134" t="str">
        <f>IF('04 FIIs'!A103="","",'04 FIIs'!A103&amp;"")</f>
        <v/>
      </c>
      <c r="D300" s="134" t="str">
        <f>IF(C300="","",'04 FIIs'!B103&amp;"")</f>
        <v/>
      </c>
      <c r="E300" s="134" t="str">
        <f>IF(C300="","",'04 FIIs'!C103&amp;"")</f>
        <v/>
      </c>
      <c r="F300" s="134" t="str">
        <f>IF(C300="","",'04 FIIs'!V103)</f>
        <v/>
      </c>
      <c r="G300" s="135" t="str">
        <f>IF(C300="","",'04 FIIs'!E103)</f>
        <v/>
      </c>
      <c r="H300" s="136" t="str">
        <f>IF(C300="","",'04 FIIs'!H103)</f>
        <v/>
      </c>
      <c r="I300" s="137" t="str">
        <f>IF(C300="","",'04 FIIs'!J103)</f>
        <v/>
      </c>
      <c r="J300" s="138" t="str">
        <f>IF(C300="","",'04 FIIs'!K103)</f>
        <v/>
      </c>
      <c r="K300" s="138" t="str">
        <f>IF(C300="","",'04 FIIs'!Q103)</f>
        <v/>
      </c>
      <c r="L300" s="135" t="str">
        <f>IF(C300="","",'04 FIIs'!R103)</f>
        <v/>
      </c>
      <c r="M300" s="138" t="str">
        <f>IF(C300="","",'04 FIIs'!T103)</f>
        <v/>
      </c>
      <c r="N300" s="139" t="str">
        <f>IF(C300="","",IF($J$3&gt;0,J300/$J$3,0))</f>
        <v/>
      </c>
      <c r="O300" s="134" t="str">
        <f>IF(C300="","",'04 FIIs'!I103)</f>
        <v/>
      </c>
      <c r="P300" s="140" t="str">
        <f>IF(C300="","",IF(N(J300)&gt;0,J300+ROW()/1E9,""))</f>
        <v/>
      </c>
      <c r="Q300" s="140" t="str">
        <f>IF(C300="","",IF(N(M300)&gt;0,M300+ROW()/1E9,""))</f>
        <v/>
      </c>
    </row>
    <row r="301">
      <c r="A301" s="141" t="str">
        <f>IF(C301="","","FIIs")</f>
        <v/>
      </c>
      <c r="B301" s="141" t="str">
        <f>IF(C301="","","Brasil")</f>
        <v/>
      </c>
      <c r="C301" s="141" t="str">
        <f>IF('04 FIIs'!A104="","",'04 FIIs'!A104&amp;"")</f>
        <v/>
      </c>
      <c r="D301" s="141" t="str">
        <f>IF(C301="","",'04 FIIs'!B104&amp;"")</f>
        <v/>
      </c>
      <c r="E301" s="141" t="str">
        <f>IF(C301="","",'04 FIIs'!C104&amp;"")</f>
        <v/>
      </c>
      <c r="F301" s="141" t="str">
        <f>IF(C301="","",'04 FIIs'!V104)</f>
        <v/>
      </c>
      <c r="G301" s="142" t="str">
        <f>IF(C301="","",'04 FIIs'!E104)</f>
        <v/>
      </c>
      <c r="H301" s="143" t="str">
        <f>IF(C301="","",'04 FIIs'!H104)</f>
        <v/>
      </c>
      <c r="I301" s="144" t="str">
        <f>IF(C301="","",'04 FIIs'!J104)</f>
        <v/>
      </c>
      <c r="J301" s="145" t="str">
        <f>IF(C301="","",'04 FIIs'!K104)</f>
        <v/>
      </c>
      <c r="K301" s="145" t="str">
        <f>IF(C301="","",'04 FIIs'!Q104)</f>
        <v/>
      </c>
      <c r="L301" s="142" t="str">
        <f>IF(C301="","",'04 FIIs'!R104)</f>
        <v/>
      </c>
      <c r="M301" s="145" t="str">
        <f>IF(C301="","",'04 FIIs'!T104)</f>
        <v/>
      </c>
      <c r="N301" s="146" t="str">
        <f>IF(C301="","",IF($J$3&gt;0,J301/$J$3,0))</f>
        <v/>
      </c>
      <c r="O301" s="141" t="str">
        <f>IF(C301="","",'04 FIIs'!I104)</f>
        <v/>
      </c>
      <c r="P301" s="147" t="str">
        <f>IF(C301="","",IF(N(J301)&gt;0,J301+ROW()/1E9,""))</f>
        <v/>
      </c>
      <c r="Q301" s="147" t="str">
        <f>IF(C301="","",IF(N(M301)&gt;0,M301+ROW()/1E9,""))</f>
        <v/>
      </c>
    </row>
    <row r="302">
      <c r="A302" s="134" t="str">
        <f>IF(C302="","","FIIs")</f>
        <v/>
      </c>
      <c r="B302" s="134" t="str">
        <f>IF(C302="","","Brasil")</f>
        <v/>
      </c>
      <c r="C302" s="134" t="str">
        <f>IF('04 FIIs'!A105="","",'04 FIIs'!A105&amp;"")</f>
        <v/>
      </c>
      <c r="D302" s="134" t="str">
        <f>IF(C302="","",'04 FIIs'!B105&amp;"")</f>
        <v/>
      </c>
      <c r="E302" s="134" t="str">
        <f>IF(C302="","",'04 FIIs'!C105&amp;"")</f>
        <v/>
      </c>
      <c r="F302" s="134" t="str">
        <f>IF(C302="","",'04 FIIs'!V105)</f>
        <v/>
      </c>
      <c r="G302" s="135" t="str">
        <f>IF(C302="","",'04 FIIs'!E105)</f>
        <v/>
      </c>
      <c r="H302" s="136" t="str">
        <f>IF(C302="","",'04 FIIs'!H105)</f>
        <v/>
      </c>
      <c r="I302" s="137" t="str">
        <f>IF(C302="","",'04 FIIs'!J105)</f>
        <v/>
      </c>
      <c r="J302" s="138" t="str">
        <f>IF(C302="","",'04 FIIs'!K105)</f>
        <v/>
      </c>
      <c r="K302" s="138" t="str">
        <f>IF(C302="","",'04 FIIs'!Q105)</f>
        <v/>
      </c>
      <c r="L302" s="135" t="str">
        <f>IF(C302="","",'04 FIIs'!R105)</f>
        <v/>
      </c>
      <c r="M302" s="138" t="str">
        <f>IF(C302="","",'04 FIIs'!T105)</f>
        <v/>
      </c>
      <c r="N302" s="139" t="str">
        <f>IF(C302="","",IF($J$3&gt;0,J302/$J$3,0))</f>
        <v/>
      </c>
      <c r="O302" s="134" t="str">
        <f>IF(C302="","",'04 FIIs'!I105)</f>
        <v/>
      </c>
      <c r="P302" s="140" t="str">
        <f>IF(C302="","",IF(N(J302)&gt;0,J302+ROW()/1E9,""))</f>
        <v/>
      </c>
      <c r="Q302" s="140" t="str">
        <f>IF(C302="","",IF(N(M302)&gt;0,M302+ROW()/1E9,""))</f>
        <v/>
      </c>
    </row>
    <row r="303">
      <c r="A303" s="141" t="str">
        <f>IF(C303="","","FIIs")</f>
        <v/>
      </c>
      <c r="B303" s="141" t="str">
        <f>IF(C303="","","Brasil")</f>
        <v/>
      </c>
      <c r="C303" s="141" t="str">
        <f>IF('04 FIIs'!A106="","",'04 FIIs'!A106&amp;"")</f>
        <v/>
      </c>
      <c r="D303" s="141" t="str">
        <f>IF(C303="","",'04 FIIs'!B106&amp;"")</f>
        <v/>
      </c>
      <c r="E303" s="141" t="str">
        <f>IF(C303="","",'04 FIIs'!C106&amp;"")</f>
        <v/>
      </c>
      <c r="F303" s="141" t="str">
        <f>IF(C303="","",'04 FIIs'!V106)</f>
        <v/>
      </c>
      <c r="G303" s="142" t="str">
        <f>IF(C303="","",'04 FIIs'!E106)</f>
        <v/>
      </c>
      <c r="H303" s="143" t="str">
        <f>IF(C303="","",'04 FIIs'!H106)</f>
        <v/>
      </c>
      <c r="I303" s="144" t="str">
        <f>IF(C303="","",'04 FIIs'!J106)</f>
        <v/>
      </c>
      <c r="J303" s="145" t="str">
        <f>IF(C303="","",'04 FIIs'!K106)</f>
        <v/>
      </c>
      <c r="K303" s="145" t="str">
        <f>IF(C303="","",'04 FIIs'!Q106)</f>
        <v/>
      </c>
      <c r="L303" s="142" t="str">
        <f>IF(C303="","",'04 FIIs'!R106)</f>
        <v/>
      </c>
      <c r="M303" s="145" t="str">
        <f>IF(C303="","",'04 FIIs'!T106)</f>
        <v/>
      </c>
      <c r="N303" s="146" t="str">
        <f>IF(C303="","",IF($J$3&gt;0,J303/$J$3,0))</f>
        <v/>
      </c>
      <c r="O303" s="141" t="str">
        <f>IF(C303="","",'04 FIIs'!I106)</f>
        <v/>
      </c>
      <c r="P303" s="147" t="str">
        <f>IF(C303="","",IF(N(J303)&gt;0,J303+ROW()/1E9,""))</f>
        <v/>
      </c>
      <c r="Q303" s="147" t="str">
        <f>IF(C303="","",IF(N(M303)&gt;0,M303+ROW()/1E9,""))</f>
        <v/>
      </c>
    </row>
    <row r="304">
      <c r="A304" s="134" t="str">
        <f>IF(C304="","","FIIs")</f>
        <v/>
      </c>
      <c r="B304" s="134" t="str">
        <f>IF(C304="","","Brasil")</f>
        <v/>
      </c>
      <c r="C304" s="134" t="str">
        <f>IF('04 FIIs'!A107="","",'04 FIIs'!A107&amp;"")</f>
        <v/>
      </c>
      <c r="D304" s="134" t="str">
        <f>IF(C304="","",'04 FIIs'!B107&amp;"")</f>
        <v/>
      </c>
      <c r="E304" s="134" t="str">
        <f>IF(C304="","",'04 FIIs'!C107&amp;"")</f>
        <v/>
      </c>
      <c r="F304" s="134" t="str">
        <f>IF(C304="","",'04 FIIs'!V107)</f>
        <v/>
      </c>
      <c r="G304" s="135" t="str">
        <f>IF(C304="","",'04 FIIs'!E107)</f>
        <v/>
      </c>
      <c r="H304" s="136" t="str">
        <f>IF(C304="","",'04 FIIs'!H107)</f>
        <v/>
      </c>
      <c r="I304" s="137" t="str">
        <f>IF(C304="","",'04 FIIs'!J107)</f>
        <v/>
      </c>
      <c r="J304" s="138" t="str">
        <f>IF(C304="","",'04 FIIs'!K107)</f>
        <v/>
      </c>
      <c r="K304" s="138" t="str">
        <f>IF(C304="","",'04 FIIs'!Q107)</f>
        <v/>
      </c>
      <c r="L304" s="135" t="str">
        <f>IF(C304="","",'04 FIIs'!R107)</f>
        <v/>
      </c>
      <c r="M304" s="138" t="str">
        <f>IF(C304="","",'04 FIIs'!T107)</f>
        <v/>
      </c>
      <c r="N304" s="139" t="str">
        <f>IF(C304="","",IF($J$3&gt;0,J304/$J$3,0))</f>
        <v/>
      </c>
      <c r="O304" s="134" t="str">
        <f>IF(C304="","",'04 FIIs'!I107)</f>
        <v/>
      </c>
      <c r="P304" s="140" t="str">
        <f>IF(C304="","",IF(N(J304)&gt;0,J304+ROW()/1E9,""))</f>
        <v/>
      </c>
      <c r="Q304" s="140" t="str">
        <f>IF(C304="","",IF(N(M304)&gt;0,M304+ROW()/1E9,""))</f>
        <v/>
      </c>
    </row>
    <row r="305">
      <c r="A305" s="141" t="str">
        <f>IF(C305="","","FIIs")</f>
        <v/>
      </c>
      <c r="B305" s="141" t="str">
        <f>IF(C305="","","Brasil")</f>
        <v/>
      </c>
      <c r="C305" s="141" t="str">
        <f>IF('04 FIIs'!A108="","",'04 FIIs'!A108&amp;"")</f>
        <v/>
      </c>
      <c r="D305" s="141" t="str">
        <f>IF(C305="","",'04 FIIs'!B108&amp;"")</f>
        <v/>
      </c>
      <c r="E305" s="141" t="str">
        <f>IF(C305="","",'04 FIIs'!C108&amp;"")</f>
        <v/>
      </c>
      <c r="F305" s="141" t="str">
        <f>IF(C305="","",'04 FIIs'!V108)</f>
        <v/>
      </c>
      <c r="G305" s="142" t="str">
        <f>IF(C305="","",'04 FIIs'!E108)</f>
        <v/>
      </c>
      <c r="H305" s="143" t="str">
        <f>IF(C305="","",'04 FIIs'!H108)</f>
        <v/>
      </c>
      <c r="I305" s="144" t="str">
        <f>IF(C305="","",'04 FIIs'!J108)</f>
        <v/>
      </c>
      <c r="J305" s="145" t="str">
        <f>IF(C305="","",'04 FIIs'!K108)</f>
        <v/>
      </c>
      <c r="K305" s="145" t="str">
        <f>IF(C305="","",'04 FIIs'!Q108)</f>
        <v/>
      </c>
      <c r="L305" s="142" t="str">
        <f>IF(C305="","",'04 FIIs'!R108)</f>
        <v/>
      </c>
      <c r="M305" s="145" t="str">
        <f>IF(C305="","",'04 FIIs'!T108)</f>
        <v/>
      </c>
      <c r="N305" s="146" t="str">
        <f>IF(C305="","",IF($J$3&gt;0,J305/$J$3,0))</f>
        <v/>
      </c>
      <c r="O305" s="141" t="str">
        <f>IF(C305="","",'04 FIIs'!I108)</f>
        <v/>
      </c>
      <c r="P305" s="147" t="str">
        <f>IF(C305="","",IF(N(J305)&gt;0,J305+ROW()/1E9,""))</f>
        <v/>
      </c>
      <c r="Q305" s="147" t="str">
        <f>IF(C305="","",IF(N(M305)&gt;0,M305+ROW()/1E9,""))</f>
        <v/>
      </c>
    </row>
    <row r="306">
      <c r="A306" s="134" t="str">
        <f>IF(C306="","","FIIs")</f>
        <v/>
      </c>
      <c r="B306" s="134" t="str">
        <f>IF(C306="","","Brasil")</f>
        <v/>
      </c>
      <c r="C306" s="134" t="str">
        <f>IF('04 FIIs'!A109="","",'04 FIIs'!A109&amp;"")</f>
        <v/>
      </c>
      <c r="D306" s="134" t="str">
        <f>IF(C306="","",'04 FIIs'!B109&amp;"")</f>
        <v/>
      </c>
      <c r="E306" s="134" t="str">
        <f>IF(C306="","",'04 FIIs'!C109&amp;"")</f>
        <v/>
      </c>
      <c r="F306" s="134" t="str">
        <f>IF(C306="","",'04 FIIs'!V109)</f>
        <v/>
      </c>
      <c r="G306" s="135" t="str">
        <f>IF(C306="","",'04 FIIs'!E109)</f>
        <v/>
      </c>
      <c r="H306" s="136" t="str">
        <f>IF(C306="","",'04 FIIs'!H109)</f>
        <v/>
      </c>
      <c r="I306" s="137" t="str">
        <f>IF(C306="","",'04 FIIs'!J109)</f>
        <v/>
      </c>
      <c r="J306" s="138" t="str">
        <f>IF(C306="","",'04 FIIs'!K109)</f>
        <v/>
      </c>
      <c r="K306" s="138" t="str">
        <f>IF(C306="","",'04 FIIs'!Q109)</f>
        <v/>
      </c>
      <c r="L306" s="135" t="str">
        <f>IF(C306="","",'04 FIIs'!R109)</f>
        <v/>
      </c>
      <c r="M306" s="138" t="str">
        <f>IF(C306="","",'04 FIIs'!T109)</f>
        <v/>
      </c>
      <c r="N306" s="139" t="str">
        <f>IF(C306="","",IF($J$3&gt;0,J306/$J$3,0))</f>
        <v/>
      </c>
      <c r="O306" s="134" t="str">
        <f>IF(C306="","",'04 FIIs'!I109)</f>
        <v/>
      </c>
      <c r="P306" s="140" t="str">
        <f>IF(C306="","",IF(N(J306)&gt;0,J306+ROW()/1E9,""))</f>
        <v/>
      </c>
      <c r="Q306" s="140" t="str">
        <f>IF(C306="","",IF(N(M306)&gt;0,M306+ROW()/1E9,""))</f>
        <v/>
      </c>
    </row>
    <row r="307">
      <c r="A307" s="141" t="str">
        <f>IF(C307="","","FIIs")</f>
        <v/>
      </c>
      <c r="B307" s="141" t="str">
        <f>IF(C307="","","Brasil")</f>
        <v/>
      </c>
      <c r="C307" s="141" t="str">
        <f>IF('04 FIIs'!A110="","",'04 FIIs'!A110&amp;"")</f>
        <v/>
      </c>
      <c r="D307" s="141" t="str">
        <f>IF(C307="","",'04 FIIs'!B110&amp;"")</f>
        <v/>
      </c>
      <c r="E307" s="141" t="str">
        <f>IF(C307="","",'04 FIIs'!C110&amp;"")</f>
        <v/>
      </c>
      <c r="F307" s="141" t="str">
        <f>IF(C307="","",'04 FIIs'!V110)</f>
        <v/>
      </c>
      <c r="G307" s="142" t="str">
        <f>IF(C307="","",'04 FIIs'!E110)</f>
        <v/>
      </c>
      <c r="H307" s="143" t="str">
        <f>IF(C307="","",'04 FIIs'!H110)</f>
        <v/>
      </c>
      <c r="I307" s="144" t="str">
        <f>IF(C307="","",'04 FIIs'!J110)</f>
        <v/>
      </c>
      <c r="J307" s="145" t="str">
        <f>IF(C307="","",'04 FIIs'!K110)</f>
        <v/>
      </c>
      <c r="K307" s="145" t="str">
        <f>IF(C307="","",'04 FIIs'!Q110)</f>
        <v/>
      </c>
      <c r="L307" s="142" t="str">
        <f>IF(C307="","",'04 FIIs'!R110)</f>
        <v/>
      </c>
      <c r="M307" s="145" t="str">
        <f>IF(C307="","",'04 FIIs'!T110)</f>
        <v/>
      </c>
      <c r="N307" s="146" t="str">
        <f>IF(C307="","",IF($J$3&gt;0,J307/$J$3,0))</f>
        <v/>
      </c>
      <c r="O307" s="141" t="str">
        <f>IF(C307="","",'04 FIIs'!I110)</f>
        <v/>
      </c>
      <c r="P307" s="147" t="str">
        <f>IF(C307="","",IF(N(J307)&gt;0,J307+ROW()/1E9,""))</f>
        <v/>
      </c>
      <c r="Q307" s="147" t="str">
        <f>IF(C307="","",IF(N(M307)&gt;0,M307+ROW()/1E9,""))</f>
        <v/>
      </c>
    </row>
    <row r="308">
      <c r="A308" s="134" t="str">
        <f>IF(C308="","","FIIs")</f>
        <v/>
      </c>
      <c r="B308" s="134" t="str">
        <f>IF(C308="","","Brasil")</f>
        <v/>
      </c>
      <c r="C308" s="134" t="str">
        <f>IF('04 FIIs'!A111="","",'04 FIIs'!A111&amp;"")</f>
        <v/>
      </c>
      <c r="D308" s="134" t="str">
        <f>IF(C308="","",'04 FIIs'!B111&amp;"")</f>
        <v/>
      </c>
      <c r="E308" s="134" t="str">
        <f>IF(C308="","",'04 FIIs'!C111&amp;"")</f>
        <v/>
      </c>
      <c r="F308" s="134" t="str">
        <f>IF(C308="","",'04 FIIs'!V111)</f>
        <v/>
      </c>
      <c r="G308" s="135" t="str">
        <f>IF(C308="","",'04 FIIs'!E111)</f>
        <v/>
      </c>
      <c r="H308" s="136" t="str">
        <f>IF(C308="","",'04 FIIs'!H111)</f>
        <v/>
      </c>
      <c r="I308" s="137" t="str">
        <f>IF(C308="","",'04 FIIs'!J111)</f>
        <v/>
      </c>
      <c r="J308" s="138" t="str">
        <f>IF(C308="","",'04 FIIs'!K111)</f>
        <v/>
      </c>
      <c r="K308" s="138" t="str">
        <f>IF(C308="","",'04 FIIs'!Q111)</f>
        <v/>
      </c>
      <c r="L308" s="135" t="str">
        <f>IF(C308="","",'04 FIIs'!R111)</f>
        <v/>
      </c>
      <c r="M308" s="138" t="str">
        <f>IF(C308="","",'04 FIIs'!T111)</f>
        <v/>
      </c>
      <c r="N308" s="139" t="str">
        <f>IF(C308="","",IF($J$3&gt;0,J308/$J$3,0))</f>
        <v/>
      </c>
      <c r="O308" s="134" t="str">
        <f>IF(C308="","",'04 FIIs'!I111)</f>
        <v/>
      </c>
      <c r="P308" s="140" t="str">
        <f>IF(C308="","",IF(N(J308)&gt;0,J308+ROW()/1E9,""))</f>
        <v/>
      </c>
      <c r="Q308" s="140" t="str">
        <f>IF(C308="","",IF(N(M308)&gt;0,M308+ROW()/1E9,""))</f>
        <v/>
      </c>
    </row>
    <row r="309">
      <c r="A309" s="141" t="str">
        <f>IF(C309="","","FIIs")</f>
        <v/>
      </c>
      <c r="B309" s="141" t="str">
        <f>IF(C309="","","Brasil")</f>
        <v/>
      </c>
      <c r="C309" s="141" t="str">
        <f>IF('04 FIIs'!A112="","",'04 FIIs'!A112&amp;"")</f>
        <v/>
      </c>
      <c r="D309" s="141" t="str">
        <f>IF(C309="","",'04 FIIs'!B112&amp;"")</f>
        <v/>
      </c>
      <c r="E309" s="141" t="str">
        <f>IF(C309="","",'04 FIIs'!C112&amp;"")</f>
        <v/>
      </c>
      <c r="F309" s="141" t="str">
        <f>IF(C309="","",'04 FIIs'!V112)</f>
        <v/>
      </c>
      <c r="G309" s="142" t="str">
        <f>IF(C309="","",'04 FIIs'!E112)</f>
        <v/>
      </c>
      <c r="H309" s="143" t="str">
        <f>IF(C309="","",'04 FIIs'!H112)</f>
        <v/>
      </c>
      <c r="I309" s="144" t="str">
        <f>IF(C309="","",'04 FIIs'!J112)</f>
        <v/>
      </c>
      <c r="J309" s="145" t="str">
        <f>IF(C309="","",'04 FIIs'!K112)</f>
        <v/>
      </c>
      <c r="K309" s="145" t="str">
        <f>IF(C309="","",'04 FIIs'!Q112)</f>
        <v/>
      </c>
      <c r="L309" s="142" t="str">
        <f>IF(C309="","",'04 FIIs'!R112)</f>
        <v/>
      </c>
      <c r="M309" s="145" t="str">
        <f>IF(C309="","",'04 FIIs'!T112)</f>
        <v/>
      </c>
      <c r="N309" s="146" t="str">
        <f>IF(C309="","",IF($J$3&gt;0,J309/$J$3,0))</f>
        <v/>
      </c>
      <c r="O309" s="141" t="str">
        <f>IF(C309="","",'04 FIIs'!I112)</f>
        <v/>
      </c>
      <c r="P309" s="147" t="str">
        <f>IF(C309="","",IF(N(J309)&gt;0,J309+ROW()/1E9,""))</f>
        <v/>
      </c>
      <c r="Q309" s="147" t="str">
        <f>IF(C309="","",IF(N(M309)&gt;0,M309+ROW()/1E9,""))</f>
        <v/>
      </c>
    </row>
    <row r="310">
      <c r="A310" s="134" t="str">
        <f>IF(C310="","","FIIs")</f>
        <v/>
      </c>
      <c r="B310" s="134" t="str">
        <f>IF(C310="","","Brasil")</f>
        <v/>
      </c>
      <c r="C310" s="134" t="str">
        <f>IF('04 FIIs'!A113="","",'04 FIIs'!A113&amp;"")</f>
        <v/>
      </c>
      <c r="D310" s="134" t="str">
        <f>IF(C310="","",'04 FIIs'!B113&amp;"")</f>
        <v/>
      </c>
      <c r="E310" s="134" t="str">
        <f>IF(C310="","",'04 FIIs'!C113&amp;"")</f>
        <v/>
      </c>
      <c r="F310" s="134" t="str">
        <f>IF(C310="","",'04 FIIs'!V113)</f>
        <v/>
      </c>
      <c r="G310" s="135" t="str">
        <f>IF(C310="","",'04 FIIs'!E113)</f>
        <v/>
      </c>
      <c r="H310" s="136" t="str">
        <f>IF(C310="","",'04 FIIs'!H113)</f>
        <v/>
      </c>
      <c r="I310" s="137" t="str">
        <f>IF(C310="","",'04 FIIs'!J113)</f>
        <v/>
      </c>
      <c r="J310" s="138" t="str">
        <f>IF(C310="","",'04 FIIs'!K113)</f>
        <v/>
      </c>
      <c r="K310" s="138" t="str">
        <f>IF(C310="","",'04 FIIs'!Q113)</f>
        <v/>
      </c>
      <c r="L310" s="135" t="str">
        <f>IF(C310="","",'04 FIIs'!R113)</f>
        <v/>
      </c>
      <c r="M310" s="138" t="str">
        <f>IF(C310="","",'04 FIIs'!T113)</f>
        <v/>
      </c>
      <c r="N310" s="139" t="str">
        <f>IF(C310="","",IF($J$3&gt;0,J310/$J$3,0))</f>
        <v/>
      </c>
      <c r="O310" s="134" t="str">
        <f>IF(C310="","",'04 FIIs'!I113)</f>
        <v/>
      </c>
      <c r="P310" s="140" t="str">
        <f>IF(C310="","",IF(N(J310)&gt;0,J310+ROW()/1E9,""))</f>
        <v/>
      </c>
      <c r="Q310" s="140" t="str">
        <f>IF(C310="","",IF(N(M310)&gt;0,M310+ROW()/1E9,""))</f>
        <v/>
      </c>
    </row>
    <row r="311">
      <c r="A311" s="141" t="str">
        <f>IF(C311="","","FIIs")</f>
        <v/>
      </c>
      <c r="B311" s="141" t="str">
        <f>IF(C311="","","Brasil")</f>
        <v/>
      </c>
      <c r="C311" s="141" t="str">
        <f>IF('04 FIIs'!A114="","",'04 FIIs'!A114&amp;"")</f>
        <v/>
      </c>
      <c r="D311" s="141" t="str">
        <f>IF(C311="","",'04 FIIs'!B114&amp;"")</f>
        <v/>
      </c>
      <c r="E311" s="141" t="str">
        <f>IF(C311="","",'04 FIIs'!C114&amp;"")</f>
        <v/>
      </c>
      <c r="F311" s="141" t="str">
        <f>IF(C311="","",'04 FIIs'!V114)</f>
        <v/>
      </c>
      <c r="G311" s="142" t="str">
        <f>IF(C311="","",'04 FIIs'!E114)</f>
        <v/>
      </c>
      <c r="H311" s="143" t="str">
        <f>IF(C311="","",'04 FIIs'!H114)</f>
        <v/>
      </c>
      <c r="I311" s="144" t="str">
        <f>IF(C311="","",'04 FIIs'!J114)</f>
        <v/>
      </c>
      <c r="J311" s="145" t="str">
        <f>IF(C311="","",'04 FIIs'!K114)</f>
        <v/>
      </c>
      <c r="K311" s="145" t="str">
        <f>IF(C311="","",'04 FIIs'!Q114)</f>
        <v/>
      </c>
      <c r="L311" s="142" t="str">
        <f>IF(C311="","",'04 FIIs'!R114)</f>
        <v/>
      </c>
      <c r="M311" s="145" t="str">
        <f>IF(C311="","",'04 FIIs'!T114)</f>
        <v/>
      </c>
      <c r="N311" s="146" t="str">
        <f>IF(C311="","",IF($J$3&gt;0,J311/$J$3,0))</f>
        <v/>
      </c>
      <c r="O311" s="141" t="str">
        <f>IF(C311="","",'04 FIIs'!I114)</f>
        <v/>
      </c>
      <c r="P311" s="147" t="str">
        <f>IF(C311="","",IF(N(J311)&gt;0,J311+ROW()/1E9,""))</f>
        <v/>
      </c>
      <c r="Q311" s="147" t="str">
        <f>IF(C311="","",IF(N(M311)&gt;0,M311+ROW()/1E9,""))</f>
        <v/>
      </c>
    </row>
    <row r="312">
      <c r="A312" s="134" t="str">
        <f>IF(C312="","","FIIs")</f>
        <v/>
      </c>
      <c r="B312" s="134" t="str">
        <f>IF(C312="","","Brasil")</f>
        <v/>
      </c>
      <c r="C312" s="134" t="str">
        <f>IF('04 FIIs'!A115="","",'04 FIIs'!A115&amp;"")</f>
        <v/>
      </c>
      <c r="D312" s="134" t="str">
        <f>IF(C312="","",'04 FIIs'!B115&amp;"")</f>
        <v/>
      </c>
      <c r="E312" s="134" t="str">
        <f>IF(C312="","",'04 FIIs'!C115&amp;"")</f>
        <v/>
      </c>
      <c r="F312" s="134" t="str">
        <f>IF(C312="","",'04 FIIs'!V115)</f>
        <v/>
      </c>
      <c r="G312" s="135" t="str">
        <f>IF(C312="","",'04 FIIs'!E115)</f>
        <v/>
      </c>
      <c r="H312" s="136" t="str">
        <f>IF(C312="","",'04 FIIs'!H115)</f>
        <v/>
      </c>
      <c r="I312" s="137" t="str">
        <f>IF(C312="","",'04 FIIs'!J115)</f>
        <v/>
      </c>
      <c r="J312" s="138" t="str">
        <f>IF(C312="","",'04 FIIs'!K115)</f>
        <v/>
      </c>
      <c r="K312" s="138" t="str">
        <f>IF(C312="","",'04 FIIs'!Q115)</f>
        <v/>
      </c>
      <c r="L312" s="135" t="str">
        <f>IF(C312="","",'04 FIIs'!R115)</f>
        <v/>
      </c>
      <c r="M312" s="138" t="str">
        <f>IF(C312="","",'04 FIIs'!T115)</f>
        <v/>
      </c>
      <c r="N312" s="139" t="str">
        <f>IF(C312="","",IF($J$3&gt;0,J312/$J$3,0))</f>
        <v/>
      </c>
      <c r="O312" s="134" t="str">
        <f>IF(C312="","",'04 FIIs'!I115)</f>
        <v/>
      </c>
      <c r="P312" s="140" t="str">
        <f>IF(C312="","",IF(N(J312)&gt;0,J312+ROW()/1E9,""))</f>
        <v/>
      </c>
      <c r="Q312" s="140" t="str">
        <f>IF(C312="","",IF(N(M312)&gt;0,M312+ROW()/1E9,""))</f>
        <v/>
      </c>
    </row>
    <row r="313">
      <c r="A313" s="141" t="str">
        <f>IF(C313="","","FIIs")</f>
        <v/>
      </c>
      <c r="B313" s="141" t="str">
        <f>IF(C313="","","Brasil")</f>
        <v/>
      </c>
      <c r="C313" s="141" t="str">
        <f>IF('04 FIIs'!A116="","",'04 FIIs'!A116&amp;"")</f>
        <v/>
      </c>
      <c r="D313" s="141" t="str">
        <f>IF(C313="","",'04 FIIs'!B116&amp;"")</f>
        <v/>
      </c>
      <c r="E313" s="141" t="str">
        <f>IF(C313="","",'04 FIIs'!C116&amp;"")</f>
        <v/>
      </c>
      <c r="F313" s="141" t="str">
        <f>IF(C313="","",'04 FIIs'!V116)</f>
        <v/>
      </c>
      <c r="G313" s="142" t="str">
        <f>IF(C313="","",'04 FIIs'!E116)</f>
        <v/>
      </c>
      <c r="H313" s="143" t="str">
        <f>IF(C313="","",'04 FIIs'!H116)</f>
        <v/>
      </c>
      <c r="I313" s="144" t="str">
        <f>IF(C313="","",'04 FIIs'!J116)</f>
        <v/>
      </c>
      <c r="J313" s="145" t="str">
        <f>IF(C313="","",'04 FIIs'!K116)</f>
        <v/>
      </c>
      <c r="K313" s="145" t="str">
        <f>IF(C313="","",'04 FIIs'!Q116)</f>
        <v/>
      </c>
      <c r="L313" s="142" t="str">
        <f>IF(C313="","",'04 FIIs'!R116)</f>
        <v/>
      </c>
      <c r="M313" s="145" t="str">
        <f>IF(C313="","",'04 FIIs'!T116)</f>
        <v/>
      </c>
      <c r="N313" s="146" t="str">
        <f>IF(C313="","",IF($J$3&gt;0,J313/$J$3,0))</f>
        <v/>
      </c>
      <c r="O313" s="141" t="str">
        <f>IF(C313="","",'04 FIIs'!I116)</f>
        <v/>
      </c>
      <c r="P313" s="147" t="str">
        <f>IF(C313="","",IF(N(J313)&gt;0,J313+ROW()/1E9,""))</f>
        <v/>
      </c>
      <c r="Q313" s="147" t="str">
        <f>IF(C313="","",IF(N(M313)&gt;0,M313+ROW()/1E9,""))</f>
        <v/>
      </c>
    </row>
    <row r="314">
      <c r="A314" s="134" t="str">
        <f>IF(C314="","","FIIs")</f>
        <v/>
      </c>
      <c r="B314" s="134" t="str">
        <f>IF(C314="","","Brasil")</f>
        <v/>
      </c>
      <c r="C314" s="134" t="str">
        <f>IF('04 FIIs'!A117="","",'04 FIIs'!A117&amp;"")</f>
        <v/>
      </c>
      <c r="D314" s="134" t="str">
        <f>IF(C314="","",'04 FIIs'!B117&amp;"")</f>
        <v/>
      </c>
      <c r="E314" s="134" t="str">
        <f>IF(C314="","",'04 FIIs'!C117&amp;"")</f>
        <v/>
      </c>
      <c r="F314" s="134" t="str">
        <f>IF(C314="","",'04 FIIs'!V117)</f>
        <v/>
      </c>
      <c r="G314" s="135" t="str">
        <f>IF(C314="","",'04 FIIs'!E117)</f>
        <v/>
      </c>
      <c r="H314" s="136" t="str">
        <f>IF(C314="","",'04 FIIs'!H117)</f>
        <v/>
      </c>
      <c r="I314" s="137" t="str">
        <f>IF(C314="","",'04 FIIs'!J117)</f>
        <v/>
      </c>
      <c r="J314" s="138" t="str">
        <f>IF(C314="","",'04 FIIs'!K117)</f>
        <v/>
      </c>
      <c r="K314" s="138" t="str">
        <f>IF(C314="","",'04 FIIs'!Q117)</f>
        <v/>
      </c>
      <c r="L314" s="135" t="str">
        <f>IF(C314="","",'04 FIIs'!R117)</f>
        <v/>
      </c>
      <c r="M314" s="138" t="str">
        <f>IF(C314="","",'04 FIIs'!T117)</f>
        <v/>
      </c>
      <c r="N314" s="139" t="str">
        <f>IF(C314="","",IF($J$3&gt;0,J314/$J$3,0))</f>
        <v/>
      </c>
      <c r="O314" s="134" t="str">
        <f>IF(C314="","",'04 FIIs'!I117)</f>
        <v/>
      </c>
      <c r="P314" s="140" t="str">
        <f>IF(C314="","",IF(N(J314)&gt;0,J314+ROW()/1E9,""))</f>
        <v/>
      </c>
      <c r="Q314" s="140" t="str">
        <f>IF(C314="","",IF(N(M314)&gt;0,M314+ROW()/1E9,""))</f>
        <v/>
      </c>
    </row>
    <row r="315">
      <c r="A315" s="141" t="str">
        <f>IF(C315="","","FIIs")</f>
        <v/>
      </c>
      <c r="B315" s="141" t="str">
        <f>IF(C315="","","Brasil")</f>
        <v/>
      </c>
      <c r="C315" s="141" t="str">
        <f>IF('04 FIIs'!A118="","",'04 FIIs'!A118&amp;"")</f>
        <v/>
      </c>
      <c r="D315" s="141" t="str">
        <f>IF(C315="","",'04 FIIs'!B118&amp;"")</f>
        <v/>
      </c>
      <c r="E315" s="141" t="str">
        <f>IF(C315="","",'04 FIIs'!C118&amp;"")</f>
        <v/>
      </c>
      <c r="F315" s="141" t="str">
        <f>IF(C315="","",'04 FIIs'!V118)</f>
        <v/>
      </c>
      <c r="G315" s="142" t="str">
        <f>IF(C315="","",'04 FIIs'!E118)</f>
        <v/>
      </c>
      <c r="H315" s="143" t="str">
        <f>IF(C315="","",'04 FIIs'!H118)</f>
        <v/>
      </c>
      <c r="I315" s="144" t="str">
        <f>IF(C315="","",'04 FIIs'!J118)</f>
        <v/>
      </c>
      <c r="J315" s="145" t="str">
        <f>IF(C315="","",'04 FIIs'!K118)</f>
        <v/>
      </c>
      <c r="K315" s="145" t="str">
        <f>IF(C315="","",'04 FIIs'!Q118)</f>
        <v/>
      </c>
      <c r="L315" s="142" t="str">
        <f>IF(C315="","",'04 FIIs'!R118)</f>
        <v/>
      </c>
      <c r="M315" s="145" t="str">
        <f>IF(C315="","",'04 FIIs'!T118)</f>
        <v/>
      </c>
      <c r="N315" s="146" t="str">
        <f>IF(C315="","",IF($J$3&gt;0,J315/$J$3,0))</f>
        <v/>
      </c>
      <c r="O315" s="141" t="str">
        <f>IF(C315="","",'04 FIIs'!I118)</f>
        <v/>
      </c>
      <c r="P315" s="147" t="str">
        <f>IF(C315="","",IF(N(J315)&gt;0,J315+ROW()/1E9,""))</f>
        <v/>
      </c>
      <c r="Q315" s="147" t="str">
        <f>IF(C315="","",IF(N(M315)&gt;0,M315+ROW()/1E9,""))</f>
        <v/>
      </c>
    </row>
    <row r="316">
      <c r="A316" s="134" t="str">
        <f>IF(C316="","","FIIs")</f>
        <v/>
      </c>
      <c r="B316" s="134" t="str">
        <f>IF(C316="","","Brasil")</f>
        <v/>
      </c>
      <c r="C316" s="134" t="str">
        <f>IF('04 FIIs'!A119="","",'04 FIIs'!A119&amp;"")</f>
        <v/>
      </c>
      <c r="D316" s="134" t="str">
        <f>IF(C316="","",'04 FIIs'!B119&amp;"")</f>
        <v/>
      </c>
      <c r="E316" s="134" t="str">
        <f>IF(C316="","",'04 FIIs'!C119&amp;"")</f>
        <v/>
      </c>
      <c r="F316" s="134" t="str">
        <f>IF(C316="","",'04 FIIs'!V119)</f>
        <v/>
      </c>
      <c r="G316" s="135" t="str">
        <f>IF(C316="","",'04 FIIs'!E119)</f>
        <v/>
      </c>
      <c r="H316" s="136" t="str">
        <f>IF(C316="","",'04 FIIs'!H119)</f>
        <v/>
      </c>
      <c r="I316" s="137" t="str">
        <f>IF(C316="","",'04 FIIs'!J119)</f>
        <v/>
      </c>
      <c r="J316" s="138" t="str">
        <f>IF(C316="","",'04 FIIs'!K119)</f>
        <v/>
      </c>
      <c r="K316" s="138" t="str">
        <f>IF(C316="","",'04 FIIs'!Q119)</f>
        <v/>
      </c>
      <c r="L316" s="135" t="str">
        <f>IF(C316="","",'04 FIIs'!R119)</f>
        <v/>
      </c>
      <c r="M316" s="138" t="str">
        <f>IF(C316="","",'04 FIIs'!T119)</f>
        <v/>
      </c>
      <c r="N316" s="139" t="str">
        <f>IF(C316="","",IF($J$3&gt;0,J316/$J$3,0))</f>
        <v/>
      </c>
      <c r="O316" s="134" t="str">
        <f>IF(C316="","",'04 FIIs'!I119)</f>
        <v/>
      </c>
      <c r="P316" s="140" t="str">
        <f>IF(C316="","",IF(N(J316)&gt;0,J316+ROW()/1E9,""))</f>
        <v/>
      </c>
      <c r="Q316" s="140" t="str">
        <f>IF(C316="","",IF(N(M316)&gt;0,M316+ROW()/1E9,""))</f>
        <v/>
      </c>
    </row>
    <row r="317">
      <c r="A317" s="141" t="str">
        <f>IF(C317="","","FIIs")</f>
        <v/>
      </c>
      <c r="B317" s="141" t="str">
        <f>IF(C317="","","Brasil")</f>
        <v/>
      </c>
      <c r="C317" s="141" t="str">
        <f>IF('04 FIIs'!A120="","",'04 FIIs'!A120&amp;"")</f>
        <v/>
      </c>
      <c r="D317" s="141" t="str">
        <f>IF(C317="","",'04 FIIs'!B120&amp;"")</f>
        <v/>
      </c>
      <c r="E317" s="141" t="str">
        <f>IF(C317="","",'04 FIIs'!C120&amp;"")</f>
        <v/>
      </c>
      <c r="F317" s="141" t="str">
        <f>IF(C317="","",'04 FIIs'!V120)</f>
        <v/>
      </c>
      <c r="G317" s="142" t="str">
        <f>IF(C317="","",'04 FIIs'!E120)</f>
        <v/>
      </c>
      <c r="H317" s="143" t="str">
        <f>IF(C317="","",'04 FIIs'!H120)</f>
        <v/>
      </c>
      <c r="I317" s="144" t="str">
        <f>IF(C317="","",'04 FIIs'!J120)</f>
        <v/>
      </c>
      <c r="J317" s="145" t="str">
        <f>IF(C317="","",'04 FIIs'!K120)</f>
        <v/>
      </c>
      <c r="K317" s="145" t="str">
        <f>IF(C317="","",'04 FIIs'!Q120)</f>
        <v/>
      </c>
      <c r="L317" s="142" t="str">
        <f>IF(C317="","",'04 FIIs'!R120)</f>
        <v/>
      </c>
      <c r="M317" s="145" t="str">
        <f>IF(C317="","",'04 FIIs'!T120)</f>
        <v/>
      </c>
      <c r="N317" s="146" t="str">
        <f>IF(C317="","",IF($J$3&gt;0,J317/$J$3,0))</f>
        <v/>
      </c>
      <c r="O317" s="141" t="str">
        <f>IF(C317="","",'04 FIIs'!I120)</f>
        <v/>
      </c>
      <c r="P317" s="147" t="str">
        <f>IF(C317="","",IF(N(J317)&gt;0,J317+ROW()/1E9,""))</f>
        <v/>
      </c>
      <c r="Q317" s="147" t="str">
        <f>IF(C317="","",IF(N(M317)&gt;0,M317+ROW()/1E9,""))</f>
        <v/>
      </c>
    </row>
    <row r="318">
      <c r="A318" s="134" t="str">
        <f>IF(C318="","","FIIs")</f>
        <v/>
      </c>
      <c r="B318" s="134" t="str">
        <f>IF(C318="","","Brasil")</f>
        <v/>
      </c>
      <c r="C318" s="134" t="str">
        <f>IF('04 FIIs'!A121="","",'04 FIIs'!A121&amp;"")</f>
        <v/>
      </c>
      <c r="D318" s="134" t="str">
        <f>IF(C318="","",'04 FIIs'!B121&amp;"")</f>
        <v/>
      </c>
      <c r="E318" s="134" t="str">
        <f>IF(C318="","",'04 FIIs'!C121&amp;"")</f>
        <v/>
      </c>
      <c r="F318" s="134" t="str">
        <f>IF(C318="","",'04 FIIs'!V121)</f>
        <v/>
      </c>
      <c r="G318" s="135" t="str">
        <f>IF(C318="","",'04 FIIs'!E121)</f>
        <v/>
      </c>
      <c r="H318" s="136" t="str">
        <f>IF(C318="","",'04 FIIs'!H121)</f>
        <v/>
      </c>
      <c r="I318" s="137" t="str">
        <f>IF(C318="","",'04 FIIs'!J121)</f>
        <v/>
      </c>
      <c r="J318" s="138" t="str">
        <f>IF(C318="","",'04 FIIs'!K121)</f>
        <v/>
      </c>
      <c r="K318" s="138" t="str">
        <f>IF(C318="","",'04 FIIs'!Q121)</f>
        <v/>
      </c>
      <c r="L318" s="135" t="str">
        <f>IF(C318="","",'04 FIIs'!R121)</f>
        <v/>
      </c>
      <c r="M318" s="138" t="str">
        <f>IF(C318="","",'04 FIIs'!T121)</f>
        <v/>
      </c>
      <c r="N318" s="139" t="str">
        <f>IF(C318="","",IF($J$3&gt;0,J318/$J$3,0))</f>
        <v/>
      </c>
      <c r="O318" s="134" t="str">
        <f>IF(C318="","",'04 FIIs'!I121)</f>
        <v/>
      </c>
      <c r="P318" s="140" t="str">
        <f>IF(C318="","",IF(N(J318)&gt;0,J318+ROW()/1E9,""))</f>
        <v/>
      </c>
      <c r="Q318" s="140" t="str">
        <f>IF(C318="","",IF(N(M318)&gt;0,M318+ROW()/1E9,""))</f>
        <v/>
      </c>
    </row>
    <row r="319">
      <c r="A319" s="141" t="str">
        <f>IF(C319="","","FIIs")</f>
        <v/>
      </c>
      <c r="B319" s="141" t="str">
        <f>IF(C319="","","Brasil")</f>
        <v/>
      </c>
      <c r="C319" s="141" t="str">
        <f>IF('04 FIIs'!A122="","",'04 FIIs'!A122&amp;"")</f>
        <v/>
      </c>
      <c r="D319" s="141" t="str">
        <f>IF(C319="","",'04 FIIs'!B122&amp;"")</f>
        <v/>
      </c>
      <c r="E319" s="141" t="str">
        <f>IF(C319="","",'04 FIIs'!C122&amp;"")</f>
        <v/>
      </c>
      <c r="F319" s="141" t="str">
        <f>IF(C319="","",'04 FIIs'!V122)</f>
        <v/>
      </c>
      <c r="G319" s="142" t="str">
        <f>IF(C319="","",'04 FIIs'!E122)</f>
        <v/>
      </c>
      <c r="H319" s="143" t="str">
        <f>IF(C319="","",'04 FIIs'!H122)</f>
        <v/>
      </c>
      <c r="I319" s="144" t="str">
        <f>IF(C319="","",'04 FIIs'!J122)</f>
        <v/>
      </c>
      <c r="J319" s="145" t="str">
        <f>IF(C319="","",'04 FIIs'!K122)</f>
        <v/>
      </c>
      <c r="K319" s="145" t="str">
        <f>IF(C319="","",'04 FIIs'!Q122)</f>
        <v/>
      </c>
      <c r="L319" s="142" t="str">
        <f>IF(C319="","",'04 FIIs'!R122)</f>
        <v/>
      </c>
      <c r="M319" s="145" t="str">
        <f>IF(C319="","",'04 FIIs'!T122)</f>
        <v/>
      </c>
      <c r="N319" s="146" t="str">
        <f>IF(C319="","",IF($J$3&gt;0,J319/$J$3,0))</f>
        <v/>
      </c>
      <c r="O319" s="141" t="str">
        <f>IF(C319="","",'04 FIIs'!I122)</f>
        <v/>
      </c>
      <c r="P319" s="147" t="str">
        <f>IF(C319="","",IF(N(J319)&gt;0,J319+ROW()/1E9,""))</f>
        <v/>
      </c>
      <c r="Q319" s="147" t="str">
        <f>IF(C319="","",IF(N(M319)&gt;0,M319+ROW()/1E9,""))</f>
        <v/>
      </c>
    </row>
    <row r="320">
      <c r="A320" s="134" t="str">
        <f>IF(C320="","","FIIs")</f>
        <v/>
      </c>
      <c r="B320" s="134" t="str">
        <f>IF(C320="","","Brasil")</f>
        <v/>
      </c>
      <c r="C320" s="134" t="str">
        <f>IF('04 FIIs'!A123="","",'04 FIIs'!A123&amp;"")</f>
        <v/>
      </c>
      <c r="D320" s="134" t="str">
        <f>IF(C320="","",'04 FIIs'!B123&amp;"")</f>
        <v/>
      </c>
      <c r="E320" s="134" t="str">
        <f>IF(C320="","",'04 FIIs'!C123&amp;"")</f>
        <v/>
      </c>
      <c r="F320" s="134" t="str">
        <f>IF(C320="","",'04 FIIs'!V123)</f>
        <v/>
      </c>
      <c r="G320" s="135" t="str">
        <f>IF(C320="","",'04 FIIs'!E123)</f>
        <v/>
      </c>
      <c r="H320" s="136" t="str">
        <f>IF(C320="","",'04 FIIs'!H123)</f>
        <v/>
      </c>
      <c r="I320" s="137" t="str">
        <f>IF(C320="","",'04 FIIs'!J123)</f>
        <v/>
      </c>
      <c r="J320" s="138" t="str">
        <f>IF(C320="","",'04 FIIs'!K123)</f>
        <v/>
      </c>
      <c r="K320" s="138" t="str">
        <f>IF(C320="","",'04 FIIs'!Q123)</f>
        <v/>
      </c>
      <c r="L320" s="135" t="str">
        <f>IF(C320="","",'04 FIIs'!R123)</f>
        <v/>
      </c>
      <c r="M320" s="138" t="str">
        <f>IF(C320="","",'04 FIIs'!T123)</f>
        <v/>
      </c>
      <c r="N320" s="139" t="str">
        <f>IF(C320="","",IF($J$3&gt;0,J320/$J$3,0))</f>
        <v/>
      </c>
      <c r="O320" s="134" t="str">
        <f>IF(C320="","",'04 FIIs'!I123)</f>
        <v/>
      </c>
      <c r="P320" s="140" t="str">
        <f>IF(C320="","",IF(N(J320)&gt;0,J320+ROW()/1E9,""))</f>
        <v/>
      </c>
      <c r="Q320" s="140" t="str">
        <f>IF(C320="","",IF(N(M320)&gt;0,M320+ROW()/1E9,""))</f>
        <v/>
      </c>
    </row>
    <row r="321">
      <c r="A321" s="141" t="str">
        <f>IF(C321="","","FIIs")</f>
        <v/>
      </c>
      <c r="B321" s="141" t="str">
        <f>IF(C321="","","Brasil")</f>
        <v/>
      </c>
      <c r="C321" s="141" t="str">
        <f>IF('04 FIIs'!A124="","",'04 FIIs'!A124&amp;"")</f>
        <v/>
      </c>
      <c r="D321" s="141" t="str">
        <f>IF(C321="","",'04 FIIs'!B124&amp;"")</f>
        <v/>
      </c>
      <c r="E321" s="141" t="str">
        <f>IF(C321="","",'04 FIIs'!C124&amp;"")</f>
        <v/>
      </c>
      <c r="F321" s="141" t="str">
        <f>IF(C321="","",'04 FIIs'!V124)</f>
        <v/>
      </c>
      <c r="G321" s="142" t="str">
        <f>IF(C321="","",'04 FIIs'!E124)</f>
        <v/>
      </c>
      <c r="H321" s="143" t="str">
        <f>IF(C321="","",'04 FIIs'!H124)</f>
        <v/>
      </c>
      <c r="I321" s="144" t="str">
        <f>IF(C321="","",'04 FIIs'!J124)</f>
        <v/>
      </c>
      <c r="J321" s="145" t="str">
        <f>IF(C321="","",'04 FIIs'!K124)</f>
        <v/>
      </c>
      <c r="K321" s="145" t="str">
        <f>IF(C321="","",'04 FIIs'!Q124)</f>
        <v/>
      </c>
      <c r="L321" s="142" t="str">
        <f>IF(C321="","",'04 FIIs'!R124)</f>
        <v/>
      </c>
      <c r="M321" s="145" t="str">
        <f>IF(C321="","",'04 FIIs'!T124)</f>
        <v/>
      </c>
      <c r="N321" s="146" t="str">
        <f>IF(C321="","",IF($J$3&gt;0,J321/$J$3,0))</f>
        <v/>
      </c>
      <c r="O321" s="141" t="str">
        <f>IF(C321="","",'04 FIIs'!I124)</f>
        <v/>
      </c>
      <c r="P321" s="147" t="str">
        <f>IF(C321="","",IF(N(J321)&gt;0,J321+ROW()/1E9,""))</f>
        <v/>
      </c>
      <c r="Q321" s="147" t="str">
        <f>IF(C321="","",IF(N(M321)&gt;0,M321+ROW()/1E9,""))</f>
        <v/>
      </c>
    </row>
    <row r="322">
      <c r="A322" s="134" t="str">
        <f>IF(C322="","","FIIs")</f>
        <v/>
      </c>
      <c r="B322" s="134" t="str">
        <f>IF(C322="","","Brasil")</f>
        <v/>
      </c>
      <c r="C322" s="134" t="str">
        <f>IF('04 FIIs'!A125="","",'04 FIIs'!A125&amp;"")</f>
        <v/>
      </c>
      <c r="D322" s="134" t="str">
        <f>IF(C322="","",'04 FIIs'!B125&amp;"")</f>
        <v/>
      </c>
      <c r="E322" s="134" t="str">
        <f>IF(C322="","",'04 FIIs'!C125&amp;"")</f>
        <v/>
      </c>
      <c r="F322" s="134" t="str">
        <f>IF(C322="","",'04 FIIs'!V125)</f>
        <v/>
      </c>
      <c r="G322" s="135" t="str">
        <f>IF(C322="","",'04 FIIs'!E125)</f>
        <v/>
      </c>
      <c r="H322" s="136" t="str">
        <f>IF(C322="","",'04 FIIs'!H125)</f>
        <v/>
      </c>
      <c r="I322" s="137" t="str">
        <f>IF(C322="","",'04 FIIs'!J125)</f>
        <v/>
      </c>
      <c r="J322" s="138" t="str">
        <f>IF(C322="","",'04 FIIs'!K125)</f>
        <v/>
      </c>
      <c r="K322" s="138" t="str">
        <f>IF(C322="","",'04 FIIs'!Q125)</f>
        <v/>
      </c>
      <c r="L322" s="135" t="str">
        <f>IF(C322="","",'04 FIIs'!R125)</f>
        <v/>
      </c>
      <c r="M322" s="138" t="str">
        <f>IF(C322="","",'04 FIIs'!T125)</f>
        <v/>
      </c>
      <c r="N322" s="139" t="str">
        <f>IF(C322="","",IF($J$3&gt;0,J322/$J$3,0))</f>
        <v/>
      </c>
      <c r="O322" s="134" t="str">
        <f>IF(C322="","",'04 FIIs'!I125)</f>
        <v/>
      </c>
      <c r="P322" s="140" t="str">
        <f>IF(C322="","",IF(N(J322)&gt;0,J322+ROW()/1E9,""))</f>
        <v/>
      </c>
      <c r="Q322" s="140" t="str">
        <f>IF(C322="","",IF(N(M322)&gt;0,M322+ROW()/1E9,""))</f>
        <v/>
      </c>
    </row>
    <row r="323">
      <c r="A323" s="141" t="str">
        <f>IF(C323="","","FIIs")</f>
        <v/>
      </c>
      <c r="B323" s="141" t="str">
        <f>IF(C323="","","Brasil")</f>
        <v/>
      </c>
      <c r="C323" s="141" t="str">
        <f>IF('04 FIIs'!A126="","",'04 FIIs'!A126&amp;"")</f>
        <v/>
      </c>
      <c r="D323" s="141" t="str">
        <f>IF(C323="","",'04 FIIs'!B126&amp;"")</f>
        <v/>
      </c>
      <c r="E323" s="141" t="str">
        <f>IF(C323="","",'04 FIIs'!C126&amp;"")</f>
        <v/>
      </c>
      <c r="F323" s="141" t="str">
        <f>IF(C323="","",'04 FIIs'!V126)</f>
        <v/>
      </c>
      <c r="G323" s="142" t="str">
        <f>IF(C323="","",'04 FIIs'!E126)</f>
        <v/>
      </c>
      <c r="H323" s="143" t="str">
        <f>IF(C323="","",'04 FIIs'!H126)</f>
        <v/>
      </c>
      <c r="I323" s="144" t="str">
        <f>IF(C323="","",'04 FIIs'!J126)</f>
        <v/>
      </c>
      <c r="J323" s="145" t="str">
        <f>IF(C323="","",'04 FIIs'!K126)</f>
        <v/>
      </c>
      <c r="K323" s="145" t="str">
        <f>IF(C323="","",'04 FIIs'!Q126)</f>
        <v/>
      </c>
      <c r="L323" s="142" t="str">
        <f>IF(C323="","",'04 FIIs'!R126)</f>
        <v/>
      </c>
      <c r="M323" s="145" t="str">
        <f>IF(C323="","",'04 FIIs'!T126)</f>
        <v/>
      </c>
      <c r="N323" s="146" t="str">
        <f>IF(C323="","",IF($J$3&gt;0,J323/$J$3,0))</f>
        <v/>
      </c>
      <c r="O323" s="141" t="str">
        <f>IF(C323="","",'04 FIIs'!I126)</f>
        <v/>
      </c>
      <c r="P323" s="147" t="str">
        <f>IF(C323="","",IF(N(J323)&gt;0,J323+ROW()/1E9,""))</f>
        <v/>
      </c>
      <c r="Q323" s="147" t="str">
        <f>IF(C323="","",IF(N(M323)&gt;0,M323+ROW()/1E9,""))</f>
        <v/>
      </c>
    </row>
    <row r="324">
      <c r="A324" s="134" t="str">
        <f>IF(C324="","","FIIs")</f>
        <v/>
      </c>
      <c r="B324" s="134" t="str">
        <f>IF(C324="","","Brasil")</f>
        <v/>
      </c>
      <c r="C324" s="134" t="str">
        <f>IF('04 FIIs'!A127="","",'04 FIIs'!A127&amp;"")</f>
        <v/>
      </c>
      <c r="D324" s="134" t="str">
        <f>IF(C324="","",'04 FIIs'!B127&amp;"")</f>
        <v/>
      </c>
      <c r="E324" s="134" t="str">
        <f>IF(C324="","",'04 FIIs'!C127&amp;"")</f>
        <v/>
      </c>
      <c r="F324" s="134" t="str">
        <f>IF(C324="","",'04 FIIs'!V127)</f>
        <v/>
      </c>
      <c r="G324" s="135" t="str">
        <f>IF(C324="","",'04 FIIs'!E127)</f>
        <v/>
      </c>
      <c r="H324" s="136" t="str">
        <f>IF(C324="","",'04 FIIs'!H127)</f>
        <v/>
      </c>
      <c r="I324" s="137" t="str">
        <f>IF(C324="","",'04 FIIs'!J127)</f>
        <v/>
      </c>
      <c r="J324" s="138" t="str">
        <f>IF(C324="","",'04 FIIs'!K127)</f>
        <v/>
      </c>
      <c r="K324" s="138" t="str">
        <f>IF(C324="","",'04 FIIs'!Q127)</f>
        <v/>
      </c>
      <c r="L324" s="135" t="str">
        <f>IF(C324="","",'04 FIIs'!R127)</f>
        <v/>
      </c>
      <c r="M324" s="138" t="str">
        <f>IF(C324="","",'04 FIIs'!T127)</f>
        <v/>
      </c>
      <c r="N324" s="139" t="str">
        <f>IF(C324="","",IF($J$3&gt;0,J324/$J$3,0))</f>
        <v/>
      </c>
      <c r="O324" s="134" t="str">
        <f>IF(C324="","",'04 FIIs'!I127)</f>
        <v/>
      </c>
      <c r="P324" s="140" t="str">
        <f>IF(C324="","",IF(N(J324)&gt;0,J324+ROW()/1E9,""))</f>
        <v/>
      </c>
      <c r="Q324" s="140" t="str">
        <f>IF(C324="","",IF(N(M324)&gt;0,M324+ROW()/1E9,""))</f>
        <v/>
      </c>
    </row>
    <row r="325">
      <c r="A325" s="141" t="str">
        <f>IF(C325="","","FIIs")</f>
        <v/>
      </c>
      <c r="B325" s="141" t="str">
        <f>IF(C325="","","Brasil")</f>
        <v/>
      </c>
      <c r="C325" s="141" t="str">
        <f>IF('04 FIIs'!A128="","",'04 FIIs'!A128&amp;"")</f>
        <v/>
      </c>
      <c r="D325" s="141" t="str">
        <f>IF(C325="","",'04 FIIs'!B128&amp;"")</f>
        <v/>
      </c>
      <c r="E325" s="141" t="str">
        <f>IF(C325="","",'04 FIIs'!C128&amp;"")</f>
        <v/>
      </c>
      <c r="F325" s="141" t="str">
        <f>IF(C325="","",'04 FIIs'!V128)</f>
        <v/>
      </c>
      <c r="G325" s="142" t="str">
        <f>IF(C325="","",'04 FIIs'!E128)</f>
        <v/>
      </c>
      <c r="H325" s="143" t="str">
        <f>IF(C325="","",'04 FIIs'!H128)</f>
        <v/>
      </c>
      <c r="I325" s="144" t="str">
        <f>IF(C325="","",'04 FIIs'!J128)</f>
        <v/>
      </c>
      <c r="J325" s="145" t="str">
        <f>IF(C325="","",'04 FIIs'!K128)</f>
        <v/>
      </c>
      <c r="K325" s="145" t="str">
        <f>IF(C325="","",'04 FIIs'!Q128)</f>
        <v/>
      </c>
      <c r="L325" s="142" t="str">
        <f>IF(C325="","",'04 FIIs'!R128)</f>
        <v/>
      </c>
      <c r="M325" s="145" t="str">
        <f>IF(C325="","",'04 FIIs'!T128)</f>
        <v/>
      </c>
      <c r="N325" s="146" t="str">
        <f>IF(C325="","",IF($J$3&gt;0,J325/$J$3,0))</f>
        <v/>
      </c>
      <c r="O325" s="141" t="str">
        <f>IF(C325="","",'04 FIIs'!I128)</f>
        <v/>
      </c>
      <c r="P325" s="147" t="str">
        <f>IF(C325="","",IF(N(J325)&gt;0,J325+ROW()/1E9,""))</f>
        <v/>
      </c>
      <c r="Q325" s="147" t="str">
        <f>IF(C325="","",IF(N(M325)&gt;0,M325+ROW()/1E9,""))</f>
        <v/>
      </c>
    </row>
    <row r="326">
      <c r="A326" s="134" t="str">
        <f>IF(C326="","","FIIs")</f>
        <v/>
      </c>
      <c r="B326" s="134" t="str">
        <f>IF(C326="","","Brasil")</f>
        <v/>
      </c>
      <c r="C326" s="134" t="str">
        <f>IF('04 FIIs'!A129="","",'04 FIIs'!A129&amp;"")</f>
        <v/>
      </c>
      <c r="D326" s="134" t="str">
        <f>IF(C326="","",'04 FIIs'!B129&amp;"")</f>
        <v/>
      </c>
      <c r="E326" s="134" t="str">
        <f>IF(C326="","",'04 FIIs'!C129&amp;"")</f>
        <v/>
      </c>
      <c r="F326" s="134" t="str">
        <f>IF(C326="","",'04 FIIs'!V129)</f>
        <v/>
      </c>
      <c r="G326" s="135" t="str">
        <f>IF(C326="","",'04 FIIs'!E129)</f>
        <v/>
      </c>
      <c r="H326" s="136" t="str">
        <f>IF(C326="","",'04 FIIs'!H129)</f>
        <v/>
      </c>
      <c r="I326" s="137" t="str">
        <f>IF(C326="","",'04 FIIs'!J129)</f>
        <v/>
      </c>
      <c r="J326" s="138" t="str">
        <f>IF(C326="","",'04 FIIs'!K129)</f>
        <v/>
      </c>
      <c r="K326" s="138" t="str">
        <f>IF(C326="","",'04 FIIs'!Q129)</f>
        <v/>
      </c>
      <c r="L326" s="135" t="str">
        <f>IF(C326="","",'04 FIIs'!R129)</f>
        <v/>
      </c>
      <c r="M326" s="138" t="str">
        <f>IF(C326="","",'04 FIIs'!T129)</f>
        <v/>
      </c>
      <c r="N326" s="139" t="str">
        <f>IF(C326="","",IF($J$3&gt;0,J326/$J$3,0))</f>
        <v/>
      </c>
      <c r="O326" s="134" t="str">
        <f>IF(C326="","",'04 FIIs'!I129)</f>
        <v/>
      </c>
      <c r="P326" s="140" t="str">
        <f>IF(C326="","",IF(N(J326)&gt;0,J326+ROW()/1E9,""))</f>
        <v/>
      </c>
      <c r="Q326" s="140" t="str">
        <f>IF(C326="","",IF(N(M326)&gt;0,M326+ROW()/1E9,""))</f>
        <v/>
      </c>
    </row>
    <row r="327">
      <c r="A327" s="141" t="str">
        <f>IF(C327="","","FIIs")</f>
        <v/>
      </c>
      <c r="B327" s="141" t="str">
        <f>IF(C327="","","Brasil")</f>
        <v/>
      </c>
      <c r="C327" s="141" t="str">
        <f>IF('04 FIIs'!A130="","",'04 FIIs'!A130&amp;"")</f>
        <v/>
      </c>
      <c r="D327" s="141" t="str">
        <f>IF(C327="","",'04 FIIs'!B130&amp;"")</f>
        <v/>
      </c>
      <c r="E327" s="141" t="str">
        <f>IF(C327="","",'04 FIIs'!C130&amp;"")</f>
        <v/>
      </c>
      <c r="F327" s="141" t="str">
        <f>IF(C327="","",'04 FIIs'!V130)</f>
        <v/>
      </c>
      <c r="G327" s="142" t="str">
        <f>IF(C327="","",'04 FIIs'!E130)</f>
        <v/>
      </c>
      <c r="H327" s="143" t="str">
        <f>IF(C327="","",'04 FIIs'!H130)</f>
        <v/>
      </c>
      <c r="I327" s="144" t="str">
        <f>IF(C327="","",'04 FIIs'!J130)</f>
        <v/>
      </c>
      <c r="J327" s="145" t="str">
        <f>IF(C327="","",'04 FIIs'!K130)</f>
        <v/>
      </c>
      <c r="K327" s="145" t="str">
        <f>IF(C327="","",'04 FIIs'!Q130)</f>
        <v/>
      </c>
      <c r="L327" s="142" t="str">
        <f>IF(C327="","",'04 FIIs'!R130)</f>
        <v/>
      </c>
      <c r="M327" s="145" t="str">
        <f>IF(C327="","",'04 FIIs'!T130)</f>
        <v/>
      </c>
      <c r="N327" s="146" t="str">
        <f>IF(C327="","",IF($J$3&gt;0,J327/$J$3,0))</f>
        <v/>
      </c>
      <c r="O327" s="141" t="str">
        <f>IF(C327="","",'04 FIIs'!I130)</f>
        <v/>
      </c>
      <c r="P327" s="147" t="str">
        <f>IF(C327="","",IF(N(J327)&gt;0,J327+ROW()/1E9,""))</f>
        <v/>
      </c>
      <c r="Q327" s="147" t="str">
        <f>IF(C327="","",IF(N(M327)&gt;0,M327+ROW()/1E9,""))</f>
        <v/>
      </c>
    </row>
    <row r="328">
      <c r="A328" s="134" t="str">
        <f>IF(C328="","","FIIs")</f>
        <v/>
      </c>
      <c r="B328" s="134" t="str">
        <f>IF(C328="","","Brasil")</f>
        <v/>
      </c>
      <c r="C328" s="134" t="str">
        <f>IF('04 FIIs'!A131="","",'04 FIIs'!A131&amp;"")</f>
        <v/>
      </c>
      <c r="D328" s="134" t="str">
        <f>IF(C328="","",'04 FIIs'!B131&amp;"")</f>
        <v/>
      </c>
      <c r="E328" s="134" t="str">
        <f>IF(C328="","",'04 FIIs'!C131&amp;"")</f>
        <v/>
      </c>
      <c r="F328" s="134" t="str">
        <f>IF(C328="","",'04 FIIs'!V131)</f>
        <v/>
      </c>
      <c r="G328" s="135" t="str">
        <f>IF(C328="","",'04 FIIs'!E131)</f>
        <v/>
      </c>
      <c r="H328" s="136" t="str">
        <f>IF(C328="","",'04 FIIs'!H131)</f>
        <v/>
      </c>
      <c r="I328" s="137" t="str">
        <f>IF(C328="","",'04 FIIs'!J131)</f>
        <v/>
      </c>
      <c r="J328" s="138" t="str">
        <f>IF(C328="","",'04 FIIs'!K131)</f>
        <v/>
      </c>
      <c r="K328" s="138" t="str">
        <f>IF(C328="","",'04 FIIs'!Q131)</f>
        <v/>
      </c>
      <c r="L328" s="135" t="str">
        <f>IF(C328="","",'04 FIIs'!R131)</f>
        <v/>
      </c>
      <c r="M328" s="138" t="str">
        <f>IF(C328="","",'04 FIIs'!T131)</f>
        <v/>
      </c>
      <c r="N328" s="139" t="str">
        <f>IF(C328="","",IF($J$3&gt;0,J328/$J$3,0))</f>
        <v/>
      </c>
      <c r="O328" s="134" t="str">
        <f>IF(C328="","",'04 FIIs'!I131)</f>
        <v/>
      </c>
      <c r="P328" s="140" t="str">
        <f>IF(C328="","",IF(N(J328)&gt;0,J328+ROW()/1E9,""))</f>
        <v/>
      </c>
      <c r="Q328" s="140" t="str">
        <f>IF(C328="","",IF(N(M328)&gt;0,M328+ROW()/1E9,""))</f>
        <v/>
      </c>
    </row>
    <row r="329">
      <c r="A329" s="141" t="str">
        <f>IF(C329="","","FIIs")</f>
        <v/>
      </c>
      <c r="B329" s="141" t="str">
        <f>IF(C329="","","Brasil")</f>
        <v/>
      </c>
      <c r="C329" s="141" t="str">
        <f>IF('04 FIIs'!A132="","",'04 FIIs'!A132&amp;"")</f>
        <v/>
      </c>
      <c r="D329" s="141" t="str">
        <f>IF(C329="","",'04 FIIs'!B132&amp;"")</f>
        <v/>
      </c>
      <c r="E329" s="141" t="str">
        <f>IF(C329="","",'04 FIIs'!C132&amp;"")</f>
        <v/>
      </c>
      <c r="F329" s="141" t="str">
        <f>IF(C329="","",'04 FIIs'!V132)</f>
        <v/>
      </c>
      <c r="G329" s="142" t="str">
        <f>IF(C329="","",'04 FIIs'!E132)</f>
        <v/>
      </c>
      <c r="H329" s="143" t="str">
        <f>IF(C329="","",'04 FIIs'!H132)</f>
        <v/>
      </c>
      <c r="I329" s="144" t="str">
        <f>IF(C329="","",'04 FIIs'!J132)</f>
        <v/>
      </c>
      <c r="J329" s="145" t="str">
        <f>IF(C329="","",'04 FIIs'!K132)</f>
        <v/>
      </c>
      <c r="K329" s="145" t="str">
        <f>IF(C329="","",'04 FIIs'!Q132)</f>
        <v/>
      </c>
      <c r="L329" s="142" t="str">
        <f>IF(C329="","",'04 FIIs'!R132)</f>
        <v/>
      </c>
      <c r="M329" s="145" t="str">
        <f>IF(C329="","",'04 FIIs'!T132)</f>
        <v/>
      </c>
      <c r="N329" s="146" t="str">
        <f>IF(C329="","",IF($J$3&gt;0,J329/$J$3,0))</f>
        <v/>
      </c>
      <c r="O329" s="141" t="str">
        <f>IF(C329="","",'04 FIIs'!I132)</f>
        <v/>
      </c>
      <c r="P329" s="147" t="str">
        <f>IF(C329="","",IF(N(J329)&gt;0,J329+ROW()/1E9,""))</f>
        <v/>
      </c>
      <c r="Q329" s="147" t="str">
        <f>IF(C329="","",IF(N(M329)&gt;0,M329+ROW()/1E9,""))</f>
        <v/>
      </c>
    </row>
    <row r="330">
      <c r="A330" s="134" t="str">
        <f>IF(C330="","","FIIs")</f>
        <v/>
      </c>
      <c r="B330" s="134" t="str">
        <f>IF(C330="","","Brasil")</f>
        <v/>
      </c>
      <c r="C330" s="134" t="str">
        <f>IF('04 FIIs'!A133="","",'04 FIIs'!A133&amp;"")</f>
        <v/>
      </c>
      <c r="D330" s="134" t="str">
        <f>IF(C330="","",'04 FIIs'!B133&amp;"")</f>
        <v/>
      </c>
      <c r="E330" s="134" t="str">
        <f>IF(C330="","",'04 FIIs'!C133&amp;"")</f>
        <v/>
      </c>
      <c r="F330" s="134" t="str">
        <f>IF(C330="","",'04 FIIs'!V133)</f>
        <v/>
      </c>
      <c r="G330" s="135" t="str">
        <f>IF(C330="","",'04 FIIs'!E133)</f>
        <v/>
      </c>
      <c r="H330" s="136" t="str">
        <f>IF(C330="","",'04 FIIs'!H133)</f>
        <v/>
      </c>
      <c r="I330" s="137" t="str">
        <f>IF(C330="","",'04 FIIs'!J133)</f>
        <v/>
      </c>
      <c r="J330" s="138" t="str">
        <f>IF(C330="","",'04 FIIs'!K133)</f>
        <v/>
      </c>
      <c r="K330" s="138" t="str">
        <f>IF(C330="","",'04 FIIs'!Q133)</f>
        <v/>
      </c>
      <c r="L330" s="135" t="str">
        <f>IF(C330="","",'04 FIIs'!R133)</f>
        <v/>
      </c>
      <c r="M330" s="138" t="str">
        <f>IF(C330="","",'04 FIIs'!T133)</f>
        <v/>
      </c>
      <c r="N330" s="139" t="str">
        <f>IF(C330="","",IF($J$3&gt;0,J330/$J$3,0))</f>
        <v/>
      </c>
      <c r="O330" s="134" t="str">
        <f>IF(C330="","",'04 FIIs'!I133)</f>
        <v/>
      </c>
      <c r="P330" s="140" t="str">
        <f>IF(C330="","",IF(N(J330)&gt;0,J330+ROW()/1E9,""))</f>
        <v/>
      </c>
      <c r="Q330" s="140" t="str">
        <f>IF(C330="","",IF(N(M330)&gt;0,M330+ROW()/1E9,""))</f>
        <v/>
      </c>
    </row>
    <row r="331">
      <c r="A331" s="141" t="str">
        <f>IF(C331="","","FIIs")</f>
        <v/>
      </c>
      <c r="B331" s="141" t="str">
        <f>IF(C331="","","Brasil")</f>
        <v/>
      </c>
      <c r="C331" s="141" t="str">
        <f>IF('04 FIIs'!A134="","",'04 FIIs'!A134&amp;"")</f>
        <v/>
      </c>
      <c r="D331" s="141" t="str">
        <f>IF(C331="","",'04 FIIs'!B134&amp;"")</f>
        <v/>
      </c>
      <c r="E331" s="141" t="str">
        <f>IF(C331="","",'04 FIIs'!C134&amp;"")</f>
        <v/>
      </c>
      <c r="F331" s="141" t="str">
        <f>IF(C331="","",'04 FIIs'!V134)</f>
        <v/>
      </c>
      <c r="G331" s="142" t="str">
        <f>IF(C331="","",'04 FIIs'!E134)</f>
        <v/>
      </c>
      <c r="H331" s="143" t="str">
        <f>IF(C331="","",'04 FIIs'!H134)</f>
        <v/>
      </c>
      <c r="I331" s="144" t="str">
        <f>IF(C331="","",'04 FIIs'!J134)</f>
        <v/>
      </c>
      <c r="J331" s="145" t="str">
        <f>IF(C331="","",'04 FIIs'!K134)</f>
        <v/>
      </c>
      <c r="K331" s="145" t="str">
        <f>IF(C331="","",'04 FIIs'!Q134)</f>
        <v/>
      </c>
      <c r="L331" s="142" t="str">
        <f>IF(C331="","",'04 FIIs'!R134)</f>
        <v/>
      </c>
      <c r="M331" s="145" t="str">
        <f>IF(C331="","",'04 FIIs'!T134)</f>
        <v/>
      </c>
      <c r="N331" s="146" t="str">
        <f>IF(C331="","",IF($J$3&gt;0,J331/$J$3,0))</f>
        <v/>
      </c>
      <c r="O331" s="141" t="str">
        <f>IF(C331="","",'04 FIIs'!I134)</f>
        <v/>
      </c>
      <c r="P331" s="147" t="str">
        <f>IF(C331="","",IF(N(J331)&gt;0,J331+ROW()/1E9,""))</f>
        <v/>
      </c>
      <c r="Q331" s="147" t="str">
        <f>IF(C331="","",IF(N(M331)&gt;0,M331+ROW()/1E9,""))</f>
        <v/>
      </c>
    </row>
    <row r="332">
      <c r="A332" s="134" t="str">
        <f>IF(C332="","","FIIs")</f>
        <v/>
      </c>
      <c r="B332" s="134" t="str">
        <f>IF(C332="","","Brasil")</f>
        <v/>
      </c>
      <c r="C332" s="134" t="str">
        <f>IF('04 FIIs'!A135="","",'04 FIIs'!A135&amp;"")</f>
        <v/>
      </c>
      <c r="D332" s="134" t="str">
        <f>IF(C332="","",'04 FIIs'!B135&amp;"")</f>
        <v/>
      </c>
      <c r="E332" s="134" t="str">
        <f>IF(C332="","",'04 FIIs'!C135&amp;"")</f>
        <v/>
      </c>
      <c r="F332" s="134" t="str">
        <f>IF(C332="","",'04 FIIs'!V135)</f>
        <v/>
      </c>
      <c r="G332" s="135" t="str">
        <f>IF(C332="","",'04 FIIs'!E135)</f>
        <v/>
      </c>
      <c r="H332" s="136" t="str">
        <f>IF(C332="","",'04 FIIs'!H135)</f>
        <v/>
      </c>
      <c r="I332" s="137" t="str">
        <f>IF(C332="","",'04 FIIs'!J135)</f>
        <v/>
      </c>
      <c r="J332" s="138" t="str">
        <f>IF(C332="","",'04 FIIs'!K135)</f>
        <v/>
      </c>
      <c r="K332" s="138" t="str">
        <f>IF(C332="","",'04 FIIs'!Q135)</f>
        <v/>
      </c>
      <c r="L332" s="135" t="str">
        <f>IF(C332="","",'04 FIIs'!R135)</f>
        <v/>
      </c>
      <c r="M332" s="138" t="str">
        <f>IF(C332="","",'04 FIIs'!T135)</f>
        <v/>
      </c>
      <c r="N332" s="139" t="str">
        <f>IF(C332="","",IF($J$3&gt;0,J332/$J$3,0))</f>
        <v/>
      </c>
      <c r="O332" s="134" t="str">
        <f>IF(C332="","",'04 FIIs'!I135)</f>
        <v/>
      </c>
      <c r="P332" s="140" t="str">
        <f>IF(C332="","",IF(N(J332)&gt;0,J332+ROW()/1E9,""))</f>
        <v/>
      </c>
      <c r="Q332" s="140" t="str">
        <f>IF(C332="","",IF(N(M332)&gt;0,M332+ROW()/1E9,""))</f>
        <v/>
      </c>
    </row>
    <row r="333">
      <c r="A333" s="141" t="str">
        <f>IF(C333="","","FIIs")</f>
        <v/>
      </c>
      <c r="B333" s="141" t="str">
        <f>IF(C333="","","Brasil")</f>
        <v/>
      </c>
      <c r="C333" s="141" t="str">
        <f>IF('04 FIIs'!A136="","",'04 FIIs'!A136&amp;"")</f>
        <v/>
      </c>
      <c r="D333" s="141" t="str">
        <f>IF(C333="","",'04 FIIs'!B136&amp;"")</f>
        <v/>
      </c>
      <c r="E333" s="141" t="str">
        <f>IF(C333="","",'04 FIIs'!C136&amp;"")</f>
        <v/>
      </c>
      <c r="F333" s="141" t="str">
        <f>IF(C333="","",'04 FIIs'!V136)</f>
        <v/>
      </c>
      <c r="G333" s="142" t="str">
        <f>IF(C333="","",'04 FIIs'!E136)</f>
        <v/>
      </c>
      <c r="H333" s="143" t="str">
        <f>IF(C333="","",'04 FIIs'!H136)</f>
        <v/>
      </c>
      <c r="I333" s="144" t="str">
        <f>IF(C333="","",'04 FIIs'!J136)</f>
        <v/>
      </c>
      <c r="J333" s="145" t="str">
        <f>IF(C333="","",'04 FIIs'!K136)</f>
        <v/>
      </c>
      <c r="K333" s="145" t="str">
        <f>IF(C333="","",'04 FIIs'!Q136)</f>
        <v/>
      </c>
      <c r="L333" s="142" t="str">
        <f>IF(C333="","",'04 FIIs'!R136)</f>
        <v/>
      </c>
      <c r="M333" s="145" t="str">
        <f>IF(C333="","",'04 FIIs'!T136)</f>
        <v/>
      </c>
      <c r="N333" s="146" t="str">
        <f>IF(C333="","",IF($J$3&gt;0,J333/$J$3,0))</f>
        <v/>
      </c>
      <c r="O333" s="141" t="str">
        <f>IF(C333="","",'04 FIIs'!I136)</f>
        <v/>
      </c>
      <c r="P333" s="147" t="str">
        <f>IF(C333="","",IF(N(J333)&gt;0,J333+ROW()/1E9,""))</f>
        <v/>
      </c>
      <c r="Q333" s="147" t="str">
        <f>IF(C333="","",IF(N(M333)&gt;0,M333+ROW()/1E9,""))</f>
        <v/>
      </c>
    </row>
    <row r="334">
      <c r="A334" s="134" t="str">
        <f>IF(C334="","","FIIs")</f>
        <v/>
      </c>
      <c r="B334" s="134" t="str">
        <f>IF(C334="","","Brasil")</f>
        <v/>
      </c>
      <c r="C334" s="134" t="str">
        <f>IF('04 FIIs'!A137="","",'04 FIIs'!A137&amp;"")</f>
        <v/>
      </c>
      <c r="D334" s="134" t="str">
        <f>IF(C334="","",'04 FIIs'!B137&amp;"")</f>
        <v/>
      </c>
      <c r="E334" s="134" t="str">
        <f>IF(C334="","",'04 FIIs'!C137&amp;"")</f>
        <v/>
      </c>
      <c r="F334" s="134" t="str">
        <f>IF(C334="","",'04 FIIs'!V137)</f>
        <v/>
      </c>
      <c r="G334" s="135" t="str">
        <f>IF(C334="","",'04 FIIs'!E137)</f>
        <v/>
      </c>
      <c r="H334" s="136" t="str">
        <f>IF(C334="","",'04 FIIs'!H137)</f>
        <v/>
      </c>
      <c r="I334" s="137" t="str">
        <f>IF(C334="","",'04 FIIs'!J137)</f>
        <v/>
      </c>
      <c r="J334" s="138" t="str">
        <f>IF(C334="","",'04 FIIs'!K137)</f>
        <v/>
      </c>
      <c r="K334" s="138" t="str">
        <f>IF(C334="","",'04 FIIs'!Q137)</f>
        <v/>
      </c>
      <c r="L334" s="135" t="str">
        <f>IF(C334="","",'04 FIIs'!R137)</f>
        <v/>
      </c>
      <c r="M334" s="138" t="str">
        <f>IF(C334="","",'04 FIIs'!T137)</f>
        <v/>
      </c>
      <c r="N334" s="139" t="str">
        <f>IF(C334="","",IF($J$3&gt;0,J334/$J$3,0))</f>
        <v/>
      </c>
      <c r="O334" s="134" t="str">
        <f>IF(C334="","",'04 FIIs'!I137)</f>
        <v/>
      </c>
      <c r="P334" s="140" t="str">
        <f>IF(C334="","",IF(N(J334)&gt;0,J334+ROW()/1E9,""))</f>
        <v/>
      </c>
      <c r="Q334" s="140" t="str">
        <f>IF(C334="","",IF(N(M334)&gt;0,M334+ROW()/1E9,""))</f>
        <v/>
      </c>
    </row>
    <row r="335">
      <c r="A335" s="141" t="str">
        <f>IF(C335="","","FIIs")</f>
        <v/>
      </c>
      <c r="B335" s="141" t="str">
        <f>IF(C335="","","Brasil")</f>
        <v/>
      </c>
      <c r="C335" s="141" t="str">
        <f>IF('04 FIIs'!A138="","",'04 FIIs'!A138&amp;"")</f>
        <v/>
      </c>
      <c r="D335" s="141" t="str">
        <f>IF(C335="","",'04 FIIs'!B138&amp;"")</f>
        <v/>
      </c>
      <c r="E335" s="141" t="str">
        <f>IF(C335="","",'04 FIIs'!C138&amp;"")</f>
        <v/>
      </c>
      <c r="F335" s="141" t="str">
        <f>IF(C335="","",'04 FIIs'!V138)</f>
        <v/>
      </c>
      <c r="G335" s="142" t="str">
        <f>IF(C335="","",'04 FIIs'!E138)</f>
        <v/>
      </c>
      <c r="H335" s="143" t="str">
        <f>IF(C335="","",'04 FIIs'!H138)</f>
        <v/>
      </c>
      <c r="I335" s="144" t="str">
        <f>IF(C335="","",'04 FIIs'!J138)</f>
        <v/>
      </c>
      <c r="J335" s="145" t="str">
        <f>IF(C335="","",'04 FIIs'!K138)</f>
        <v/>
      </c>
      <c r="K335" s="145" t="str">
        <f>IF(C335="","",'04 FIIs'!Q138)</f>
        <v/>
      </c>
      <c r="L335" s="142" t="str">
        <f>IF(C335="","",'04 FIIs'!R138)</f>
        <v/>
      </c>
      <c r="M335" s="145" t="str">
        <f>IF(C335="","",'04 FIIs'!T138)</f>
        <v/>
      </c>
      <c r="N335" s="146" t="str">
        <f>IF(C335="","",IF($J$3&gt;0,J335/$J$3,0))</f>
        <v/>
      </c>
      <c r="O335" s="141" t="str">
        <f>IF(C335="","",'04 FIIs'!I138)</f>
        <v/>
      </c>
      <c r="P335" s="147" t="str">
        <f>IF(C335="","",IF(N(J335)&gt;0,J335+ROW()/1E9,""))</f>
        <v/>
      </c>
      <c r="Q335" s="147" t="str">
        <f>IF(C335="","",IF(N(M335)&gt;0,M335+ROW()/1E9,""))</f>
        <v/>
      </c>
    </row>
    <row r="336">
      <c r="A336" s="134" t="str">
        <f>IF(C336="","","FIIs")</f>
        <v/>
      </c>
      <c r="B336" s="134" t="str">
        <f>IF(C336="","","Brasil")</f>
        <v/>
      </c>
      <c r="C336" s="134" t="str">
        <f>IF('04 FIIs'!A139="","",'04 FIIs'!A139&amp;"")</f>
        <v/>
      </c>
      <c r="D336" s="134" t="str">
        <f>IF(C336="","",'04 FIIs'!B139&amp;"")</f>
        <v/>
      </c>
      <c r="E336" s="134" t="str">
        <f>IF(C336="","",'04 FIIs'!C139&amp;"")</f>
        <v/>
      </c>
      <c r="F336" s="134" t="str">
        <f>IF(C336="","",'04 FIIs'!V139)</f>
        <v/>
      </c>
      <c r="G336" s="135" t="str">
        <f>IF(C336="","",'04 FIIs'!E139)</f>
        <v/>
      </c>
      <c r="H336" s="136" t="str">
        <f>IF(C336="","",'04 FIIs'!H139)</f>
        <v/>
      </c>
      <c r="I336" s="137" t="str">
        <f>IF(C336="","",'04 FIIs'!J139)</f>
        <v/>
      </c>
      <c r="J336" s="138" t="str">
        <f>IF(C336="","",'04 FIIs'!K139)</f>
        <v/>
      </c>
      <c r="K336" s="138" t="str">
        <f>IF(C336="","",'04 FIIs'!Q139)</f>
        <v/>
      </c>
      <c r="L336" s="135" t="str">
        <f>IF(C336="","",'04 FIIs'!R139)</f>
        <v/>
      </c>
      <c r="M336" s="138" t="str">
        <f>IF(C336="","",'04 FIIs'!T139)</f>
        <v/>
      </c>
      <c r="N336" s="139" t="str">
        <f>IF(C336="","",IF($J$3&gt;0,J336/$J$3,0))</f>
        <v/>
      </c>
      <c r="O336" s="134" t="str">
        <f>IF(C336="","",'04 FIIs'!I139)</f>
        <v/>
      </c>
      <c r="P336" s="140" t="str">
        <f>IF(C336="","",IF(N(J336)&gt;0,J336+ROW()/1E9,""))</f>
        <v/>
      </c>
      <c r="Q336" s="140" t="str">
        <f>IF(C336="","",IF(N(M336)&gt;0,M336+ROW()/1E9,""))</f>
        <v/>
      </c>
    </row>
    <row r="337">
      <c r="A337" s="141" t="str">
        <f>IF(C337="","","FIIs")</f>
        <v/>
      </c>
      <c r="B337" s="141" t="str">
        <f>IF(C337="","","Brasil")</f>
        <v/>
      </c>
      <c r="C337" s="141" t="str">
        <f>IF('04 FIIs'!A140="","",'04 FIIs'!A140&amp;"")</f>
        <v/>
      </c>
      <c r="D337" s="141" t="str">
        <f>IF(C337="","",'04 FIIs'!B140&amp;"")</f>
        <v/>
      </c>
      <c r="E337" s="141" t="str">
        <f>IF(C337="","",'04 FIIs'!C140&amp;"")</f>
        <v/>
      </c>
      <c r="F337" s="141" t="str">
        <f>IF(C337="","",'04 FIIs'!V140)</f>
        <v/>
      </c>
      <c r="G337" s="142" t="str">
        <f>IF(C337="","",'04 FIIs'!E140)</f>
        <v/>
      </c>
      <c r="H337" s="143" t="str">
        <f>IF(C337="","",'04 FIIs'!H140)</f>
        <v/>
      </c>
      <c r="I337" s="144" t="str">
        <f>IF(C337="","",'04 FIIs'!J140)</f>
        <v/>
      </c>
      <c r="J337" s="145" t="str">
        <f>IF(C337="","",'04 FIIs'!K140)</f>
        <v/>
      </c>
      <c r="K337" s="145" t="str">
        <f>IF(C337="","",'04 FIIs'!Q140)</f>
        <v/>
      </c>
      <c r="L337" s="142" t="str">
        <f>IF(C337="","",'04 FIIs'!R140)</f>
        <v/>
      </c>
      <c r="M337" s="145" t="str">
        <f>IF(C337="","",'04 FIIs'!T140)</f>
        <v/>
      </c>
      <c r="N337" s="146" t="str">
        <f>IF(C337="","",IF($J$3&gt;0,J337/$J$3,0))</f>
        <v/>
      </c>
      <c r="O337" s="141" t="str">
        <f>IF(C337="","",'04 FIIs'!I140)</f>
        <v/>
      </c>
      <c r="P337" s="147" t="str">
        <f>IF(C337="","",IF(N(J337)&gt;0,J337+ROW()/1E9,""))</f>
        <v/>
      </c>
      <c r="Q337" s="147" t="str">
        <f>IF(C337="","",IF(N(M337)&gt;0,M337+ROW()/1E9,""))</f>
        <v/>
      </c>
    </row>
    <row r="338">
      <c r="A338" s="134" t="str">
        <f>IF(C338="","","FIIs")</f>
        <v/>
      </c>
      <c r="B338" s="134" t="str">
        <f>IF(C338="","","Brasil")</f>
        <v/>
      </c>
      <c r="C338" s="134" t="str">
        <f>IF('04 FIIs'!A141="","",'04 FIIs'!A141&amp;"")</f>
        <v/>
      </c>
      <c r="D338" s="134" t="str">
        <f>IF(C338="","",'04 FIIs'!B141&amp;"")</f>
        <v/>
      </c>
      <c r="E338" s="134" t="str">
        <f>IF(C338="","",'04 FIIs'!C141&amp;"")</f>
        <v/>
      </c>
      <c r="F338" s="134" t="str">
        <f>IF(C338="","",'04 FIIs'!V141)</f>
        <v/>
      </c>
      <c r="G338" s="135" t="str">
        <f>IF(C338="","",'04 FIIs'!E141)</f>
        <v/>
      </c>
      <c r="H338" s="136" t="str">
        <f>IF(C338="","",'04 FIIs'!H141)</f>
        <v/>
      </c>
      <c r="I338" s="137" t="str">
        <f>IF(C338="","",'04 FIIs'!J141)</f>
        <v/>
      </c>
      <c r="J338" s="138" t="str">
        <f>IF(C338="","",'04 FIIs'!K141)</f>
        <v/>
      </c>
      <c r="K338" s="138" t="str">
        <f>IF(C338="","",'04 FIIs'!Q141)</f>
        <v/>
      </c>
      <c r="L338" s="135" t="str">
        <f>IF(C338="","",'04 FIIs'!R141)</f>
        <v/>
      </c>
      <c r="M338" s="138" t="str">
        <f>IF(C338="","",'04 FIIs'!T141)</f>
        <v/>
      </c>
      <c r="N338" s="139" t="str">
        <f>IF(C338="","",IF($J$3&gt;0,J338/$J$3,0))</f>
        <v/>
      </c>
      <c r="O338" s="134" t="str">
        <f>IF(C338="","",'04 FIIs'!I141)</f>
        <v/>
      </c>
      <c r="P338" s="140" t="str">
        <f>IF(C338="","",IF(N(J338)&gt;0,J338+ROW()/1E9,""))</f>
        <v/>
      </c>
      <c r="Q338" s="140" t="str">
        <f>IF(C338="","",IF(N(M338)&gt;0,M338+ROW()/1E9,""))</f>
        <v/>
      </c>
    </row>
    <row r="339">
      <c r="A339" s="141" t="str">
        <f>IF(C339="","","FIIs")</f>
        <v/>
      </c>
      <c r="B339" s="141" t="str">
        <f>IF(C339="","","Brasil")</f>
        <v/>
      </c>
      <c r="C339" s="141" t="str">
        <f>IF('04 FIIs'!A142="","",'04 FIIs'!A142&amp;"")</f>
        <v/>
      </c>
      <c r="D339" s="141" t="str">
        <f>IF(C339="","",'04 FIIs'!B142&amp;"")</f>
        <v/>
      </c>
      <c r="E339" s="141" t="str">
        <f>IF(C339="","",'04 FIIs'!C142&amp;"")</f>
        <v/>
      </c>
      <c r="F339" s="141" t="str">
        <f>IF(C339="","",'04 FIIs'!V142)</f>
        <v/>
      </c>
      <c r="G339" s="142" t="str">
        <f>IF(C339="","",'04 FIIs'!E142)</f>
        <v/>
      </c>
      <c r="H339" s="143" t="str">
        <f>IF(C339="","",'04 FIIs'!H142)</f>
        <v/>
      </c>
      <c r="I339" s="144" t="str">
        <f>IF(C339="","",'04 FIIs'!J142)</f>
        <v/>
      </c>
      <c r="J339" s="145" t="str">
        <f>IF(C339="","",'04 FIIs'!K142)</f>
        <v/>
      </c>
      <c r="K339" s="145" t="str">
        <f>IF(C339="","",'04 FIIs'!Q142)</f>
        <v/>
      </c>
      <c r="L339" s="142" t="str">
        <f>IF(C339="","",'04 FIIs'!R142)</f>
        <v/>
      </c>
      <c r="M339" s="145" t="str">
        <f>IF(C339="","",'04 FIIs'!T142)</f>
        <v/>
      </c>
      <c r="N339" s="146" t="str">
        <f>IF(C339="","",IF($J$3&gt;0,J339/$J$3,0))</f>
        <v/>
      </c>
      <c r="O339" s="141" t="str">
        <f>IF(C339="","",'04 FIIs'!I142)</f>
        <v/>
      </c>
      <c r="P339" s="147" t="str">
        <f>IF(C339="","",IF(N(J339)&gt;0,J339+ROW()/1E9,""))</f>
        <v/>
      </c>
      <c r="Q339" s="147" t="str">
        <f>IF(C339="","",IF(N(M339)&gt;0,M339+ROW()/1E9,""))</f>
        <v/>
      </c>
    </row>
    <row r="340">
      <c r="A340" s="134" t="str">
        <f>IF(C340="","","FIIs")</f>
        <v/>
      </c>
      <c r="B340" s="134" t="str">
        <f>IF(C340="","","Brasil")</f>
        <v/>
      </c>
      <c r="C340" s="134" t="str">
        <f>IF('04 FIIs'!A143="","",'04 FIIs'!A143&amp;"")</f>
        <v/>
      </c>
      <c r="D340" s="134" t="str">
        <f>IF(C340="","",'04 FIIs'!B143&amp;"")</f>
        <v/>
      </c>
      <c r="E340" s="134" t="str">
        <f>IF(C340="","",'04 FIIs'!C143&amp;"")</f>
        <v/>
      </c>
      <c r="F340" s="134" t="str">
        <f>IF(C340="","",'04 FIIs'!V143)</f>
        <v/>
      </c>
      <c r="G340" s="135" t="str">
        <f>IF(C340="","",'04 FIIs'!E143)</f>
        <v/>
      </c>
      <c r="H340" s="136" t="str">
        <f>IF(C340="","",'04 FIIs'!H143)</f>
        <v/>
      </c>
      <c r="I340" s="137" t="str">
        <f>IF(C340="","",'04 FIIs'!J143)</f>
        <v/>
      </c>
      <c r="J340" s="138" t="str">
        <f>IF(C340="","",'04 FIIs'!K143)</f>
        <v/>
      </c>
      <c r="K340" s="138" t="str">
        <f>IF(C340="","",'04 FIIs'!Q143)</f>
        <v/>
      </c>
      <c r="L340" s="135" t="str">
        <f>IF(C340="","",'04 FIIs'!R143)</f>
        <v/>
      </c>
      <c r="M340" s="138" t="str">
        <f>IF(C340="","",'04 FIIs'!T143)</f>
        <v/>
      </c>
      <c r="N340" s="139" t="str">
        <f>IF(C340="","",IF($J$3&gt;0,J340/$J$3,0))</f>
        <v/>
      </c>
      <c r="O340" s="134" t="str">
        <f>IF(C340="","",'04 FIIs'!I143)</f>
        <v/>
      </c>
      <c r="P340" s="140" t="str">
        <f>IF(C340="","",IF(N(J340)&gt;0,J340+ROW()/1E9,""))</f>
        <v/>
      </c>
      <c r="Q340" s="140" t="str">
        <f>IF(C340="","",IF(N(M340)&gt;0,M340+ROW()/1E9,""))</f>
        <v/>
      </c>
    </row>
    <row r="341">
      <c r="A341" s="141" t="str">
        <f>IF(C341="","","FIIs")</f>
        <v/>
      </c>
      <c r="B341" s="141" t="str">
        <f>IF(C341="","","Brasil")</f>
        <v/>
      </c>
      <c r="C341" s="141" t="str">
        <f>IF('04 FIIs'!A144="","",'04 FIIs'!A144&amp;"")</f>
        <v/>
      </c>
      <c r="D341" s="141" t="str">
        <f>IF(C341="","",'04 FIIs'!B144&amp;"")</f>
        <v/>
      </c>
      <c r="E341" s="141" t="str">
        <f>IF(C341="","",'04 FIIs'!C144&amp;"")</f>
        <v/>
      </c>
      <c r="F341" s="141" t="str">
        <f>IF(C341="","",'04 FIIs'!V144)</f>
        <v/>
      </c>
      <c r="G341" s="142" t="str">
        <f>IF(C341="","",'04 FIIs'!E144)</f>
        <v/>
      </c>
      <c r="H341" s="143" t="str">
        <f>IF(C341="","",'04 FIIs'!H144)</f>
        <v/>
      </c>
      <c r="I341" s="144" t="str">
        <f>IF(C341="","",'04 FIIs'!J144)</f>
        <v/>
      </c>
      <c r="J341" s="145" t="str">
        <f>IF(C341="","",'04 FIIs'!K144)</f>
        <v/>
      </c>
      <c r="K341" s="145" t="str">
        <f>IF(C341="","",'04 FIIs'!Q144)</f>
        <v/>
      </c>
      <c r="L341" s="142" t="str">
        <f>IF(C341="","",'04 FIIs'!R144)</f>
        <v/>
      </c>
      <c r="M341" s="145" t="str">
        <f>IF(C341="","",'04 FIIs'!T144)</f>
        <v/>
      </c>
      <c r="N341" s="146" t="str">
        <f>IF(C341="","",IF($J$3&gt;0,J341/$J$3,0))</f>
        <v/>
      </c>
      <c r="O341" s="141" t="str">
        <f>IF(C341="","",'04 FIIs'!I144)</f>
        <v/>
      </c>
      <c r="P341" s="147" t="str">
        <f>IF(C341="","",IF(N(J341)&gt;0,J341+ROW()/1E9,""))</f>
        <v/>
      </c>
      <c r="Q341" s="147" t="str">
        <f>IF(C341="","",IF(N(M341)&gt;0,M341+ROW()/1E9,""))</f>
        <v/>
      </c>
    </row>
    <row r="342">
      <c r="A342" s="134" t="str">
        <f>IF(C342="","","FIIs")</f>
        <v/>
      </c>
      <c r="B342" s="134" t="str">
        <f>IF(C342="","","Brasil")</f>
        <v/>
      </c>
      <c r="C342" s="134" t="str">
        <f>IF('04 FIIs'!A145="","",'04 FIIs'!A145&amp;"")</f>
        <v/>
      </c>
      <c r="D342" s="134" t="str">
        <f>IF(C342="","",'04 FIIs'!B145&amp;"")</f>
        <v/>
      </c>
      <c r="E342" s="134" t="str">
        <f>IF(C342="","",'04 FIIs'!C145&amp;"")</f>
        <v/>
      </c>
      <c r="F342" s="134" t="str">
        <f>IF(C342="","",'04 FIIs'!V145)</f>
        <v/>
      </c>
      <c r="G342" s="135" t="str">
        <f>IF(C342="","",'04 FIIs'!E145)</f>
        <v/>
      </c>
      <c r="H342" s="136" t="str">
        <f>IF(C342="","",'04 FIIs'!H145)</f>
        <v/>
      </c>
      <c r="I342" s="137" t="str">
        <f>IF(C342="","",'04 FIIs'!J145)</f>
        <v/>
      </c>
      <c r="J342" s="138" t="str">
        <f>IF(C342="","",'04 FIIs'!K145)</f>
        <v/>
      </c>
      <c r="K342" s="138" t="str">
        <f>IF(C342="","",'04 FIIs'!Q145)</f>
        <v/>
      </c>
      <c r="L342" s="135" t="str">
        <f>IF(C342="","",'04 FIIs'!R145)</f>
        <v/>
      </c>
      <c r="M342" s="138" t="str">
        <f>IF(C342="","",'04 FIIs'!T145)</f>
        <v/>
      </c>
      <c r="N342" s="139" t="str">
        <f>IF(C342="","",IF($J$3&gt;0,J342/$J$3,0))</f>
        <v/>
      </c>
      <c r="O342" s="134" t="str">
        <f>IF(C342="","",'04 FIIs'!I145)</f>
        <v/>
      </c>
      <c r="P342" s="140" t="str">
        <f>IF(C342="","",IF(N(J342)&gt;0,J342+ROW()/1E9,""))</f>
        <v/>
      </c>
      <c r="Q342" s="140" t="str">
        <f>IF(C342="","",IF(N(M342)&gt;0,M342+ROW()/1E9,""))</f>
        <v/>
      </c>
    </row>
    <row r="343">
      <c r="A343" s="141" t="str">
        <f>IF(C343="","","FIIs")</f>
        <v/>
      </c>
      <c r="B343" s="141" t="str">
        <f>IF(C343="","","Brasil")</f>
        <v/>
      </c>
      <c r="C343" s="141" t="str">
        <f>IF('04 FIIs'!A146="","",'04 FIIs'!A146&amp;"")</f>
        <v/>
      </c>
      <c r="D343" s="141" t="str">
        <f>IF(C343="","",'04 FIIs'!B146&amp;"")</f>
        <v/>
      </c>
      <c r="E343" s="141" t="str">
        <f>IF(C343="","",'04 FIIs'!C146&amp;"")</f>
        <v/>
      </c>
      <c r="F343" s="141" t="str">
        <f>IF(C343="","",'04 FIIs'!V146)</f>
        <v/>
      </c>
      <c r="G343" s="142" t="str">
        <f>IF(C343="","",'04 FIIs'!E146)</f>
        <v/>
      </c>
      <c r="H343" s="143" t="str">
        <f>IF(C343="","",'04 FIIs'!H146)</f>
        <v/>
      </c>
      <c r="I343" s="144" t="str">
        <f>IF(C343="","",'04 FIIs'!J146)</f>
        <v/>
      </c>
      <c r="J343" s="145" t="str">
        <f>IF(C343="","",'04 FIIs'!K146)</f>
        <v/>
      </c>
      <c r="K343" s="145" t="str">
        <f>IF(C343="","",'04 FIIs'!Q146)</f>
        <v/>
      </c>
      <c r="L343" s="142" t="str">
        <f>IF(C343="","",'04 FIIs'!R146)</f>
        <v/>
      </c>
      <c r="M343" s="145" t="str">
        <f>IF(C343="","",'04 FIIs'!T146)</f>
        <v/>
      </c>
      <c r="N343" s="146" t="str">
        <f>IF(C343="","",IF($J$3&gt;0,J343/$J$3,0))</f>
        <v/>
      </c>
      <c r="O343" s="141" t="str">
        <f>IF(C343="","",'04 FIIs'!I146)</f>
        <v/>
      </c>
      <c r="P343" s="147" t="str">
        <f>IF(C343="","",IF(N(J343)&gt;0,J343+ROW()/1E9,""))</f>
        <v/>
      </c>
      <c r="Q343" s="147" t="str">
        <f>IF(C343="","",IF(N(M343)&gt;0,M343+ROW()/1E9,""))</f>
        <v/>
      </c>
    </row>
    <row r="344">
      <c r="A344" s="134" t="str">
        <f>IF(C344="","","FIIs")</f>
        <v/>
      </c>
      <c r="B344" s="134" t="str">
        <f>IF(C344="","","Brasil")</f>
        <v/>
      </c>
      <c r="C344" s="134" t="str">
        <f>IF('04 FIIs'!A147="","",'04 FIIs'!A147&amp;"")</f>
        <v/>
      </c>
      <c r="D344" s="134" t="str">
        <f>IF(C344="","",'04 FIIs'!B147&amp;"")</f>
        <v/>
      </c>
      <c r="E344" s="134" t="str">
        <f>IF(C344="","",'04 FIIs'!C147&amp;"")</f>
        <v/>
      </c>
      <c r="F344" s="134" t="str">
        <f>IF(C344="","",'04 FIIs'!V147)</f>
        <v/>
      </c>
      <c r="G344" s="135" t="str">
        <f>IF(C344="","",'04 FIIs'!E147)</f>
        <v/>
      </c>
      <c r="H344" s="136" t="str">
        <f>IF(C344="","",'04 FIIs'!H147)</f>
        <v/>
      </c>
      <c r="I344" s="137" t="str">
        <f>IF(C344="","",'04 FIIs'!J147)</f>
        <v/>
      </c>
      <c r="J344" s="138" t="str">
        <f>IF(C344="","",'04 FIIs'!K147)</f>
        <v/>
      </c>
      <c r="K344" s="138" t="str">
        <f>IF(C344="","",'04 FIIs'!Q147)</f>
        <v/>
      </c>
      <c r="L344" s="135" t="str">
        <f>IF(C344="","",'04 FIIs'!R147)</f>
        <v/>
      </c>
      <c r="M344" s="138" t="str">
        <f>IF(C344="","",'04 FIIs'!T147)</f>
        <v/>
      </c>
      <c r="N344" s="139" t="str">
        <f>IF(C344="","",IF($J$3&gt;0,J344/$J$3,0))</f>
        <v/>
      </c>
      <c r="O344" s="134" t="str">
        <f>IF(C344="","",'04 FIIs'!I147)</f>
        <v/>
      </c>
      <c r="P344" s="140" t="str">
        <f>IF(C344="","",IF(N(J344)&gt;0,J344+ROW()/1E9,""))</f>
        <v/>
      </c>
      <c r="Q344" s="140" t="str">
        <f>IF(C344="","",IF(N(M344)&gt;0,M344+ROW()/1E9,""))</f>
        <v/>
      </c>
    </row>
    <row r="345">
      <c r="A345" s="141" t="str">
        <f>IF(C345="","","FIIs")</f>
        <v/>
      </c>
      <c r="B345" s="141" t="str">
        <f>IF(C345="","","Brasil")</f>
        <v/>
      </c>
      <c r="C345" s="141" t="str">
        <f>IF('04 FIIs'!A148="","",'04 FIIs'!A148&amp;"")</f>
        <v/>
      </c>
      <c r="D345" s="141" t="str">
        <f>IF(C345="","",'04 FIIs'!B148&amp;"")</f>
        <v/>
      </c>
      <c r="E345" s="141" t="str">
        <f>IF(C345="","",'04 FIIs'!C148&amp;"")</f>
        <v/>
      </c>
      <c r="F345" s="141" t="str">
        <f>IF(C345="","",'04 FIIs'!V148)</f>
        <v/>
      </c>
      <c r="G345" s="142" t="str">
        <f>IF(C345="","",'04 FIIs'!E148)</f>
        <v/>
      </c>
      <c r="H345" s="143" t="str">
        <f>IF(C345="","",'04 FIIs'!H148)</f>
        <v/>
      </c>
      <c r="I345" s="144" t="str">
        <f>IF(C345="","",'04 FIIs'!J148)</f>
        <v/>
      </c>
      <c r="J345" s="145" t="str">
        <f>IF(C345="","",'04 FIIs'!K148)</f>
        <v/>
      </c>
      <c r="K345" s="145" t="str">
        <f>IF(C345="","",'04 FIIs'!Q148)</f>
        <v/>
      </c>
      <c r="L345" s="142" t="str">
        <f>IF(C345="","",'04 FIIs'!R148)</f>
        <v/>
      </c>
      <c r="M345" s="145" t="str">
        <f>IF(C345="","",'04 FIIs'!T148)</f>
        <v/>
      </c>
      <c r="N345" s="146" t="str">
        <f>IF(C345="","",IF($J$3&gt;0,J345/$J$3,0))</f>
        <v/>
      </c>
      <c r="O345" s="141" t="str">
        <f>IF(C345="","",'04 FIIs'!I148)</f>
        <v/>
      </c>
      <c r="P345" s="147" t="str">
        <f>IF(C345="","",IF(N(J345)&gt;0,J345+ROW()/1E9,""))</f>
        <v/>
      </c>
      <c r="Q345" s="147" t="str">
        <f>IF(C345="","",IF(N(M345)&gt;0,M345+ROW()/1E9,""))</f>
        <v/>
      </c>
    </row>
    <row r="346">
      <c r="A346" s="134" t="str">
        <f>IF(C346="","","FIIs")</f>
        <v/>
      </c>
      <c r="B346" s="134" t="str">
        <f>IF(C346="","","Brasil")</f>
        <v/>
      </c>
      <c r="C346" s="134" t="str">
        <f>IF('04 FIIs'!A149="","",'04 FIIs'!A149&amp;"")</f>
        <v/>
      </c>
      <c r="D346" s="134" t="str">
        <f>IF(C346="","",'04 FIIs'!B149&amp;"")</f>
        <v/>
      </c>
      <c r="E346" s="134" t="str">
        <f>IF(C346="","",'04 FIIs'!C149&amp;"")</f>
        <v/>
      </c>
      <c r="F346" s="134" t="str">
        <f>IF(C346="","",'04 FIIs'!V149)</f>
        <v/>
      </c>
      <c r="G346" s="135" t="str">
        <f>IF(C346="","",'04 FIIs'!E149)</f>
        <v/>
      </c>
      <c r="H346" s="136" t="str">
        <f>IF(C346="","",'04 FIIs'!H149)</f>
        <v/>
      </c>
      <c r="I346" s="137" t="str">
        <f>IF(C346="","",'04 FIIs'!J149)</f>
        <v/>
      </c>
      <c r="J346" s="138" t="str">
        <f>IF(C346="","",'04 FIIs'!K149)</f>
        <v/>
      </c>
      <c r="K346" s="138" t="str">
        <f>IF(C346="","",'04 FIIs'!Q149)</f>
        <v/>
      </c>
      <c r="L346" s="135" t="str">
        <f>IF(C346="","",'04 FIIs'!R149)</f>
        <v/>
      </c>
      <c r="M346" s="138" t="str">
        <f>IF(C346="","",'04 FIIs'!T149)</f>
        <v/>
      </c>
      <c r="N346" s="139" t="str">
        <f>IF(C346="","",IF($J$3&gt;0,J346/$J$3,0))</f>
        <v/>
      </c>
      <c r="O346" s="134" t="str">
        <f>IF(C346="","",'04 FIIs'!I149)</f>
        <v/>
      </c>
      <c r="P346" s="140" t="str">
        <f>IF(C346="","",IF(N(J346)&gt;0,J346+ROW()/1E9,""))</f>
        <v/>
      </c>
      <c r="Q346" s="140" t="str">
        <f>IF(C346="","",IF(N(M346)&gt;0,M346+ROW()/1E9,""))</f>
        <v/>
      </c>
    </row>
    <row r="347">
      <c r="A347" s="141" t="str">
        <f>IF(C347="","","FIIs")</f>
        <v/>
      </c>
      <c r="B347" s="141" t="str">
        <f>IF(C347="","","Brasil")</f>
        <v/>
      </c>
      <c r="C347" s="141" t="str">
        <f>IF('04 FIIs'!A150="","",'04 FIIs'!A150&amp;"")</f>
        <v/>
      </c>
      <c r="D347" s="141" t="str">
        <f>IF(C347="","",'04 FIIs'!B150&amp;"")</f>
        <v/>
      </c>
      <c r="E347" s="141" t="str">
        <f>IF(C347="","",'04 FIIs'!C150&amp;"")</f>
        <v/>
      </c>
      <c r="F347" s="141" t="str">
        <f>IF(C347="","",'04 FIIs'!V150)</f>
        <v/>
      </c>
      <c r="G347" s="142" t="str">
        <f>IF(C347="","",'04 FIIs'!E150)</f>
        <v/>
      </c>
      <c r="H347" s="143" t="str">
        <f>IF(C347="","",'04 FIIs'!H150)</f>
        <v/>
      </c>
      <c r="I347" s="144" t="str">
        <f>IF(C347="","",'04 FIIs'!J150)</f>
        <v/>
      </c>
      <c r="J347" s="145" t="str">
        <f>IF(C347="","",'04 FIIs'!K150)</f>
        <v/>
      </c>
      <c r="K347" s="145" t="str">
        <f>IF(C347="","",'04 FIIs'!Q150)</f>
        <v/>
      </c>
      <c r="L347" s="142" t="str">
        <f>IF(C347="","",'04 FIIs'!R150)</f>
        <v/>
      </c>
      <c r="M347" s="145" t="str">
        <f>IF(C347="","",'04 FIIs'!T150)</f>
        <v/>
      </c>
      <c r="N347" s="146" t="str">
        <f>IF(C347="","",IF($J$3&gt;0,J347/$J$3,0))</f>
        <v/>
      </c>
      <c r="O347" s="141" t="str">
        <f>IF(C347="","",'04 FIIs'!I150)</f>
        <v/>
      </c>
      <c r="P347" s="147" t="str">
        <f>IF(C347="","",IF(N(J347)&gt;0,J347+ROW()/1E9,""))</f>
        <v/>
      </c>
      <c r="Q347" s="147" t="str">
        <f>IF(C347="","",IF(N(M347)&gt;0,M347+ROW()/1E9,""))</f>
        <v/>
      </c>
    </row>
    <row r="348">
      <c r="A348" s="134" t="str">
        <f>IF(C348="","","FIIs")</f>
        <v/>
      </c>
      <c r="B348" s="134" t="str">
        <f>IF(C348="","","Brasil")</f>
        <v/>
      </c>
      <c r="C348" s="134" t="str">
        <f>IF('04 FIIs'!A151="","",'04 FIIs'!A151&amp;"")</f>
        <v/>
      </c>
      <c r="D348" s="134" t="str">
        <f>IF(C348="","",'04 FIIs'!B151&amp;"")</f>
        <v/>
      </c>
      <c r="E348" s="134" t="str">
        <f>IF(C348="","",'04 FIIs'!C151&amp;"")</f>
        <v/>
      </c>
      <c r="F348" s="134" t="str">
        <f>IF(C348="","",'04 FIIs'!V151)</f>
        <v/>
      </c>
      <c r="G348" s="135" t="str">
        <f>IF(C348="","",'04 FIIs'!E151)</f>
        <v/>
      </c>
      <c r="H348" s="136" t="str">
        <f>IF(C348="","",'04 FIIs'!H151)</f>
        <v/>
      </c>
      <c r="I348" s="137" t="str">
        <f>IF(C348="","",'04 FIIs'!J151)</f>
        <v/>
      </c>
      <c r="J348" s="138" t="str">
        <f>IF(C348="","",'04 FIIs'!K151)</f>
        <v/>
      </c>
      <c r="K348" s="138" t="str">
        <f>IF(C348="","",'04 FIIs'!Q151)</f>
        <v/>
      </c>
      <c r="L348" s="135" t="str">
        <f>IF(C348="","",'04 FIIs'!R151)</f>
        <v/>
      </c>
      <c r="M348" s="138" t="str">
        <f>IF(C348="","",'04 FIIs'!T151)</f>
        <v/>
      </c>
      <c r="N348" s="139" t="str">
        <f>IF(C348="","",IF($J$3&gt;0,J348/$J$3,0))</f>
        <v/>
      </c>
      <c r="O348" s="134" t="str">
        <f>IF(C348="","",'04 FIIs'!I151)</f>
        <v/>
      </c>
      <c r="P348" s="140" t="str">
        <f>IF(C348="","",IF(N(J348)&gt;0,J348+ROW()/1E9,""))</f>
        <v/>
      </c>
      <c r="Q348" s="140" t="str">
        <f>IF(C348="","",IF(N(M348)&gt;0,M348+ROW()/1E9,""))</f>
        <v/>
      </c>
    </row>
    <row r="349">
      <c r="A349" s="141" t="str">
        <f>IF(C349="","","FIIs")</f>
        <v/>
      </c>
      <c r="B349" s="141" t="str">
        <f>IF(C349="","","Brasil")</f>
        <v/>
      </c>
      <c r="C349" s="141" t="str">
        <f>IF('04 FIIs'!A152="","",'04 FIIs'!A152&amp;"")</f>
        <v/>
      </c>
      <c r="D349" s="141" t="str">
        <f>IF(C349="","",'04 FIIs'!B152&amp;"")</f>
        <v/>
      </c>
      <c r="E349" s="141" t="str">
        <f>IF(C349="","",'04 FIIs'!C152&amp;"")</f>
        <v/>
      </c>
      <c r="F349" s="141" t="str">
        <f>IF(C349="","",'04 FIIs'!V152)</f>
        <v/>
      </c>
      <c r="G349" s="142" t="str">
        <f>IF(C349="","",'04 FIIs'!E152)</f>
        <v/>
      </c>
      <c r="H349" s="143" t="str">
        <f>IF(C349="","",'04 FIIs'!H152)</f>
        <v/>
      </c>
      <c r="I349" s="144" t="str">
        <f>IF(C349="","",'04 FIIs'!J152)</f>
        <v/>
      </c>
      <c r="J349" s="145" t="str">
        <f>IF(C349="","",'04 FIIs'!K152)</f>
        <v/>
      </c>
      <c r="K349" s="145" t="str">
        <f>IF(C349="","",'04 FIIs'!Q152)</f>
        <v/>
      </c>
      <c r="L349" s="142" t="str">
        <f>IF(C349="","",'04 FIIs'!R152)</f>
        <v/>
      </c>
      <c r="M349" s="145" t="str">
        <f>IF(C349="","",'04 FIIs'!T152)</f>
        <v/>
      </c>
      <c r="N349" s="146" t="str">
        <f>IF(C349="","",IF($J$3&gt;0,J349/$J$3,0))</f>
        <v/>
      </c>
      <c r="O349" s="141" t="str">
        <f>IF(C349="","",'04 FIIs'!I152)</f>
        <v/>
      </c>
      <c r="P349" s="147" t="str">
        <f>IF(C349="","",IF(N(J349)&gt;0,J349+ROW()/1E9,""))</f>
        <v/>
      </c>
      <c r="Q349" s="147" t="str">
        <f>IF(C349="","",IF(N(M349)&gt;0,M349+ROW()/1E9,""))</f>
        <v/>
      </c>
    </row>
    <row r="350">
      <c r="A350" s="134" t="str">
        <f>IF(C350="","","FIIs")</f>
        <v/>
      </c>
      <c r="B350" s="134" t="str">
        <f>IF(C350="","","Brasil")</f>
        <v/>
      </c>
      <c r="C350" s="134" t="str">
        <f>IF('04 FIIs'!A153="","",'04 FIIs'!A153&amp;"")</f>
        <v/>
      </c>
      <c r="D350" s="134" t="str">
        <f>IF(C350="","",'04 FIIs'!B153&amp;"")</f>
        <v/>
      </c>
      <c r="E350" s="134" t="str">
        <f>IF(C350="","",'04 FIIs'!C153&amp;"")</f>
        <v/>
      </c>
      <c r="F350" s="134" t="str">
        <f>IF(C350="","",'04 FIIs'!V153)</f>
        <v/>
      </c>
      <c r="G350" s="135" t="str">
        <f>IF(C350="","",'04 FIIs'!E153)</f>
        <v/>
      </c>
      <c r="H350" s="136" t="str">
        <f>IF(C350="","",'04 FIIs'!H153)</f>
        <v/>
      </c>
      <c r="I350" s="137" t="str">
        <f>IF(C350="","",'04 FIIs'!J153)</f>
        <v/>
      </c>
      <c r="J350" s="138" t="str">
        <f>IF(C350="","",'04 FIIs'!K153)</f>
        <v/>
      </c>
      <c r="K350" s="138" t="str">
        <f>IF(C350="","",'04 FIIs'!Q153)</f>
        <v/>
      </c>
      <c r="L350" s="135" t="str">
        <f>IF(C350="","",'04 FIIs'!R153)</f>
        <v/>
      </c>
      <c r="M350" s="138" t="str">
        <f>IF(C350="","",'04 FIIs'!T153)</f>
        <v/>
      </c>
      <c r="N350" s="139" t="str">
        <f>IF(C350="","",IF($J$3&gt;0,J350/$J$3,0))</f>
        <v/>
      </c>
      <c r="O350" s="134" t="str">
        <f>IF(C350="","",'04 FIIs'!I153)</f>
        <v/>
      </c>
      <c r="P350" s="140" t="str">
        <f>IF(C350="","",IF(N(J350)&gt;0,J350+ROW()/1E9,""))</f>
        <v/>
      </c>
      <c r="Q350" s="140" t="str">
        <f>IF(C350="","",IF(N(M350)&gt;0,M350+ROW()/1E9,""))</f>
        <v/>
      </c>
    </row>
    <row r="351">
      <c r="A351" s="141" t="str">
        <f>IF(C351="","","FIIs")</f>
        <v/>
      </c>
      <c r="B351" s="141" t="str">
        <f>IF(C351="","","Brasil")</f>
        <v/>
      </c>
      <c r="C351" s="141" t="str">
        <f>IF('04 FIIs'!A154="","",'04 FIIs'!A154&amp;"")</f>
        <v/>
      </c>
      <c r="D351" s="141" t="str">
        <f>IF(C351="","",'04 FIIs'!B154&amp;"")</f>
        <v/>
      </c>
      <c r="E351" s="141" t="str">
        <f>IF(C351="","",'04 FIIs'!C154&amp;"")</f>
        <v/>
      </c>
      <c r="F351" s="141" t="str">
        <f>IF(C351="","",'04 FIIs'!V154)</f>
        <v/>
      </c>
      <c r="G351" s="142" t="str">
        <f>IF(C351="","",'04 FIIs'!E154)</f>
        <v/>
      </c>
      <c r="H351" s="143" t="str">
        <f>IF(C351="","",'04 FIIs'!H154)</f>
        <v/>
      </c>
      <c r="I351" s="144" t="str">
        <f>IF(C351="","",'04 FIIs'!J154)</f>
        <v/>
      </c>
      <c r="J351" s="145" t="str">
        <f>IF(C351="","",'04 FIIs'!K154)</f>
        <v/>
      </c>
      <c r="K351" s="145" t="str">
        <f>IF(C351="","",'04 FIIs'!Q154)</f>
        <v/>
      </c>
      <c r="L351" s="142" t="str">
        <f>IF(C351="","",'04 FIIs'!R154)</f>
        <v/>
      </c>
      <c r="M351" s="145" t="str">
        <f>IF(C351="","",'04 FIIs'!T154)</f>
        <v/>
      </c>
      <c r="N351" s="146" t="str">
        <f>IF(C351="","",IF($J$3&gt;0,J351/$J$3,0))</f>
        <v/>
      </c>
      <c r="O351" s="141" t="str">
        <f>IF(C351="","",'04 FIIs'!I154)</f>
        <v/>
      </c>
      <c r="P351" s="147" t="str">
        <f>IF(C351="","",IF(N(J351)&gt;0,J351+ROW()/1E9,""))</f>
        <v/>
      </c>
      <c r="Q351" s="147" t="str">
        <f>IF(C351="","",IF(N(M351)&gt;0,M351+ROW()/1E9,""))</f>
        <v/>
      </c>
    </row>
    <row r="352">
      <c r="A352" s="134" t="str">
        <f>IF(C352="","","FIIs")</f>
        <v/>
      </c>
      <c r="B352" s="134" t="str">
        <f>IF(C352="","","Brasil")</f>
        <v/>
      </c>
      <c r="C352" s="134" t="str">
        <f>IF('04 FIIs'!A155="","",'04 FIIs'!A155&amp;"")</f>
        <v/>
      </c>
      <c r="D352" s="134" t="str">
        <f>IF(C352="","",'04 FIIs'!B155&amp;"")</f>
        <v/>
      </c>
      <c r="E352" s="134" t="str">
        <f>IF(C352="","",'04 FIIs'!C155&amp;"")</f>
        <v/>
      </c>
      <c r="F352" s="134" t="str">
        <f>IF(C352="","",'04 FIIs'!V155)</f>
        <v/>
      </c>
      <c r="G352" s="135" t="str">
        <f>IF(C352="","",'04 FIIs'!E155)</f>
        <v/>
      </c>
      <c r="H352" s="136" t="str">
        <f>IF(C352="","",'04 FIIs'!H155)</f>
        <v/>
      </c>
      <c r="I352" s="137" t="str">
        <f>IF(C352="","",'04 FIIs'!J155)</f>
        <v/>
      </c>
      <c r="J352" s="138" t="str">
        <f>IF(C352="","",'04 FIIs'!K155)</f>
        <v/>
      </c>
      <c r="K352" s="138" t="str">
        <f>IF(C352="","",'04 FIIs'!Q155)</f>
        <v/>
      </c>
      <c r="L352" s="135" t="str">
        <f>IF(C352="","",'04 FIIs'!R155)</f>
        <v/>
      </c>
      <c r="M352" s="138" t="str">
        <f>IF(C352="","",'04 FIIs'!T155)</f>
        <v/>
      </c>
      <c r="N352" s="139" t="str">
        <f>IF(C352="","",IF($J$3&gt;0,J352/$J$3,0))</f>
        <v/>
      </c>
      <c r="O352" s="134" t="str">
        <f>IF(C352="","",'04 FIIs'!I155)</f>
        <v/>
      </c>
      <c r="P352" s="140" t="str">
        <f>IF(C352="","",IF(N(J352)&gt;0,J352+ROW()/1E9,""))</f>
        <v/>
      </c>
      <c r="Q352" s="140" t="str">
        <f>IF(C352="","",IF(N(M352)&gt;0,M352+ROW()/1E9,""))</f>
        <v/>
      </c>
    </row>
    <row r="353">
      <c r="A353" s="141" t="str">
        <f>IF(C353="","","FIIs")</f>
        <v/>
      </c>
      <c r="B353" s="141" t="str">
        <f>IF(C353="","","Brasil")</f>
        <v/>
      </c>
      <c r="C353" s="141" t="str">
        <f>IF('04 FIIs'!A156="","",'04 FIIs'!A156&amp;"")</f>
        <v/>
      </c>
      <c r="D353" s="141" t="str">
        <f>IF(C353="","",'04 FIIs'!B156&amp;"")</f>
        <v/>
      </c>
      <c r="E353" s="141" t="str">
        <f>IF(C353="","",'04 FIIs'!C156&amp;"")</f>
        <v/>
      </c>
      <c r="F353" s="141" t="str">
        <f>IF(C353="","",'04 FIIs'!V156)</f>
        <v/>
      </c>
      <c r="G353" s="142" t="str">
        <f>IF(C353="","",'04 FIIs'!E156)</f>
        <v/>
      </c>
      <c r="H353" s="143" t="str">
        <f>IF(C353="","",'04 FIIs'!H156)</f>
        <v/>
      </c>
      <c r="I353" s="144" t="str">
        <f>IF(C353="","",'04 FIIs'!J156)</f>
        <v/>
      </c>
      <c r="J353" s="145" t="str">
        <f>IF(C353="","",'04 FIIs'!K156)</f>
        <v/>
      </c>
      <c r="K353" s="145" t="str">
        <f>IF(C353="","",'04 FIIs'!Q156)</f>
        <v/>
      </c>
      <c r="L353" s="142" t="str">
        <f>IF(C353="","",'04 FIIs'!R156)</f>
        <v/>
      </c>
      <c r="M353" s="145" t="str">
        <f>IF(C353="","",'04 FIIs'!T156)</f>
        <v/>
      </c>
      <c r="N353" s="146" t="str">
        <f>IF(C353="","",IF($J$3&gt;0,J353/$J$3,0))</f>
        <v/>
      </c>
      <c r="O353" s="141" t="str">
        <f>IF(C353="","",'04 FIIs'!I156)</f>
        <v/>
      </c>
      <c r="P353" s="147" t="str">
        <f>IF(C353="","",IF(N(J353)&gt;0,J353+ROW()/1E9,""))</f>
        <v/>
      </c>
      <c r="Q353" s="147" t="str">
        <f>IF(C353="","",IF(N(M353)&gt;0,M353+ROW()/1E9,""))</f>
        <v/>
      </c>
    </row>
    <row r="354">
      <c r="A354" s="134" t="str">
        <f>IF(C354="","","FIIs")</f>
        <v/>
      </c>
      <c r="B354" s="134" t="str">
        <f>IF(C354="","","Brasil")</f>
        <v/>
      </c>
      <c r="C354" s="134" t="str">
        <f>IF('04 FIIs'!A157="","",'04 FIIs'!A157&amp;"")</f>
        <v/>
      </c>
      <c r="D354" s="134" t="str">
        <f>IF(C354="","",'04 FIIs'!B157&amp;"")</f>
        <v/>
      </c>
      <c r="E354" s="134" t="str">
        <f>IF(C354="","",'04 FIIs'!C157&amp;"")</f>
        <v/>
      </c>
      <c r="F354" s="134" t="str">
        <f>IF(C354="","",'04 FIIs'!V157)</f>
        <v/>
      </c>
      <c r="G354" s="135" t="str">
        <f>IF(C354="","",'04 FIIs'!E157)</f>
        <v/>
      </c>
      <c r="H354" s="136" t="str">
        <f>IF(C354="","",'04 FIIs'!H157)</f>
        <v/>
      </c>
      <c r="I354" s="137" t="str">
        <f>IF(C354="","",'04 FIIs'!J157)</f>
        <v/>
      </c>
      <c r="J354" s="138" t="str">
        <f>IF(C354="","",'04 FIIs'!K157)</f>
        <v/>
      </c>
      <c r="K354" s="138" t="str">
        <f>IF(C354="","",'04 FIIs'!Q157)</f>
        <v/>
      </c>
      <c r="L354" s="135" t="str">
        <f>IF(C354="","",'04 FIIs'!R157)</f>
        <v/>
      </c>
      <c r="M354" s="138" t="str">
        <f>IF(C354="","",'04 FIIs'!T157)</f>
        <v/>
      </c>
      <c r="N354" s="139" t="str">
        <f>IF(C354="","",IF($J$3&gt;0,J354/$J$3,0))</f>
        <v/>
      </c>
      <c r="O354" s="134" t="str">
        <f>IF(C354="","",'04 FIIs'!I157)</f>
        <v/>
      </c>
      <c r="P354" s="140" t="str">
        <f>IF(C354="","",IF(N(J354)&gt;0,J354+ROW()/1E9,""))</f>
        <v/>
      </c>
      <c r="Q354" s="140" t="str">
        <f>IF(C354="","",IF(N(M354)&gt;0,M354+ROW()/1E9,""))</f>
        <v/>
      </c>
    </row>
    <row r="355">
      <c r="A355" s="141" t="str">
        <f>IF(C355="","","FIIs")</f>
        <v/>
      </c>
      <c r="B355" s="141" t="str">
        <f>IF(C355="","","Brasil")</f>
        <v/>
      </c>
      <c r="C355" s="141" t="str">
        <f>IF('04 FIIs'!A158="","",'04 FIIs'!A158&amp;"")</f>
        <v/>
      </c>
      <c r="D355" s="141" t="str">
        <f>IF(C355="","",'04 FIIs'!B158&amp;"")</f>
        <v/>
      </c>
      <c r="E355" s="141" t="str">
        <f>IF(C355="","",'04 FIIs'!C158&amp;"")</f>
        <v/>
      </c>
      <c r="F355" s="141" t="str">
        <f>IF(C355="","",'04 FIIs'!V158)</f>
        <v/>
      </c>
      <c r="G355" s="142" t="str">
        <f>IF(C355="","",'04 FIIs'!E158)</f>
        <v/>
      </c>
      <c r="H355" s="143" t="str">
        <f>IF(C355="","",'04 FIIs'!H158)</f>
        <v/>
      </c>
      <c r="I355" s="144" t="str">
        <f>IF(C355="","",'04 FIIs'!J158)</f>
        <v/>
      </c>
      <c r="J355" s="145" t="str">
        <f>IF(C355="","",'04 FIIs'!K158)</f>
        <v/>
      </c>
      <c r="K355" s="145" t="str">
        <f>IF(C355="","",'04 FIIs'!Q158)</f>
        <v/>
      </c>
      <c r="L355" s="142" t="str">
        <f>IF(C355="","",'04 FIIs'!R158)</f>
        <v/>
      </c>
      <c r="M355" s="145" t="str">
        <f>IF(C355="","",'04 FIIs'!T158)</f>
        <v/>
      </c>
      <c r="N355" s="146" t="str">
        <f>IF(C355="","",IF($J$3&gt;0,J355/$J$3,0))</f>
        <v/>
      </c>
      <c r="O355" s="141" t="str">
        <f>IF(C355="","",'04 FIIs'!I158)</f>
        <v/>
      </c>
      <c r="P355" s="147" t="str">
        <f>IF(C355="","",IF(N(J355)&gt;0,J355+ROW()/1E9,""))</f>
        <v/>
      </c>
      <c r="Q355" s="147" t="str">
        <f>IF(C355="","",IF(N(M355)&gt;0,M355+ROW()/1E9,""))</f>
        <v/>
      </c>
    </row>
    <row r="356">
      <c r="A356" s="134" t="str">
        <f>IF(C356="","","FIIs")</f>
        <v/>
      </c>
      <c r="B356" s="134" t="str">
        <f>IF(C356="","","Brasil")</f>
        <v/>
      </c>
      <c r="C356" s="134" t="str">
        <f>IF('04 FIIs'!A159="","",'04 FIIs'!A159&amp;"")</f>
        <v/>
      </c>
      <c r="D356" s="134" t="str">
        <f>IF(C356="","",'04 FIIs'!B159&amp;"")</f>
        <v/>
      </c>
      <c r="E356" s="134" t="str">
        <f>IF(C356="","",'04 FIIs'!C159&amp;"")</f>
        <v/>
      </c>
      <c r="F356" s="134" t="str">
        <f>IF(C356="","",'04 FIIs'!V159)</f>
        <v/>
      </c>
      <c r="G356" s="135" t="str">
        <f>IF(C356="","",'04 FIIs'!E159)</f>
        <v/>
      </c>
      <c r="H356" s="136" t="str">
        <f>IF(C356="","",'04 FIIs'!H159)</f>
        <v/>
      </c>
      <c r="I356" s="137" t="str">
        <f>IF(C356="","",'04 FIIs'!J159)</f>
        <v/>
      </c>
      <c r="J356" s="138" t="str">
        <f>IF(C356="","",'04 FIIs'!K159)</f>
        <v/>
      </c>
      <c r="K356" s="138" t="str">
        <f>IF(C356="","",'04 FIIs'!Q159)</f>
        <v/>
      </c>
      <c r="L356" s="135" t="str">
        <f>IF(C356="","",'04 FIIs'!R159)</f>
        <v/>
      </c>
      <c r="M356" s="138" t="str">
        <f>IF(C356="","",'04 FIIs'!T159)</f>
        <v/>
      </c>
      <c r="N356" s="139" t="str">
        <f>IF(C356="","",IF($J$3&gt;0,J356/$J$3,0))</f>
        <v/>
      </c>
      <c r="O356" s="134" t="str">
        <f>IF(C356="","",'04 FIIs'!I159)</f>
        <v/>
      </c>
      <c r="P356" s="140" t="str">
        <f>IF(C356="","",IF(N(J356)&gt;0,J356+ROW()/1E9,""))</f>
        <v/>
      </c>
      <c r="Q356" s="140" t="str">
        <f>IF(C356="","",IF(N(M356)&gt;0,M356+ROW()/1E9,""))</f>
        <v/>
      </c>
    </row>
    <row r="357">
      <c r="A357" s="141" t="str">
        <f>IF(C357="","","FIIs")</f>
        <v/>
      </c>
      <c r="B357" s="141" t="str">
        <f>IF(C357="","","Brasil")</f>
        <v/>
      </c>
      <c r="C357" s="141" t="str">
        <f>IF('04 FIIs'!A160="","",'04 FIIs'!A160&amp;"")</f>
        <v/>
      </c>
      <c r="D357" s="141" t="str">
        <f>IF(C357="","",'04 FIIs'!B160&amp;"")</f>
        <v/>
      </c>
      <c r="E357" s="141" t="str">
        <f>IF(C357="","",'04 FIIs'!C160&amp;"")</f>
        <v/>
      </c>
      <c r="F357" s="141" t="str">
        <f>IF(C357="","",'04 FIIs'!V160)</f>
        <v/>
      </c>
      <c r="G357" s="142" t="str">
        <f>IF(C357="","",'04 FIIs'!E160)</f>
        <v/>
      </c>
      <c r="H357" s="143" t="str">
        <f>IF(C357="","",'04 FIIs'!H160)</f>
        <v/>
      </c>
      <c r="I357" s="144" t="str">
        <f>IF(C357="","",'04 FIIs'!J160)</f>
        <v/>
      </c>
      <c r="J357" s="145" t="str">
        <f>IF(C357="","",'04 FIIs'!K160)</f>
        <v/>
      </c>
      <c r="K357" s="145" t="str">
        <f>IF(C357="","",'04 FIIs'!Q160)</f>
        <v/>
      </c>
      <c r="L357" s="142" t="str">
        <f>IF(C357="","",'04 FIIs'!R160)</f>
        <v/>
      </c>
      <c r="M357" s="145" t="str">
        <f>IF(C357="","",'04 FIIs'!T160)</f>
        <v/>
      </c>
      <c r="N357" s="146" t="str">
        <f>IF(C357="","",IF($J$3&gt;0,J357/$J$3,0))</f>
        <v/>
      </c>
      <c r="O357" s="141" t="str">
        <f>IF(C357="","",'04 FIIs'!I160)</f>
        <v/>
      </c>
      <c r="P357" s="147" t="str">
        <f>IF(C357="","",IF(N(J357)&gt;0,J357+ROW()/1E9,""))</f>
        <v/>
      </c>
      <c r="Q357" s="147" t="str">
        <f>IF(C357="","",IF(N(M357)&gt;0,M357+ROW()/1E9,""))</f>
        <v/>
      </c>
    </row>
    <row r="358">
      <c r="A358" s="134" t="str">
        <f>IF(C358="","","FIIs")</f>
        <v/>
      </c>
      <c r="B358" s="134" t="str">
        <f>IF(C358="","","Brasil")</f>
        <v/>
      </c>
      <c r="C358" s="134" t="str">
        <f>IF('04 FIIs'!A161="","",'04 FIIs'!A161&amp;"")</f>
        <v/>
      </c>
      <c r="D358" s="134" t="str">
        <f>IF(C358="","",'04 FIIs'!B161&amp;"")</f>
        <v/>
      </c>
      <c r="E358" s="134" t="str">
        <f>IF(C358="","",'04 FIIs'!C161&amp;"")</f>
        <v/>
      </c>
      <c r="F358" s="134" t="str">
        <f>IF(C358="","",'04 FIIs'!V161)</f>
        <v/>
      </c>
      <c r="G358" s="135" t="str">
        <f>IF(C358="","",'04 FIIs'!E161)</f>
        <v/>
      </c>
      <c r="H358" s="136" t="str">
        <f>IF(C358="","",'04 FIIs'!H161)</f>
        <v/>
      </c>
      <c r="I358" s="137" t="str">
        <f>IF(C358="","",'04 FIIs'!J161)</f>
        <v/>
      </c>
      <c r="J358" s="138" t="str">
        <f>IF(C358="","",'04 FIIs'!K161)</f>
        <v/>
      </c>
      <c r="K358" s="138" t="str">
        <f>IF(C358="","",'04 FIIs'!Q161)</f>
        <v/>
      </c>
      <c r="L358" s="135" t="str">
        <f>IF(C358="","",'04 FIIs'!R161)</f>
        <v/>
      </c>
      <c r="M358" s="138" t="str">
        <f>IF(C358="","",'04 FIIs'!T161)</f>
        <v/>
      </c>
      <c r="N358" s="139" t="str">
        <f>IF(C358="","",IF($J$3&gt;0,J358/$J$3,0))</f>
        <v/>
      </c>
      <c r="O358" s="134" t="str">
        <f>IF(C358="","",'04 FIIs'!I161)</f>
        <v/>
      </c>
      <c r="P358" s="140" t="str">
        <f>IF(C358="","",IF(N(J358)&gt;0,J358+ROW()/1E9,""))</f>
        <v/>
      </c>
      <c r="Q358" s="140" t="str">
        <f>IF(C358="","",IF(N(M358)&gt;0,M358+ROW()/1E9,""))</f>
        <v/>
      </c>
    </row>
    <row r="359">
      <c r="A359" s="141" t="str">
        <f>IF(C359="","","FIIs")</f>
        <v/>
      </c>
      <c r="B359" s="141" t="str">
        <f>IF(C359="","","Brasil")</f>
        <v/>
      </c>
      <c r="C359" s="141" t="str">
        <f>IF('04 FIIs'!A162="","",'04 FIIs'!A162&amp;"")</f>
        <v/>
      </c>
      <c r="D359" s="141" t="str">
        <f>IF(C359="","",'04 FIIs'!B162&amp;"")</f>
        <v/>
      </c>
      <c r="E359" s="141" t="str">
        <f>IF(C359="","",'04 FIIs'!C162&amp;"")</f>
        <v/>
      </c>
      <c r="F359" s="141" t="str">
        <f>IF(C359="","",'04 FIIs'!V162)</f>
        <v/>
      </c>
      <c r="G359" s="142" t="str">
        <f>IF(C359="","",'04 FIIs'!E162)</f>
        <v/>
      </c>
      <c r="H359" s="143" t="str">
        <f>IF(C359="","",'04 FIIs'!H162)</f>
        <v/>
      </c>
      <c r="I359" s="144" t="str">
        <f>IF(C359="","",'04 FIIs'!J162)</f>
        <v/>
      </c>
      <c r="J359" s="145" t="str">
        <f>IF(C359="","",'04 FIIs'!K162)</f>
        <v/>
      </c>
      <c r="K359" s="145" t="str">
        <f>IF(C359="","",'04 FIIs'!Q162)</f>
        <v/>
      </c>
      <c r="L359" s="142" t="str">
        <f>IF(C359="","",'04 FIIs'!R162)</f>
        <v/>
      </c>
      <c r="M359" s="145" t="str">
        <f>IF(C359="","",'04 FIIs'!T162)</f>
        <v/>
      </c>
      <c r="N359" s="146" t="str">
        <f>IF(C359="","",IF($J$3&gt;0,J359/$J$3,0))</f>
        <v/>
      </c>
      <c r="O359" s="141" t="str">
        <f>IF(C359="","",'04 FIIs'!I162)</f>
        <v/>
      </c>
      <c r="P359" s="147" t="str">
        <f>IF(C359="","",IF(N(J359)&gt;0,J359+ROW()/1E9,""))</f>
        <v/>
      </c>
      <c r="Q359" s="147" t="str">
        <f>IF(C359="","",IF(N(M359)&gt;0,M359+ROW()/1E9,""))</f>
        <v/>
      </c>
    </row>
    <row r="360">
      <c r="A360" s="134" t="str">
        <f>IF(C360="","","FIIs")</f>
        <v/>
      </c>
      <c r="B360" s="134" t="str">
        <f>IF(C360="","","Brasil")</f>
        <v/>
      </c>
      <c r="C360" s="134" t="str">
        <f>IF('04 FIIs'!A163="","",'04 FIIs'!A163&amp;"")</f>
        <v/>
      </c>
      <c r="D360" s="134" t="str">
        <f>IF(C360="","",'04 FIIs'!B163&amp;"")</f>
        <v/>
      </c>
      <c r="E360" s="134" t="str">
        <f>IF(C360="","",'04 FIIs'!C163&amp;"")</f>
        <v/>
      </c>
      <c r="F360" s="134" t="str">
        <f>IF(C360="","",'04 FIIs'!V163)</f>
        <v/>
      </c>
      <c r="G360" s="135" t="str">
        <f>IF(C360="","",'04 FIIs'!E163)</f>
        <v/>
      </c>
      <c r="H360" s="136" t="str">
        <f>IF(C360="","",'04 FIIs'!H163)</f>
        <v/>
      </c>
      <c r="I360" s="137" t="str">
        <f>IF(C360="","",'04 FIIs'!J163)</f>
        <v/>
      </c>
      <c r="J360" s="138" t="str">
        <f>IF(C360="","",'04 FIIs'!K163)</f>
        <v/>
      </c>
      <c r="K360" s="138" t="str">
        <f>IF(C360="","",'04 FIIs'!Q163)</f>
        <v/>
      </c>
      <c r="L360" s="135" t="str">
        <f>IF(C360="","",'04 FIIs'!R163)</f>
        <v/>
      </c>
      <c r="M360" s="138" t="str">
        <f>IF(C360="","",'04 FIIs'!T163)</f>
        <v/>
      </c>
      <c r="N360" s="139" t="str">
        <f>IF(C360="","",IF($J$3&gt;0,J360/$J$3,0))</f>
        <v/>
      </c>
      <c r="O360" s="134" t="str">
        <f>IF(C360="","",'04 FIIs'!I163)</f>
        <v/>
      </c>
      <c r="P360" s="140" t="str">
        <f>IF(C360="","",IF(N(J360)&gt;0,J360+ROW()/1E9,""))</f>
        <v/>
      </c>
      <c r="Q360" s="140" t="str">
        <f>IF(C360="","",IF(N(M360)&gt;0,M360+ROW()/1E9,""))</f>
        <v/>
      </c>
    </row>
    <row r="361">
      <c r="A361" s="141" t="str">
        <f>IF(C361="","","FIIs")</f>
        <v/>
      </c>
      <c r="B361" s="141" t="str">
        <f>IF(C361="","","Brasil")</f>
        <v/>
      </c>
      <c r="C361" s="141" t="str">
        <f>IF('04 FIIs'!A164="","",'04 FIIs'!A164&amp;"")</f>
        <v/>
      </c>
      <c r="D361" s="141" t="str">
        <f>IF(C361="","",'04 FIIs'!B164&amp;"")</f>
        <v/>
      </c>
      <c r="E361" s="141" t="str">
        <f>IF(C361="","",'04 FIIs'!C164&amp;"")</f>
        <v/>
      </c>
      <c r="F361" s="141" t="str">
        <f>IF(C361="","",'04 FIIs'!V164)</f>
        <v/>
      </c>
      <c r="G361" s="142" t="str">
        <f>IF(C361="","",'04 FIIs'!E164)</f>
        <v/>
      </c>
      <c r="H361" s="143" t="str">
        <f>IF(C361="","",'04 FIIs'!H164)</f>
        <v/>
      </c>
      <c r="I361" s="144" t="str">
        <f>IF(C361="","",'04 FIIs'!J164)</f>
        <v/>
      </c>
      <c r="J361" s="145" t="str">
        <f>IF(C361="","",'04 FIIs'!K164)</f>
        <v/>
      </c>
      <c r="K361" s="145" t="str">
        <f>IF(C361="","",'04 FIIs'!Q164)</f>
        <v/>
      </c>
      <c r="L361" s="142" t="str">
        <f>IF(C361="","",'04 FIIs'!R164)</f>
        <v/>
      </c>
      <c r="M361" s="145" t="str">
        <f>IF(C361="","",'04 FIIs'!T164)</f>
        <v/>
      </c>
      <c r="N361" s="146" t="str">
        <f>IF(C361="","",IF($J$3&gt;0,J361/$J$3,0))</f>
        <v/>
      </c>
      <c r="O361" s="141" t="str">
        <f>IF(C361="","",'04 FIIs'!I164)</f>
        <v/>
      </c>
      <c r="P361" s="147" t="str">
        <f>IF(C361="","",IF(N(J361)&gt;0,J361+ROW()/1E9,""))</f>
        <v/>
      </c>
      <c r="Q361" s="147" t="str">
        <f>IF(C361="","",IF(N(M361)&gt;0,M361+ROW()/1E9,""))</f>
        <v/>
      </c>
    </row>
    <row r="362">
      <c r="A362" s="134" t="str">
        <f>IF(C362="","","FIIs")</f>
        <v/>
      </c>
      <c r="B362" s="134" t="str">
        <f>IF(C362="","","Brasil")</f>
        <v/>
      </c>
      <c r="C362" s="134" t="str">
        <f>IF('04 FIIs'!A165="","",'04 FIIs'!A165&amp;"")</f>
        <v/>
      </c>
      <c r="D362" s="134" t="str">
        <f>IF(C362="","",'04 FIIs'!B165&amp;"")</f>
        <v/>
      </c>
      <c r="E362" s="134" t="str">
        <f>IF(C362="","",'04 FIIs'!C165&amp;"")</f>
        <v/>
      </c>
      <c r="F362" s="134" t="str">
        <f>IF(C362="","",'04 FIIs'!V165)</f>
        <v/>
      </c>
      <c r="G362" s="135" t="str">
        <f>IF(C362="","",'04 FIIs'!E165)</f>
        <v/>
      </c>
      <c r="H362" s="136" t="str">
        <f>IF(C362="","",'04 FIIs'!H165)</f>
        <v/>
      </c>
      <c r="I362" s="137" t="str">
        <f>IF(C362="","",'04 FIIs'!J165)</f>
        <v/>
      </c>
      <c r="J362" s="138" t="str">
        <f>IF(C362="","",'04 FIIs'!K165)</f>
        <v/>
      </c>
      <c r="K362" s="138" t="str">
        <f>IF(C362="","",'04 FIIs'!Q165)</f>
        <v/>
      </c>
      <c r="L362" s="135" t="str">
        <f>IF(C362="","",'04 FIIs'!R165)</f>
        <v/>
      </c>
      <c r="M362" s="138" t="str">
        <f>IF(C362="","",'04 FIIs'!T165)</f>
        <v/>
      </c>
      <c r="N362" s="139" t="str">
        <f>IF(C362="","",IF($J$3&gt;0,J362/$J$3,0))</f>
        <v/>
      </c>
      <c r="O362" s="134" t="str">
        <f>IF(C362="","",'04 FIIs'!I165)</f>
        <v/>
      </c>
      <c r="P362" s="140" t="str">
        <f>IF(C362="","",IF(N(J362)&gt;0,J362+ROW()/1E9,""))</f>
        <v/>
      </c>
      <c r="Q362" s="140" t="str">
        <f>IF(C362="","",IF(N(M362)&gt;0,M362+ROW()/1E9,""))</f>
        <v/>
      </c>
    </row>
    <row r="363">
      <c r="A363" s="141" t="str">
        <f>IF(C363="","","FIIs")</f>
        <v/>
      </c>
      <c r="B363" s="141" t="str">
        <f>IF(C363="","","Brasil")</f>
        <v/>
      </c>
      <c r="C363" s="141" t="str">
        <f>IF('04 FIIs'!A166="","",'04 FIIs'!A166&amp;"")</f>
        <v/>
      </c>
      <c r="D363" s="141" t="str">
        <f>IF(C363="","",'04 FIIs'!B166&amp;"")</f>
        <v/>
      </c>
      <c r="E363" s="141" t="str">
        <f>IF(C363="","",'04 FIIs'!C166&amp;"")</f>
        <v/>
      </c>
      <c r="F363" s="141" t="str">
        <f>IF(C363="","",'04 FIIs'!V166)</f>
        <v/>
      </c>
      <c r="G363" s="142" t="str">
        <f>IF(C363="","",'04 FIIs'!E166)</f>
        <v/>
      </c>
      <c r="H363" s="143" t="str">
        <f>IF(C363="","",'04 FIIs'!H166)</f>
        <v/>
      </c>
      <c r="I363" s="144" t="str">
        <f>IF(C363="","",'04 FIIs'!J166)</f>
        <v/>
      </c>
      <c r="J363" s="145" t="str">
        <f>IF(C363="","",'04 FIIs'!K166)</f>
        <v/>
      </c>
      <c r="K363" s="145" t="str">
        <f>IF(C363="","",'04 FIIs'!Q166)</f>
        <v/>
      </c>
      <c r="L363" s="142" t="str">
        <f>IF(C363="","",'04 FIIs'!R166)</f>
        <v/>
      </c>
      <c r="M363" s="145" t="str">
        <f>IF(C363="","",'04 FIIs'!T166)</f>
        <v/>
      </c>
      <c r="N363" s="146" t="str">
        <f>IF(C363="","",IF($J$3&gt;0,J363/$J$3,0))</f>
        <v/>
      </c>
      <c r="O363" s="141" t="str">
        <f>IF(C363="","",'04 FIIs'!I166)</f>
        <v/>
      </c>
      <c r="P363" s="147" t="str">
        <f>IF(C363="","",IF(N(J363)&gt;0,J363+ROW()/1E9,""))</f>
        <v/>
      </c>
      <c r="Q363" s="147" t="str">
        <f>IF(C363="","",IF(N(M363)&gt;0,M363+ROW()/1E9,""))</f>
        <v/>
      </c>
    </row>
    <row r="364">
      <c r="A364" s="134" t="str">
        <f>IF(C364="","","FIIs")</f>
        <v/>
      </c>
      <c r="B364" s="134" t="str">
        <f>IF(C364="","","Brasil")</f>
        <v/>
      </c>
      <c r="C364" s="134" t="str">
        <f>IF('04 FIIs'!A167="","",'04 FIIs'!A167&amp;"")</f>
        <v/>
      </c>
      <c r="D364" s="134" t="str">
        <f>IF(C364="","",'04 FIIs'!B167&amp;"")</f>
        <v/>
      </c>
      <c r="E364" s="134" t="str">
        <f>IF(C364="","",'04 FIIs'!C167&amp;"")</f>
        <v/>
      </c>
      <c r="F364" s="134" t="str">
        <f>IF(C364="","",'04 FIIs'!V167)</f>
        <v/>
      </c>
      <c r="G364" s="135" t="str">
        <f>IF(C364="","",'04 FIIs'!E167)</f>
        <v/>
      </c>
      <c r="H364" s="136" t="str">
        <f>IF(C364="","",'04 FIIs'!H167)</f>
        <v/>
      </c>
      <c r="I364" s="137" t="str">
        <f>IF(C364="","",'04 FIIs'!J167)</f>
        <v/>
      </c>
      <c r="J364" s="138" t="str">
        <f>IF(C364="","",'04 FIIs'!K167)</f>
        <v/>
      </c>
      <c r="K364" s="138" t="str">
        <f>IF(C364="","",'04 FIIs'!Q167)</f>
        <v/>
      </c>
      <c r="L364" s="135" t="str">
        <f>IF(C364="","",'04 FIIs'!R167)</f>
        <v/>
      </c>
      <c r="M364" s="138" t="str">
        <f>IF(C364="","",'04 FIIs'!T167)</f>
        <v/>
      </c>
      <c r="N364" s="139" t="str">
        <f>IF(C364="","",IF($J$3&gt;0,J364/$J$3,0))</f>
        <v/>
      </c>
      <c r="O364" s="134" t="str">
        <f>IF(C364="","",'04 FIIs'!I167)</f>
        <v/>
      </c>
      <c r="P364" s="140" t="str">
        <f>IF(C364="","",IF(N(J364)&gt;0,J364+ROW()/1E9,""))</f>
        <v/>
      </c>
      <c r="Q364" s="140" t="str">
        <f>IF(C364="","",IF(N(M364)&gt;0,M364+ROW()/1E9,""))</f>
        <v/>
      </c>
    </row>
    <row r="365">
      <c r="A365" s="141" t="str">
        <f>IF(C365="","","FIIs")</f>
        <v/>
      </c>
      <c r="B365" s="141" t="str">
        <f>IF(C365="","","Brasil")</f>
        <v/>
      </c>
      <c r="C365" s="141" t="str">
        <f>IF('04 FIIs'!A168="","",'04 FIIs'!A168&amp;"")</f>
        <v/>
      </c>
      <c r="D365" s="141" t="str">
        <f>IF(C365="","",'04 FIIs'!B168&amp;"")</f>
        <v/>
      </c>
      <c r="E365" s="141" t="str">
        <f>IF(C365="","",'04 FIIs'!C168&amp;"")</f>
        <v/>
      </c>
      <c r="F365" s="141" t="str">
        <f>IF(C365="","",'04 FIIs'!V168)</f>
        <v/>
      </c>
      <c r="G365" s="142" t="str">
        <f>IF(C365="","",'04 FIIs'!E168)</f>
        <v/>
      </c>
      <c r="H365" s="143" t="str">
        <f>IF(C365="","",'04 FIIs'!H168)</f>
        <v/>
      </c>
      <c r="I365" s="144" t="str">
        <f>IF(C365="","",'04 FIIs'!J168)</f>
        <v/>
      </c>
      <c r="J365" s="145" t="str">
        <f>IF(C365="","",'04 FIIs'!K168)</f>
        <v/>
      </c>
      <c r="K365" s="145" t="str">
        <f>IF(C365="","",'04 FIIs'!Q168)</f>
        <v/>
      </c>
      <c r="L365" s="142" t="str">
        <f>IF(C365="","",'04 FIIs'!R168)</f>
        <v/>
      </c>
      <c r="M365" s="145" t="str">
        <f>IF(C365="","",'04 FIIs'!T168)</f>
        <v/>
      </c>
      <c r="N365" s="146" t="str">
        <f>IF(C365="","",IF($J$3&gt;0,J365/$J$3,0))</f>
        <v/>
      </c>
      <c r="O365" s="141" t="str">
        <f>IF(C365="","",'04 FIIs'!I168)</f>
        <v/>
      </c>
      <c r="P365" s="147" t="str">
        <f>IF(C365="","",IF(N(J365)&gt;0,J365+ROW()/1E9,""))</f>
        <v/>
      </c>
      <c r="Q365" s="147" t="str">
        <f>IF(C365="","",IF(N(M365)&gt;0,M365+ROW()/1E9,""))</f>
        <v/>
      </c>
    </row>
    <row r="366">
      <c r="A366" s="134" t="str">
        <f>IF(C366="","","FIIs")</f>
        <v/>
      </c>
      <c r="B366" s="134" t="str">
        <f>IF(C366="","","Brasil")</f>
        <v/>
      </c>
      <c r="C366" s="134" t="str">
        <f>IF('04 FIIs'!A169="","",'04 FIIs'!A169&amp;"")</f>
        <v/>
      </c>
      <c r="D366" s="134" t="str">
        <f>IF(C366="","",'04 FIIs'!B169&amp;"")</f>
        <v/>
      </c>
      <c r="E366" s="134" t="str">
        <f>IF(C366="","",'04 FIIs'!C169&amp;"")</f>
        <v/>
      </c>
      <c r="F366" s="134" t="str">
        <f>IF(C366="","",'04 FIIs'!V169)</f>
        <v/>
      </c>
      <c r="G366" s="135" t="str">
        <f>IF(C366="","",'04 FIIs'!E169)</f>
        <v/>
      </c>
      <c r="H366" s="136" t="str">
        <f>IF(C366="","",'04 FIIs'!H169)</f>
        <v/>
      </c>
      <c r="I366" s="137" t="str">
        <f>IF(C366="","",'04 FIIs'!J169)</f>
        <v/>
      </c>
      <c r="J366" s="138" t="str">
        <f>IF(C366="","",'04 FIIs'!K169)</f>
        <v/>
      </c>
      <c r="K366" s="138" t="str">
        <f>IF(C366="","",'04 FIIs'!Q169)</f>
        <v/>
      </c>
      <c r="L366" s="135" t="str">
        <f>IF(C366="","",'04 FIIs'!R169)</f>
        <v/>
      </c>
      <c r="M366" s="138" t="str">
        <f>IF(C366="","",'04 FIIs'!T169)</f>
        <v/>
      </c>
      <c r="N366" s="139" t="str">
        <f>IF(C366="","",IF($J$3&gt;0,J366/$J$3,0))</f>
        <v/>
      </c>
      <c r="O366" s="134" t="str">
        <f>IF(C366="","",'04 FIIs'!I169)</f>
        <v/>
      </c>
      <c r="P366" s="140" t="str">
        <f>IF(C366="","",IF(N(J366)&gt;0,J366+ROW()/1E9,""))</f>
        <v/>
      </c>
      <c r="Q366" s="140" t="str">
        <f>IF(C366="","",IF(N(M366)&gt;0,M366+ROW()/1E9,""))</f>
        <v/>
      </c>
    </row>
    <row r="367">
      <c r="A367" s="141" t="str">
        <f>IF(C367="","","FIIs")</f>
        <v/>
      </c>
      <c r="B367" s="141" t="str">
        <f>IF(C367="","","Brasil")</f>
        <v/>
      </c>
      <c r="C367" s="141" t="str">
        <f>IF('04 FIIs'!A170="","",'04 FIIs'!A170&amp;"")</f>
        <v/>
      </c>
      <c r="D367" s="141" t="str">
        <f>IF(C367="","",'04 FIIs'!B170&amp;"")</f>
        <v/>
      </c>
      <c r="E367" s="141" t="str">
        <f>IF(C367="","",'04 FIIs'!C170&amp;"")</f>
        <v/>
      </c>
      <c r="F367" s="141" t="str">
        <f>IF(C367="","",'04 FIIs'!V170)</f>
        <v/>
      </c>
      <c r="G367" s="142" t="str">
        <f>IF(C367="","",'04 FIIs'!E170)</f>
        <v/>
      </c>
      <c r="H367" s="143" t="str">
        <f>IF(C367="","",'04 FIIs'!H170)</f>
        <v/>
      </c>
      <c r="I367" s="144" t="str">
        <f>IF(C367="","",'04 FIIs'!J170)</f>
        <v/>
      </c>
      <c r="J367" s="145" t="str">
        <f>IF(C367="","",'04 FIIs'!K170)</f>
        <v/>
      </c>
      <c r="K367" s="145" t="str">
        <f>IF(C367="","",'04 FIIs'!Q170)</f>
        <v/>
      </c>
      <c r="L367" s="142" t="str">
        <f>IF(C367="","",'04 FIIs'!R170)</f>
        <v/>
      </c>
      <c r="M367" s="145" t="str">
        <f>IF(C367="","",'04 FIIs'!T170)</f>
        <v/>
      </c>
      <c r="N367" s="146" t="str">
        <f>IF(C367="","",IF($J$3&gt;0,J367/$J$3,0))</f>
        <v/>
      </c>
      <c r="O367" s="141" t="str">
        <f>IF(C367="","",'04 FIIs'!I170)</f>
        <v/>
      </c>
      <c r="P367" s="147" t="str">
        <f>IF(C367="","",IF(N(J367)&gt;0,J367+ROW()/1E9,""))</f>
        <v/>
      </c>
      <c r="Q367" s="147" t="str">
        <f>IF(C367="","",IF(N(M367)&gt;0,M367+ROW()/1E9,""))</f>
        <v/>
      </c>
    </row>
    <row r="368">
      <c r="A368" s="134" t="str">
        <f>IF(C368="","","FIIs")</f>
        <v/>
      </c>
      <c r="B368" s="134" t="str">
        <f>IF(C368="","","Brasil")</f>
        <v/>
      </c>
      <c r="C368" s="134" t="str">
        <f>IF('04 FIIs'!A171="","",'04 FIIs'!A171&amp;"")</f>
        <v/>
      </c>
      <c r="D368" s="134" t="str">
        <f>IF(C368="","",'04 FIIs'!B171&amp;"")</f>
        <v/>
      </c>
      <c r="E368" s="134" t="str">
        <f>IF(C368="","",'04 FIIs'!C171&amp;"")</f>
        <v/>
      </c>
      <c r="F368" s="134" t="str">
        <f>IF(C368="","",'04 FIIs'!V171)</f>
        <v/>
      </c>
      <c r="G368" s="135" t="str">
        <f>IF(C368="","",'04 FIIs'!E171)</f>
        <v/>
      </c>
      <c r="H368" s="136" t="str">
        <f>IF(C368="","",'04 FIIs'!H171)</f>
        <v/>
      </c>
      <c r="I368" s="137" t="str">
        <f>IF(C368="","",'04 FIIs'!J171)</f>
        <v/>
      </c>
      <c r="J368" s="138" t="str">
        <f>IF(C368="","",'04 FIIs'!K171)</f>
        <v/>
      </c>
      <c r="K368" s="138" t="str">
        <f>IF(C368="","",'04 FIIs'!Q171)</f>
        <v/>
      </c>
      <c r="L368" s="135" t="str">
        <f>IF(C368="","",'04 FIIs'!R171)</f>
        <v/>
      </c>
      <c r="M368" s="138" t="str">
        <f>IF(C368="","",'04 FIIs'!T171)</f>
        <v/>
      </c>
      <c r="N368" s="139" t="str">
        <f>IF(C368="","",IF($J$3&gt;0,J368/$J$3,0))</f>
        <v/>
      </c>
      <c r="O368" s="134" t="str">
        <f>IF(C368="","",'04 FIIs'!I171)</f>
        <v/>
      </c>
      <c r="P368" s="140" t="str">
        <f>IF(C368="","",IF(N(J368)&gt;0,J368+ROW()/1E9,""))</f>
        <v/>
      </c>
      <c r="Q368" s="140" t="str">
        <f>IF(C368="","",IF(N(M368)&gt;0,M368+ROW()/1E9,""))</f>
        <v/>
      </c>
    </row>
    <row r="369">
      <c r="A369" s="141" t="str">
        <f>IF(C369="","","FIIs")</f>
        <v/>
      </c>
      <c r="B369" s="141" t="str">
        <f>IF(C369="","","Brasil")</f>
        <v/>
      </c>
      <c r="C369" s="141" t="str">
        <f>IF('04 FIIs'!A172="","",'04 FIIs'!A172&amp;"")</f>
        <v/>
      </c>
      <c r="D369" s="141" t="str">
        <f>IF(C369="","",'04 FIIs'!B172&amp;"")</f>
        <v/>
      </c>
      <c r="E369" s="141" t="str">
        <f>IF(C369="","",'04 FIIs'!C172&amp;"")</f>
        <v/>
      </c>
      <c r="F369" s="141" t="str">
        <f>IF(C369="","",'04 FIIs'!V172)</f>
        <v/>
      </c>
      <c r="G369" s="142" t="str">
        <f>IF(C369="","",'04 FIIs'!E172)</f>
        <v/>
      </c>
      <c r="H369" s="143" t="str">
        <f>IF(C369="","",'04 FIIs'!H172)</f>
        <v/>
      </c>
      <c r="I369" s="144" t="str">
        <f>IF(C369="","",'04 FIIs'!J172)</f>
        <v/>
      </c>
      <c r="J369" s="145" t="str">
        <f>IF(C369="","",'04 FIIs'!K172)</f>
        <v/>
      </c>
      <c r="K369" s="145" t="str">
        <f>IF(C369="","",'04 FIIs'!Q172)</f>
        <v/>
      </c>
      <c r="L369" s="142" t="str">
        <f>IF(C369="","",'04 FIIs'!R172)</f>
        <v/>
      </c>
      <c r="M369" s="145" t="str">
        <f>IF(C369="","",'04 FIIs'!T172)</f>
        <v/>
      </c>
      <c r="N369" s="146" t="str">
        <f>IF(C369="","",IF($J$3&gt;0,J369/$J$3,0))</f>
        <v/>
      </c>
      <c r="O369" s="141" t="str">
        <f>IF(C369="","",'04 FIIs'!I172)</f>
        <v/>
      </c>
      <c r="P369" s="147" t="str">
        <f>IF(C369="","",IF(N(J369)&gt;0,J369+ROW()/1E9,""))</f>
        <v/>
      </c>
      <c r="Q369" s="147" t="str">
        <f>IF(C369="","",IF(N(M369)&gt;0,M369+ROW()/1E9,""))</f>
        <v/>
      </c>
    </row>
    <row r="370">
      <c r="A370" s="134" t="str">
        <f>IF(C370="","","FIIs")</f>
        <v/>
      </c>
      <c r="B370" s="134" t="str">
        <f>IF(C370="","","Brasil")</f>
        <v/>
      </c>
      <c r="C370" s="134" t="str">
        <f>IF('04 FIIs'!A173="","",'04 FIIs'!A173&amp;"")</f>
        <v/>
      </c>
      <c r="D370" s="134" t="str">
        <f>IF(C370="","",'04 FIIs'!B173&amp;"")</f>
        <v/>
      </c>
      <c r="E370" s="134" t="str">
        <f>IF(C370="","",'04 FIIs'!C173&amp;"")</f>
        <v/>
      </c>
      <c r="F370" s="134" t="str">
        <f>IF(C370="","",'04 FIIs'!V173)</f>
        <v/>
      </c>
      <c r="G370" s="135" t="str">
        <f>IF(C370="","",'04 FIIs'!E173)</f>
        <v/>
      </c>
      <c r="H370" s="136" t="str">
        <f>IF(C370="","",'04 FIIs'!H173)</f>
        <v/>
      </c>
      <c r="I370" s="137" t="str">
        <f>IF(C370="","",'04 FIIs'!J173)</f>
        <v/>
      </c>
      <c r="J370" s="138" t="str">
        <f>IF(C370="","",'04 FIIs'!K173)</f>
        <v/>
      </c>
      <c r="K370" s="138" t="str">
        <f>IF(C370="","",'04 FIIs'!Q173)</f>
        <v/>
      </c>
      <c r="L370" s="135" t="str">
        <f>IF(C370="","",'04 FIIs'!R173)</f>
        <v/>
      </c>
      <c r="M370" s="138" t="str">
        <f>IF(C370="","",'04 FIIs'!T173)</f>
        <v/>
      </c>
      <c r="N370" s="139" t="str">
        <f>IF(C370="","",IF($J$3&gt;0,J370/$J$3,0))</f>
        <v/>
      </c>
      <c r="O370" s="134" t="str">
        <f>IF(C370="","",'04 FIIs'!I173)</f>
        <v/>
      </c>
      <c r="P370" s="140" t="str">
        <f>IF(C370="","",IF(N(J370)&gt;0,J370+ROW()/1E9,""))</f>
        <v/>
      </c>
      <c r="Q370" s="140" t="str">
        <f>IF(C370="","",IF(N(M370)&gt;0,M370+ROW()/1E9,""))</f>
        <v/>
      </c>
    </row>
    <row r="371">
      <c r="A371" s="141" t="str">
        <f>IF(C371="","","FIIs")</f>
        <v/>
      </c>
      <c r="B371" s="141" t="str">
        <f>IF(C371="","","Brasil")</f>
        <v/>
      </c>
      <c r="C371" s="141" t="str">
        <f>IF('04 FIIs'!A174="","",'04 FIIs'!A174&amp;"")</f>
        <v/>
      </c>
      <c r="D371" s="141" t="str">
        <f>IF(C371="","",'04 FIIs'!B174&amp;"")</f>
        <v/>
      </c>
      <c r="E371" s="141" t="str">
        <f>IF(C371="","",'04 FIIs'!C174&amp;"")</f>
        <v/>
      </c>
      <c r="F371" s="141" t="str">
        <f>IF(C371="","",'04 FIIs'!V174)</f>
        <v/>
      </c>
      <c r="G371" s="142" t="str">
        <f>IF(C371="","",'04 FIIs'!E174)</f>
        <v/>
      </c>
      <c r="H371" s="143" t="str">
        <f>IF(C371="","",'04 FIIs'!H174)</f>
        <v/>
      </c>
      <c r="I371" s="144" t="str">
        <f>IF(C371="","",'04 FIIs'!J174)</f>
        <v/>
      </c>
      <c r="J371" s="145" t="str">
        <f>IF(C371="","",'04 FIIs'!K174)</f>
        <v/>
      </c>
      <c r="K371" s="145" t="str">
        <f>IF(C371="","",'04 FIIs'!Q174)</f>
        <v/>
      </c>
      <c r="L371" s="142" t="str">
        <f>IF(C371="","",'04 FIIs'!R174)</f>
        <v/>
      </c>
      <c r="M371" s="145" t="str">
        <f>IF(C371="","",'04 FIIs'!T174)</f>
        <v/>
      </c>
      <c r="N371" s="146" t="str">
        <f>IF(C371="","",IF($J$3&gt;0,J371/$J$3,0))</f>
        <v/>
      </c>
      <c r="O371" s="141" t="str">
        <f>IF(C371="","",'04 FIIs'!I174)</f>
        <v/>
      </c>
      <c r="P371" s="147" t="str">
        <f>IF(C371="","",IF(N(J371)&gt;0,J371+ROW()/1E9,""))</f>
        <v/>
      </c>
      <c r="Q371" s="147" t="str">
        <f>IF(C371="","",IF(N(M371)&gt;0,M371+ROW()/1E9,""))</f>
        <v/>
      </c>
    </row>
    <row r="372">
      <c r="A372" s="134" t="str">
        <f>IF(C372="","","FIIs")</f>
        <v/>
      </c>
      <c r="B372" s="134" t="str">
        <f>IF(C372="","","Brasil")</f>
        <v/>
      </c>
      <c r="C372" s="134" t="str">
        <f>IF('04 FIIs'!A175="","",'04 FIIs'!A175&amp;"")</f>
        <v/>
      </c>
      <c r="D372" s="134" t="str">
        <f>IF(C372="","",'04 FIIs'!B175&amp;"")</f>
        <v/>
      </c>
      <c r="E372" s="134" t="str">
        <f>IF(C372="","",'04 FIIs'!C175&amp;"")</f>
        <v/>
      </c>
      <c r="F372" s="134" t="str">
        <f>IF(C372="","",'04 FIIs'!V175)</f>
        <v/>
      </c>
      <c r="G372" s="135" t="str">
        <f>IF(C372="","",'04 FIIs'!E175)</f>
        <v/>
      </c>
      <c r="H372" s="136" t="str">
        <f>IF(C372="","",'04 FIIs'!H175)</f>
        <v/>
      </c>
      <c r="I372" s="137" t="str">
        <f>IF(C372="","",'04 FIIs'!J175)</f>
        <v/>
      </c>
      <c r="J372" s="138" t="str">
        <f>IF(C372="","",'04 FIIs'!K175)</f>
        <v/>
      </c>
      <c r="K372" s="138" t="str">
        <f>IF(C372="","",'04 FIIs'!Q175)</f>
        <v/>
      </c>
      <c r="L372" s="135" t="str">
        <f>IF(C372="","",'04 FIIs'!R175)</f>
        <v/>
      </c>
      <c r="M372" s="138" t="str">
        <f>IF(C372="","",'04 FIIs'!T175)</f>
        <v/>
      </c>
      <c r="N372" s="139" t="str">
        <f>IF(C372="","",IF($J$3&gt;0,J372/$J$3,0))</f>
        <v/>
      </c>
      <c r="O372" s="134" t="str">
        <f>IF(C372="","",'04 FIIs'!I175)</f>
        <v/>
      </c>
      <c r="P372" s="140" t="str">
        <f>IF(C372="","",IF(N(J372)&gt;0,J372+ROW()/1E9,""))</f>
        <v/>
      </c>
      <c r="Q372" s="140" t="str">
        <f>IF(C372="","",IF(N(M372)&gt;0,M372+ROW()/1E9,""))</f>
        <v/>
      </c>
    </row>
    <row r="373">
      <c r="A373" s="141" t="str">
        <f>IF(C373="","","FIIs")</f>
        <v/>
      </c>
      <c r="B373" s="141" t="str">
        <f>IF(C373="","","Brasil")</f>
        <v/>
      </c>
      <c r="C373" s="141" t="str">
        <f>IF('04 FIIs'!A176="","",'04 FIIs'!A176&amp;"")</f>
        <v/>
      </c>
      <c r="D373" s="141" t="str">
        <f>IF(C373="","",'04 FIIs'!B176&amp;"")</f>
        <v/>
      </c>
      <c r="E373" s="141" t="str">
        <f>IF(C373="","",'04 FIIs'!C176&amp;"")</f>
        <v/>
      </c>
      <c r="F373" s="141" t="str">
        <f>IF(C373="","",'04 FIIs'!V176)</f>
        <v/>
      </c>
      <c r="G373" s="142" t="str">
        <f>IF(C373="","",'04 FIIs'!E176)</f>
        <v/>
      </c>
      <c r="H373" s="143" t="str">
        <f>IF(C373="","",'04 FIIs'!H176)</f>
        <v/>
      </c>
      <c r="I373" s="144" t="str">
        <f>IF(C373="","",'04 FIIs'!J176)</f>
        <v/>
      </c>
      <c r="J373" s="145" t="str">
        <f>IF(C373="","",'04 FIIs'!K176)</f>
        <v/>
      </c>
      <c r="K373" s="145" t="str">
        <f>IF(C373="","",'04 FIIs'!Q176)</f>
        <v/>
      </c>
      <c r="L373" s="142" t="str">
        <f>IF(C373="","",'04 FIIs'!R176)</f>
        <v/>
      </c>
      <c r="M373" s="145" t="str">
        <f>IF(C373="","",'04 FIIs'!T176)</f>
        <v/>
      </c>
      <c r="N373" s="146" t="str">
        <f>IF(C373="","",IF($J$3&gt;0,J373/$J$3,0))</f>
        <v/>
      </c>
      <c r="O373" s="141" t="str">
        <f>IF(C373="","",'04 FIIs'!I176)</f>
        <v/>
      </c>
      <c r="P373" s="147" t="str">
        <f>IF(C373="","",IF(N(J373)&gt;0,J373+ROW()/1E9,""))</f>
        <v/>
      </c>
      <c r="Q373" s="147" t="str">
        <f>IF(C373="","",IF(N(M373)&gt;0,M373+ROW()/1E9,""))</f>
        <v/>
      </c>
    </row>
    <row r="374">
      <c r="A374" s="134" t="str">
        <f>IF(C374="","","FIIs")</f>
        <v/>
      </c>
      <c r="B374" s="134" t="str">
        <f>IF(C374="","","Brasil")</f>
        <v/>
      </c>
      <c r="C374" s="134" t="str">
        <f>IF('04 FIIs'!A177="","",'04 FIIs'!A177&amp;"")</f>
        <v/>
      </c>
      <c r="D374" s="134" t="str">
        <f>IF(C374="","",'04 FIIs'!B177&amp;"")</f>
        <v/>
      </c>
      <c r="E374" s="134" t="str">
        <f>IF(C374="","",'04 FIIs'!C177&amp;"")</f>
        <v/>
      </c>
      <c r="F374" s="134" t="str">
        <f>IF(C374="","",'04 FIIs'!V177)</f>
        <v/>
      </c>
      <c r="G374" s="135" t="str">
        <f>IF(C374="","",'04 FIIs'!E177)</f>
        <v/>
      </c>
      <c r="H374" s="136" t="str">
        <f>IF(C374="","",'04 FIIs'!H177)</f>
        <v/>
      </c>
      <c r="I374" s="137" t="str">
        <f>IF(C374="","",'04 FIIs'!J177)</f>
        <v/>
      </c>
      <c r="J374" s="138" t="str">
        <f>IF(C374="","",'04 FIIs'!K177)</f>
        <v/>
      </c>
      <c r="K374" s="138" t="str">
        <f>IF(C374="","",'04 FIIs'!Q177)</f>
        <v/>
      </c>
      <c r="L374" s="135" t="str">
        <f>IF(C374="","",'04 FIIs'!R177)</f>
        <v/>
      </c>
      <c r="M374" s="138" t="str">
        <f>IF(C374="","",'04 FIIs'!T177)</f>
        <v/>
      </c>
      <c r="N374" s="139" t="str">
        <f>IF(C374="","",IF($J$3&gt;0,J374/$J$3,0))</f>
        <v/>
      </c>
      <c r="O374" s="134" t="str">
        <f>IF(C374="","",'04 FIIs'!I177)</f>
        <v/>
      </c>
      <c r="P374" s="140" t="str">
        <f>IF(C374="","",IF(N(J374)&gt;0,J374+ROW()/1E9,""))</f>
        <v/>
      </c>
      <c r="Q374" s="140" t="str">
        <f>IF(C374="","",IF(N(M374)&gt;0,M374+ROW()/1E9,""))</f>
        <v/>
      </c>
    </row>
    <row r="375">
      <c r="A375" s="141" t="str">
        <f>IF(C375="","","FIIs")</f>
        <v/>
      </c>
      <c r="B375" s="141" t="str">
        <f>IF(C375="","","Brasil")</f>
        <v/>
      </c>
      <c r="C375" s="141" t="str">
        <f>IF('04 FIIs'!A178="","",'04 FIIs'!A178&amp;"")</f>
        <v/>
      </c>
      <c r="D375" s="141" t="str">
        <f>IF(C375="","",'04 FIIs'!B178&amp;"")</f>
        <v/>
      </c>
      <c r="E375" s="141" t="str">
        <f>IF(C375="","",'04 FIIs'!C178&amp;"")</f>
        <v/>
      </c>
      <c r="F375" s="141" t="str">
        <f>IF(C375="","",'04 FIIs'!V178)</f>
        <v/>
      </c>
      <c r="G375" s="142" t="str">
        <f>IF(C375="","",'04 FIIs'!E178)</f>
        <v/>
      </c>
      <c r="H375" s="143" t="str">
        <f>IF(C375="","",'04 FIIs'!H178)</f>
        <v/>
      </c>
      <c r="I375" s="144" t="str">
        <f>IF(C375="","",'04 FIIs'!J178)</f>
        <v/>
      </c>
      <c r="J375" s="145" t="str">
        <f>IF(C375="","",'04 FIIs'!K178)</f>
        <v/>
      </c>
      <c r="K375" s="145" t="str">
        <f>IF(C375="","",'04 FIIs'!Q178)</f>
        <v/>
      </c>
      <c r="L375" s="142" t="str">
        <f>IF(C375="","",'04 FIIs'!R178)</f>
        <v/>
      </c>
      <c r="M375" s="145" t="str">
        <f>IF(C375="","",'04 FIIs'!T178)</f>
        <v/>
      </c>
      <c r="N375" s="146" t="str">
        <f>IF(C375="","",IF($J$3&gt;0,J375/$J$3,0))</f>
        <v/>
      </c>
      <c r="O375" s="141" t="str">
        <f>IF(C375="","",'04 FIIs'!I178)</f>
        <v/>
      </c>
      <c r="P375" s="147" t="str">
        <f>IF(C375="","",IF(N(J375)&gt;0,J375+ROW()/1E9,""))</f>
        <v/>
      </c>
      <c r="Q375" s="147" t="str">
        <f>IF(C375="","",IF(N(M375)&gt;0,M375+ROW()/1E9,""))</f>
        <v/>
      </c>
    </row>
    <row r="376">
      <c r="A376" s="134" t="str">
        <f>IF(C376="","","FIIs")</f>
        <v/>
      </c>
      <c r="B376" s="134" t="str">
        <f>IF(C376="","","Brasil")</f>
        <v/>
      </c>
      <c r="C376" s="134" t="str">
        <f>IF('04 FIIs'!A179="","",'04 FIIs'!A179&amp;"")</f>
        <v/>
      </c>
      <c r="D376" s="134" t="str">
        <f>IF(C376="","",'04 FIIs'!B179&amp;"")</f>
        <v/>
      </c>
      <c r="E376" s="134" t="str">
        <f>IF(C376="","",'04 FIIs'!C179&amp;"")</f>
        <v/>
      </c>
      <c r="F376" s="134" t="str">
        <f>IF(C376="","",'04 FIIs'!V179)</f>
        <v/>
      </c>
      <c r="G376" s="135" t="str">
        <f>IF(C376="","",'04 FIIs'!E179)</f>
        <v/>
      </c>
      <c r="H376" s="136" t="str">
        <f>IF(C376="","",'04 FIIs'!H179)</f>
        <v/>
      </c>
      <c r="I376" s="137" t="str">
        <f>IF(C376="","",'04 FIIs'!J179)</f>
        <v/>
      </c>
      <c r="J376" s="138" t="str">
        <f>IF(C376="","",'04 FIIs'!K179)</f>
        <v/>
      </c>
      <c r="K376" s="138" t="str">
        <f>IF(C376="","",'04 FIIs'!Q179)</f>
        <v/>
      </c>
      <c r="L376" s="135" t="str">
        <f>IF(C376="","",'04 FIIs'!R179)</f>
        <v/>
      </c>
      <c r="M376" s="138" t="str">
        <f>IF(C376="","",'04 FIIs'!T179)</f>
        <v/>
      </c>
      <c r="N376" s="139" t="str">
        <f>IF(C376="","",IF($J$3&gt;0,J376/$J$3,0))</f>
        <v/>
      </c>
      <c r="O376" s="134" t="str">
        <f>IF(C376="","",'04 FIIs'!I179)</f>
        <v/>
      </c>
      <c r="P376" s="140" t="str">
        <f>IF(C376="","",IF(N(J376)&gt;0,J376+ROW()/1E9,""))</f>
        <v/>
      </c>
      <c r="Q376" s="140" t="str">
        <f>IF(C376="","",IF(N(M376)&gt;0,M376+ROW()/1E9,""))</f>
        <v/>
      </c>
    </row>
    <row r="377">
      <c r="A377" s="141" t="str">
        <f>IF(C377="","","FIIs")</f>
        <v/>
      </c>
      <c r="B377" s="141" t="str">
        <f>IF(C377="","","Brasil")</f>
        <v/>
      </c>
      <c r="C377" s="141" t="str">
        <f>IF('04 FIIs'!A180="","",'04 FIIs'!A180&amp;"")</f>
        <v/>
      </c>
      <c r="D377" s="141" t="str">
        <f>IF(C377="","",'04 FIIs'!B180&amp;"")</f>
        <v/>
      </c>
      <c r="E377" s="141" t="str">
        <f>IF(C377="","",'04 FIIs'!C180&amp;"")</f>
        <v/>
      </c>
      <c r="F377" s="141" t="str">
        <f>IF(C377="","",'04 FIIs'!V180)</f>
        <v/>
      </c>
      <c r="G377" s="142" t="str">
        <f>IF(C377="","",'04 FIIs'!E180)</f>
        <v/>
      </c>
      <c r="H377" s="143" t="str">
        <f>IF(C377="","",'04 FIIs'!H180)</f>
        <v/>
      </c>
      <c r="I377" s="144" t="str">
        <f>IF(C377="","",'04 FIIs'!J180)</f>
        <v/>
      </c>
      <c r="J377" s="145" t="str">
        <f>IF(C377="","",'04 FIIs'!K180)</f>
        <v/>
      </c>
      <c r="K377" s="145" t="str">
        <f>IF(C377="","",'04 FIIs'!Q180)</f>
        <v/>
      </c>
      <c r="L377" s="142" t="str">
        <f>IF(C377="","",'04 FIIs'!R180)</f>
        <v/>
      </c>
      <c r="M377" s="145" t="str">
        <f>IF(C377="","",'04 FIIs'!T180)</f>
        <v/>
      </c>
      <c r="N377" s="146" t="str">
        <f>IF(C377="","",IF($J$3&gt;0,J377/$J$3,0))</f>
        <v/>
      </c>
      <c r="O377" s="141" t="str">
        <f>IF(C377="","",'04 FIIs'!I180)</f>
        <v/>
      </c>
      <c r="P377" s="147" t="str">
        <f>IF(C377="","",IF(N(J377)&gt;0,J377+ROW()/1E9,""))</f>
        <v/>
      </c>
      <c r="Q377" s="147" t="str">
        <f>IF(C377="","",IF(N(M377)&gt;0,M377+ROW()/1E9,""))</f>
        <v/>
      </c>
    </row>
    <row r="378">
      <c r="A378" s="134" t="str">
        <f>IF(C378="","","FIIs")</f>
        <v/>
      </c>
      <c r="B378" s="134" t="str">
        <f>IF(C378="","","Brasil")</f>
        <v/>
      </c>
      <c r="C378" s="134" t="str">
        <f>IF('04 FIIs'!A181="","",'04 FIIs'!A181&amp;"")</f>
        <v/>
      </c>
      <c r="D378" s="134" t="str">
        <f>IF(C378="","",'04 FIIs'!B181&amp;"")</f>
        <v/>
      </c>
      <c r="E378" s="134" t="str">
        <f>IF(C378="","",'04 FIIs'!C181&amp;"")</f>
        <v/>
      </c>
      <c r="F378" s="134" t="str">
        <f>IF(C378="","",'04 FIIs'!V181)</f>
        <v/>
      </c>
      <c r="G378" s="135" t="str">
        <f>IF(C378="","",'04 FIIs'!E181)</f>
        <v/>
      </c>
      <c r="H378" s="136" t="str">
        <f>IF(C378="","",'04 FIIs'!H181)</f>
        <v/>
      </c>
      <c r="I378" s="137" t="str">
        <f>IF(C378="","",'04 FIIs'!J181)</f>
        <v/>
      </c>
      <c r="J378" s="138" t="str">
        <f>IF(C378="","",'04 FIIs'!K181)</f>
        <v/>
      </c>
      <c r="K378" s="138" t="str">
        <f>IF(C378="","",'04 FIIs'!Q181)</f>
        <v/>
      </c>
      <c r="L378" s="135" t="str">
        <f>IF(C378="","",'04 FIIs'!R181)</f>
        <v/>
      </c>
      <c r="M378" s="138" t="str">
        <f>IF(C378="","",'04 FIIs'!T181)</f>
        <v/>
      </c>
      <c r="N378" s="139" t="str">
        <f>IF(C378="","",IF($J$3&gt;0,J378/$J$3,0))</f>
        <v/>
      </c>
      <c r="O378" s="134" t="str">
        <f>IF(C378="","",'04 FIIs'!I181)</f>
        <v/>
      </c>
      <c r="P378" s="140" t="str">
        <f>IF(C378="","",IF(N(J378)&gt;0,J378+ROW()/1E9,""))</f>
        <v/>
      </c>
      <c r="Q378" s="140" t="str">
        <f>IF(C378="","",IF(N(M378)&gt;0,M378+ROW()/1E9,""))</f>
        <v/>
      </c>
    </row>
    <row r="379">
      <c r="A379" s="141" t="str">
        <f>IF(C379="","","FIIs")</f>
        <v/>
      </c>
      <c r="B379" s="141" t="str">
        <f>IF(C379="","","Brasil")</f>
        <v/>
      </c>
      <c r="C379" s="141" t="str">
        <f>IF('04 FIIs'!A182="","",'04 FIIs'!A182&amp;"")</f>
        <v/>
      </c>
      <c r="D379" s="141" t="str">
        <f>IF(C379="","",'04 FIIs'!B182&amp;"")</f>
        <v/>
      </c>
      <c r="E379" s="141" t="str">
        <f>IF(C379="","",'04 FIIs'!C182&amp;"")</f>
        <v/>
      </c>
      <c r="F379" s="141" t="str">
        <f>IF(C379="","",'04 FIIs'!V182)</f>
        <v/>
      </c>
      <c r="G379" s="142" t="str">
        <f>IF(C379="","",'04 FIIs'!E182)</f>
        <v/>
      </c>
      <c r="H379" s="143" t="str">
        <f>IF(C379="","",'04 FIIs'!H182)</f>
        <v/>
      </c>
      <c r="I379" s="144" t="str">
        <f>IF(C379="","",'04 FIIs'!J182)</f>
        <v/>
      </c>
      <c r="J379" s="145" t="str">
        <f>IF(C379="","",'04 FIIs'!K182)</f>
        <v/>
      </c>
      <c r="K379" s="145" t="str">
        <f>IF(C379="","",'04 FIIs'!Q182)</f>
        <v/>
      </c>
      <c r="L379" s="142" t="str">
        <f>IF(C379="","",'04 FIIs'!R182)</f>
        <v/>
      </c>
      <c r="M379" s="145" t="str">
        <f>IF(C379="","",'04 FIIs'!T182)</f>
        <v/>
      </c>
      <c r="N379" s="146" t="str">
        <f>IF(C379="","",IF($J$3&gt;0,J379/$J$3,0))</f>
        <v/>
      </c>
      <c r="O379" s="141" t="str">
        <f>IF(C379="","",'04 FIIs'!I182)</f>
        <v/>
      </c>
      <c r="P379" s="147" t="str">
        <f>IF(C379="","",IF(N(J379)&gt;0,J379+ROW()/1E9,""))</f>
        <v/>
      </c>
      <c r="Q379" s="147" t="str">
        <f>IF(C379="","",IF(N(M379)&gt;0,M379+ROW()/1E9,""))</f>
        <v/>
      </c>
    </row>
    <row r="380">
      <c r="A380" s="134" t="str">
        <f>IF(C380="","","FIIs")</f>
        <v/>
      </c>
      <c r="B380" s="134" t="str">
        <f>IF(C380="","","Brasil")</f>
        <v/>
      </c>
      <c r="C380" s="134" t="str">
        <f>IF('04 FIIs'!A183="","",'04 FIIs'!A183&amp;"")</f>
        <v/>
      </c>
      <c r="D380" s="134" t="str">
        <f>IF(C380="","",'04 FIIs'!B183&amp;"")</f>
        <v/>
      </c>
      <c r="E380" s="134" t="str">
        <f>IF(C380="","",'04 FIIs'!C183&amp;"")</f>
        <v/>
      </c>
      <c r="F380" s="134" t="str">
        <f>IF(C380="","",'04 FIIs'!V183)</f>
        <v/>
      </c>
      <c r="G380" s="135" t="str">
        <f>IF(C380="","",'04 FIIs'!E183)</f>
        <v/>
      </c>
      <c r="H380" s="136" t="str">
        <f>IF(C380="","",'04 FIIs'!H183)</f>
        <v/>
      </c>
      <c r="I380" s="137" t="str">
        <f>IF(C380="","",'04 FIIs'!J183)</f>
        <v/>
      </c>
      <c r="J380" s="138" t="str">
        <f>IF(C380="","",'04 FIIs'!K183)</f>
        <v/>
      </c>
      <c r="K380" s="138" t="str">
        <f>IF(C380="","",'04 FIIs'!Q183)</f>
        <v/>
      </c>
      <c r="L380" s="135" t="str">
        <f>IF(C380="","",'04 FIIs'!R183)</f>
        <v/>
      </c>
      <c r="M380" s="138" t="str">
        <f>IF(C380="","",'04 FIIs'!T183)</f>
        <v/>
      </c>
      <c r="N380" s="139" t="str">
        <f>IF(C380="","",IF($J$3&gt;0,J380/$J$3,0))</f>
        <v/>
      </c>
      <c r="O380" s="134" t="str">
        <f>IF(C380="","",'04 FIIs'!I183)</f>
        <v/>
      </c>
      <c r="P380" s="140" t="str">
        <f>IF(C380="","",IF(N(J380)&gt;0,J380+ROW()/1E9,""))</f>
        <v/>
      </c>
      <c r="Q380" s="140" t="str">
        <f>IF(C380="","",IF(N(M380)&gt;0,M380+ROW()/1E9,""))</f>
        <v/>
      </c>
    </row>
    <row r="381">
      <c r="A381" s="141" t="str">
        <f>IF(C381="","","FIIs")</f>
        <v/>
      </c>
      <c r="B381" s="141" t="str">
        <f>IF(C381="","","Brasil")</f>
        <v/>
      </c>
      <c r="C381" s="141" t="str">
        <f>IF('04 FIIs'!A184="","",'04 FIIs'!A184&amp;"")</f>
        <v/>
      </c>
      <c r="D381" s="141" t="str">
        <f>IF(C381="","",'04 FIIs'!B184&amp;"")</f>
        <v/>
      </c>
      <c r="E381" s="141" t="str">
        <f>IF(C381="","",'04 FIIs'!C184&amp;"")</f>
        <v/>
      </c>
      <c r="F381" s="141" t="str">
        <f>IF(C381="","",'04 FIIs'!V184)</f>
        <v/>
      </c>
      <c r="G381" s="142" t="str">
        <f>IF(C381="","",'04 FIIs'!E184)</f>
        <v/>
      </c>
      <c r="H381" s="143" t="str">
        <f>IF(C381="","",'04 FIIs'!H184)</f>
        <v/>
      </c>
      <c r="I381" s="144" t="str">
        <f>IF(C381="","",'04 FIIs'!J184)</f>
        <v/>
      </c>
      <c r="J381" s="145" t="str">
        <f>IF(C381="","",'04 FIIs'!K184)</f>
        <v/>
      </c>
      <c r="K381" s="145" t="str">
        <f>IF(C381="","",'04 FIIs'!Q184)</f>
        <v/>
      </c>
      <c r="L381" s="142" t="str">
        <f>IF(C381="","",'04 FIIs'!R184)</f>
        <v/>
      </c>
      <c r="M381" s="145" t="str">
        <f>IF(C381="","",'04 FIIs'!T184)</f>
        <v/>
      </c>
      <c r="N381" s="146" t="str">
        <f>IF(C381="","",IF($J$3&gt;0,J381/$J$3,0))</f>
        <v/>
      </c>
      <c r="O381" s="141" t="str">
        <f>IF(C381="","",'04 FIIs'!I184)</f>
        <v/>
      </c>
      <c r="P381" s="147" t="str">
        <f>IF(C381="","",IF(N(J381)&gt;0,J381+ROW()/1E9,""))</f>
        <v/>
      </c>
      <c r="Q381" s="147" t="str">
        <f>IF(C381="","",IF(N(M381)&gt;0,M381+ROW()/1E9,""))</f>
        <v/>
      </c>
    </row>
    <row r="382">
      <c r="A382" s="134" t="str">
        <f>IF(C382="","","FIIs")</f>
        <v/>
      </c>
      <c r="B382" s="134" t="str">
        <f>IF(C382="","","Brasil")</f>
        <v/>
      </c>
      <c r="C382" s="134" t="str">
        <f>IF('04 FIIs'!A185="","",'04 FIIs'!A185&amp;"")</f>
        <v/>
      </c>
      <c r="D382" s="134" t="str">
        <f>IF(C382="","",'04 FIIs'!B185&amp;"")</f>
        <v/>
      </c>
      <c r="E382" s="134" t="str">
        <f>IF(C382="","",'04 FIIs'!C185&amp;"")</f>
        <v/>
      </c>
      <c r="F382" s="134" t="str">
        <f>IF(C382="","",'04 FIIs'!V185)</f>
        <v/>
      </c>
      <c r="G382" s="135" t="str">
        <f>IF(C382="","",'04 FIIs'!E185)</f>
        <v/>
      </c>
      <c r="H382" s="136" t="str">
        <f>IF(C382="","",'04 FIIs'!H185)</f>
        <v/>
      </c>
      <c r="I382" s="137" t="str">
        <f>IF(C382="","",'04 FIIs'!J185)</f>
        <v/>
      </c>
      <c r="J382" s="138" t="str">
        <f>IF(C382="","",'04 FIIs'!K185)</f>
        <v/>
      </c>
      <c r="K382" s="138" t="str">
        <f>IF(C382="","",'04 FIIs'!Q185)</f>
        <v/>
      </c>
      <c r="L382" s="135" t="str">
        <f>IF(C382="","",'04 FIIs'!R185)</f>
        <v/>
      </c>
      <c r="M382" s="138" t="str">
        <f>IF(C382="","",'04 FIIs'!T185)</f>
        <v/>
      </c>
      <c r="N382" s="139" t="str">
        <f>IF(C382="","",IF($J$3&gt;0,J382/$J$3,0))</f>
        <v/>
      </c>
      <c r="O382" s="134" t="str">
        <f>IF(C382="","",'04 FIIs'!I185)</f>
        <v/>
      </c>
      <c r="P382" s="140" t="str">
        <f>IF(C382="","",IF(N(J382)&gt;0,J382+ROW()/1E9,""))</f>
        <v/>
      </c>
      <c r="Q382" s="140" t="str">
        <f>IF(C382="","",IF(N(M382)&gt;0,M382+ROW()/1E9,""))</f>
        <v/>
      </c>
    </row>
    <row r="383">
      <c r="A383" s="141" t="str">
        <f>IF(C383="","","FIIs")</f>
        <v/>
      </c>
      <c r="B383" s="141" t="str">
        <f>IF(C383="","","Brasil")</f>
        <v/>
      </c>
      <c r="C383" s="141" t="str">
        <f>IF('04 FIIs'!A186="","",'04 FIIs'!A186&amp;"")</f>
        <v/>
      </c>
      <c r="D383" s="141" t="str">
        <f>IF(C383="","",'04 FIIs'!B186&amp;"")</f>
        <v/>
      </c>
      <c r="E383" s="141" t="str">
        <f>IF(C383="","",'04 FIIs'!C186&amp;"")</f>
        <v/>
      </c>
      <c r="F383" s="141" t="str">
        <f>IF(C383="","",'04 FIIs'!V186)</f>
        <v/>
      </c>
      <c r="G383" s="142" t="str">
        <f>IF(C383="","",'04 FIIs'!E186)</f>
        <v/>
      </c>
      <c r="H383" s="143" t="str">
        <f>IF(C383="","",'04 FIIs'!H186)</f>
        <v/>
      </c>
      <c r="I383" s="144" t="str">
        <f>IF(C383="","",'04 FIIs'!J186)</f>
        <v/>
      </c>
      <c r="J383" s="145" t="str">
        <f>IF(C383="","",'04 FIIs'!K186)</f>
        <v/>
      </c>
      <c r="K383" s="145" t="str">
        <f>IF(C383="","",'04 FIIs'!Q186)</f>
        <v/>
      </c>
      <c r="L383" s="142" t="str">
        <f>IF(C383="","",'04 FIIs'!R186)</f>
        <v/>
      </c>
      <c r="M383" s="145" t="str">
        <f>IF(C383="","",'04 FIIs'!T186)</f>
        <v/>
      </c>
      <c r="N383" s="146" t="str">
        <f>IF(C383="","",IF($J$3&gt;0,J383/$J$3,0))</f>
        <v/>
      </c>
      <c r="O383" s="141" t="str">
        <f>IF(C383="","",'04 FIIs'!I186)</f>
        <v/>
      </c>
      <c r="P383" s="147" t="str">
        <f>IF(C383="","",IF(N(J383)&gt;0,J383+ROW()/1E9,""))</f>
        <v/>
      </c>
      <c r="Q383" s="147" t="str">
        <f>IF(C383="","",IF(N(M383)&gt;0,M383+ROW()/1E9,""))</f>
        <v/>
      </c>
    </row>
    <row r="384">
      <c r="A384" s="134" t="str">
        <f>IF(C384="","","FIIs")</f>
        <v/>
      </c>
      <c r="B384" s="134" t="str">
        <f>IF(C384="","","Brasil")</f>
        <v/>
      </c>
      <c r="C384" s="134" t="str">
        <f>IF('04 FIIs'!A187="","",'04 FIIs'!A187&amp;"")</f>
        <v/>
      </c>
      <c r="D384" s="134" t="str">
        <f>IF(C384="","",'04 FIIs'!B187&amp;"")</f>
        <v/>
      </c>
      <c r="E384" s="134" t="str">
        <f>IF(C384="","",'04 FIIs'!C187&amp;"")</f>
        <v/>
      </c>
      <c r="F384" s="134" t="str">
        <f>IF(C384="","",'04 FIIs'!V187)</f>
        <v/>
      </c>
      <c r="G384" s="135" t="str">
        <f>IF(C384="","",'04 FIIs'!E187)</f>
        <v/>
      </c>
      <c r="H384" s="136" t="str">
        <f>IF(C384="","",'04 FIIs'!H187)</f>
        <v/>
      </c>
      <c r="I384" s="137" t="str">
        <f>IF(C384="","",'04 FIIs'!J187)</f>
        <v/>
      </c>
      <c r="J384" s="138" t="str">
        <f>IF(C384="","",'04 FIIs'!K187)</f>
        <v/>
      </c>
      <c r="K384" s="138" t="str">
        <f>IF(C384="","",'04 FIIs'!Q187)</f>
        <v/>
      </c>
      <c r="L384" s="135" t="str">
        <f>IF(C384="","",'04 FIIs'!R187)</f>
        <v/>
      </c>
      <c r="M384" s="138" t="str">
        <f>IF(C384="","",'04 FIIs'!T187)</f>
        <v/>
      </c>
      <c r="N384" s="139" t="str">
        <f>IF(C384="","",IF($J$3&gt;0,J384/$J$3,0))</f>
        <v/>
      </c>
      <c r="O384" s="134" t="str">
        <f>IF(C384="","",'04 FIIs'!I187)</f>
        <v/>
      </c>
      <c r="P384" s="140" t="str">
        <f>IF(C384="","",IF(N(J384)&gt;0,J384+ROW()/1E9,""))</f>
        <v/>
      </c>
      <c r="Q384" s="140" t="str">
        <f>IF(C384="","",IF(N(M384)&gt;0,M384+ROW()/1E9,""))</f>
        <v/>
      </c>
    </row>
    <row r="385">
      <c r="A385" s="141" t="str">
        <f>IF(C385="","","FIIs")</f>
        <v/>
      </c>
      <c r="B385" s="141" t="str">
        <f>IF(C385="","","Brasil")</f>
        <v/>
      </c>
      <c r="C385" s="141" t="str">
        <f>IF('04 FIIs'!A188="","",'04 FIIs'!A188&amp;"")</f>
        <v/>
      </c>
      <c r="D385" s="141" t="str">
        <f>IF(C385="","",'04 FIIs'!B188&amp;"")</f>
        <v/>
      </c>
      <c r="E385" s="141" t="str">
        <f>IF(C385="","",'04 FIIs'!C188&amp;"")</f>
        <v/>
      </c>
      <c r="F385" s="141" t="str">
        <f>IF(C385="","",'04 FIIs'!V188)</f>
        <v/>
      </c>
      <c r="G385" s="142" t="str">
        <f>IF(C385="","",'04 FIIs'!E188)</f>
        <v/>
      </c>
      <c r="H385" s="143" t="str">
        <f>IF(C385="","",'04 FIIs'!H188)</f>
        <v/>
      </c>
      <c r="I385" s="144" t="str">
        <f>IF(C385="","",'04 FIIs'!J188)</f>
        <v/>
      </c>
      <c r="J385" s="145" t="str">
        <f>IF(C385="","",'04 FIIs'!K188)</f>
        <v/>
      </c>
      <c r="K385" s="145" t="str">
        <f>IF(C385="","",'04 FIIs'!Q188)</f>
        <v/>
      </c>
      <c r="L385" s="142" t="str">
        <f>IF(C385="","",'04 FIIs'!R188)</f>
        <v/>
      </c>
      <c r="M385" s="145" t="str">
        <f>IF(C385="","",'04 FIIs'!T188)</f>
        <v/>
      </c>
      <c r="N385" s="146" t="str">
        <f>IF(C385="","",IF($J$3&gt;0,J385/$J$3,0))</f>
        <v/>
      </c>
      <c r="O385" s="141" t="str">
        <f>IF(C385="","",'04 FIIs'!I188)</f>
        <v/>
      </c>
      <c r="P385" s="147" t="str">
        <f>IF(C385="","",IF(N(J385)&gt;0,J385+ROW()/1E9,""))</f>
        <v/>
      </c>
      <c r="Q385" s="147" t="str">
        <f>IF(C385="","",IF(N(M385)&gt;0,M385+ROW()/1E9,""))</f>
        <v/>
      </c>
    </row>
    <row r="386">
      <c r="A386" s="134" t="str">
        <f>IF(C386="","","FIIs")</f>
        <v/>
      </c>
      <c r="B386" s="134" t="str">
        <f>IF(C386="","","Brasil")</f>
        <v/>
      </c>
      <c r="C386" s="134" t="str">
        <f>IF('04 FIIs'!A189="","",'04 FIIs'!A189&amp;"")</f>
        <v/>
      </c>
      <c r="D386" s="134" t="str">
        <f>IF(C386="","",'04 FIIs'!B189&amp;"")</f>
        <v/>
      </c>
      <c r="E386" s="134" t="str">
        <f>IF(C386="","",'04 FIIs'!C189&amp;"")</f>
        <v/>
      </c>
      <c r="F386" s="134" t="str">
        <f>IF(C386="","",'04 FIIs'!V189)</f>
        <v/>
      </c>
      <c r="G386" s="135" t="str">
        <f>IF(C386="","",'04 FIIs'!E189)</f>
        <v/>
      </c>
      <c r="H386" s="136" t="str">
        <f>IF(C386="","",'04 FIIs'!H189)</f>
        <v/>
      </c>
      <c r="I386" s="137" t="str">
        <f>IF(C386="","",'04 FIIs'!J189)</f>
        <v/>
      </c>
      <c r="J386" s="138" t="str">
        <f>IF(C386="","",'04 FIIs'!K189)</f>
        <v/>
      </c>
      <c r="K386" s="138" t="str">
        <f>IF(C386="","",'04 FIIs'!Q189)</f>
        <v/>
      </c>
      <c r="L386" s="135" t="str">
        <f>IF(C386="","",'04 FIIs'!R189)</f>
        <v/>
      </c>
      <c r="M386" s="138" t="str">
        <f>IF(C386="","",'04 FIIs'!T189)</f>
        <v/>
      </c>
      <c r="N386" s="139" t="str">
        <f>IF(C386="","",IF($J$3&gt;0,J386/$J$3,0))</f>
        <v/>
      </c>
      <c r="O386" s="134" t="str">
        <f>IF(C386="","",'04 FIIs'!I189)</f>
        <v/>
      </c>
      <c r="P386" s="140" t="str">
        <f>IF(C386="","",IF(N(J386)&gt;0,J386+ROW()/1E9,""))</f>
        <v/>
      </c>
      <c r="Q386" s="140" t="str">
        <f>IF(C386="","",IF(N(M386)&gt;0,M386+ROW()/1E9,""))</f>
        <v/>
      </c>
    </row>
    <row r="387">
      <c r="A387" s="141" t="str">
        <f>IF(C387="","","FIIs")</f>
        <v/>
      </c>
      <c r="B387" s="141" t="str">
        <f>IF(C387="","","Brasil")</f>
        <v/>
      </c>
      <c r="C387" s="141" t="str">
        <f>IF('04 FIIs'!A190="","",'04 FIIs'!A190&amp;"")</f>
        <v/>
      </c>
      <c r="D387" s="141" t="str">
        <f>IF(C387="","",'04 FIIs'!B190&amp;"")</f>
        <v/>
      </c>
      <c r="E387" s="141" t="str">
        <f>IF(C387="","",'04 FIIs'!C190&amp;"")</f>
        <v/>
      </c>
      <c r="F387" s="141" t="str">
        <f>IF(C387="","",'04 FIIs'!V190)</f>
        <v/>
      </c>
      <c r="G387" s="142" t="str">
        <f>IF(C387="","",'04 FIIs'!E190)</f>
        <v/>
      </c>
      <c r="H387" s="143" t="str">
        <f>IF(C387="","",'04 FIIs'!H190)</f>
        <v/>
      </c>
      <c r="I387" s="144" t="str">
        <f>IF(C387="","",'04 FIIs'!J190)</f>
        <v/>
      </c>
      <c r="J387" s="145" t="str">
        <f>IF(C387="","",'04 FIIs'!K190)</f>
        <v/>
      </c>
      <c r="K387" s="145" t="str">
        <f>IF(C387="","",'04 FIIs'!Q190)</f>
        <v/>
      </c>
      <c r="L387" s="142" t="str">
        <f>IF(C387="","",'04 FIIs'!R190)</f>
        <v/>
      </c>
      <c r="M387" s="145" t="str">
        <f>IF(C387="","",'04 FIIs'!T190)</f>
        <v/>
      </c>
      <c r="N387" s="146" t="str">
        <f>IF(C387="","",IF($J$3&gt;0,J387/$J$3,0))</f>
        <v/>
      </c>
      <c r="O387" s="141" t="str">
        <f>IF(C387="","",'04 FIIs'!I190)</f>
        <v/>
      </c>
      <c r="P387" s="147" t="str">
        <f>IF(C387="","",IF(N(J387)&gt;0,J387+ROW()/1E9,""))</f>
        <v/>
      </c>
      <c r="Q387" s="147" t="str">
        <f>IF(C387="","",IF(N(M387)&gt;0,M387+ROW()/1E9,""))</f>
        <v/>
      </c>
    </row>
    <row r="388">
      <c r="A388" s="134" t="str">
        <f>IF(C388="","","FIIs")</f>
        <v/>
      </c>
      <c r="B388" s="134" t="str">
        <f>IF(C388="","","Brasil")</f>
        <v/>
      </c>
      <c r="C388" s="134" t="str">
        <f>IF('04 FIIs'!A191="","",'04 FIIs'!A191&amp;"")</f>
        <v/>
      </c>
      <c r="D388" s="134" t="str">
        <f>IF(C388="","",'04 FIIs'!B191&amp;"")</f>
        <v/>
      </c>
      <c r="E388" s="134" t="str">
        <f>IF(C388="","",'04 FIIs'!C191&amp;"")</f>
        <v/>
      </c>
      <c r="F388" s="134" t="str">
        <f>IF(C388="","",'04 FIIs'!V191)</f>
        <v/>
      </c>
      <c r="G388" s="135" t="str">
        <f>IF(C388="","",'04 FIIs'!E191)</f>
        <v/>
      </c>
      <c r="H388" s="136" t="str">
        <f>IF(C388="","",'04 FIIs'!H191)</f>
        <v/>
      </c>
      <c r="I388" s="137" t="str">
        <f>IF(C388="","",'04 FIIs'!J191)</f>
        <v/>
      </c>
      <c r="J388" s="138" t="str">
        <f>IF(C388="","",'04 FIIs'!K191)</f>
        <v/>
      </c>
      <c r="K388" s="138" t="str">
        <f>IF(C388="","",'04 FIIs'!Q191)</f>
        <v/>
      </c>
      <c r="L388" s="135" t="str">
        <f>IF(C388="","",'04 FIIs'!R191)</f>
        <v/>
      </c>
      <c r="M388" s="138" t="str">
        <f>IF(C388="","",'04 FIIs'!T191)</f>
        <v/>
      </c>
      <c r="N388" s="139" t="str">
        <f>IF(C388="","",IF($J$3&gt;0,J388/$J$3,0))</f>
        <v/>
      </c>
      <c r="O388" s="134" t="str">
        <f>IF(C388="","",'04 FIIs'!I191)</f>
        <v/>
      </c>
      <c r="P388" s="140" t="str">
        <f>IF(C388="","",IF(N(J388)&gt;0,J388+ROW()/1E9,""))</f>
        <v/>
      </c>
      <c r="Q388" s="140" t="str">
        <f>IF(C388="","",IF(N(M388)&gt;0,M388+ROW()/1E9,""))</f>
        <v/>
      </c>
    </row>
    <row r="389">
      <c r="A389" s="141" t="str">
        <f>IF(C389="","","FIIs")</f>
        <v/>
      </c>
      <c r="B389" s="141" t="str">
        <f>IF(C389="","","Brasil")</f>
        <v/>
      </c>
      <c r="C389" s="141" t="str">
        <f>IF('04 FIIs'!A192="","",'04 FIIs'!A192&amp;"")</f>
        <v/>
      </c>
      <c r="D389" s="141" t="str">
        <f>IF(C389="","",'04 FIIs'!B192&amp;"")</f>
        <v/>
      </c>
      <c r="E389" s="141" t="str">
        <f>IF(C389="","",'04 FIIs'!C192&amp;"")</f>
        <v/>
      </c>
      <c r="F389" s="141" t="str">
        <f>IF(C389="","",'04 FIIs'!V192)</f>
        <v/>
      </c>
      <c r="G389" s="142" t="str">
        <f>IF(C389="","",'04 FIIs'!E192)</f>
        <v/>
      </c>
      <c r="H389" s="143" t="str">
        <f>IF(C389="","",'04 FIIs'!H192)</f>
        <v/>
      </c>
      <c r="I389" s="144" t="str">
        <f>IF(C389="","",'04 FIIs'!J192)</f>
        <v/>
      </c>
      <c r="J389" s="145" t="str">
        <f>IF(C389="","",'04 FIIs'!K192)</f>
        <v/>
      </c>
      <c r="K389" s="145" t="str">
        <f>IF(C389="","",'04 FIIs'!Q192)</f>
        <v/>
      </c>
      <c r="L389" s="142" t="str">
        <f>IF(C389="","",'04 FIIs'!R192)</f>
        <v/>
      </c>
      <c r="M389" s="145" t="str">
        <f>IF(C389="","",'04 FIIs'!T192)</f>
        <v/>
      </c>
      <c r="N389" s="146" t="str">
        <f>IF(C389="","",IF($J$3&gt;0,J389/$J$3,0))</f>
        <v/>
      </c>
      <c r="O389" s="141" t="str">
        <f>IF(C389="","",'04 FIIs'!I192)</f>
        <v/>
      </c>
      <c r="P389" s="147" t="str">
        <f>IF(C389="","",IF(N(J389)&gt;0,J389+ROW()/1E9,""))</f>
        <v/>
      </c>
      <c r="Q389" s="147" t="str">
        <f>IF(C389="","",IF(N(M389)&gt;0,M389+ROW()/1E9,""))</f>
        <v/>
      </c>
    </row>
    <row r="390">
      <c r="A390" s="134" t="str">
        <f>IF(C390="","","FIIs")</f>
        <v/>
      </c>
      <c r="B390" s="134" t="str">
        <f>IF(C390="","","Brasil")</f>
        <v/>
      </c>
      <c r="C390" s="134" t="str">
        <f>IF('04 FIIs'!A193="","",'04 FIIs'!A193&amp;"")</f>
        <v/>
      </c>
      <c r="D390" s="134" t="str">
        <f>IF(C390="","",'04 FIIs'!B193&amp;"")</f>
        <v/>
      </c>
      <c r="E390" s="134" t="str">
        <f>IF(C390="","",'04 FIIs'!C193&amp;"")</f>
        <v/>
      </c>
      <c r="F390" s="134" t="str">
        <f>IF(C390="","",'04 FIIs'!V193)</f>
        <v/>
      </c>
      <c r="G390" s="135" t="str">
        <f>IF(C390="","",'04 FIIs'!E193)</f>
        <v/>
      </c>
      <c r="H390" s="136" t="str">
        <f>IF(C390="","",'04 FIIs'!H193)</f>
        <v/>
      </c>
      <c r="I390" s="137" t="str">
        <f>IF(C390="","",'04 FIIs'!J193)</f>
        <v/>
      </c>
      <c r="J390" s="138" t="str">
        <f>IF(C390="","",'04 FIIs'!K193)</f>
        <v/>
      </c>
      <c r="K390" s="138" t="str">
        <f>IF(C390="","",'04 FIIs'!Q193)</f>
        <v/>
      </c>
      <c r="L390" s="135" t="str">
        <f>IF(C390="","",'04 FIIs'!R193)</f>
        <v/>
      </c>
      <c r="M390" s="138" t="str">
        <f>IF(C390="","",'04 FIIs'!T193)</f>
        <v/>
      </c>
      <c r="N390" s="139" t="str">
        <f>IF(C390="","",IF($J$3&gt;0,J390/$J$3,0))</f>
        <v/>
      </c>
      <c r="O390" s="134" t="str">
        <f>IF(C390="","",'04 FIIs'!I193)</f>
        <v/>
      </c>
      <c r="P390" s="140" t="str">
        <f>IF(C390="","",IF(N(J390)&gt;0,J390+ROW()/1E9,""))</f>
        <v/>
      </c>
      <c r="Q390" s="140" t="str">
        <f>IF(C390="","",IF(N(M390)&gt;0,M390+ROW()/1E9,""))</f>
        <v/>
      </c>
    </row>
    <row r="391">
      <c r="A391" s="141" t="str">
        <f>IF(C391="","","FIIs")</f>
        <v/>
      </c>
      <c r="B391" s="141" t="str">
        <f>IF(C391="","","Brasil")</f>
        <v/>
      </c>
      <c r="C391" s="141" t="str">
        <f>IF('04 FIIs'!A194="","",'04 FIIs'!A194&amp;"")</f>
        <v/>
      </c>
      <c r="D391" s="141" t="str">
        <f>IF(C391="","",'04 FIIs'!B194&amp;"")</f>
        <v/>
      </c>
      <c r="E391" s="141" t="str">
        <f>IF(C391="","",'04 FIIs'!C194&amp;"")</f>
        <v/>
      </c>
      <c r="F391" s="141" t="str">
        <f>IF(C391="","",'04 FIIs'!V194)</f>
        <v/>
      </c>
      <c r="G391" s="142" t="str">
        <f>IF(C391="","",'04 FIIs'!E194)</f>
        <v/>
      </c>
      <c r="H391" s="143" t="str">
        <f>IF(C391="","",'04 FIIs'!H194)</f>
        <v/>
      </c>
      <c r="I391" s="144" t="str">
        <f>IF(C391="","",'04 FIIs'!J194)</f>
        <v/>
      </c>
      <c r="J391" s="145" t="str">
        <f>IF(C391="","",'04 FIIs'!K194)</f>
        <v/>
      </c>
      <c r="K391" s="145" t="str">
        <f>IF(C391="","",'04 FIIs'!Q194)</f>
        <v/>
      </c>
      <c r="L391" s="142" t="str">
        <f>IF(C391="","",'04 FIIs'!R194)</f>
        <v/>
      </c>
      <c r="M391" s="145" t="str">
        <f>IF(C391="","",'04 FIIs'!T194)</f>
        <v/>
      </c>
      <c r="N391" s="146" t="str">
        <f>IF(C391="","",IF($J$3&gt;0,J391/$J$3,0))</f>
        <v/>
      </c>
      <c r="O391" s="141" t="str">
        <f>IF(C391="","",'04 FIIs'!I194)</f>
        <v/>
      </c>
      <c r="P391" s="147" t="str">
        <f>IF(C391="","",IF(N(J391)&gt;0,J391+ROW()/1E9,""))</f>
        <v/>
      </c>
      <c r="Q391" s="147" t="str">
        <f>IF(C391="","",IF(N(M391)&gt;0,M391+ROW()/1E9,""))</f>
        <v/>
      </c>
    </row>
    <row r="392">
      <c r="A392" s="134" t="str">
        <f>IF(C392="","","FIIs")</f>
        <v/>
      </c>
      <c r="B392" s="134" t="str">
        <f>IF(C392="","","Brasil")</f>
        <v/>
      </c>
      <c r="C392" s="134" t="str">
        <f>IF('04 FIIs'!A195="","",'04 FIIs'!A195&amp;"")</f>
        <v/>
      </c>
      <c r="D392" s="134" t="str">
        <f>IF(C392="","",'04 FIIs'!B195&amp;"")</f>
        <v/>
      </c>
      <c r="E392" s="134" t="str">
        <f>IF(C392="","",'04 FIIs'!C195&amp;"")</f>
        <v/>
      </c>
      <c r="F392" s="134" t="str">
        <f>IF(C392="","",'04 FIIs'!V195)</f>
        <v/>
      </c>
      <c r="G392" s="135" t="str">
        <f>IF(C392="","",'04 FIIs'!E195)</f>
        <v/>
      </c>
      <c r="H392" s="136" t="str">
        <f>IF(C392="","",'04 FIIs'!H195)</f>
        <v/>
      </c>
      <c r="I392" s="137" t="str">
        <f>IF(C392="","",'04 FIIs'!J195)</f>
        <v/>
      </c>
      <c r="J392" s="138" t="str">
        <f>IF(C392="","",'04 FIIs'!K195)</f>
        <v/>
      </c>
      <c r="K392" s="138" t="str">
        <f>IF(C392="","",'04 FIIs'!Q195)</f>
        <v/>
      </c>
      <c r="L392" s="135" t="str">
        <f>IF(C392="","",'04 FIIs'!R195)</f>
        <v/>
      </c>
      <c r="M392" s="138" t="str">
        <f>IF(C392="","",'04 FIIs'!T195)</f>
        <v/>
      </c>
      <c r="N392" s="139" t="str">
        <f>IF(C392="","",IF($J$3&gt;0,J392/$J$3,0))</f>
        <v/>
      </c>
      <c r="O392" s="134" t="str">
        <f>IF(C392="","",'04 FIIs'!I195)</f>
        <v/>
      </c>
      <c r="P392" s="140" t="str">
        <f>IF(C392="","",IF(N(J392)&gt;0,J392+ROW()/1E9,""))</f>
        <v/>
      </c>
      <c r="Q392" s="140" t="str">
        <f>IF(C392="","",IF(N(M392)&gt;0,M392+ROW()/1E9,""))</f>
        <v/>
      </c>
    </row>
    <row r="393">
      <c r="A393" s="141" t="str">
        <f>IF(C393="","","FIIs")</f>
        <v/>
      </c>
      <c r="B393" s="141" t="str">
        <f>IF(C393="","","Brasil")</f>
        <v/>
      </c>
      <c r="C393" s="141" t="str">
        <f>IF('04 FIIs'!A196="","",'04 FIIs'!A196&amp;"")</f>
        <v/>
      </c>
      <c r="D393" s="141" t="str">
        <f>IF(C393="","",'04 FIIs'!B196&amp;"")</f>
        <v/>
      </c>
      <c r="E393" s="141" t="str">
        <f>IF(C393="","",'04 FIIs'!C196&amp;"")</f>
        <v/>
      </c>
      <c r="F393" s="141" t="str">
        <f>IF(C393="","",'04 FIIs'!V196)</f>
        <v/>
      </c>
      <c r="G393" s="142" t="str">
        <f>IF(C393="","",'04 FIIs'!E196)</f>
        <v/>
      </c>
      <c r="H393" s="143" t="str">
        <f>IF(C393="","",'04 FIIs'!H196)</f>
        <v/>
      </c>
      <c r="I393" s="144" t="str">
        <f>IF(C393="","",'04 FIIs'!J196)</f>
        <v/>
      </c>
      <c r="J393" s="145" t="str">
        <f>IF(C393="","",'04 FIIs'!K196)</f>
        <v/>
      </c>
      <c r="K393" s="145" t="str">
        <f>IF(C393="","",'04 FIIs'!Q196)</f>
        <v/>
      </c>
      <c r="L393" s="142" t="str">
        <f>IF(C393="","",'04 FIIs'!R196)</f>
        <v/>
      </c>
      <c r="M393" s="145" t="str">
        <f>IF(C393="","",'04 FIIs'!T196)</f>
        <v/>
      </c>
      <c r="N393" s="146" t="str">
        <f>IF(C393="","",IF($J$3&gt;0,J393/$J$3,0))</f>
        <v/>
      </c>
      <c r="O393" s="141" t="str">
        <f>IF(C393="","",'04 FIIs'!I196)</f>
        <v/>
      </c>
      <c r="P393" s="147" t="str">
        <f>IF(C393="","",IF(N(J393)&gt;0,J393+ROW()/1E9,""))</f>
        <v/>
      </c>
      <c r="Q393" s="147" t="str">
        <f>IF(C393="","",IF(N(M393)&gt;0,M393+ROW()/1E9,""))</f>
        <v/>
      </c>
    </row>
    <row r="394">
      <c r="A394" s="134" t="str">
        <f>IF(C394="","","FIIs")</f>
        <v/>
      </c>
      <c r="B394" s="134" t="str">
        <f>IF(C394="","","Brasil")</f>
        <v/>
      </c>
      <c r="C394" s="134" t="str">
        <f>IF('04 FIIs'!A197="","",'04 FIIs'!A197&amp;"")</f>
        <v/>
      </c>
      <c r="D394" s="134" t="str">
        <f>IF(C394="","",'04 FIIs'!B197&amp;"")</f>
        <v/>
      </c>
      <c r="E394" s="134" t="str">
        <f>IF(C394="","",'04 FIIs'!C197&amp;"")</f>
        <v/>
      </c>
      <c r="F394" s="134" t="str">
        <f>IF(C394="","",'04 FIIs'!V197)</f>
        <v/>
      </c>
      <c r="G394" s="135" t="str">
        <f>IF(C394="","",'04 FIIs'!E197)</f>
        <v/>
      </c>
      <c r="H394" s="136" t="str">
        <f>IF(C394="","",'04 FIIs'!H197)</f>
        <v/>
      </c>
      <c r="I394" s="137" t="str">
        <f>IF(C394="","",'04 FIIs'!J197)</f>
        <v/>
      </c>
      <c r="J394" s="138" t="str">
        <f>IF(C394="","",'04 FIIs'!K197)</f>
        <v/>
      </c>
      <c r="K394" s="138" t="str">
        <f>IF(C394="","",'04 FIIs'!Q197)</f>
        <v/>
      </c>
      <c r="L394" s="135" t="str">
        <f>IF(C394="","",'04 FIIs'!R197)</f>
        <v/>
      </c>
      <c r="M394" s="138" t="str">
        <f>IF(C394="","",'04 FIIs'!T197)</f>
        <v/>
      </c>
      <c r="N394" s="139" t="str">
        <f>IF(C394="","",IF($J$3&gt;0,J394/$J$3,0))</f>
        <v/>
      </c>
      <c r="O394" s="134" t="str">
        <f>IF(C394="","",'04 FIIs'!I197)</f>
        <v/>
      </c>
      <c r="P394" s="140" t="str">
        <f>IF(C394="","",IF(N(J394)&gt;0,J394+ROW()/1E9,""))</f>
        <v/>
      </c>
      <c r="Q394" s="140" t="str">
        <f>IF(C394="","",IF(N(M394)&gt;0,M394+ROW()/1E9,""))</f>
        <v/>
      </c>
    </row>
    <row r="395">
      <c r="A395" s="141" t="str">
        <f>IF(C395="","","FIIs")</f>
        <v/>
      </c>
      <c r="B395" s="141" t="str">
        <f>IF(C395="","","Brasil")</f>
        <v/>
      </c>
      <c r="C395" s="141" t="str">
        <f>IF('04 FIIs'!A198="","",'04 FIIs'!A198&amp;"")</f>
        <v/>
      </c>
      <c r="D395" s="141" t="str">
        <f>IF(C395="","",'04 FIIs'!B198&amp;"")</f>
        <v/>
      </c>
      <c r="E395" s="141" t="str">
        <f>IF(C395="","",'04 FIIs'!C198&amp;"")</f>
        <v/>
      </c>
      <c r="F395" s="141" t="str">
        <f>IF(C395="","",'04 FIIs'!V198)</f>
        <v/>
      </c>
      <c r="G395" s="142" t="str">
        <f>IF(C395="","",'04 FIIs'!E198)</f>
        <v/>
      </c>
      <c r="H395" s="143" t="str">
        <f>IF(C395="","",'04 FIIs'!H198)</f>
        <v/>
      </c>
      <c r="I395" s="144" t="str">
        <f>IF(C395="","",'04 FIIs'!J198)</f>
        <v/>
      </c>
      <c r="J395" s="145" t="str">
        <f>IF(C395="","",'04 FIIs'!K198)</f>
        <v/>
      </c>
      <c r="K395" s="145" t="str">
        <f>IF(C395="","",'04 FIIs'!Q198)</f>
        <v/>
      </c>
      <c r="L395" s="142" t="str">
        <f>IF(C395="","",'04 FIIs'!R198)</f>
        <v/>
      </c>
      <c r="M395" s="145" t="str">
        <f>IF(C395="","",'04 FIIs'!T198)</f>
        <v/>
      </c>
      <c r="N395" s="146" t="str">
        <f>IF(C395="","",IF($J$3&gt;0,J395/$J$3,0))</f>
        <v/>
      </c>
      <c r="O395" s="141" t="str">
        <f>IF(C395="","",'04 FIIs'!I198)</f>
        <v/>
      </c>
      <c r="P395" s="147" t="str">
        <f>IF(C395="","",IF(N(J395)&gt;0,J395+ROW()/1E9,""))</f>
        <v/>
      </c>
      <c r="Q395" s="147" t="str">
        <f>IF(C395="","",IF(N(M395)&gt;0,M395+ROW()/1E9,""))</f>
        <v/>
      </c>
    </row>
    <row r="396">
      <c r="A396" s="134" t="str">
        <f>IF(C396="","","FIIs")</f>
        <v/>
      </c>
      <c r="B396" s="134" t="str">
        <f>IF(C396="","","Brasil")</f>
        <v/>
      </c>
      <c r="C396" s="134" t="str">
        <f>IF('04 FIIs'!A199="","",'04 FIIs'!A199&amp;"")</f>
        <v/>
      </c>
      <c r="D396" s="134" t="str">
        <f>IF(C396="","",'04 FIIs'!B199&amp;"")</f>
        <v/>
      </c>
      <c r="E396" s="134" t="str">
        <f>IF(C396="","",'04 FIIs'!C199&amp;"")</f>
        <v/>
      </c>
      <c r="F396" s="134" t="str">
        <f>IF(C396="","",'04 FIIs'!V199)</f>
        <v/>
      </c>
      <c r="G396" s="135" t="str">
        <f>IF(C396="","",'04 FIIs'!E199)</f>
        <v/>
      </c>
      <c r="H396" s="136" t="str">
        <f>IF(C396="","",'04 FIIs'!H199)</f>
        <v/>
      </c>
      <c r="I396" s="137" t="str">
        <f>IF(C396="","",'04 FIIs'!J199)</f>
        <v/>
      </c>
      <c r="J396" s="138" t="str">
        <f>IF(C396="","",'04 FIIs'!K199)</f>
        <v/>
      </c>
      <c r="K396" s="138" t="str">
        <f>IF(C396="","",'04 FIIs'!Q199)</f>
        <v/>
      </c>
      <c r="L396" s="135" t="str">
        <f>IF(C396="","",'04 FIIs'!R199)</f>
        <v/>
      </c>
      <c r="M396" s="138" t="str">
        <f>IF(C396="","",'04 FIIs'!T199)</f>
        <v/>
      </c>
      <c r="N396" s="139" t="str">
        <f>IF(C396="","",IF($J$3&gt;0,J396/$J$3,0))</f>
        <v/>
      </c>
      <c r="O396" s="134" t="str">
        <f>IF(C396="","",'04 FIIs'!I199)</f>
        <v/>
      </c>
      <c r="P396" s="140" t="str">
        <f>IF(C396="","",IF(N(J396)&gt;0,J396+ROW()/1E9,""))</f>
        <v/>
      </c>
      <c r="Q396" s="140" t="str">
        <f>IF(C396="","",IF(N(M396)&gt;0,M396+ROW()/1E9,""))</f>
        <v/>
      </c>
    </row>
    <row r="397">
      <c r="A397" s="141" t="str">
        <f>IF(C397="","","FIIs")</f>
        <v/>
      </c>
      <c r="B397" s="141" t="str">
        <f>IF(C397="","","Brasil")</f>
        <v/>
      </c>
      <c r="C397" s="141" t="str">
        <f>IF('04 FIIs'!A200="","",'04 FIIs'!A200&amp;"")</f>
        <v/>
      </c>
      <c r="D397" s="141" t="str">
        <f>IF(C397="","",'04 FIIs'!B200&amp;"")</f>
        <v/>
      </c>
      <c r="E397" s="141" t="str">
        <f>IF(C397="","",'04 FIIs'!C200&amp;"")</f>
        <v/>
      </c>
      <c r="F397" s="141" t="str">
        <f>IF(C397="","",'04 FIIs'!V200)</f>
        <v/>
      </c>
      <c r="G397" s="142" t="str">
        <f>IF(C397="","",'04 FIIs'!E200)</f>
        <v/>
      </c>
      <c r="H397" s="143" t="str">
        <f>IF(C397="","",'04 FIIs'!H200)</f>
        <v/>
      </c>
      <c r="I397" s="144" t="str">
        <f>IF(C397="","",'04 FIIs'!J200)</f>
        <v/>
      </c>
      <c r="J397" s="145" t="str">
        <f>IF(C397="","",'04 FIIs'!K200)</f>
        <v/>
      </c>
      <c r="K397" s="145" t="str">
        <f>IF(C397="","",'04 FIIs'!Q200)</f>
        <v/>
      </c>
      <c r="L397" s="142" t="str">
        <f>IF(C397="","",'04 FIIs'!R200)</f>
        <v/>
      </c>
      <c r="M397" s="145" t="str">
        <f>IF(C397="","",'04 FIIs'!T200)</f>
        <v/>
      </c>
      <c r="N397" s="146" t="str">
        <f>IF(C397="","",IF($J$3&gt;0,J397/$J$3,0))</f>
        <v/>
      </c>
      <c r="O397" s="141" t="str">
        <f>IF(C397="","",'04 FIIs'!I200)</f>
        <v/>
      </c>
      <c r="P397" s="147" t="str">
        <f>IF(C397="","",IF(N(J397)&gt;0,J397+ROW()/1E9,""))</f>
        <v/>
      </c>
      <c r="Q397" s="147" t="str">
        <f>IF(C397="","",IF(N(M397)&gt;0,M397+ROW()/1E9,""))</f>
        <v/>
      </c>
    </row>
    <row r="398">
      <c r="A398" s="134" t="str">
        <f>IF(C398="","","FIIs")</f>
        <v/>
      </c>
      <c r="B398" s="134" t="str">
        <f>IF(C398="","","Brasil")</f>
        <v/>
      </c>
      <c r="C398" s="134" t="str">
        <f>IF('04 FIIs'!A201="","",'04 FIIs'!A201&amp;"")</f>
        <v/>
      </c>
      <c r="D398" s="134" t="str">
        <f>IF(C398="","",'04 FIIs'!B201&amp;"")</f>
        <v/>
      </c>
      <c r="E398" s="134" t="str">
        <f>IF(C398="","",'04 FIIs'!C201&amp;"")</f>
        <v/>
      </c>
      <c r="F398" s="134" t="str">
        <f>IF(C398="","",'04 FIIs'!V201)</f>
        <v/>
      </c>
      <c r="G398" s="135" t="str">
        <f>IF(C398="","",'04 FIIs'!E201)</f>
        <v/>
      </c>
      <c r="H398" s="136" t="str">
        <f>IF(C398="","",'04 FIIs'!H201)</f>
        <v/>
      </c>
      <c r="I398" s="137" t="str">
        <f>IF(C398="","",'04 FIIs'!J201)</f>
        <v/>
      </c>
      <c r="J398" s="138" t="str">
        <f>IF(C398="","",'04 FIIs'!K201)</f>
        <v/>
      </c>
      <c r="K398" s="138" t="str">
        <f>IF(C398="","",'04 FIIs'!Q201)</f>
        <v/>
      </c>
      <c r="L398" s="135" t="str">
        <f>IF(C398="","",'04 FIIs'!R201)</f>
        <v/>
      </c>
      <c r="M398" s="138" t="str">
        <f>IF(C398="","",'04 FIIs'!T201)</f>
        <v/>
      </c>
      <c r="N398" s="139" t="str">
        <f>IF(C398="","",IF($J$3&gt;0,J398/$J$3,0))</f>
        <v/>
      </c>
      <c r="O398" s="134" t="str">
        <f>IF(C398="","",'04 FIIs'!I201)</f>
        <v/>
      </c>
      <c r="P398" s="140" t="str">
        <f>IF(C398="","",IF(N(J398)&gt;0,J398+ROW()/1E9,""))</f>
        <v/>
      </c>
      <c r="Q398" s="140" t="str">
        <f>IF(C398="","",IF(N(M398)&gt;0,M398+ROW()/1E9,""))</f>
        <v/>
      </c>
    </row>
    <row r="399">
      <c r="A399" s="141" t="str">
        <f>IF(C399="","","FIIs")</f>
        <v/>
      </c>
      <c r="B399" s="141" t="str">
        <f>IF(C399="","","Brasil")</f>
        <v/>
      </c>
      <c r="C399" s="141" t="str">
        <f>IF('04 FIIs'!A202="","",'04 FIIs'!A202&amp;"")</f>
        <v/>
      </c>
      <c r="D399" s="141" t="str">
        <f>IF(C399="","",'04 FIIs'!B202&amp;"")</f>
        <v/>
      </c>
      <c r="E399" s="141" t="str">
        <f>IF(C399="","",'04 FIIs'!C202&amp;"")</f>
        <v/>
      </c>
      <c r="F399" s="141" t="str">
        <f>IF(C399="","",'04 FIIs'!V202)</f>
        <v/>
      </c>
      <c r="G399" s="142" t="str">
        <f>IF(C399="","",'04 FIIs'!E202)</f>
        <v/>
      </c>
      <c r="H399" s="143" t="str">
        <f>IF(C399="","",'04 FIIs'!H202)</f>
        <v/>
      </c>
      <c r="I399" s="144" t="str">
        <f>IF(C399="","",'04 FIIs'!J202)</f>
        <v/>
      </c>
      <c r="J399" s="145" t="str">
        <f>IF(C399="","",'04 FIIs'!K202)</f>
        <v/>
      </c>
      <c r="K399" s="145" t="str">
        <f>IF(C399="","",'04 FIIs'!Q202)</f>
        <v/>
      </c>
      <c r="L399" s="142" t="str">
        <f>IF(C399="","",'04 FIIs'!R202)</f>
        <v/>
      </c>
      <c r="M399" s="145" t="str">
        <f>IF(C399="","",'04 FIIs'!T202)</f>
        <v/>
      </c>
      <c r="N399" s="146" t="str">
        <f>IF(C399="","",IF($J$3&gt;0,J399/$J$3,0))</f>
        <v/>
      </c>
      <c r="O399" s="141" t="str">
        <f>IF(C399="","",'04 FIIs'!I202)</f>
        <v/>
      </c>
      <c r="P399" s="147" t="str">
        <f>IF(C399="","",IF(N(J399)&gt;0,J399+ROW()/1E9,""))</f>
        <v/>
      </c>
      <c r="Q399" s="147" t="str">
        <f>IF(C399="","",IF(N(M399)&gt;0,M399+ROW()/1E9,""))</f>
        <v/>
      </c>
    </row>
    <row r="400">
      <c r="A400" s="134" t="str">
        <f>IF(C400="","","FIIs")</f>
        <v/>
      </c>
      <c r="B400" s="134" t="str">
        <f>IF(C400="","","Brasil")</f>
        <v/>
      </c>
      <c r="C400" s="134" t="str">
        <f>IF('04 FIIs'!A203="","",'04 FIIs'!A203&amp;"")</f>
        <v/>
      </c>
      <c r="D400" s="134" t="str">
        <f>IF(C400="","",'04 FIIs'!B203&amp;"")</f>
        <v/>
      </c>
      <c r="E400" s="134" t="str">
        <f>IF(C400="","",'04 FIIs'!C203&amp;"")</f>
        <v/>
      </c>
      <c r="F400" s="134" t="str">
        <f>IF(C400="","",'04 FIIs'!V203)</f>
        <v/>
      </c>
      <c r="G400" s="135" t="str">
        <f>IF(C400="","",'04 FIIs'!E203)</f>
        <v/>
      </c>
      <c r="H400" s="136" t="str">
        <f>IF(C400="","",'04 FIIs'!H203)</f>
        <v/>
      </c>
      <c r="I400" s="137" t="str">
        <f>IF(C400="","",'04 FIIs'!J203)</f>
        <v/>
      </c>
      <c r="J400" s="138" t="str">
        <f>IF(C400="","",'04 FIIs'!K203)</f>
        <v/>
      </c>
      <c r="K400" s="138" t="str">
        <f>IF(C400="","",'04 FIIs'!Q203)</f>
        <v/>
      </c>
      <c r="L400" s="135" t="str">
        <f>IF(C400="","",'04 FIIs'!R203)</f>
        <v/>
      </c>
      <c r="M400" s="138" t="str">
        <f>IF(C400="","",'04 FIIs'!T203)</f>
        <v/>
      </c>
      <c r="N400" s="139" t="str">
        <f>IF(C400="","",IF($J$3&gt;0,J400/$J$3,0))</f>
        <v/>
      </c>
      <c r="O400" s="134" t="str">
        <f>IF(C400="","",'04 FIIs'!I203)</f>
        <v/>
      </c>
      <c r="P400" s="140" t="str">
        <f>IF(C400="","",IF(N(J400)&gt;0,J400+ROW()/1E9,""))</f>
        <v/>
      </c>
      <c r="Q400" s="140" t="str">
        <f>IF(C400="","",IF(N(M400)&gt;0,M400+ROW()/1E9,""))</f>
        <v/>
      </c>
    </row>
    <row r="401">
      <c r="A401" s="141" t="str">
        <f>IF(C401="","","FIIs")</f>
        <v/>
      </c>
      <c r="B401" s="141" t="str">
        <f>IF(C401="","","Brasil")</f>
        <v/>
      </c>
      <c r="C401" s="141" t="str">
        <f>IF('04 FIIs'!A204="","",'04 FIIs'!A204&amp;"")</f>
        <v/>
      </c>
      <c r="D401" s="141" t="str">
        <f>IF(C401="","",'04 FIIs'!B204&amp;"")</f>
        <v/>
      </c>
      <c r="E401" s="141" t="str">
        <f>IF(C401="","",'04 FIIs'!C204&amp;"")</f>
        <v/>
      </c>
      <c r="F401" s="141" t="str">
        <f>IF(C401="","",'04 FIIs'!V204)</f>
        <v/>
      </c>
      <c r="G401" s="142" t="str">
        <f>IF(C401="","",'04 FIIs'!E204)</f>
        <v/>
      </c>
      <c r="H401" s="143" t="str">
        <f>IF(C401="","",'04 FIIs'!H204)</f>
        <v/>
      </c>
      <c r="I401" s="144" t="str">
        <f>IF(C401="","",'04 FIIs'!J204)</f>
        <v/>
      </c>
      <c r="J401" s="145" t="str">
        <f>IF(C401="","",'04 FIIs'!K204)</f>
        <v/>
      </c>
      <c r="K401" s="145" t="str">
        <f>IF(C401="","",'04 FIIs'!Q204)</f>
        <v/>
      </c>
      <c r="L401" s="142" t="str">
        <f>IF(C401="","",'04 FIIs'!R204)</f>
        <v/>
      </c>
      <c r="M401" s="145" t="str">
        <f>IF(C401="","",'04 FIIs'!T204)</f>
        <v/>
      </c>
      <c r="N401" s="146" t="str">
        <f>IF(C401="","",IF($J$3&gt;0,J401/$J$3,0))</f>
        <v/>
      </c>
      <c r="O401" s="141" t="str">
        <f>IF(C401="","",'04 FIIs'!I204)</f>
        <v/>
      </c>
      <c r="P401" s="147" t="str">
        <f>IF(C401="","",IF(N(J401)&gt;0,J401+ROW()/1E9,""))</f>
        <v/>
      </c>
      <c r="Q401" s="147" t="str">
        <f>IF(C401="","",IF(N(M401)&gt;0,M401+ROW()/1E9,""))</f>
        <v/>
      </c>
    </row>
    <row r="402">
      <c r="A402" s="134" t="str">
        <f>IF(C402="","","FIIs")</f>
        <v/>
      </c>
      <c r="B402" s="134" t="str">
        <f>IF(C402="","","Brasil")</f>
        <v/>
      </c>
      <c r="C402" s="134" t="str">
        <f>IF('04 FIIs'!A205="","",'04 FIIs'!A205&amp;"")</f>
        <v/>
      </c>
      <c r="D402" s="134" t="str">
        <f>IF(C402="","",'04 FIIs'!B205&amp;"")</f>
        <v/>
      </c>
      <c r="E402" s="134" t="str">
        <f>IF(C402="","",'04 FIIs'!C205&amp;"")</f>
        <v/>
      </c>
      <c r="F402" s="134" t="str">
        <f>IF(C402="","",'04 FIIs'!V205)</f>
        <v/>
      </c>
      <c r="G402" s="135" t="str">
        <f>IF(C402="","",'04 FIIs'!E205)</f>
        <v/>
      </c>
      <c r="H402" s="136" t="str">
        <f>IF(C402="","",'04 FIIs'!H205)</f>
        <v/>
      </c>
      <c r="I402" s="137" t="str">
        <f>IF(C402="","",'04 FIIs'!J205)</f>
        <v/>
      </c>
      <c r="J402" s="138" t="str">
        <f>IF(C402="","",'04 FIIs'!K205)</f>
        <v/>
      </c>
      <c r="K402" s="138" t="str">
        <f>IF(C402="","",'04 FIIs'!Q205)</f>
        <v/>
      </c>
      <c r="L402" s="135" t="str">
        <f>IF(C402="","",'04 FIIs'!R205)</f>
        <v/>
      </c>
      <c r="M402" s="138" t="str">
        <f>IF(C402="","",'04 FIIs'!T205)</f>
        <v/>
      </c>
      <c r="N402" s="139" t="str">
        <f>IF(C402="","",IF($J$3&gt;0,J402/$J$3,0))</f>
        <v/>
      </c>
      <c r="O402" s="134" t="str">
        <f>IF(C402="","",'04 FIIs'!I205)</f>
        <v/>
      </c>
      <c r="P402" s="140" t="str">
        <f>IF(C402="","",IF(N(J402)&gt;0,J402+ROW()/1E9,""))</f>
        <v/>
      </c>
      <c r="Q402" s="140" t="str">
        <f>IF(C402="","",IF(N(M402)&gt;0,M402+ROW()/1E9,""))</f>
        <v/>
      </c>
    </row>
    <row r="403">
      <c r="A403" s="141" t="str">
        <f>IF(C403="","","FIIs")</f>
        <v/>
      </c>
      <c r="B403" s="141" t="str">
        <f>IF(C403="","","Brasil")</f>
        <v/>
      </c>
      <c r="C403" s="141" t="str">
        <f>IF('04 FIIs'!A206="","",'04 FIIs'!A206&amp;"")</f>
        <v/>
      </c>
      <c r="D403" s="141" t="str">
        <f>IF(C403="","",'04 FIIs'!B206&amp;"")</f>
        <v/>
      </c>
      <c r="E403" s="141" t="str">
        <f>IF(C403="","",'04 FIIs'!C206&amp;"")</f>
        <v/>
      </c>
      <c r="F403" s="141" t="str">
        <f>IF(C403="","",'04 FIIs'!V206)</f>
        <v/>
      </c>
      <c r="G403" s="142" t="str">
        <f>IF(C403="","",'04 FIIs'!E206)</f>
        <v/>
      </c>
      <c r="H403" s="143" t="str">
        <f>IF(C403="","",'04 FIIs'!H206)</f>
        <v/>
      </c>
      <c r="I403" s="144" t="str">
        <f>IF(C403="","",'04 FIIs'!J206)</f>
        <v/>
      </c>
      <c r="J403" s="145" t="str">
        <f>IF(C403="","",'04 FIIs'!K206)</f>
        <v/>
      </c>
      <c r="K403" s="145" t="str">
        <f>IF(C403="","",'04 FIIs'!Q206)</f>
        <v/>
      </c>
      <c r="L403" s="142" t="str">
        <f>IF(C403="","",'04 FIIs'!R206)</f>
        <v/>
      </c>
      <c r="M403" s="145" t="str">
        <f>IF(C403="","",'04 FIIs'!T206)</f>
        <v/>
      </c>
      <c r="N403" s="146" t="str">
        <f>IF(C403="","",IF($J$3&gt;0,J403/$J$3,0))</f>
        <v/>
      </c>
      <c r="O403" s="141" t="str">
        <f>IF(C403="","",'04 FIIs'!I206)</f>
        <v/>
      </c>
      <c r="P403" s="147" t="str">
        <f>IF(C403="","",IF(N(J403)&gt;0,J403+ROW()/1E9,""))</f>
        <v/>
      </c>
      <c r="Q403" s="147" t="str">
        <f>IF(C403="","",IF(N(M403)&gt;0,M403+ROW()/1E9,""))</f>
        <v/>
      </c>
    </row>
    <row r="404">
      <c r="A404" s="134" t="str">
        <f>IF(C404="","","FIIs")</f>
        <v/>
      </c>
      <c r="B404" s="134" t="str">
        <f>IF(C404="","","Brasil")</f>
        <v/>
      </c>
      <c r="C404" s="134" t="str">
        <f>IF('04 FIIs'!A207="","",'04 FIIs'!A207&amp;"")</f>
        <v/>
      </c>
      <c r="D404" s="134" t="str">
        <f>IF(C404="","",'04 FIIs'!B207&amp;"")</f>
        <v/>
      </c>
      <c r="E404" s="134" t="str">
        <f>IF(C404="","",'04 FIIs'!C207&amp;"")</f>
        <v/>
      </c>
      <c r="F404" s="134" t="str">
        <f>IF(C404="","",'04 FIIs'!V207)</f>
        <v/>
      </c>
      <c r="G404" s="135" t="str">
        <f>IF(C404="","",'04 FIIs'!E207)</f>
        <v/>
      </c>
      <c r="H404" s="136" t="str">
        <f>IF(C404="","",'04 FIIs'!H207)</f>
        <v/>
      </c>
      <c r="I404" s="137" t="str">
        <f>IF(C404="","",'04 FIIs'!J207)</f>
        <v/>
      </c>
      <c r="J404" s="138" t="str">
        <f>IF(C404="","",'04 FIIs'!K207)</f>
        <v/>
      </c>
      <c r="K404" s="138" t="str">
        <f>IF(C404="","",'04 FIIs'!Q207)</f>
        <v/>
      </c>
      <c r="L404" s="135" t="str">
        <f>IF(C404="","",'04 FIIs'!R207)</f>
        <v/>
      </c>
      <c r="M404" s="138" t="str">
        <f>IF(C404="","",'04 FIIs'!T207)</f>
        <v/>
      </c>
      <c r="N404" s="139" t="str">
        <f>IF(C404="","",IF($J$3&gt;0,J404/$J$3,0))</f>
        <v/>
      </c>
      <c r="O404" s="134" t="str">
        <f>IF(C404="","",'04 FIIs'!I207)</f>
        <v/>
      </c>
      <c r="P404" s="140" t="str">
        <f>IF(C404="","",IF(N(J404)&gt;0,J404+ROW()/1E9,""))</f>
        <v/>
      </c>
      <c r="Q404" s="140" t="str">
        <f>IF(C404="","",IF(N(M404)&gt;0,M404+ROW()/1E9,""))</f>
        <v/>
      </c>
    </row>
    <row r="405">
      <c r="A405" s="141" t="str">
        <f>IF(C405="","","FIIs")</f>
        <v/>
      </c>
      <c r="B405" s="141" t="str">
        <f>IF(C405="","","Brasil")</f>
        <v/>
      </c>
      <c r="C405" s="141" t="str">
        <f>IF('04 FIIs'!A208="","",'04 FIIs'!A208&amp;"")</f>
        <v/>
      </c>
      <c r="D405" s="141" t="str">
        <f>IF(C405="","",'04 FIIs'!B208&amp;"")</f>
        <v/>
      </c>
      <c r="E405" s="141" t="str">
        <f>IF(C405="","",'04 FIIs'!C208&amp;"")</f>
        <v/>
      </c>
      <c r="F405" s="141" t="str">
        <f>IF(C405="","",'04 FIIs'!V208)</f>
        <v/>
      </c>
      <c r="G405" s="142" t="str">
        <f>IF(C405="","",'04 FIIs'!E208)</f>
        <v/>
      </c>
      <c r="H405" s="143" t="str">
        <f>IF(C405="","",'04 FIIs'!H208)</f>
        <v/>
      </c>
      <c r="I405" s="144" t="str">
        <f>IF(C405="","",'04 FIIs'!J208)</f>
        <v/>
      </c>
      <c r="J405" s="145" t="str">
        <f>IF(C405="","",'04 FIIs'!K208)</f>
        <v/>
      </c>
      <c r="K405" s="145" t="str">
        <f>IF(C405="","",'04 FIIs'!Q208)</f>
        <v/>
      </c>
      <c r="L405" s="142" t="str">
        <f>IF(C405="","",'04 FIIs'!R208)</f>
        <v/>
      </c>
      <c r="M405" s="145" t="str">
        <f>IF(C405="","",'04 FIIs'!T208)</f>
        <v/>
      </c>
      <c r="N405" s="146" t="str">
        <f>IF(C405="","",IF($J$3&gt;0,J405/$J$3,0))</f>
        <v/>
      </c>
      <c r="O405" s="141" t="str">
        <f>IF(C405="","",'04 FIIs'!I208)</f>
        <v/>
      </c>
      <c r="P405" s="147" t="str">
        <f>IF(C405="","",IF(N(J405)&gt;0,J405+ROW()/1E9,""))</f>
        <v/>
      </c>
      <c r="Q405" s="147" t="str">
        <f>IF(C405="","",IF(N(M405)&gt;0,M405+ROW()/1E9,""))</f>
        <v/>
      </c>
    </row>
    <row r="406">
      <c r="A406" s="134" t="str">
        <f>IF(C406="","","Renda Fixa")</f>
        <v/>
      </c>
      <c r="B406" s="134" t="str">
        <f>IF(C406="","","Brasil")</f>
        <v/>
      </c>
      <c r="C406" s="134" t="str">
        <f>IF('07 Renda Fixa'!A9="","",'07 Renda Fixa'!A9&amp;"")</f>
        <v/>
      </c>
      <c r="D406" s="134" t="str">
        <f>IF(C406="","",'07 Renda Fixa'!B9&amp;"")</f>
        <v/>
      </c>
      <c r="E406" s="134" t="str">
        <f>IF(C406="","","Renda Fixa")</f>
        <v/>
      </c>
      <c r="F406" s="134" t="str">
        <f>IF(C406="","",'07 Renda Fixa'!T9)</f>
        <v/>
      </c>
      <c r="G406" s="135" t="n"/>
      <c r="H406" s="136" t="n"/>
      <c r="I406" s="137" t="str">
        <f>IF(C406="","",'07 Renda Fixa'!H9)</f>
        <v/>
      </c>
      <c r="J406" s="138" t="str">
        <f>IF(C406="","",'07 Renda Fixa'!J9)</f>
        <v/>
      </c>
      <c r="K406" s="138" t="str">
        <f>IF(C406="","",'07 Renda Fixa'!P9)</f>
        <v/>
      </c>
      <c r="L406" s="135" t="n"/>
      <c r="M406" s="138" t="str">
        <f>IF(C406="","",'07 Renda Fixa'!Q9)</f>
        <v/>
      </c>
      <c r="N406" s="139" t="str">
        <f>IF(C406="","",IF($J$3&gt;0,J406/$J$3,0))</f>
        <v/>
      </c>
      <c r="O406" s="134" t="str">
        <f>IF(C406="","","Manual")</f>
        <v/>
      </c>
      <c r="P406" s="140" t="str">
        <f>IF(C406="","",IF(N(J406)&gt;0,J406+ROW()/1E9,""))</f>
        <v/>
      </c>
      <c r="Q406" s="140" t="str">
        <f>IF(C406="","",IF(N(M406)&gt;0,M406+ROW()/1E9,""))</f>
        <v/>
      </c>
    </row>
    <row r="407">
      <c r="A407" s="141" t="str">
        <f>IF(C407="","","Renda Fixa")</f>
        <v/>
      </c>
      <c r="B407" s="141" t="str">
        <f>IF(C407="","","Brasil")</f>
        <v/>
      </c>
      <c r="C407" s="141" t="str">
        <f>IF('07 Renda Fixa'!A10="","",'07 Renda Fixa'!A10&amp;"")</f>
        <v/>
      </c>
      <c r="D407" s="141" t="str">
        <f>IF(C407="","",'07 Renda Fixa'!B10&amp;"")</f>
        <v/>
      </c>
      <c r="E407" s="141" t="str">
        <f>IF(C407="","","Renda Fixa")</f>
        <v/>
      </c>
      <c r="F407" s="141" t="str">
        <f>IF(C407="","",'07 Renda Fixa'!T10)</f>
        <v/>
      </c>
      <c r="G407" s="142" t="n"/>
      <c r="H407" s="143" t="n"/>
      <c r="I407" s="144" t="str">
        <f>IF(C407="","",'07 Renda Fixa'!H10)</f>
        <v/>
      </c>
      <c r="J407" s="145" t="str">
        <f>IF(C407="","",'07 Renda Fixa'!J10)</f>
        <v/>
      </c>
      <c r="K407" s="145" t="str">
        <f>IF(C407="","",'07 Renda Fixa'!P10)</f>
        <v/>
      </c>
      <c r="L407" s="142" t="n"/>
      <c r="M407" s="145" t="str">
        <f>IF(C407="","",'07 Renda Fixa'!Q10)</f>
        <v/>
      </c>
      <c r="N407" s="146" t="str">
        <f>IF(C407="","",IF($J$3&gt;0,J407/$J$3,0))</f>
        <v/>
      </c>
      <c r="O407" s="141" t="str">
        <f>IF(C407="","","Manual")</f>
        <v/>
      </c>
      <c r="P407" s="147" t="str">
        <f>IF(C407="","",IF(N(J407)&gt;0,J407+ROW()/1E9,""))</f>
        <v/>
      </c>
      <c r="Q407" s="147" t="str">
        <f>IF(C407="","",IF(N(M407)&gt;0,M407+ROW()/1E9,""))</f>
        <v/>
      </c>
    </row>
    <row r="408">
      <c r="A408" s="134" t="str">
        <f>IF(C408="","","Renda Fixa")</f>
        <v/>
      </c>
      <c r="B408" s="134" t="str">
        <f>IF(C408="","","Brasil")</f>
        <v/>
      </c>
      <c r="C408" s="134" t="str">
        <f>IF('07 Renda Fixa'!A11="","",'07 Renda Fixa'!A11&amp;"")</f>
        <v/>
      </c>
      <c r="D408" s="134" t="str">
        <f>IF(C408="","",'07 Renda Fixa'!B11&amp;"")</f>
        <v/>
      </c>
      <c r="E408" s="134" t="str">
        <f>IF(C408="","","Renda Fixa")</f>
        <v/>
      </c>
      <c r="F408" s="134" t="str">
        <f>IF(C408="","",'07 Renda Fixa'!T11)</f>
        <v/>
      </c>
      <c r="G408" s="135" t="n"/>
      <c r="H408" s="136" t="n"/>
      <c r="I408" s="137" t="str">
        <f>IF(C408="","",'07 Renda Fixa'!H11)</f>
        <v/>
      </c>
      <c r="J408" s="138" t="str">
        <f>IF(C408="","",'07 Renda Fixa'!J11)</f>
        <v/>
      </c>
      <c r="K408" s="138" t="str">
        <f>IF(C408="","",'07 Renda Fixa'!P11)</f>
        <v/>
      </c>
      <c r="L408" s="135" t="n"/>
      <c r="M408" s="138" t="str">
        <f>IF(C408="","",'07 Renda Fixa'!Q11)</f>
        <v/>
      </c>
      <c r="N408" s="139" t="str">
        <f>IF(C408="","",IF($J$3&gt;0,J408/$J$3,0))</f>
        <v/>
      </c>
      <c r="O408" s="134" t="str">
        <f>IF(C408="","","Manual")</f>
        <v/>
      </c>
      <c r="P408" s="140" t="str">
        <f>IF(C408="","",IF(N(J408)&gt;0,J408+ROW()/1E9,""))</f>
        <v/>
      </c>
      <c r="Q408" s="140" t="str">
        <f>IF(C408="","",IF(N(M408)&gt;0,M408+ROW()/1E9,""))</f>
        <v/>
      </c>
    </row>
    <row r="409">
      <c r="A409" s="141" t="str">
        <f>IF(C409="","","Renda Fixa")</f>
        <v/>
      </c>
      <c r="B409" s="141" t="str">
        <f>IF(C409="","","Brasil")</f>
        <v/>
      </c>
      <c r="C409" s="141" t="str">
        <f>IF('07 Renda Fixa'!A12="","",'07 Renda Fixa'!A12&amp;"")</f>
        <v/>
      </c>
      <c r="D409" s="141" t="str">
        <f>IF(C409="","",'07 Renda Fixa'!B12&amp;"")</f>
        <v/>
      </c>
      <c r="E409" s="141" t="str">
        <f>IF(C409="","","Renda Fixa")</f>
        <v/>
      </c>
      <c r="F409" s="141" t="str">
        <f>IF(C409="","",'07 Renda Fixa'!T12)</f>
        <v/>
      </c>
      <c r="G409" s="142" t="n"/>
      <c r="H409" s="143" t="n"/>
      <c r="I409" s="144" t="str">
        <f>IF(C409="","",'07 Renda Fixa'!H12)</f>
        <v/>
      </c>
      <c r="J409" s="145" t="str">
        <f>IF(C409="","",'07 Renda Fixa'!J12)</f>
        <v/>
      </c>
      <c r="K409" s="145" t="str">
        <f>IF(C409="","",'07 Renda Fixa'!P12)</f>
        <v/>
      </c>
      <c r="L409" s="142" t="n"/>
      <c r="M409" s="145" t="str">
        <f>IF(C409="","",'07 Renda Fixa'!Q12)</f>
        <v/>
      </c>
      <c r="N409" s="146" t="str">
        <f>IF(C409="","",IF($J$3&gt;0,J409/$J$3,0))</f>
        <v/>
      </c>
      <c r="O409" s="141" t="str">
        <f>IF(C409="","","Manual")</f>
        <v/>
      </c>
      <c r="P409" s="147" t="str">
        <f>IF(C409="","",IF(N(J409)&gt;0,J409+ROW()/1E9,""))</f>
        <v/>
      </c>
      <c r="Q409" s="147" t="str">
        <f>IF(C409="","",IF(N(M409)&gt;0,M409+ROW()/1E9,""))</f>
        <v/>
      </c>
    </row>
    <row r="410">
      <c r="A410" s="134" t="str">
        <f>IF(C410="","","Renda Fixa")</f>
        <v/>
      </c>
      <c r="B410" s="134" t="str">
        <f>IF(C410="","","Brasil")</f>
        <v/>
      </c>
      <c r="C410" s="134" t="str">
        <f>IF('07 Renda Fixa'!A13="","",'07 Renda Fixa'!A13&amp;"")</f>
        <v/>
      </c>
      <c r="D410" s="134" t="str">
        <f>IF(C410="","",'07 Renda Fixa'!B13&amp;"")</f>
        <v/>
      </c>
      <c r="E410" s="134" t="str">
        <f>IF(C410="","","Renda Fixa")</f>
        <v/>
      </c>
      <c r="F410" s="134" t="str">
        <f>IF(C410="","",'07 Renda Fixa'!T13)</f>
        <v/>
      </c>
      <c r="G410" s="135" t="n"/>
      <c r="H410" s="136" t="n"/>
      <c r="I410" s="137" t="str">
        <f>IF(C410="","",'07 Renda Fixa'!H13)</f>
        <v/>
      </c>
      <c r="J410" s="138" t="str">
        <f>IF(C410="","",'07 Renda Fixa'!J13)</f>
        <v/>
      </c>
      <c r="K410" s="138" t="str">
        <f>IF(C410="","",'07 Renda Fixa'!P13)</f>
        <v/>
      </c>
      <c r="L410" s="135" t="n"/>
      <c r="M410" s="138" t="str">
        <f>IF(C410="","",'07 Renda Fixa'!Q13)</f>
        <v/>
      </c>
      <c r="N410" s="139" t="str">
        <f>IF(C410="","",IF($J$3&gt;0,J410/$J$3,0))</f>
        <v/>
      </c>
      <c r="O410" s="134" t="str">
        <f>IF(C410="","","Manual")</f>
        <v/>
      </c>
      <c r="P410" s="140" t="str">
        <f>IF(C410="","",IF(N(J410)&gt;0,J410+ROW()/1E9,""))</f>
        <v/>
      </c>
      <c r="Q410" s="140" t="str">
        <f>IF(C410="","",IF(N(M410)&gt;0,M410+ROW()/1E9,""))</f>
        <v/>
      </c>
    </row>
    <row r="411">
      <c r="A411" s="141" t="str">
        <f>IF(C411="","","Renda Fixa")</f>
        <v/>
      </c>
      <c r="B411" s="141" t="str">
        <f>IF(C411="","","Brasil")</f>
        <v/>
      </c>
      <c r="C411" s="141" t="str">
        <f>IF('07 Renda Fixa'!A14="","",'07 Renda Fixa'!A14&amp;"")</f>
        <v/>
      </c>
      <c r="D411" s="141" t="str">
        <f>IF(C411="","",'07 Renda Fixa'!B14&amp;"")</f>
        <v/>
      </c>
      <c r="E411" s="141" t="str">
        <f>IF(C411="","","Renda Fixa")</f>
        <v/>
      </c>
      <c r="F411" s="141" t="str">
        <f>IF(C411="","",'07 Renda Fixa'!T14)</f>
        <v/>
      </c>
      <c r="G411" s="142" t="n"/>
      <c r="H411" s="143" t="n"/>
      <c r="I411" s="144" t="str">
        <f>IF(C411="","",'07 Renda Fixa'!H14)</f>
        <v/>
      </c>
      <c r="J411" s="145" t="str">
        <f>IF(C411="","",'07 Renda Fixa'!J14)</f>
        <v/>
      </c>
      <c r="K411" s="145" t="str">
        <f>IF(C411="","",'07 Renda Fixa'!P14)</f>
        <v/>
      </c>
      <c r="L411" s="142" t="n"/>
      <c r="M411" s="145" t="str">
        <f>IF(C411="","",'07 Renda Fixa'!Q14)</f>
        <v/>
      </c>
      <c r="N411" s="146" t="str">
        <f>IF(C411="","",IF($J$3&gt;0,J411/$J$3,0))</f>
        <v/>
      </c>
      <c r="O411" s="141" t="str">
        <f>IF(C411="","","Manual")</f>
        <v/>
      </c>
      <c r="P411" s="147" t="str">
        <f>IF(C411="","",IF(N(J411)&gt;0,J411+ROW()/1E9,""))</f>
        <v/>
      </c>
      <c r="Q411" s="147" t="str">
        <f>IF(C411="","",IF(N(M411)&gt;0,M411+ROW()/1E9,""))</f>
        <v/>
      </c>
    </row>
    <row r="412">
      <c r="A412" s="134" t="str">
        <f>IF(C412="","","Renda Fixa")</f>
        <v/>
      </c>
      <c r="B412" s="134" t="str">
        <f>IF(C412="","","Brasil")</f>
        <v/>
      </c>
      <c r="C412" s="134" t="str">
        <f>IF('07 Renda Fixa'!A15="","",'07 Renda Fixa'!A15&amp;"")</f>
        <v/>
      </c>
      <c r="D412" s="134" t="str">
        <f>IF(C412="","",'07 Renda Fixa'!B15&amp;"")</f>
        <v/>
      </c>
      <c r="E412" s="134" t="str">
        <f>IF(C412="","","Renda Fixa")</f>
        <v/>
      </c>
      <c r="F412" s="134" t="str">
        <f>IF(C412="","",'07 Renda Fixa'!T15)</f>
        <v/>
      </c>
      <c r="G412" s="135" t="n"/>
      <c r="H412" s="136" t="n"/>
      <c r="I412" s="137" t="str">
        <f>IF(C412="","",'07 Renda Fixa'!H15)</f>
        <v/>
      </c>
      <c r="J412" s="138" t="str">
        <f>IF(C412="","",'07 Renda Fixa'!J15)</f>
        <v/>
      </c>
      <c r="K412" s="138" t="str">
        <f>IF(C412="","",'07 Renda Fixa'!P15)</f>
        <v/>
      </c>
      <c r="L412" s="135" t="n"/>
      <c r="M412" s="138" t="str">
        <f>IF(C412="","",'07 Renda Fixa'!Q15)</f>
        <v/>
      </c>
      <c r="N412" s="139" t="str">
        <f>IF(C412="","",IF($J$3&gt;0,J412/$J$3,0))</f>
        <v/>
      </c>
      <c r="O412" s="134" t="str">
        <f>IF(C412="","","Manual")</f>
        <v/>
      </c>
      <c r="P412" s="140" t="str">
        <f>IF(C412="","",IF(N(J412)&gt;0,J412+ROW()/1E9,""))</f>
        <v/>
      </c>
      <c r="Q412" s="140" t="str">
        <f>IF(C412="","",IF(N(M412)&gt;0,M412+ROW()/1E9,""))</f>
        <v/>
      </c>
    </row>
    <row r="413">
      <c r="A413" s="141" t="str">
        <f>IF(C413="","","Renda Fixa")</f>
        <v/>
      </c>
      <c r="B413" s="141" t="str">
        <f>IF(C413="","","Brasil")</f>
        <v/>
      </c>
      <c r="C413" s="141" t="str">
        <f>IF('07 Renda Fixa'!A16="","",'07 Renda Fixa'!A16&amp;"")</f>
        <v/>
      </c>
      <c r="D413" s="141" t="str">
        <f>IF(C413="","",'07 Renda Fixa'!B16&amp;"")</f>
        <v/>
      </c>
      <c r="E413" s="141" t="str">
        <f>IF(C413="","","Renda Fixa")</f>
        <v/>
      </c>
      <c r="F413" s="141" t="str">
        <f>IF(C413="","",'07 Renda Fixa'!T16)</f>
        <v/>
      </c>
      <c r="G413" s="142" t="n"/>
      <c r="H413" s="143" t="n"/>
      <c r="I413" s="144" t="str">
        <f>IF(C413="","",'07 Renda Fixa'!H16)</f>
        <v/>
      </c>
      <c r="J413" s="145" t="str">
        <f>IF(C413="","",'07 Renda Fixa'!J16)</f>
        <v/>
      </c>
      <c r="K413" s="145" t="str">
        <f>IF(C413="","",'07 Renda Fixa'!P16)</f>
        <v/>
      </c>
      <c r="L413" s="142" t="n"/>
      <c r="M413" s="145" t="str">
        <f>IF(C413="","",'07 Renda Fixa'!Q16)</f>
        <v/>
      </c>
      <c r="N413" s="146" t="str">
        <f>IF(C413="","",IF($J$3&gt;0,J413/$J$3,0))</f>
        <v/>
      </c>
      <c r="O413" s="141" t="str">
        <f>IF(C413="","","Manual")</f>
        <v/>
      </c>
      <c r="P413" s="147" t="str">
        <f>IF(C413="","",IF(N(J413)&gt;0,J413+ROW()/1E9,""))</f>
        <v/>
      </c>
      <c r="Q413" s="147" t="str">
        <f>IF(C413="","",IF(N(M413)&gt;0,M413+ROW()/1E9,""))</f>
        <v/>
      </c>
    </row>
    <row r="414">
      <c r="A414" s="134" t="str">
        <f>IF(C414="","","Renda Fixa")</f>
        <v/>
      </c>
      <c r="B414" s="134" t="str">
        <f>IF(C414="","","Brasil")</f>
        <v/>
      </c>
      <c r="C414" s="134" t="str">
        <f>IF('07 Renda Fixa'!A17="","",'07 Renda Fixa'!A17&amp;"")</f>
        <v/>
      </c>
      <c r="D414" s="134" t="str">
        <f>IF(C414="","",'07 Renda Fixa'!B17&amp;"")</f>
        <v/>
      </c>
      <c r="E414" s="134" t="str">
        <f>IF(C414="","","Renda Fixa")</f>
        <v/>
      </c>
      <c r="F414" s="134" t="str">
        <f>IF(C414="","",'07 Renda Fixa'!T17)</f>
        <v/>
      </c>
      <c r="G414" s="135" t="n"/>
      <c r="H414" s="136" t="n"/>
      <c r="I414" s="137" t="str">
        <f>IF(C414="","",'07 Renda Fixa'!H17)</f>
        <v/>
      </c>
      <c r="J414" s="138" t="str">
        <f>IF(C414="","",'07 Renda Fixa'!J17)</f>
        <v/>
      </c>
      <c r="K414" s="138" t="str">
        <f>IF(C414="","",'07 Renda Fixa'!P17)</f>
        <v/>
      </c>
      <c r="L414" s="135" t="n"/>
      <c r="M414" s="138" t="str">
        <f>IF(C414="","",'07 Renda Fixa'!Q17)</f>
        <v/>
      </c>
      <c r="N414" s="139" t="str">
        <f>IF(C414="","",IF($J$3&gt;0,J414/$J$3,0))</f>
        <v/>
      </c>
      <c r="O414" s="134" t="str">
        <f>IF(C414="","","Manual")</f>
        <v/>
      </c>
      <c r="P414" s="140" t="str">
        <f>IF(C414="","",IF(N(J414)&gt;0,J414+ROW()/1E9,""))</f>
        <v/>
      </c>
      <c r="Q414" s="140" t="str">
        <f>IF(C414="","",IF(N(M414)&gt;0,M414+ROW()/1E9,""))</f>
        <v/>
      </c>
    </row>
    <row r="415">
      <c r="A415" s="141" t="str">
        <f>IF(C415="","","Renda Fixa")</f>
        <v/>
      </c>
      <c r="B415" s="141" t="str">
        <f>IF(C415="","","Brasil")</f>
        <v/>
      </c>
      <c r="C415" s="141" t="str">
        <f>IF('07 Renda Fixa'!A18="","",'07 Renda Fixa'!A18&amp;"")</f>
        <v/>
      </c>
      <c r="D415" s="141" t="str">
        <f>IF(C415="","",'07 Renda Fixa'!B18&amp;"")</f>
        <v/>
      </c>
      <c r="E415" s="141" t="str">
        <f>IF(C415="","","Renda Fixa")</f>
        <v/>
      </c>
      <c r="F415" s="141" t="str">
        <f>IF(C415="","",'07 Renda Fixa'!T18)</f>
        <v/>
      </c>
      <c r="G415" s="142" t="n"/>
      <c r="H415" s="143" t="n"/>
      <c r="I415" s="144" t="str">
        <f>IF(C415="","",'07 Renda Fixa'!H18)</f>
        <v/>
      </c>
      <c r="J415" s="145" t="str">
        <f>IF(C415="","",'07 Renda Fixa'!J18)</f>
        <v/>
      </c>
      <c r="K415" s="145" t="str">
        <f>IF(C415="","",'07 Renda Fixa'!P18)</f>
        <v/>
      </c>
      <c r="L415" s="142" t="n"/>
      <c r="M415" s="145" t="str">
        <f>IF(C415="","",'07 Renda Fixa'!Q18)</f>
        <v/>
      </c>
      <c r="N415" s="146" t="str">
        <f>IF(C415="","",IF($J$3&gt;0,J415/$J$3,0))</f>
        <v/>
      </c>
      <c r="O415" s="141" t="str">
        <f>IF(C415="","","Manual")</f>
        <v/>
      </c>
      <c r="P415" s="147" t="str">
        <f>IF(C415="","",IF(N(J415)&gt;0,J415+ROW()/1E9,""))</f>
        <v/>
      </c>
      <c r="Q415" s="147" t="str">
        <f>IF(C415="","",IF(N(M415)&gt;0,M415+ROW()/1E9,""))</f>
        <v/>
      </c>
    </row>
    <row r="416">
      <c r="A416" s="134" t="str">
        <f>IF(C416="","","Renda Fixa")</f>
        <v/>
      </c>
      <c r="B416" s="134" t="str">
        <f>IF(C416="","","Brasil")</f>
        <v/>
      </c>
      <c r="C416" s="134" t="str">
        <f>IF('07 Renda Fixa'!A19="","",'07 Renda Fixa'!A19&amp;"")</f>
        <v/>
      </c>
      <c r="D416" s="134" t="str">
        <f>IF(C416="","",'07 Renda Fixa'!B19&amp;"")</f>
        <v/>
      </c>
      <c r="E416" s="134" t="str">
        <f>IF(C416="","","Renda Fixa")</f>
        <v/>
      </c>
      <c r="F416" s="134" t="str">
        <f>IF(C416="","",'07 Renda Fixa'!T19)</f>
        <v/>
      </c>
      <c r="G416" s="135" t="n"/>
      <c r="H416" s="136" t="n"/>
      <c r="I416" s="137" t="str">
        <f>IF(C416="","",'07 Renda Fixa'!H19)</f>
        <v/>
      </c>
      <c r="J416" s="138" t="str">
        <f>IF(C416="","",'07 Renda Fixa'!J19)</f>
        <v/>
      </c>
      <c r="K416" s="138" t="str">
        <f>IF(C416="","",'07 Renda Fixa'!P19)</f>
        <v/>
      </c>
      <c r="L416" s="135" t="n"/>
      <c r="M416" s="138" t="str">
        <f>IF(C416="","",'07 Renda Fixa'!Q19)</f>
        <v/>
      </c>
      <c r="N416" s="139" t="str">
        <f>IF(C416="","",IF($J$3&gt;0,J416/$J$3,0))</f>
        <v/>
      </c>
      <c r="O416" s="134" t="str">
        <f>IF(C416="","","Manual")</f>
        <v/>
      </c>
      <c r="P416" s="140" t="str">
        <f>IF(C416="","",IF(N(J416)&gt;0,J416+ROW()/1E9,""))</f>
        <v/>
      </c>
      <c r="Q416" s="140" t="str">
        <f>IF(C416="","",IF(N(M416)&gt;0,M416+ROW()/1E9,""))</f>
        <v/>
      </c>
    </row>
    <row r="417">
      <c r="A417" s="141" t="str">
        <f>IF(C417="","","Renda Fixa")</f>
        <v/>
      </c>
      <c r="B417" s="141" t="str">
        <f>IF(C417="","","Brasil")</f>
        <v/>
      </c>
      <c r="C417" s="141" t="str">
        <f>IF('07 Renda Fixa'!A20="","",'07 Renda Fixa'!A20&amp;"")</f>
        <v/>
      </c>
      <c r="D417" s="141" t="str">
        <f>IF(C417="","",'07 Renda Fixa'!B20&amp;"")</f>
        <v/>
      </c>
      <c r="E417" s="141" t="str">
        <f>IF(C417="","","Renda Fixa")</f>
        <v/>
      </c>
      <c r="F417" s="141" t="str">
        <f>IF(C417="","",'07 Renda Fixa'!T20)</f>
        <v/>
      </c>
      <c r="G417" s="142" t="n"/>
      <c r="H417" s="143" t="n"/>
      <c r="I417" s="144" t="str">
        <f>IF(C417="","",'07 Renda Fixa'!H20)</f>
        <v/>
      </c>
      <c r="J417" s="145" t="str">
        <f>IF(C417="","",'07 Renda Fixa'!J20)</f>
        <v/>
      </c>
      <c r="K417" s="145" t="str">
        <f>IF(C417="","",'07 Renda Fixa'!P20)</f>
        <v/>
      </c>
      <c r="L417" s="142" t="n"/>
      <c r="M417" s="145" t="str">
        <f>IF(C417="","",'07 Renda Fixa'!Q20)</f>
        <v/>
      </c>
      <c r="N417" s="146" t="str">
        <f>IF(C417="","",IF($J$3&gt;0,J417/$J$3,0))</f>
        <v/>
      </c>
      <c r="O417" s="141" t="str">
        <f>IF(C417="","","Manual")</f>
        <v/>
      </c>
      <c r="P417" s="147" t="str">
        <f>IF(C417="","",IF(N(J417)&gt;0,J417+ROW()/1E9,""))</f>
        <v/>
      </c>
      <c r="Q417" s="147" t="str">
        <f>IF(C417="","",IF(N(M417)&gt;0,M417+ROW()/1E9,""))</f>
        <v/>
      </c>
    </row>
    <row r="418">
      <c r="A418" s="134" t="str">
        <f>IF(C418="","","Renda Fixa")</f>
        <v/>
      </c>
      <c r="B418" s="134" t="str">
        <f>IF(C418="","","Brasil")</f>
        <v/>
      </c>
      <c r="C418" s="134" t="str">
        <f>IF('07 Renda Fixa'!A21="","",'07 Renda Fixa'!A21&amp;"")</f>
        <v/>
      </c>
      <c r="D418" s="134" t="str">
        <f>IF(C418="","",'07 Renda Fixa'!B21&amp;"")</f>
        <v/>
      </c>
      <c r="E418" s="134" t="str">
        <f>IF(C418="","","Renda Fixa")</f>
        <v/>
      </c>
      <c r="F418" s="134" t="str">
        <f>IF(C418="","",'07 Renda Fixa'!T21)</f>
        <v/>
      </c>
      <c r="G418" s="135" t="n"/>
      <c r="H418" s="136" t="n"/>
      <c r="I418" s="137" t="str">
        <f>IF(C418="","",'07 Renda Fixa'!H21)</f>
        <v/>
      </c>
      <c r="J418" s="138" t="str">
        <f>IF(C418="","",'07 Renda Fixa'!J21)</f>
        <v/>
      </c>
      <c r="K418" s="138" t="str">
        <f>IF(C418="","",'07 Renda Fixa'!P21)</f>
        <v/>
      </c>
      <c r="L418" s="135" t="n"/>
      <c r="M418" s="138" t="str">
        <f>IF(C418="","",'07 Renda Fixa'!Q21)</f>
        <v/>
      </c>
      <c r="N418" s="139" t="str">
        <f>IF(C418="","",IF($J$3&gt;0,J418/$J$3,0))</f>
        <v/>
      </c>
      <c r="O418" s="134" t="str">
        <f>IF(C418="","","Manual")</f>
        <v/>
      </c>
      <c r="P418" s="140" t="str">
        <f>IF(C418="","",IF(N(J418)&gt;0,J418+ROW()/1E9,""))</f>
        <v/>
      </c>
      <c r="Q418" s="140" t="str">
        <f>IF(C418="","",IF(N(M418)&gt;0,M418+ROW()/1E9,""))</f>
        <v/>
      </c>
    </row>
    <row r="419">
      <c r="A419" s="141" t="str">
        <f>IF(C419="","","Renda Fixa")</f>
        <v/>
      </c>
      <c r="B419" s="141" t="str">
        <f>IF(C419="","","Brasil")</f>
        <v/>
      </c>
      <c r="C419" s="141" t="str">
        <f>IF('07 Renda Fixa'!A22="","",'07 Renda Fixa'!A22&amp;"")</f>
        <v/>
      </c>
      <c r="D419" s="141" t="str">
        <f>IF(C419="","",'07 Renda Fixa'!B22&amp;"")</f>
        <v/>
      </c>
      <c r="E419" s="141" t="str">
        <f>IF(C419="","","Renda Fixa")</f>
        <v/>
      </c>
      <c r="F419" s="141" t="str">
        <f>IF(C419="","",'07 Renda Fixa'!T22)</f>
        <v/>
      </c>
      <c r="G419" s="142" t="n"/>
      <c r="H419" s="143" t="n"/>
      <c r="I419" s="144" t="str">
        <f>IF(C419="","",'07 Renda Fixa'!H22)</f>
        <v/>
      </c>
      <c r="J419" s="145" t="str">
        <f>IF(C419="","",'07 Renda Fixa'!J22)</f>
        <v/>
      </c>
      <c r="K419" s="145" t="str">
        <f>IF(C419="","",'07 Renda Fixa'!P22)</f>
        <v/>
      </c>
      <c r="L419" s="142" t="n"/>
      <c r="M419" s="145" t="str">
        <f>IF(C419="","",'07 Renda Fixa'!Q22)</f>
        <v/>
      </c>
      <c r="N419" s="146" t="str">
        <f>IF(C419="","",IF($J$3&gt;0,J419/$J$3,0))</f>
        <v/>
      </c>
      <c r="O419" s="141" t="str">
        <f>IF(C419="","","Manual")</f>
        <v/>
      </c>
      <c r="P419" s="147" t="str">
        <f>IF(C419="","",IF(N(J419)&gt;0,J419+ROW()/1E9,""))</f>
        <v/>
      </c>
      <c r="Q419" s="147" t="str">
        <f>IF(C419="","",IF(N(M419)&gt;0,M419+ROW()/1E9,""))</f>
        <v/>
      </c>
    </row>
    <row r="420">
      <c r="A420" s="134" t="str">
        <f>IF(C420="","","Renda Fixa")</f>
        <v/>
      </c>
      <c r="B420" s="134" t="str">
        <f>IF(C420="","","Brasil")</f>
        <v/>
      </c>
      <c r="C420" s="134" t="str">
        <f>IF('07 Renda Fixa'!A23="","",'07 Renda Fixa'!A23&amp;"")</f>
        <v/>
      </c>
      <c r="D420" s="134" t="str">
        <f>IF(C420="","",'07 Renda Fixa'!B23&amp;"")</f>
        <v/>
      </c>
      <c r="E420" s="134" t="str">
        <f>IF(C420="","","Renda Fixa")</f>
        <v/>
      </c>
      <c r="F420" s="134" t="str">
        <f>IF(C420="","",'07 Renda Fixa'!T23)</f>
        <v/>
      </c>
      <c r="G420" s="135" t="n"/>
      <c r="H420" s="136" t="n"/>
      <c r="I420" s="137" t="str">
        <f>IF(C420="","",'07 Renda Fixa'!H23)</f>
        <v/>
      </c>
      <c r="J420" s="138" t="str">
        <f>IF(C420="","",'07 Renda Fixa'!J23)</f>
        <v/>
      </c>
      <c r="K420" s="138" t="str">
        <f>IF(C420="","",'07 Renda Fixa'!P23)</f>
        <v/>
      </c>
      <c r="L420" s="135" t="n"/>
      <c r="M420" s="138" t="str">
        <f>IF(C420="","",'07 Renda Fixa'!Q23)</f>
        <v/>
      </c>
      <c r="N420" s="139" t="str">
        <f>IF(C420="","",IF($J$3&gt;0,J420/$J$3,0))</f>
        <v/>
      </c>
      <c r="O420" s="134" t="str">
        <f>IF(C420="","","Manual")</f>
        <v/>
      </c>
      <c r="P420" s="140" t="str">
        <f>IF(C420="","",IF(N(J420)&gt;0,J420+ROW()/1E9,""))</f>
        <v/>
      </c>
      <c r="Q420" s="140" t="str">
        <f>IF(C420="","",IF(N(M420)&gt;0,M420+ROW()/1E9,""))</f>
        <v/>
      </c>
    </row>
    <row r="421">
      <c r="A421" s="141" t="str">
        <f>IF(C421="","","Renda Fixa")</f>
        <v/>
      </c>
      <c r="B421" s="141" t="str">
        <f>IF(C421="","","Brasil")</f>
        <v/>
      </c>
      <c r="C421" s="141" t="str">
        <f>IF('07 Renda Fixa'!A24="","",'07 Renda Fixa'!A24&amp;"")</f>
        <v/>
      </c>
      <c r="D421" s="141" t="str">
        <f>IF(C421="","",'07 Renda Fixa'!B24&amp;"")</f>
        <v/>
      </c>
      <c r="E421" s="141" t="str">
        <f>IF(C421="","","Renda Fixa")</f>
        <v/>
      </c>
      <c r="F421" s="141" t="str">
        <f>IF(C421="","",'07 Renda Fixa'!T24)</f>
        <v/>
      </c>
      <c r="G421" s="142" t="n"/>
      <c r="H421" s="143" t="n"/>
      <c r="I421" s="144" t="str">
        <f>IF(C421="","",'07 Renda Fixa'!H24)</f>
        <v/>
      </c>
      <c r="J421" s="145" t="str">
        <f>IF(C421="","",'07 Renda Fixa'!J24)</f>
        <v/>
      </c>
      <c r="K421" s="145" t="str">
        <f>IF(C421="","",'07 Renda Fixa'!P24)</f>
        <v/>
      </c>
      <c r="L421" s="142" t="n"/>
      <c r="M421" s="145" t="str">
        <f>IF(C421="","",'07 Renda Fixa'!Q24)</f>
        <v/>
      </c>
      <c r="N421" s="146" t="str">
        <f>IF(C421="","",IF($J$3&gt;0,J421/$J$3,0))</f>
        <v/>
      </c>
      <c r="O421" s="141" t="str">
        <f>IF(C421="","","Manual")</f>
        <v/>
      </c>
      <c r="P421" s="147" t="str">
        <f>IF(C421="","",IF(N(J421)&gt;0,J421+ROW()/1E9,""))</f>
        <v/>
      </c>
      <c r="Q421" s="147" t="str">
        <f>IF(C421="","",IF(N(M421)&gt;0,M421+ROW()/1E9,""))</f>
        <v/>
      </c>
    </row>
    <row r="422">
      <c r="A422" s="134" t="str">
        <f>IF(C422="","","Renda Fixa")</f>
        <v/>
      </c>
      <c r="B422" s="134" t="str">
        <f>IF(C422="","","Brasil")</f>
        <v/>
      </c>
      <c r="C422" s="134" t="str">
        <f>IF('07 Renda Fixa'!A25="","",'07 Renda Fixa'!A25&amp;"")</f>
        <v/>
      </c>
      <c r="D422" s="134" t="str">
        <f>IF(C422="","",'07 Renda Fixa'!B25&amp;"")</f>
        <v/>
      </c>
      <c r="E422" s="134" t="str">
        <f>IF(C422="","","Renda Fixa")</f>
        <v/>
      </c>
      <c r="F422" s="134" t="str">
        <f>IF(C422="","",'07 Renda Fixa'!T25)</f>
        <v/>
      </c>
      <c r="G422" s="135" t="n"/>
      <c r="H422" s="136" t="n"/>
      <c r="I422" s="137" t="str">
        <f>IF(C422="","",'07 Renda Fixa'!H25)</f>
        <v/>
      </c>
      <c r="J422" s="138" t="str">
        <f>IF(C422="","",'07 Renda Fixa'!J25)</f>
        <v/>
      </c>
      <c r="K422" s="138" t="str">
        <f>IF(C422="","",'07 Renda Fixa'!P25)</f>
        <v/>
      </c>
      <c r="L422" s="135" t="n"/>
      <c r="M422" s="138" t="str">
        <f>IF(C422="","",'07 Renda Fixa'!Q25)</f>
        <v/>
      </c>
      <c r="N422" s="139" t="str">
        <f>IF(C422="","",IF($J$3&gt;0,J422/$J$3,0))</f>
        <v/>
      </c>
      <c r="O422" s="134" t="str">
        <f>IF(C422="","","Manual")</f>
        <v/>
      </c>
      <c r="P422" s="140" t="str">
        <f>IF(C422="","",IF(N(J422)&gt;0,J422+ROW()/1E9,""))</f>
        <v/>
      </c>
      <c r="Q422" s="140" t="str">
        <f>IF(C422="","",IF(N(M422)&gt;0,M422+ROW()/1E9,""))</f>
        <v/>
      </c>
    </row>
    <row r="423">
      <c r="A423" s="141" t="str">
        <f>IF(C423="","","Renda Fixa")</f>
        <v/>
      </c>
      <c r="B423" s="141" t="str">
        <f>IF(C423="","","Brasil")</f>
        <v/>
      </c>
      <c r="C423" s="141" t="str">
        <f>IF('07 Renda Fixa'!A26="","",'07 Renda Fixa'!A26&amp;"")</f>
        <v/>
      </c>
      <c r="D423" s="141" t="str">
        <f>IF(C423="","",'07 Renda Fixa'!B26&amp;"")</f>
        <v/>
      </c>
      <c r="E423" s="141" t="str">
        <f>IF(C423="","","Renda Fixa")</f>
        <v/>
      </c>
      <c r="F423" s="141" t="str">
        <f>IF(C423="","",'07 Renda Fixa'!T26)</f>
        <v/>
      </c>
      <c r="G423" s="142" t="n"/>
      <c r="H423" s="143" t="n"/>
      <c r="I423" s="144" t="str">
        <f>IF(C423="","",'07 Renda Fixa'!H26)</f>
        <v/>
      </c>
      <c r="J423" s="145" t="str">
        <f>IF(C423="","",'07 Renda Fixa'!J26)</f>
        <v/>
      </c>
      <c r="K423" s="145" t="str">
        <f>IF(C423="","",'07 Renda Fixa'!P26)</f>
        <v/>
      </c>
      <c r="L423" s="142" t="n"/>
      <c r="M423" s="145" t="str">
        <f>IF(C423="","",'07 Renda Fixa'!Q26)</f>
        <v/>
      </c>
      <c r="N423" s="146" t="str">
        <f>IF(C423="","",IF($J$3&gt;0,J423/$J$3,0))</f>
        <v/>
      </c>
      <c r="O423" s="141" t="str">
        <f>IF(C423="","","Manual")</f>
        <v/>
      </c>
      <c r="P423" s="147" t="str">
        <f>IF(C423="","",IF(N(J423)&gt;0,J423+ROW()/1E9,""))</f>
        <v/>
      </c>
      <c r="Q423" s="147" t="str">
        <f>IF(C423="","",IF(N(M423)&gt;0,M423+ROW()/1E9,""))</f>
        <v/>
      </c>
    </row>
    <row r="424">
      <c r="A424" s="134" t="str">
        <f>IF(C424="","","Renda Fixa")</f>
        <v/>
      </c>
      <c r="B424" s="134" t="str">
        <f>IF(C424="","","Brasil")</f>
        <v/>
      </c>
      <c r="C424" s="134" t="str">
        <f>IF('07 Renda Fixa'!A27="","",'07 Renda Fixa'!A27&amp;"")</f>
        <v/>
      </c>
      <c r="D424" s="134" t="str">
        <f>IF(C424="","",'07 Renda Fixa'!B27&amp;"")</f>
        <v/>
      </c>
      <c r="E424" s="134" t="str">
        <f>IF(C424="","","Renda Fixa")</f>
        <v/>
      </c>
      <c r="F424" s="134" t="str">
        <f>IF(C424="","",'07 Renda Fixa'!T27)</f>
        <v/>
      </c>
      <c r="G424" s="135" t="n"/>
      <c r="H424" s="136" t="n"/>
      <c r="I424" s="137" t="str">
        <f>IF(C424="","",'07 Renda Fixa'!H27)</f>
        <v/>
      </c>
      <c r="J424" s="138" t="str">
        <f>IF(C424="","",'07 Renda Fixa'!J27)</f>
        <v/>
      </c>
      <c r="K424" s="138" t="str">
        <f>IF(C424="","",'07 Renda Fixa'!P27)</f>
        <v/>
      </c>
      <c r="L424" s="135" t="n"/>
      <c r="M424" s="138" t="str">
        <f>IF(C424="","",'07 Renda Fixa'!Q27)</f>
        <v/>
      </c>
      <c r="N424" s="139" t="str">
        <f>IF(C424="","",IF($J$3&gt;0,J424/$J$3,0))</f>
        <v/>
      </c>
      <c r="O424" s="134" t="str">
        <f>IF(C424="","","Manual")</f>
        <v/>
      </c>
      <c r="P424" s="140" t="str">
        <f>IF(C424="","",IF(N(J424)&gt;0,J424+ROW()/1E9,""))</f>
        <v/>
      </c>
      <c r="Q424" s="140" t="str">
        <f>IF(C424="","",IF(N(M424)&gt;0,M424+ROW()/1E9,""))</f>
        <v/>
      </c>
    </row>
    <row r="425">
      <c r="A425" s="141" t="str">
        <f>IF(C425="","","Renda Fixa")</f>
        <v/>
      </c>
      <c r="B425" s="141" t="str">
        <f>IF(C425="","","Brasil")</f>
        <v/>
      </c>
      <c r="C425" s="141" t="str">
        <f>IF('07 Renda Fixa'!A28="","",'07 Renda Fixa'!A28&amp;"")</f>
        <v/>
      </c>
      <c r="D425" s="141" t="str">
        <f>IF(C425="","",'07 Renda Fixa'!B28&amp;"")</f>
        <v/>
      </c>
      <c r="E425" s="141" t="str">
        <f>IF(C425="","","Renda Fixa")</f>
        <v/>
      </c>
      <c r="F425" s="141" t="str">
        <f>IF(C425="","",'07 Renda Fixa'!T28)</f>
        <v/>
      </c>
      <c r="G425" s="142" t="n"/>
      <c r="H425" s="143" t="n"/>
      <c r="I425" s="144" t="str">
        <f>IF(C425="","",'07 Renda Fixa'!H28)</f>
        <v/>
      </c>
      <c r="J425" s="145" t="str">
        <f>IF(C425="","",'07 Renda Fixa'!J28)</f>
        <v/>
      </c>
      <c r="K425" s="145" t="str">
        <f>IF(C425="","",'07 Renda Fixa'!P28)</f>
        <v/>
      </c>
      <c r="L425" s="142" t="n"/>
      <c r="M425" s="145" t="str">
        <f>IF(C425="","",'07 Renda Fixa'!Q28)</f>
        <v/>
      </c>
      <c r="N425" s="146" t="str">
        <f>IF(C425="","",IF($J$3&gt;0,J425/$J$3,0))</f>
        <v/>
      </c>
      <c r="O425" s="141" t="str">
        <f>IF(C425="","","Manual")</f>
        <v/>
      </c>
      <c r="P425" s="147" t="str">
        <f>IF(C425="","",IF(N(J425)&gt;0,J425+ROW()/1E9,""))</f>
        <v/>
      </c>
      <c r="Q425" s="147" t="str">
        <f>IF(C425="","",IF(N(M425)&gt;0,M425+ROW()/1E9,""))</f>
        <v/>
      </c>
    </row>
    <row r="426">
      <c r="A426" s="134" t="str">
        <f>IF(C426="","","Renda Fixa")</f>
        <v/>
      </c>
      <c r="B426" s="134" t="str">
        <f>IF(C426="","","Brasil")</f>
        <v/>
      </c>
      <c r="C426" s="134" t="str">
        <f>IF('07 Renda Fixa'!A29="","",'07 Renda Fixa'!A29&amp;"")</f>
        <v/>
      </c>
      <c r="D426" s="134" t="str">
        <f>IF(C426="","",'07 Renda Fixa'!B29&amp;"")</f>
        <v/>
      </c>
      <c r="E426" s="134" t="str">
        <f>IF(C426="","","Renda Fixa")</f>
        <v/>
      </c>
      <c r="F426" s="134" t="str">
        <f>IF(C426="","",'07 Renda Fixa'!T29)</f>
        <v/>
      </c>
      <c r="G426" s="135" t="n"/>
      <c r="H426" s="136" t="n"/>
      <c r="I426" s="137" t="str">
        <f>IF(C426="","",'07 Renda Fixa'!H29)</f>
        <v/>
      </c>
      <c r="J426" s="138" t="str">
        <f>IF(C426="","",'07 Renda Fixa'!J29)</f>
        <v/>
      </c>
      <c r="K426" s="138" t="str">
        <f>IF(C426="","",'07 Renda Fixa'!P29)</f>
        <v/>
      </c>
      <c r="L426" s="135" t="n"/>
      <c r="M426" s="138" t="str">
        <f>IF(C426="","",'07 Renda Fixa'!Q29)</f>
        <v/>
      </c>
      <c r="N426" s="139" t="str">
        <f>IF(C426="","",IF($J$3&gt;0,J426/$J$3,0))</f>
        <v/>
      </c>
      <c r="O426" s="134" t="str">
        <f>IF(C426="","","Manual")</f>
        <v/>
      </c>
      <c r="P426" s="140" t="str">
        <f>IF(C426="","",IF(N(J426)&gt;0,J426+ROW()/1E9,""))</f>
        <v/>
      </c>
      <c r="Q426" s="140" t="str">
        <f>IF(C426="","",IF(N(M426)&gt;0,M426+ROW()/1E9,""))</f>
        <v/>
      </c>
    </row>
    <row r="427">
      <c r="A427" s="141" t="str">
        <f>IF(C427="","","Renda Fixa")</f>
        <v/>
      </c>
      <c r="B427" s="141" t="str">
        <f>IF(C427="","","Brasil")</f>
        <v/>
      </c>
      <c r="C427" s="141" t="str">
        <f>IF('07 Renda Fixa'!A30="","",'07 Renda Fixa'!A30&amp;"")</f>
        <v/>
      </c>
      <c r="D427" s="141" t="str">
        <f>IF(C427="","",'07 Renda Fixa'!B30&amp;"")</f>
        <v/>
      </c>
      <c r="E427" s="141" t="str">
        <f>IF(C427="","","Renda Fixa")</f>
        <v/>
      </c>
      <c r="F427" s="141" t="str">
        <f>IF(C427="","",'07 Renda Fixa'!T30)</f>
        <v/>
      </c>
      <c r="G427" s="142" t="n"/>
      <c r="H427" s="143" t="n"/>
      <c r="I427" s="144" t="str">
        <f>IF(C427="","",'07 Renda Fixa'!H30)</f>
        <v/>
      </c>
      <c r="J427" s="145" t="str">
        <f>IF(C427="","",'07 Renda Fixa'!J30)</f>
        <v/>
      </c>
      <c r="K427" s="145" t="str">
        <f>IF(C427="","",'07 Renda Fixa'!P30)</f>
        <v/>
      </c>
      <c r="L427" s="142" t="n"/>
      <c r="M427" s="145" t="str">
        <f>IF(C427="","",'07 Renda Fixa'!Q30)</f>
        <v/>
      </c>
      <c r="N427" s="146" t="str">
        <f>IF(C427="","",IF($J$3&gt;0,J427/$J$3,0))</f>
        <v/>
      </c>
      <c r="O427" s="141" t="str">
        <f>IF(C427="","","Manual")</f>
        <v/>
      </c>
      <c r="P427" s="147" t="str">
        <f>IF(C427="","",IF(N(J427)&gt;0,J427+ROW()/1E9,""))</f>
        <v/>
      </c>
      <c r="Q427" s="147" t="str">
        <f>IF(C427="","",IF(N(M427)&gt;0,M427+ROW()/1E9,""))</f>
        <v/>
      </c>
    </row>
    <row r="428">
      <c r="A428" s="134" t="str">
        <f>IF(C428="","","Renda Fixa")</f>
        <v/>
      </c>
      <c r="B428" s="134" t="str">
        <f>IF(C428="","","Brasil")</f>
        <v/>
      </c>
      <c r="C428" s="134" t="str">
        <f>IF('07 Renda Fixa'!A31="","",'07 Renda Fixa'!A31&amp;"")</f>
        <v/>
      </c>
      <c r="D428" s="134" t="str">
        <f>IF(C428="","",'07 Renda Fixa'!B31&amp;"")</f>
        <v/>
      </c>
      <c r="E428" s="134" t="str">
        <f>IF(C428="","","Renda Fixa")</f>
        <v/>
      </c>
      <c r="F428" s="134" t="str">
        <f>IF(C428="","",'07 Renda Fixa'!T31)</f>
        <v/>
      </c>
      <c r="G428" s="135" t="n"/>
      <c r="H428" s="136" t="n"/>
      <c r="I428" s="137" t="str">
        <f>IF(C428="","",'07 Renda Fixa'!H31)</f>
        <v/>
      </c>
      <c r="J428" s="138" t="str">
        <f>IF(C428="","",'07 Renda Fixa'!J31)</f>
        <v/>
      </c>
      <c r="K428" s="138" t="str">
        <f>IF(C428="","",'07 Renda Fixa'!P31)</f>
        <v/>
      </c>
      <c r="L428" s="135" t="n"/>
      <c r="M428" s="138" t="str">
        <f>IF(C428="","",'07 Renda Fixa'!Q31)</f>
        <v/>
      </c>
      <c r="N428" s="139" t="str">
        <f>IF(C428="","",IF($J$3&gt;0,J428/$J$3,0))</f>
        <v/>
      </c>
      <c r="O428" s="134" t="str">
        <f>IF(C428="","","Manual")</f>
        <v/>
      </c>
      <c r="P428" s="140" t="str">
        <f>IF(C428="","",IF(N(J428)&gt;0,J428+ROW()/1E9,""))</f>
        <v/>
      </c>
      <c r="Q428" s="140" t="str">
        <f>IF(C428="","",IF(N(M428)&gt;0,M428+ROW()/1E9,""))</f>
        <v/>
      </c>
    </row>
    <row r="429">
      <c r="A429" s="141" t="str">
        <f>IF(C429="","","Renda Fixa")</f>
        <v/>
      </c>
      <c r="B429" s="141" t="str">
        <f>IF(C429="","","Brasil")</f>
        <v/>
      </c>
      <c r="C429" s="141" t="str">
        <f>IF('07 Renda Fixa'!A32="","",'07 Renda Fixa'!A32&amp;"")</f>
        <v/>
      </c>
      <c r="D429" s="141" t="str">
        <f>IF(C429="","",'07 Renda Fixa'!B32&amp;"")</f>
        <v/>
      </c>
      <c r="E429" s="141" t="str">
        <f>IF(C429="","","Renda Fixa")</f>
        <v/>
      </c>
      <c r="F429" s="141" t="str">
        <f>IF(C429="","",'07 Renda Fixa'!T32)</f>
        <v/>
      </c>
      <c r="G429" s="142" t="n"/>
      <c r="H429" s="143" t="n"/>
      <c r="I429" s="144" t="str">
        <f>IF(C429="","",'07 Renda Fixa'!H32)</f>
        <v/>
      </c>
      <c r="J429" s="145" t="str">
        <f>IF(C429="","",'07 Renda Fixa'!J32)</f>
        <v/>
      </c>
      <c r="K429" s="145" t="str">
        <f>IF(C429="","",'07 Renda Fixa'!P32)</f>
        <v/>
      </c>
      <c r="L429" s="142" t="n"/>
      <c r="M429" s="145" t="str">
        <f>IF(C429="","",'07 Renda Fixa'!Q32)</f>
        <v/>
      </c>
      <c r="N429" s="146" t="str">
        <f>IF(C429="","",IF($J$3&gt;0,J429/$J$3,0))</f>
        <v/>
      </c>
      <c r="O429" s="141" t="str">
        <f>IF(C429="","","Manual")</f>
        <v/>
      </c>
      <c r="P429" s="147" t="str">
        <f>IF(C429="","",IF(N(J429)&gt;0,J429+ROW()/1E9,""))</f>
        <v/>
      </c>
      <c r="Q429" s="147" t="str">
        <f>IF(C429="","",IF(N(M429)&gt;0,M429+ROW()/1E9,""))</f>
        <v/>
      </c>
    </row>
    <row r="430">
      <c r="A430" s="134" t="str">
        <f>IF(C430="","","Renda Fixa")</f>
        <v/>
      </c>
      <c r="B430" s="134" t="str">
        <f>IF(C430="","","Brasil")</f>
        <v/>
      </c>
      <c r="C430" s="134" t="str">
        <f>IF('07 Renda Fixa'!A33="","",'07 Renda Fixa'!A33&amp;"")</f>
        <v/>
      </c>
      <c r="D430" s="134" t="str">
        <f>IF(C430="","",'07 Renda Fixa'!B33&amp;"")</f>
        <v/>
      </c>
      <c r="E430" s="134" t="str">
        <f>IF(C430="","","Renda Fixa")</f>
        <v/>
      </c>
      <c r="F430" s="134" t="str">
        <f>IF(C430="","",'07 Renda Fixa'!T33)</f>
        <v/>
      </c>
      <c r="G430" s="135" t="n"/>
      <c r="H430" s="136" t="n"/>
      <c r="I430" s="137" t="str">
        <f>IF(C430="","",'07 Renda Fixa'!H33)</f>
        <v/>
      </c>
      <c r="J430" s="138" t="str">
        <f>IF(C430="","",'07 Renda Fixa'!J33)</f>
        <v/>
      </c>
      <c r="K430" s="138" t="str">
        <f>IF(C430="","",'07 Renda Fixa'!P33)</f>
        <v/>
      </c>
      <c r="L430" s="135" t="n"/>
      <c r="M430" s="138" t="str">
        <f>IF(C430="","",'07 Renda Fixa'!Q33)</f>
        <v/>
      </c>
      <c r="N430" s="139" t="str">
        <f>IF(C430="","",IF($J$3&gt;0,J430/$J$3,0))</f>
        <v/>
      </c>
      <c r="O430" s="134" t="str">
        <f>IF(C430="","","Manual")</f>
        <v/>
      </c>
      <c r="P430" s="140" t="str">
        <f>IF(C430="","",IF(N(J430)&gt;0,J430+ROW()/1E9,""))</f>
        <v/>
      </c>
      <c r="Q430" s="140" t="str">
        <f>IF(C430="","",IF(N(M430)&gt;0,M430+ROW()/1E9,""))</f>
        <v/>
      </c>
    </row>
    <row r="431">
      <c r="A431" s="141" t="str">
        <f>IF(C431="","","Renda Fixa")</f>
        <v/>
      </c>
      <c r="B431" s="141" t="str">
        <f>IF(C431="","","Brasil")</f>
        <v/>
      </c>
      <c r="C431" s="141" t="str">
        <f>IF('07 Renda Fixa'!A34="","",'07 Renda Fixa'!A34&amp;"")</f>
        <v/>
      </c>
      <c r="D431" s="141" t="str">
        <f>IF(C431="","",'07 Renda Fixa'!B34&amp;"")</f>
        <v/>
      </c>
      <c r="E431" s="141" t="str">
        <f>IF(C431="","","Renda Fixa")</f>
        <v/>
      </c>
      <c r="F431" s="141" t="str">
        <f>IF(C431="","",'07 Renda Fixa'!T34)</f>
        <v/>
      </c>
      <c r="G431" s="142" t="n"/>
      <c r="H431" s="143" t="n"/>
      <c r="I431" s="144" t="str">
        <f>IF(C431="","",'07 Renda Fixa'!H34)</f>
        <v/>
      </c>
      <c r="J431" s="145" t="str">
        <f>IF(C431="","",'07 Renda Fixa'!J34)</f>
        <v/>
      </c>
      <c r="K431" s="145" t="str">
        <f>IF(C431="","",'07 Renda Fixa'!P34)</f>
        <v/>
      </c>
      <c r="L431" s="142" t="n"/>
      <c r="M431" s="145" t="str">
        <f>IF(C431="","",'07 Renda Fixa'!Q34)</f>
        <v/>
      </c>
      <c r="N431" s="146" t="str">
        <f>IF(C431="","",IF($J$3&gt;0,J431/$J$3,0))</f>
        <v/>
      </c>
      <c r="O431" s="141" t="str">
        <f>IF(C431="","","Manual")</f>
        <v/>
      </c>
      <c r="P431" s="147" t="str">
        <f>IF(C431="","",IF(N(J431)&gt;0,J431+ROW()/1E9,""))</f>
        <v/>
      </c>
      <c r="Q431" s="147" t="str">
        <f>IF(C431="","",IF(N(M431)&gt;0,M431+ROW()/1E9,""))</f>
        <v/>
      </c>
    </row>
    <row r="432">
      <c r="A432" s="134" t="str">
        <f>IF(C432="","","Renda Fixa")</f>
        <v/>
      </c>
      <c r="B432" s="134" t="str">
        <f>IF(C432="","","Brasil")</f>
        <v/>
      </c>
      <c r="C432" s="134" t="str">
        <f>IF('07 Renda Fixa'!A35="","",'07 Renda Fixa'!A35&amp;"")</f>
        <v/>
      </c>
      <c r="D432" s="134" t="str">
        <f>IF(C432="","",'07 Renda Fixa'!B35&amp;"")</f>
        <v/>
      </c>
      <c r="E432" s="134" t="str">
        <f>IF(C432="","","Renda Fixa")</f>
        <v/>
      </c>
      <c r="F432" s="134" t="str">
        <f>IF(C432="","",'07 Renda Fixa'!T35)</f>
        <v/>
      </c>
      <c r="G432" s="135" t="n"/>
      <c r="H432" s="136" t="n"/>
      <c r="I432" s="137" t="str">
        <f>IF(C432="","",'07 Renda Fixa'!H35)</f>
        <v/>
      </c>
      <c r="J432" s="138" t="str">
        <f>IF(C432="","",'07 Renda Fixa'!J35)</f>
        <v/>
      </c>
      <c r="K432" s="138" t="str">
        <f>IF(C432="","",'07 Renda Fixa'!P35)</f>
        <v/>
      </c>
      <c r="L432" s="135" t="n"/>
      <c r="M432" s="138" t="str">
        <f>IF(C432="","",'07 Renda Fixa'!Q35)</f>
        <v/>
      </c>
      <c r="N432" s="139" t="str">
        <f>IF(C432="","",IF($J$3&gt;0,J432/$J$3,0))</f>
        <v/>
      </c>
      <c r="O432" s="134" t="str">
        <f>IF(C432="","","Manual")</f>
        <v/>
      </c>
      <c r="P432" s="140" t="str">
        <f>IF(C432="","",IF(N(J432)&gt;0,J432+ROW()/1E9,""))</f>
        <v/>
      </c>
      <c r="Q432" s="140" t="str">
        <f>IF(C432="","",IF(N(M432)&gt;0,M432+ROW()/1E9,""))</f>
        <v/>
      </c>
    </row>
    <row r="433">
      <c r="A433" s="141" t="str">
        <f>IF(C433="","","Renda Fixa")</f>
        <v/>
      </c>
      <c r="B433" s="141" t="str">
        <f>IF(C433="","","Brasil")</f>
        <v/>
      </c>
      <c r="C433" s="141" t="str">
        <f>IF('07 Renda Fixa'!A36="","",'07 Renda Fixa'!A36&amp;"")</f>
        <v/>
      </c>
      <c r="D433" s="141" t="str">
        <f>IF(C433="","",'07 Renda Fixa'!B36&amp;"")</f>
        <v/>
      </c>
      <c r="E433" s="141" t="str">
        <f>IF(C433="","","Renda Fixa")</f>
        <v/>
      </c>
      <c r="F433" s="141" t="str">
        <f>IF(C433="","",'07 Renda Fixa'!T36)</f>
        <v/>
      </c>
      <c r="G433" s="142" t="n"/>
      <c r="H433" s="143" t="n"/>
      <c r="I433" s="144" t="str">
        <f>IF(C433="","",'07 Renda Fixa'!H36)</f>
        <v/>
      </c>
      <c r="J433" s="145" t="str">
        <f>IF(C433="","",'07 Renda Fixa'!J36)</f>
        <v/>
      </c>
      <c r="K433" s="145" t="str">
        <f>IF(C433="","",'07 Renda Fixa'!P36)</f>
        <v/>
      </c>
      <c r="L433" s="142" t="n"/>
      <c r="M433" s="145" t="str">
        <f>IF(C433="","",'07 Renda Fixa'!Q36)</f>
        <v/>
      </c>
      <c r="N433" s="146" t="str">
        <f>IF(C433="","",IF($J$3&gt;0,J433/$J$3,0))</f>
        <v/>
      </c>
      <c r="O433" s="141" t="str">
        <f>IF(C433="","","Manual")</f>
        <v/>
      </c>
      <c r="P433" s="147" t="str">
        <f>IF(C433="","",IF(N(J433)&gt;0,J433+ROW()/1E9,""))</f>
        <v/>
      </c>
      <c r="Q433" s="147" t="str">
        <f>IF(C433="","",IF(N(M433)&gt;0,M433+ROW()/1E9,""))</f>
        <v/>
      </c>
    </row>
    <row r="434">
      <c r="A434" s="134" t="str">
        <f>IF(C434="","","Renda Fixa")</f>
        <v/>
      </c>
      <c r="B434" s="134" t="str">
        <f>IF(C434="","","Brasil")</f>
        <v/>
      </c>
      <c r="C434" s="134" t="str">
        <f>IF('07 Renda Fixa'!A37="","",'07 Renda Fixa'!A37&amp;"")</f>
        <v/>
      </c>
      <c r="D434" s="134" t="str">
        <f>IF(C434="","",'07 Renda Fixa'!B37&amp;"")</f>
        <v/>
      </c>
      <c r="E434" s="134" t="str">
        <f>IF(C434="","","Renda Fixa")</f>
        <v/>
      </c>
      <c r="F434" s="134" t="str">
        <f>IF(C434="","",'07 Renda Fixa'!T37)</f>
        <v/>
      </c>
      <c r="G434" s="135" t="n"/>
      <c r="H434" s="136" t="n"/>
      <c r="I434" s="137" t="str">
        <f>IF(C434="","",'07 Renda Fixa'!H37)</f>
        <v/>
      </c>
      <c r="J434" s="138" t="str">
        <f>IF(C434="","",'07 Renda Fixa'!J37)</f>
        <v/>
      </c>
      <c r="K434" s="138" t="str">
        <f>IF(C434="","",'07 Renda Fixa'!P37)</f>
        <v/>
      </c>
      <c r="L434" s="135" t="n"/>
      <c r="M434" s="138" t="str">
        <f>IF(C434="","",'07 Renda Fixa'!Q37)</f>
        <v/>
      </c>
      <c r="N434" s="139" t="str">
        <f>IF(C434="","",IF($J$3&gt;0,J434/$J$3,0))</f>
        <v/>
      </c>
      <c r="O434" s="134" t="str">
        <f>IF(C434="","","Manual")</f>
        <v/>
      </c>
      <c r="P434" s="140" t="str">
        <f>IF(C434="","",IF(N(J434)&gt;0,J434+ROW()/1E9,""))</f>
        <v/>
      </c>
      <c r="Q434" s="140" t="str">
        <f>IF(C434="","",IF(N(M434)&gt;0,M434+ROW()/1E9,""))</f>
        <v/>
      </c>
    </row>
    <row r="435">
      <c r="A435" s="141" t="str">
        <f>IF(C435="","","Renda Fixa")</f>
        <v/>
      </c>
      <c r="B435" s="141" t="str">
        <f>IF(C435="","","Brasil")</f>
        <v/>
      </c>
      <c r="C435" s="141" t="str">
        <f>IF('07 Renda Fixa'!A38="","",'07 Renda Fixa'!A38&amp;"")</f>
        <v/>
      </c>
      <c r="D435" s="141" t="str">
        <f>IF(C435="","",'07 Renda Fixa'!B38&amp;"")</f>
        <v/>
      </c>
      <c r="E435" s="141" t="str">
        <f>IF(C435="","","Renda Fixa")</f>
        <v/>
      </c>
      <c r="F435" s="141" t="str">
        <f>IF(C435="","",'07 Renda Fixa'!T38)</f>
        <v/>
      </c>
      <c r="G435" s="142" t="n"/>
      <c r="H435" s="143" t="n"/>
      <c r="I435" s="144" t="str">
        <f>IF(C435="","",'07 Renda Fixa'!H38)</f>
        <v/>
      </c>
      <c r="J435" s="145" t="str">
        <f>IF(C435="","",'07 Renda Fixa'!J38)</f>
        <v/>
      </c>
      <c r="K435" s="145" t="str">
        <f>IF(C435="","",'07 Renda Fixa'!P38)</f>
        <v/>
      </c>
      <c r="L435" s="142" t="n"/>
      <c r="M435" s="145" t="str">
        <f>IF(C435="","",'07 Renda Fixa'!Q38)</f>
        <v/>
      </c>
      <c r="N435" s="146" t="str">
        <f>IF(C435="","",IF($J$3&gt;0,J435/$J$3,0))</f>
        <v/>
      </c>
      <c r="O435" s="141" t="str">
        <f>IF(C435="","","Manual")</f>
        <v/>
      </c>
      <c r="P435" s="147" t="str">
        <f>IF(C435="","",IF(N(J435)&gt;0,J435+ROW()/1E9,""))</f>
        <v/>
      </c>
      <c r="Q435" s="147" t="str">
        <f>IF(C435="","",IF(N(M435)&gt;0,M435+ROW()/1E9,""))</f>
        <v/>
      </c>
    </row>
    <row r="436">
      <c r="A436" s="134" t="str">
        <f>IF(C436="","","Renda Fixa")</f>
        <v/>
      </c>
      <c r="B436" s="134" t="str">
        <f>IF(C436="","","Brasil")</f>
        <v/>
      </c>
      <c r="C436" s="134" t="str">
        <f>IF('07 Renda Fixa'!A39="","",'07 Renda Fixa'!A39&amp;"")</f>
        <v/>
      </c>
      <c r="D436" s="134" t="str">
        <f>IF(C436="","",'07 Renda Fixa'!B39&amp;"")</f>
        <v/>
      </c>
      <c r="E436" s="134" t="str">
        <f>IF(C436="","","Renda Fixa")</f>
        <v/>
      </c>
      <c r="F436" s="134" t="str">
        <f>IF(C436="","",'07 Renda Fixa'!T39)</f>
        <v/>
      </c>
      <c r="G436" s="135" t="n"/>
      <c r="H436" s="136" t="n"/>
      <c r="I436" s="137" t="str">
        <f>IF(C436="","",'07 Renda Fixa'!H39)</f>
        <v/>
      </c>
      <c r="J436" s="138" t="str">
        <f>IF(C436="","",'07 Renda Fixa'!J39)</f>
        <v/>
      </c>
      <c r="K436" s="138" t="str">
        <f>IF(C436="","",'07 Renda Fixa'!P39)</f>
        <v/>
      </c>
      <c r="L436" s="135" t="n"/>
      <c r="M436" s="138" t="str">
        <f>IF(C436="","",'07 Renda Fixa'!Q39)</f>
        <v/>
      </c>
      <c r="N436" s="139" t="str">
        <f>IF(C436="","",IF($J$3&gt;0,J436/$J$3,0))</f>
        <v/>
      </c>
      <c r="O436" s="134" t="str">
        <f>IF(C436="","","Manual")</f>
        <v/>
      </c>
      <c r="P436" s="140" t="str">
        <f>IF(C436="","",IF(N(J436)&gt;0,J436+ROW()/1E9,""))</f>
        <v/>
      </c>
      <c r="Q436" s="140" t="str">
        <f>IF(C436="","",IF(N(M436)&gt;0,M436+ROW()/1E9,""))</f>
        <v/>
      </c>
    </row>
    <row r="437">
      <c r="A437" s="141" t="str">
        <f>IF(C437="","","Renda Fixa")</f>
        <v/>
      </c>
      <c r="B437" s="141" t="str">
        <f>IF(C437="","","Brasil")</f>
        <v/>
      </c>
      <c r="C437" s="141" t="str">
        <f>IF('07 Renda Fixa'!A40="","",'07 Renda Fixa'!A40&amp;"")</f>
        <v/>
      </c>
      <c r="D437" s="141" t="str">
        <f>IF(C437="","",'07 Renda Fixa'!B40&amp;"")</f>
        <v/>
      </c>
      <c r="E437" s="141" t="str">
        <f>IF(C437="","","Renda Fixa")</f>
        <v/>
      </c>
      <c r="F437" s="141" t="str">
        <f>IF(C437="","",'07 Renda Fixa'!T40)</f>
        <v/>
      </c>
      <c r="G437" s="142" t="n"/>
      <c r="H437" s="143" t="n"/>
      <c r="I437" s="144" t="str">
        <f>IF(C437="","",'07 Renda Fixa'!H40)</f>
        <v/>
      </c>
      <c r="J437" s="145" t="str">
        <f>IF(C437="","",'07 Renda Fixa'!J40)</f>
        <v/>
      </c>
      <c r="K437" s="145" t="str">
        <f>IF(C437="","",'07 Renda Fixa'!P40)</f>
        <v/>
      </c>
      <c r="L437" s="142" t="n"/>
      <c r="M437" s="145" t="str">
        <f>IF(C437="","",'07 Renda Fixa'!Q40)</f>
        <v/>
      </c>
      <c r="N437" s="146" t="str">
        <f>IF(C437="","",IF($J$3&gt;0,J437/$J$3,0))</f>
        <v/>
      </c>
      <c r="O437" s="141" t="str">
        <f>IF(C437="","","Manual")</f>
        <v/>
      </c>
      <c r="P437" s="147" t="str">
        <f>IF(C437="","",IF(N(J437)&gt;0,J437+ROW()/1E9,""))</f>
        <v/>
      </c>
      <c r="Q437" s="147" t="str">
        <f>IF(C437="","",IF(N(M437)&gt;0,M437+ROW()/1E9,""))</f>
        <v/>
      </c>
    </row>
    <row r="438">
      <c r="A438" s="134" t="str">
        <f>IF(C438="","","Renda Fixa")</f>
        <v/>
      </c>
      <c r="B438" s="134" t="str">
        <f>IF(C438="","","Brasil")</f>
        <v/>
      </c>
      <c r="C438" s="134" t="str">
        <f>IF('07 Renda Fixa'!A41="","",'07 Renda Fixa'!A41&amp;"")</f>
        <v/>
      </c>
      <c r="D438" s="134" t="str">
        <f>IF(C438="","",'07 Renda Fixa'!B41&amp;"")</f>
        <v/>
      </c>
      <c r="E438" s="134" t="str">
        <f>IF(C438="","","Renda Fixa")</f>
        <v/>
      </c>
      <c r="F438" s="134" t="str">
        <f>IF(C438="","",'07 Renda Fixa'!T41)</f>
        <v/>
      </c>
      <c r="G438" s="135" t="n"/>
      <c r="H438" s="136" t="n"/>
      <c r="I438" s="137" t="str">
        <f>IF(C438="","",'07 Renda Fixa'!H41)</f>
        <v/>
      </c>
      <c r="J438" s="138" t="str">
        <f>IF(C438="","",'07 Renda Fixa'!J41)</f>
        <v/>
      </c>
      <c r="K438" s="138" t="str">
        <f>IF(C438="","",'07 Renda Fixa'!P41)</f>
        <v/>
      </c>
      <c r="L438" s="135" t="n"/>
      <c r="M438" s="138" t="str">
        <f>IF(C438="","",'07 Renda Fixa'!Q41)</f>
        <v/>
      </c>
      <c r="N438" s="139" t="str">
        <f>IF(C438="","",IF($J$3&gt;0,J438/$J$3,0))</f>
        <v/>
      </c>
      <c r="O438" s="134" t="str">
        <f>IF(C438="","","Manual")</f>
        <v/>
      </c>
      <c r="P438" s="140" t="str">
        <f>IF(C438="","",IF(N(J438)&gt;0,J438+ROW()/1E9,""))</f>
        <v/>
      </c>
      <c r="Q438" s="140" t="str">
        <f>IF(C438="","",IF(N(M438)&gt;0,M438+ROW()/1E9,""))</f>
        <v/>
      </c>
    </row>
    <row r="439">
      <c r="A439" s="141" t="str">
        <f>IF(C439="","","Renda Fixa")</f>
        <v/>
      </c>
      <c r="B439" s="141" t="str">
        <f>IF(C439="","","Brasil")</f>
        <v/>
      </c>
      <c r="C439" s="141" t="str">
        <f>IF('07 Renda Fixa'!A42="","",'07 Renda Fixa'!A42&amp;"")</f>
        <v/>
      </c>
      <c r="D439" s="141" t="str">
        <f>IF(C439="","",'07 Renda Fixa'!B42&amp;"")</f>
        <v/>
      </c>
      <c r="E439" s="141" t="str">
        <f>IF(C439="","","Renda Fixa")</f>
        <v/>
      </c>
      <c r="F439" s="141" t="str">
        <f>IF(C439="","",'07 Renda Fixa'!T42)</f>
        <v/>
      </c>
      <c r="G439" s="142" t="n"/>
      <c r="H439" s="143" t="n"/>
      <c r="I439" s="144" t="str">
        <f>IF(C439="","",'07 Renda Fixa'!H42)</f>
        <v/>
      </c>
      <c r="J439" s="145" t="str">
        <f>IF(C439="","",'07 Renda Fixa'!J42)</f>
        <v/>
      </c>
      <c r="K439" s="145" t="str">
        <f>IF(C439="","",'07 Renda Fixa'!P42)</f>
        <v/>
      </c>
      <c r="L439" s="142" t="n"/>
      <c r="M439" s="145" t="str">
        <f>IF(C439="","",'07 Renda Fixa'!Q42)</f>
        <v/>
      </c>
      <c r="N439" s="146" t="str">
        <f>IF(C439="","",IF($J$3&gt;0,J439/$J$3,0))</f>
        <v/>
      </c>
      <c r="O439" s="141" t="str">
        <f>IF(C439="","","Manual")</f>
        <v/>
      </c>
      <c r="P439" s="147" t="str">
        <f>IF(C439="","",IF(N(J439)&gt;0,J439+ROW()/1E9,""))</f>
        <v/>
      </c>
      <c r="Q439" s="147" t="str">
        <f>IF(C439="","",IF(N(M439)&gt;0,M439+ROW()/1E9,""))</f>
        <v/>
      </c>
    </row>
    <row r="440">
      <c r="A440" s="134" t="str">
        <f>IF(C440="","","Renda Fixa")</f>
        <v/>
      </c>
      <c r="B440" s="134" t="str">
        <f>IF(C440="","","Brasil")</f>
        <v/>
      </c>
      <c r="C440" s="134" t="str">
        <f>IF('07 Renda Fixa'!A43="","",'07 Renda Fixa'!A43&amp;"")</f>
        <v/>
      </c>
      <c r="D440" s="134" t="str">
        <f>IF(C440="","",'07 Renda Fixa'!B43&amp;"")</f>
        <v/>
      </c>
      <c r="E440" s="134" t="str">
        <f>IF(C440="","","Renda Fixa")</f>
        <v/>
      </c>
      <c r="F440" s="134" t="str">
        <f>IF(C440="","",'07 Renda Fixa'!T43)</f>
        <v/>
      </c>
      <c r="G440" s="135" t="n"/>
      <c r="H440" s="136" t="n"/>
      <c r="I440" s="137" t="str">
        <f>IF(C440="","",'07 Renda Fixa'!H43)</f>
        <v/>
      </c>
      <c r="J440" s="138" t="str">
        <f>IF(C440="","",'07 Renda Fixa'!J43)</f>
        <v/>
      </c>
      <c r="K440" s="138" t="str">
        <f>IF(C440="","",'07 Renda Fixa'!P43)</f>
        <v/>
      </c>
      <c r="L440" s="135" t="n"/>
      <c r="M440" s="138" t="str">
        <f>IF(C440="","",'07 Renda Fixa'!Q43)</f>
        <v/>
      </c>
      <c r="N440" s="139" t="str">
        <f>IF(C440="","",IF($J$3&gt;0,J440/$J$3,0))</f>
        <v/>
      </c>
      <c r="O440" s="134" t="str">
        <f>IF(C440="","","Manual")</f>
        <v/>
      </c>
      <c r="P440" s="140" t="str">
        <f>IF(C440="","",IF(N(J440)&gt;0,J440+ROW()/1E9,""))</f>
        <v/>
      </c>
      <c r="Q440" s="140" t="str">
        <f>IF(C440="","",IF(N(M440)&gt;0,M440+ROW()/1E9,""))</f>
        <v/>
      </c>
    </row>
    <row r="441">
      <c r="A441" s="141" t="str">
        <f>IF(C441="","","Renda Fixa")</f>
        <v/>
      </c>
      <c r="B441" s="141" t="str">
        <f>IF(C441="","","Brasil")</f>
        <v/>
      </c>
      <c r="C441" s="141" t="str">
        <f>IF('07 Renda Fixa'!A44="","",'07 Renda Fixa'!A44&amp;"")</f>
        <v/>
      </c>
      <c r="D441" s="141" t="str">
        <f>IF(C441="","",'07 Renda Fixa'!B44&amp;"")</f>
        <v/>
      </c>
      <c r="E441" s="141" t="str">
        <f>IF(C441="","","Renda Fixa")</f>
        <v/>
      </c>
      <c r="F441" s="141" t="str">
        <f>IF(C441="","",'07 Renda Fixa'!T44)</f>
        <v/>
      </c>
      <c r="G441" s="142" t="n"/>
      <c r="H441" s="143" t="n"/>
      <c r="I441" s="144" t="str">
        <f>IF(C441="","",'07 Renda Fixa'!H44)</f>
        <v/>
      </c>
      <c r="J441" s="145" t="str">
        <f>IF(C441="","",'07 Renda Fixa'!J44)</f>
        <v/>
      </c>
      <c r="K441" s="145" t="str">
        <f>IF(C441="","",'07 Renda Fixa'!P44)</f>
        <v/>
      </c>
      <c r="L441" s="142" t="n"/>
      <c r="M441" s="145" t="str">
        <f>IF(C441="","",'07 Renda Fixa'!Q44)</f>
        <v/>
      </c>
      <c r="N441" s="146" t="str">
        <f>IF(C441="","",IF($J$3&gt;0,J441/$J$3,0))</f>
        <v/>
      </c>
      <c r="O441" s="141" t="str">
        <f>IF(C441="","","Manual")</f>
        <v/>
      </c>
      <c r="P441" s="147" t="str">
        <f>IF(C441="","",IF(N(J441)&gt;0,J441+ROW()/1E9,""))</f>
        <v/>
      </c>
      <c r="Q441" s="147" t="str">
        <f>IF(C441="","",IF(N(M441)&gt;0,M441+ROW()/1E9,""))</f>
        <v/>
      </c>
    </row>
    <row r="442">
      <c r="A442" s="134" t="str">
        <f>IF(C442="","","Renda Fixa")</f>
        <v/>
      </c>
      <c r="B442" s="134" t="str">
        <f>IF(C442="","","Brasil")</f>
        <v/>
      </c>
      <c r="C442" s="134" t="str">
        <f>IF('07 Renda Fixa'!A45="","",'07 Renda Fixa'!A45&amp;"")</f>
        <v/>
      </c>
      <c r="D442" s="134" t="str">
        <f>IF(C442="","",'07 Renda Fixa'!B45&amp;"")</f>
        <v/>
      </c>
      <c r="E442" s="134" t="str">
        <f>IF(C442="","","Renda Fixa")</f>
        <v/>
      </c>
      <c r="F442" s="134" t="str">
        <f>IF(C442="","",'07 Renda Fixa'!T45)</f>
        <v/>
      </c>
      <c r="G442" s="135" t="n"/>
      <c r="H442" s="136" t="n"/>
      <c r="I442" s="137" t="str">
        <f>IF(C442="","",'07 Renda Fixa'!H45)</f>
        <v/>
      </c>
      <c r="J442" s="138" t="str">
        <f>IF(C442="","",'07 Renda Fixa'!J45)</f>
        <v/>
      </c>
      <c r="K442" s="138" t="str">
        <f>IF(C442="","",'07 Renda Fixa'!P45)</f>
        <v/>
      </c>
      <c r="L442" s="135" t="n"/>
      <c r="M442" s="138" t="str">
        <f>IF(C442="","",'07 Renda Fixa'!Q45)</f>
        <v/>
      </c>
      <c r="N442" s="139" t="str">
        <f>IF(C442="","",IF($J$3&gt;0,J442/$J$3,0))</f>
        <v/>
      </c>
      <c r="O442" s="134" t="str">
        <f>IF(C442="","","Manual")</f>
        <v/>
      </c>
      <c r="P442" s="140" t="str">
        <f>IF(C442="","",IF(N(J442)&gt;0,J442+ROW()/1E9,""))</f>
        <v/>
      </c>
      <c r="Q442" s="140" t="str">
        <f>IF(C442="","",IF(N(M442)&gt;0,M442+ROW()/1E9,""))</f>
        <v/>
      </c>
    </row>
    <row r="443">
      <c r="A443" s="141" t="str">
        <f>IF(C443="","","Renda Fixa")</f>
        <v/>
      </c>
      <c r="B443" s="141" t="str">
        <f>IF(C443="","","Brasil")</f>
        <v/>
      </c>
      <c r="C443" s="141" t="str">
        <f>IF('07 Renda Fixa'!A46="","",'07 Renda Fixa'!A46&amp;"")</f>
        <v/>
      </c>
      <c r="D443" s="141" t="str">
        <f>IF(C443="","",'07 Renda Fixa'!B46&amp;"")</f>
        <v/>
      </c>
      <c r="E443" s="141" t="str">
        <f>IF(C443="","","Renda Fixa")</f>
        <v/>
      </c>
      <c r="F443" s="141" t="str">
        <f>IF(C443="","",'07 Renda Fixa'!T46)</f>
        <v/>
      </c>
      <c r="G443" s="142" t="n"/>
      <c r="H443" s="143" t="n"/>
      <c r="I443" s="144" t="str">
        <f>IF(C443="","",'07 Renda Fixa'!H46)</f>
        <v/>
      </c>
      <c r="J443" s="145" t="str">
        <f>IF(C443="","",'07 Renda Fixa'!J46)</f>
        <v/>
      </c>
      <c r="K443" s="145" t="str">
        <f>IF(C443="","",'07 Renda Fixa'!P46)</f>
        <v/>
      </c>
      <c r="L443" s="142" t="n"/>
      <c r="M443" s="145" t="str">
        <f>IF(C443="","",'07 Renda Fixa'!Q46)</f>
        <v/>
      </c>
      <c r="N443" s="146" t="str">
        <f>IF(C443="","",IF($J$3&gt;0,J443/$J$3,0))</f>
        <v/>
      </c>
      <c r="O443" s="141" t="str">
        <f>IF(C443="","","Manual")</f>
        <v/>
      </c>
      <c r="P443" s="147" t="str">
        <f>IF(C443="","",IF(N(J443)&gt;0,J443+ROW()/1E9,""))</f>
        <v/>
      </c>
      <c r="Q443" s="147" t="str">
        <f>IF(C443="","",IF(N(M443)&gt;0,M443+ROW()/1E9,""))</f>
        <v/>
      </c>
    </row>
    <row r="444">
      <c r="A444" s="134" t="str">
        <f>IF(C444="","","Renda Fixa")</f>
        <v/>
      </c>
      <c r="B444" s="134" t="str">
        <f>IF(C444="","","Brasil")</f>
        <v/>
      </c>
      <c r="C444" s="134" t="str">
        <f>IF('07 Renda Fixa'!A47="","",'07 Renda Fixa'!A47&amp;"")</f>
        <v/>
      </c>
      <c r="D444" s="134" t="str">
        <f>IF(C444="","",'07 Renda Fixa'!B47&amp;"")</f>
        <v/>
      </c>
      <c r="E444" s="134" t="str">
        <f>IF(C444="","","Renda Fixa")</f>
        <v/>
      </c>
      <c r="F444" s="134" t="str">
        <f>IF(C444="","",'07 Renda Fixa'!T47)</f>
        <v/>
      </c>
      <c r="G444" s="135" t="n"/>
      <c r="H444" s="136" t="n"/>
      <c r="I444" s="137" t="str">
        <f>IF(C444="","",'07 Renda Fixa'!H47)</f>
        <v/>
      </c>
      <c r="J444" s="138" t="str">
        <f>IF(C444="","",'07 Renda Fixa'!J47)</f>
        <v/>
      </c>
      <c r="K444" s="138" t="str">
        <f>IF(C444="","",'07 Renda Fixa'!P47)</f>
        <v/>
      </c>
      <c r="L444" s="135" t="n"/>
      <c r="M444" s="138" t="str">
        <f>IF(C444="","",'07 Renda Fixa'!Q47)</f>
        <v/>
      </c>
      <c r="N444" s="139" t="str">
        <f>IF(C444="","",IF($J$3&gt;0,J444/$J$3,0))</f>
        <v/>
      </c>
      <c r="O444" s="134" t="str">
        <f>IF(C444="","","Manual")</f>
        <v/>
      </c>
      <c r="P444" s="140" t="str">
        <f>IF(C444="","",IF(N(J444)&gt;0,J444+ROW()/1E9,""))</f>
        <v/>
      </c>
      <c r="Q444" s="140" t="str">
        <f>IF(C444="","",IF(N(M444)&gt;0,M444+ROW()/1E9,""))</f>
        <v/>
      </c>
    </row>
    <row r="445">
      <c r="A445" s="141" t="str">
        <f>IF(C445="","","Renda Fixa")</f>
        <v/>
      </c>
      <c r="B445" s="141" t="str">
        <f>IF(C445="","","Brasil")</f>
        <v/>
      </c>
      <c r="C445" s="141" t="str">
        <f>IF('07 Renda Fixa'!A48="","",'07 Renda Fixa'!A48&amp;"")</f>
        <v/>
      </c>
      <c r="D445" s="141" t="str">
        <f>IF(C445="","",'07 Renda Fixa'!B48&amp;"")</f>
        <v/>
      </c>
      <c r="E445" s="141" t="str">
        <f>IF(C445="","","Renda Fixa")</f>
        <v/>
      </c>
      <c r="F445" s="141" t="str">
        <f>IF(C445="","",'07 Renda Fixa'!T48)</f>
        <v/>
      </c>
      <c r="G445" s="142" t="n"/>
      <c r="H445" s="143" t="n"/>
      <c r="I445" s="144" t="str">
        <f>IF(C445="","",'07 Renda Fixa'!H48)</f>
        <v/>
      </c>
      <c r="J445" s="145" t="str">
        <f>IF(C445="","",'07 Renda Fixa'!J48)</f>
        <v/>
      </c>
      <c r="K445" s="145" t="str">
        <f>IF(C445="","",'07 Renda Fixa'!P48)</f>
        <v/>
      </c>
      <c r="L445" s="142" t="n"/>
      <c r="M445" s="145" t="str">
        <f>IF(C445="","",'07 Renda Fixa'!Q48)</f>
        <v/>
      </c>
      <c r="N445" s="146" t="str">
        <f>IF(C445="","",IF($J$3&gt;0,J445/$J$3,0))</f>
        <v/>
      </c>
      <c r="O445" s="141" t="str">
        <f>IF(C445="","","Manual")</f>
        <v/>
      </c>
      <c r="P445" s="147" t="str">
        <f>IF(C445="","",IF(N(J445)&gt;0,J445+ROW()/1E9,""))</f>
        <v/>
      </c>
      <c r="Q445" s="147" t="str">
        <f>IF(C445="","",IF(N(M445)&gt;0,M445+ROW()/1E9,""))</f>
        <v/>
      </c>
    </row>
    <row r="446">
      <c r="A446" s="134" t="str">
        <f>IF(C446="","","Renda Fixa")</f>
        <v/>
      </c>
      <c r="B446" s="134" t="str">
        <f>IF(C446="","","Brasil")</f>
        <v/>
      </c>
      <c r="C446" s="134" t="str">
        <f>IF('07 Renda Fixa'!A49="","",'07 Renda Fixa'!A49&amp;"")</f>
        <v/>
      </c>
      <c r="D446" s="134" t="str">
        <f>IF(C446="","",'07 Renda Fixa'!B49&amp;"")</f>
        <v/>
      </c>
      <c r="E446" s="134" t="str">
        <f>IF(C446="","","Renda Fixa")</f>
        <v/>
      </c>
      <c r="F446" s="134" t="str">
        <f>IF(C446="","",'07 Renda Fixa'!T49)</f>
        <v/>
      </c>
      <c r="G446" s="135" t="n"/>
      <c r="H446" s="136" t="n"/>
      <c r="I446" s="137" t="str">
        <f>IF(C446="","",'07 Renda Fixa'!H49)</f>
        <v/>
      </c>
      <c r="J446" s="138" t="str">
        <f>IF(C446="","",'07 Renda Fixa'!J49)</f>
        <v/>
      </c>
      <c r="K446" s="138" t="str">
        <f>IF(C446="","",'07 Renda Fixa'!P49)</f>
        <v/>
      </c>
      <c r="L446" s="135" t="n"/>
      <c r="M446" s="138" t="str">
        <f>IF(C446="","",'07 Renda Fixa'!Q49)</f>
        <v/>
      </c>
      <c r="N446" s="139" t="str">
        <f>IF(C446="","",IF($J$3&gt;0,J446/$J$3,0))</f>
        <v/>
      </c>
      <c r="O446" s="134" t="str">
        <f>IF(C446="","","Manual")</f>
        <v/>
      </c>
      <c r="P446" s="140" t="str">
        <f>IF(C446="","",IF(N(J446)&gt;0,J446+ROW()/1E9,""))</f>
        <v/>
      </c>
      <c r="Q446" s="140" t="str">
        <f>IF(C446="","",IF(N(M446)&gt;0,M446+ROW()/1E9,""))</f>
        <v/>
      </c>
    </row>
    <row r="447">
      <c r="A447" s="141" t="str">
        <f>IF(C447="","","Renda Fixa")</f>
        <v/>
      </c>
      <c r="B447" s="141" t="str">
        <f>IF(C447="","","Brasil")</f>
        <v/>
      </c>
      <c r="C447" s="141" t="str">
        <f>IF('07 Renda Fixa'!A50="","",'07 Renda Fixa'!A50&amp;"")</f>
        <v/>
      </c>
      <c r="D447" s="141" t="str">
        <f>IF(C447="","",'07 Renda Fixa'!B50&amp;"")</f>
        <v/>
      </c>
      <c r="E447" s="141" t="str">
        <f>IF(C447="","","Renda Fixa")</f>
        <v/>
      </c>
      <c r="F447" s="141" t="str">
        <f>IF(C447="","",'07 Renda Fixa'!T50)</f>
        <v/>
      </c>
      <c r="G447" s="142" t="n"/>
      <c r="H447" s="143" t="n"/>
      <c r="I447" s="144" t="str">
        <f>IF(C447="","",'07 Renda Fixa'!H50)</f>
        <v/>
      </c>
      <c r="J447" s="145" t="str">
        <f>IF(C447="","",'07 Renda Fixa'!J50)</f>
        <v/>
      </c>
      <c r="K447" s="145" t="str">
        <f>IF(C447="","",'07 Renda Fixa'!P50)</f>
        <v/>
      </c>
      <c r="L447" s="142" t="n"/>
      <c r="M447" s="145" t="str">
        <f>IF(C447="","",'07 Renda Fixa'!Q50)</f>
        <v/>
      </c>
      <c r="N447" s="146" t="str">
        <f>IF(C447="","",IF($J$3&gt;0,J447/$J$3,0))</f>
        <v/>
      </c>
      <c r="O447" s="141" t="str">
        <f>IF(C447="","","Manual")</f>
        <v/>
      </c>
      <c r="P447" s="147" t="str">
        <f>IF(C447="","",IF(N(J447)&gt;0,J447+ROW()/1E9,""))</f>
        <v/>
      </c>
      <c r="Q447" s="147" t="str">
        <f>IF(C447="","",IF(N(M447)&gt;0,M447+ROW()/1E9,""))</f>
        <v/>
      </c>
    </row>
    <row r="448">
      <c r="A448" s="134" t="str">
        <f>IF(C448="","","Renda Fixa")</f>
        <v/>
      </c>
      <c r="B448" s="134" t="str">
        <f>IF(C448="","","Brasil")</f>
        <v/>
      </c>
      <c r="C448" s="134" t="str">
        <f>IF('07 Renda Fixa'!A51="","",'07 Renda Fixa'!A51&amp;"")</f>
        <v/>
      </c>
      <c r="D448" s="134" t="str">
        <f>IF(C448="","",'07 Renda Fixa'!B51&amp;"")</f>
        <v/>
      </c>
      <c r="E448" s="134" t="str">
        <f>IF(C448="","","Renda Fixa")</f>
        <v/>
      </c>
      <c r="F448" s="134" t="str">
        <f>IF(C448="","",'07 Renda Fixa'!T51)</f>
        <v/>
      </c>
      <c r="G448" s="135" t="n"/>
      <c r="H448" s="136" t="n"/>
      <c r="I448" s="137" t="str">
        <f>IF(C448="","",'07 Renda Fixa'!H51)</f>
        <v/>
      </c>
      <c r="J448" s="138" t="str">
        <f>IF(C448="","",'07 Renda Fixa'!J51)</f>
        <v/>
      </c>
      <c r="K448" s="138" t="str">
        <f>IF(C448="","",'07 Renda Fixa'!P51)</f>
        <v/>
      </c>
      <c r="L448" s="135" t="n"/>
      <c r="M448" s="138" t="str">
        <f>IF(C448="","",'07 Renda Fixa'!Q51)</f>
        <v/>
      </c>
      <c r="N448" s="139" t="str">
        <f>IF(C448="","",IF($J$3&gt;0,J448/$J$3,0))</f>
        <v/>
      </c>
      <c r="O448" s="134" t="str">
        <f>IF(C448="","","Manual")</f>
        <v/>
      </c>
      <c r="P448" s="140" t="str">
        <f>IF(C448="","",IF(N(J448)&gt;0,J448+ROW()/1E9,""))</f>
        <v/>
      </c>
      <c r="Q448" s="140" t="str">
        <f>IF(C448="","",IF(N(M448)&gt;0,M448+ROW()/1E9,""))</f>
        <v/>
      </c>
    </row>
    <row r="449">
      <c r="A449" s="141" t="str">
        <f>IF(C449="","","Renda Fixa")</f>
        <v/>
      </c>
      <c r="B449" s="141" t="str">
        <f>IF(C449="","","Brasil")</f>
        <v/>
      </c>
      <c r="C449" s="141" t="str">
        <f>IF('07 Renda Fixa'!A52="","",'07 Renda Fixa'!A52&amp;"")</f>
        <v/>
      </c>
      <c r="D449" s="141" t="str">
        <f>IF(C449="","",'07 Renda Fixa'!B52&amp;"")</f>
        <v/>
      </c>
      <c r="E449" s="141" t="str">
        <f>IF(C449="","","Renda Fixa")</f>
        <v/>
      </c>
      <c r="F449" s="141" t="str">
        <f>IF(C449="","",'07 Renda Fixa'!T52)</f>
        <v/>
      </c>
      <c r="G449" s="142" t="n"/>
      <c r="H449" s="143" t="n"/>
      <c r="I449" s="144" t="str">
        <f>IF(C449="","",'07 Renda Fixa'!H52)</f>
        <v/>
      </c>
      <c r="J449" s="145" t="str">
        <f>IF(C449="","",'07 Renda Fixa'!J52)</f>
        <v/>
      </c>
      <c r="K449" s="145" t="str">
        <f>IF(C449="","",'07 Renda Fixa'!P52)</f>
        <v/>
      </c>
      <c r="L449" s="142" t="n"/>
      <c r="M449" s="145" t="str">
        <f>IF(C449="","",'07 Renda Fixa'!Q52)</f>
        <v/>
      </c>
      <c r="N449" s="146" t="str">
        <f>IF(C449="","",IF($J$3&gt;0,J449/$J$3,0))</f>
        <v/>
      </c>
      <c r="O449" s="141" t="str">
        <f>IF(C449="","","Manual")</f>
        <v/>
      </c>
      <c r="P449" s="147" t="str">
        <f>IF(C449="","",IF(N(J449)&gt;0,J449+ROW()/1E9,""))</f>
        <v/>
      </c>
      <c r="Q449" s="147" t="str">
        <f>IF(C449="","",IF(N(M449)&gt;0,M449+ROW()/1E9,""))</f>
        <v/>
      </c>
    </row>
    <row r="450">
      <c r="A450" s="134" t="str">
        <f>IF(C450="","","Renda Fixa")</f>
        <v/>
      </c>
      <c r="B450" s="134" t="str">
        <f>IF(C450="","","Brasil")</f>
        <v/>
      </c>
      <c r="C450" s="134" t="str">
        <f>IF('07 Renda Fixa'!A53="","",'07 Renda Fixa'!A53&amp;"")</f>
        <v/>
      </c>
      <c r="D450" s="134" t="str">
        <f>IF(C450="","",'07 Renda Fixa'!B53&amp;"")</f>
        <v/>
      </c>
      <c r="E450" s="134" t="str">
        <f>IF(C450="","","Renda Fixa")</f>
        <v/>
      </c>
      <c r="F450" s="134" t="str">
        <f>IF(C450="","",'07 Renda Fixa'!T53)</f>
        <v/>
      </c>
      <c r="G450" s="135" t="n"/>
      <c r="H450" s="136" t="n"/>
      <c r="I450" s="137" t="str">
        <f>IF(C450="","",'07 Renda Fixa'!H53)</f>
        <v/>
      </c>
      <c r="J450" s="138" t="str">
        <f>IF(C450="","",'07 Renda Fixa'!J53)</f>
        <v/>
      </c>
      <c r="K450" s="138" t="str">
        <f>IF(C450="","",'07 Renda Fixa'!P53)</f>
        <v/>
      </c>
      <c r="L450" s="135" t="n"/>
      <c r="M450" s="138" t="str">
        <f>IF(C450="","",'07 Renda Fixa'!Q53)</f>
        <v/>
      </c>
      <c r="N450" s="139" t="str">
        <f>IF(C450="","",IF($J$3&gt;0,J450/$J$3,0))</f>
        <v/>
      </c>
      <c r="O450" s="134" t="str">
        <f>IF(C450="","","Manual")</f>
        <v/>
      </c>
      <c r="P450" s="140" t="str">
        <f>IF(C450="","",IF(N(J450)&gt;0,J450+ROW()/1E9,""))</f>
        <v/>
      </c>
      <c r="Q450" s="140" t="str">
        <f>IF(C450="","",IF(N(M450)&gt;0,M450+ROW()/1E9,""))</f>
        <v/>
      </c>
    </row>
    <row r="451">
      <c r="A451" s="141" t="str">
        <f>IF(C451="","","Renda Fixa")</f>
        <v/>
      </c>
      <c r="B451" s="141" t="str">
        <f>IF(C451="","","Brasil")</f>
        <v/>
      </c>
      <c r="C451" s="141" t="str">
        <f>IF('07 Renda Fixa'!A54="","",'07 Renda Fixa'!A54&amp;"")</f>
        <v/>
      </c>
      <c r="D451" s="141" t="str">
        <f>IF(C451="","",'07 Renda Fixa'!B54&amp;"")</f>
        <v/>
      </c>
      <c r="E451" s="141" t="str">
        <f>IF(C451="","","Renda Fixa")</f>
        <v/>
      </c>
      <c r="F451" s="141" t="str">
        <f>IF(C451="","",'07 Renda Fixa'!T54)</f>
        <v/>
      </c>
      <c r="G451" s="142" t="n"/>
      <c r="H451" s="143" t="n"/>
      <c r="I451" s="144" t="str">
        <f>IF(C451="","",'07 Renda Fixa'!H54)</f>
        <v/>
      </c>
      <c r="J451" s="145" t="str">
        <f>IF(C451="","",'07 Renda Fixa'!J54)</f>
        <v/>
      </c>
      <c r="K451" s="145" t="str">
        <f>IF(C451="","",'07 Renda Fixa'!P54)</f>
        <v/>
      </c>
      <c r="L451" s="142" t="n"/>
      <c r="M451" s="145" t="str">
        <f>IF(C451="","",'07 Renda Fixa'!Q54)</f>
        <v/>
      </c>
      <c r="N451" s="146" t="str">
        <f>IF(C451="","",IF($J$3&gt;0,J451/$J$3,0))</f>
        <v/>
      </c>
      <c r="O451" s="141" t="str">
        <f>IF(C451="","","Manual")</f>
        <v/>
      </c>
      <c r="P451" s="147" t="str">
        <f>IF(C451="","",IF(N(J451)&gt;0,J451+ROW()/1E9,""))</f>
        <v/>
      </c>
      <c r="Q451" s="147" t="str">
        <f>IF(C451="","",IF(N(M451)&gt;0,M451+ROW()/1E9,""))</f>
        <v/>
      </c>
    </row>
    <row r="452">
      <c r="A452" s="134" t="str">
        <f>IF(C452="","","Renda Fixa")</f>
        <v/>
      </c>
      <c r="B452" s="134" t="str">
        <f>IF(C452="","","Brasil")</f>
        <v/>
      </c>
      <c r="C452" s="134" t="str">
        <f>IF('07 Renda Fixa'!A55="","",'07 Renda Fixa'!A55&amp;"")</f>
        <v/>
      </c>
      <c r="D452" s="134" t="str">
        <f>IF(C452="","",'07 Renda Fixa'!B55&amp;"")</f>
        <v/>
      </c>
      <c r="E452" s="134" t="str">
        <f>IF(C452="","","Renda Fixa")</f>
        <v/>
      </c>
      <c r="F452" s="134" t="str">
        <f>IF(C452="","",'07 Renda Fixa'!T55)</f>
        <v/>
      </c>
      <c r="G452" s="135" t="n"/>
      <c r="H452" s="136" t="n"/>
      <c r="I452" s="137" t="str">
        <f>IF(C452="","",'07 Renda Fixa'!H55)</f>
        <v/>
      </c>
      <c r="J452" s="138" t="str">
        <f>IF(C452="","",'07 Renda Fixa'!J55)</f>
        <v/>
      </c>
      <c r="K452" s="138" t="str">
        <f>IF(C452="","",'07 Renda Fixa'!P55)</f>
        <v/>
      </c>
      <c r="L452" s="135" t="n"/>
      <c r="M452" s="138" t="str">
        <f>IF(C452="","",'07 Renda Fixa'!Q55)</f>
        <v/>
      </c>
      <c r="N452" s="139" t="str">
        <f>IF(C452="","",IF($J$3&gt;0,J452/$J$3,0))</f>
        <v/>
      </c>
      <c r="O452" s="134" t="str">
        <f>IF(C452="","","Manual")</f>
        <v/>
      </c>
      <c r="P452" s="140" t="str">
        <f>IF(C452="","",IF(N(J452)&gt;0,J452+ROW()/1E9,""))</f>
        <v/>
      </c>
      <c r="Q452" s="140" t="str">
        <f>IF(C452="","",IF(N(M452)&gt;0,M452+ROW()/1E9,""))</f>
        <v/>
      </c>
    </row>
    <row r="453">
      <c r="A453" s="141" t="str">
        <f>IF(C453="","","Renda Fixa")</f>
        <v/>
      </c>
      <c r="B453" s="141" t="str">
        <f>IF(C453="","","Brasil")</f>
        <v/>
      </c>
      <c r="C453" s="141" t="str">
        <f>IF('07 Renda Fixa'!A56="","",'07 Renda Fixa'!A56&amp;"")</f>
        <v/>
      </c>
      <c r="D453" s="141" t="str">
        <f>IF(C453="","",'07 Renda Fixa'!B56&amp;"")</f>
        <v/>
      </c>
      <c r="E453" s="141" t="str">
        <f>IF(C453="","","Renda Fixa")</f>
        <v/>
      </c>
      <c r="F453" s="141" t="str">
        <f>IF(C453="","",'07 Renda Fixa'!T56)</f>
        <v/>
      </c>
      <c r="G453" s="142" t="n"/>
      <c r="H453" s="143" t="n"/>
      <c r="I453" s="144" t="str">
        <f>IF(C453="","",'07 Renda Fixa'!H56)</f>
        <v/>
      </c>
      <c r="J453" s="145" t="str">
        <f>IF(C453="","",'07 Renda Fixa'!J56)</f>
        <v/>
      </c>
      <c r="K453" s="145" t="str">
        <f>IF(C453="","",'07 Renda Fixa'!P56)</f>
        <v/>
      </c>
      <c r="L453" s="142" t="n"/>
      <c r="M453" s="145" t="str">
        <f>IF(C453="","",'07 Renda Fixa'!Q56)</f>
        <v/>
      </c>
      <c r="N453" s="146" t="str">
        <f>IF(C453="","",IF($J$3&gt;0,J453/$J$3,0))</f>
        <v/>
      </c>
      <c r="O453" s="141" t="str">
        <f>IF(C453="","","Manual")</f>
        <v/>
      </c>
      <c r="P453" s="147" t="str">
        <f>IF(C453="","",IF(N(J453)&gt;0,J453+ROW()/1E9,""))</f>
        <v/>
      </c>
      <c r="Q453" s="147" t="str">
        <f>IF(C453="","",IF(N(M453)&gt;0,M453+ROW()/1E9,""))</f>
        <v/>
      </c>
    </row>
    <row r="454">
      <c r="A454" s="134" t="str">
        <f>IF(C454="","","Renda Fixa")</f>
        <v/>
      </c>
      <c r="B454" s="134" t="str">
        <f>IF(C454="","","Brasil")</f>
        <v/>
      </c>
      <c r="C454" s="134" t="str">
        <f>IF('07 Renda Fixa'!A57="","",'07 Renda Fixa'!A57&amp;"")</f>
        <v/>
      </c>
      <c r="D454" s="134" t="str">
        <f>IF(C454="","",'07 Renda Fixa'!B57&amp;"")</f>
        <v/>
      </c>
      <c r="E454" s="134" t="str">
        <f>IF(C454="","","Renda Fixa")</f>
        <v/>
      </c>
      <c r="F454" s="134" t="str">
        <f>IF(C454="","",'07 Renda Fixa'!T57)</f>
        <v/>
      </c>
      <c r="G454" s="135" t="n"/>
      <c r="H454" s="136" t="n"/>
      <c r="I454" s="137" t="str">
        <f>IF(C454="","",'07 Renda Fixa'!H57)</f>
        <v/>
      </c>
      <c r="J454" s="138" t="str">
        <f>IF(C454="","",'07 Renda Fixa'!J57)</f>
        <v/>
      </c>
      <c r="K454" s="138" t="str">
        <f>IF(C454="","",'07 Renda Fixa'!P57)</f>
        <v/>
      </c>
      <c r="L454" s="135" t="n"/>
      <c r="M454" s="138" t="str">
        <f>IF(C454="","",'07 Renda Fixa'!Q57)</f>
        <v/>
      </c>
      <c r="N454" s="139" t="str">
        <f>IF(C454="","",IF($J$3&gt;0,J454/$J$3,0))</f>
        <v/>
      </c>
      <c r="O454" s="134" t="str">
        <f>IF(C454="","","Manual")</f>
        <v/>
      </c>
      <c r="P454" s="140" t="str">
        <f>IF(C454="","",IF(N(J454)&gt;0,J454+ROW()/1E9,""))</f>
        <v/>
      </c>
      <c r="Q454" s="140" t="str">
        <f>IF(C454="","",IF(N(M454)&gt;0,M454+ROW()/1E9,""))</f>
        <v/>
      </c>
    </row>
    <row r="455">
      <c r="A455" s="141" t="str">
        <f>IF(C455="","","Renda Fixa")</f>
        <v/>
      </c>
      <c r="B455" s="141" t="str">
        <f>IF(C455="","","Brasil")</f>
        <v/>
      </c>
      <c r="C455" s="141" t="str">
        <f>IF('07 Renda Fixa'!A58="","",'07 Renda Fixa'!A58&amp;"")</f>
        <v/>
      </c>
      <c r="D455" s="141" t="str">
        <f>IF(C455="","",'07 Renda Fixa'!B58&amp;"")</f>
        <v/>
      </c>
      <c r="E455" s="141" t="str">
        <f>IF(C455="","","Renda Fixa")</f>
        <v/>
      </c>
      <c r="F455" s="141" t="str">
        <f>IF(C455="","",'07 Renda Fixa'!T58)</f>
        <v/>
      </c>
      <c r="G455" s="142" t="n"/>
      <c r="H455" s="143" t="n"/>
      <c r="I455" s="144" t="str">
        <f>IF(C455="","",'07 Renda Fixa'!H58)</f>
        <v/>
      </c>
      <c r="J455" s="145" t="str">
        <f>IF(C455="","",'07 Renda Fixa'!J58)</f>
        <v/>
      </c>
      <c r="K455" s="145" t="str">
        <f>IF(C455="","",'07 Renda Fixa'!P58)</f>
        <v/>
      </c>
      <c r="L455" s="142" t="n"/>
      <c r="M455" s="145" t="str">
        <f>IF(C455="","",'07 Renda Fixa'!Q58)</f>
        <v/>
      </c>
      <c r="N455" s="146" t="str">
        <f>IF(C455="","",IF($J$3&gt;0,J455/$J$3,0))</f>
        <v/>
      </c>
      <c r="O455" s="141" t="str">
        <f>IF(C455="","","Manual")</f>
        <v/>
      </c>
      <c r="P455" s="147" t="str">
        <f>IF(C455="","",IF(N(J455)&gt;0,J455+ROW()/1E9,""))</f>
        <v/>
      </c>
      <c r="Q455" s="147" t="str">
        <f>IF(C455="","",IF(N(M455)&gt;0,M455+ROW()/1E9,""))</f>
        <v/>
      </c>
    </row>
    <row r="456">
      <c r="A456" s="134" t="str">
        <f>IF(C456="","","Renda Fixa")</f>
        <v/>
      </c>
      <c r="B456" s="134" t="str">
        <f>IF(C456="","","Brasil")</f>
        <v/>
      </c>
      <c r="C456" s="134" t="str">
        <f>IF('07 Renda Fixa'!A59="","",'07 Renda Fixa'!A59&amp;"")</f>
        <v/>
      </c>
      <c r="D456" s="134" t="str">
        <f>IF(C456="","",'07 Renda Fixa'!B59&amp;"")</f>
        <v/>
      </c>
      <c r="E456" s="134" t="str">
        <f>IF(C456="","","Renda Fixa")</f>
        <v/>
      </c>
      <c r="F456" s="134" t="str">
        <f>IF(C456="","",'07 Renda Fixa'!T59)</f>
        <v/>
      </c>
      <c r="G456" s="135" t="n"/>
      <c r="H456" s="136" t="n"/>
      <c r="I456" s="137" t="str">
        <f>IF(C456="","",'07 Renda Fixa'!H59)</f>
        <v/>
      </c>
      <c r="J456" s="138" t="str">
        <f>IF(C456="","",'07 Renda Fixa'!J59)</f>
        <v/>
      </c>
      <c r="K456" s="138" t="str">
        <f>IF(C456="","",'07 Renda Fixa'!P59)</f>
        <v/>
      </c>
      <c r="L456" s="135" t="n"/>
      <c r="M456" s="138" t="str">
        <f>IF(C456="","",'07 Renda Fixa'!Q59)</f>
        <v/>
      </c>
      <c r="N456" s="139" t="str">
        <f>IF(C456="","",IF($J$3&gt;0,J456/$J$3,0))</f>
        <v/>
      </c>
      <c r="O456" s="134" t="str">
        <f>IF(C456="","","Manual")</f>
        <v/>
      </c>
      <c r="P456" s="140" t="str">
        <f>IF(C456="","",IF(N(J456)&gt;0,J456+ROW()/1E9,""))</f>
        <v/>
      </c>
      <c r="Q456" s="140" t="str">
        <f>IF(C456="","",IF(N(M456)&gt;0,M456+ROW()/1E9,""))</f>
        <v/>
      </c>
    </row>
    <row r="457">
      <c r="A457" s="141" t="str">
        <f>IF(C457="","","Renda Fixa")</f>
        <v/>
      </c>
      <c r="B457" s="141" t="str">
        <f>IF(C457="","","Brasil")</f>
        <v/>
      </c>
      <c r="C457" s="141" t="str">
        <f>IF('07 Renda Fixa'!A60="","",'07 Renda Fixa'!A60&amp;"")</f>
        <v/>
      </c>
      <c r="D457" s="141" t="str">
        <f>IF(C457="","",'07 Renda Fixa'!B60&amp;"")</f>
        <v/>
      </c>
      <c r="E457" s="141" t="str">
        <f>IF(C457="","","Renda Fixa")</f>
        <v/>
      </c>
      <c r="F457" s="141" t="str">
        <f>IF(C457="","",'07 Renda Fixa'!T60)</f>
        <v/>
      </c>
      <c r="G457" s="142" t="n"/>
      <c r="H457" s="143" t="n"/>
      <c r="I457" s="144" t="str">
        <f>IF(C457="","",'07 Renda Fixa'!H60)</f>
        <v/>
      </c>
      <c r="J457" s="145" t="str">
        <f>IF(C457="","",'07 Renda Fixa'!J60)</f>
        <v/>
      </c>
      <c r="K457" s="145" t="str">
        <f>IF(C457="","",'07 Renda Fixa'!P60)</f>
        <v/>
      </c>
      <c r="L457" s="142" t="n"/>
      <c r="M457" s="145" t="str">
        <f>IF(C457="","",'07 Renda Fixa'!Q60)</f>
        <v/>
      </c>
      <c r="N457" s="146" t="str">
        <f>IF(C457="","",IF($J$3&gt;0,J457/$J$3,0))</f>
        <v/>
      </c>
      <c r="O457" s="141" t="str">
        <f>IF(C457="","","Manual")</f>
        <v/>
      </c>
      <c r="P457" s="147" t="str">
        <f>IF(C457="","",IF(N(J457)&gt;0,J457+ROW()/1E9,""))</f>
        <v/>
      </c>
      <c r="Q457" s="147" t="str">
        <f>IF(C457="","",IF(N(M457)&gt;0,M457+ROW()/1E9,""))</f>
        <v/>
      </c>
    </row>
    <row r="458">
      <c r="A458" s="134" t="str">
        <f>IF(C458="","","Renda Fixa")</f>
        <v/>
      </c>
      <c r="B458" s="134" t="str">
        <f>IF(C458="","","Brasil")</f>
        <v/>
      </c>
      <c r="C458" s="134" t="str">
        <f>IF('07 Renda Fixa'!A61="","",'07 Renda Fixa'!A61&amp;"")</f>
        <v/>
      </c>
      <c r="D458" s="134" t="str">
        <f>IF(C458="","",'07 Renda Fixa'!B61&amp;"")</f>
        <v/>
      </c>
      <c r="E458" s="134" t="str">
        <f>IF(C458="","","Renda Fixa")</f>
        <v/>
      </c>
      <c r="F458" s="134" t="str">
        <f>IF(C458="","",'07 Renda Fixa'!T61)</f>
        <v/>
      </c>
      <c r="G458" s="135" t="n"/>
      <c r="H458" s="136" t="n"/>
      <c r="I458" s="137" t="str">
        <f>IF(C458="","",'07 Renda Fixa'!H61)</f>
        <v/>
      </c>
      <c r="J458" s="138" t="str">
        <f>IF(C458="","",'07 Renda Fixa'!J61)</f>
        <v/>
      </c>
      <c r="K458" s="138" t="str">
        <f>IF(C458="","",'07 Renda Fixa'!P61)</f>
        <v/>
      </c>
      <c r="L458" s="135" t="n"/>
      <c r="M458" s="138" t="str">
        <f>IF(C458="","",'07 Renda Fixa'!Q61)</f>
        <v/>
      </c>
      <c r="N458" s="139" t="str">
        <f>IF(C458="","",IF($J$3&gt;0,J458/$J$3,0))</f>
        <v/>
      </c>
      <c r="O458" s="134" t="str">
        <f>IF(C458="","","Manual")</f>
        <v/>
      </c>
      <c r="P458" s="140" t="str">
        <f>IF(C458="","",IF(N(J458)&gt;0,J458+ROW()/1E9,""))</f>
        <v/>
      </c>
      <c r="Q458" s="140" t="str">
        <f>IF(C458="","",IF(N(M458)&gt;0,M458+ROW()/1E9,""))</f>
        <v/>
      </c>
    </row>
    <row r="459">
      <c r="A459" s="141" t="str">
        <f>IF(C459="","","Renda Fixa")</f>
        <v/>
      </c>
      <c r="B459" s="141" t="str">
        <f>IF(C459="","","Brasil")</f>
        <v/>
      </c>
      <c r="C459" s="141" t="str">
        <f>IF('07 Renda Fixa'!A62="","",'07 Renda Fixa'!A62&amp;"")</f>
        <v/>
      </c>
      <c r="D459" s="141" t="str">
        <f>IF(C459="","",'07 Renda Fixa'!B62&amp;"")</f>
        <v/>
      </c>
      <c r="E459" s="141" t="str">
        <f>IF(C459="","","Renda Fixa")</f>
        <v/>
      </c>
      <c r="F459" s="141" t="str">
        <f>IF(C459="","",'07 Renda Fixa'!T62)</f>
        <v/>
      </c>
      <c r="G459" s="142" t="n"/>
      <c r="H459" s="143" t="n"/>
      <c r="I459" s="144" t="str">
        <f>IF(C459="","",'07 Renda Fixa'!H62)</f>
        <v/>
      </c>
      <c r="J459" s="145" t="str">
        <f>IF(C459="","",'07 Renda Fixa'!J62)</f>
        <v/>
      </c>
      <c r="K459" s="145" t="str">
        <f>IF(C459="","",'07 Renda Fixa'!P62)</f>
        <v/>
      </c>
      <c r="L459" s="142" t="n"/>
      <c r="M459" s="145" t="str">
        <f>IF(C459="","",'07 Renda Fixa'!Q62)</f>
        <v/>
      </c>
      <c r="N459" s="146" t="str">
        <f>IF(C459="","",IF($J$3&gt;0,J459/$J$3,0))</f>
        <v/>
      </c>
      <c r="O459" s="141" t="str">
        <f>IF(C459="","","Manual")</f>
        <v/>
      </c>
      <c r="P459" s="147" t="str">
        <f>IF(C459="","",IF(N(J459)&gt;0,J459+ROW()/1E9,""))</f>
        <v/>
      </c>
      <c r="Q459" s="147" t="str">
        <f>IF(C459="","",IF(N(M459)&gt;0,M459+ROW()/1E9,""))</f>
        <v/>
      </c>
    </row>
    <row r="460">
      <c r="A460" s="134" t="str">
        <f>IF(C460="","","Renda Fixa")</f>
        <v/>
      </c>
      <c r="B460" s="134" t="str">
        <f>IF(C460="","","Brasil")</f>
        <v/>
      </c>
      <c r="C460" s="134" t="str">
        <f>IF('07 Renda Fixa'!A63="","",'07 Renda Fixa'!A63&amp;"")</f>
        <v/>
      </c>
      <c r="D460" s="134" t="str">
        <f>IF(C460="","",'07 Renda Fixa'!B63&amp;"")</f>
        <v/>
      </c>
      <c r="E460" s="134" t="str">
        <f>IF(C460="","","Renda Fixa")</f>
        <v/>
      </c>
      <c r="F460" s="134" t="str">
        <f>IF(C460="","",'07 Renda Fixa'!T63)</f>
        <v/>
      </c>
      <c r="G460" s="135" t="n"/>
      <c r="H460" s="136" t="n"/>
      <c r="I460" s="137" t="str">
        <f>IF(C460="","",'07 Renda Fixa'!H63)</f>
        <v/>
      </c>
      <c r="J460" s="138" t="str">
        <f>IF(C460="","",'07 Renda Fixa'!J63)</f>
        <v/>
      </c>
      <c r="K460" s="138" t="str">
        <f>IF(C460="","",'07 Renda Fixa'!P63)</f>
        <v/>
      </c>
      <c r="L460" s="135" t="n"/>
      <c r="M460" s="138" t="str">
        <f>IF(C460="","",'07 Renda Fixa'!Q63)</f>
        <v/>
      </c>
      <c r="N460" s="139" t="str">
        <f>IF(C460="","",IF($J$3&gt;0,J460/$J$3,0))</f>
        <v/>
      </c>
      <c r="O460" s="134" t="str">
        <f>IF(C460="","","Manual")</f>
        <v/>
      </c>
      <c r="P460" s="140" t="str">
        <f>IF(C460="","",IF(N(J460)&gt;0,J460+ROW()/1E9,""))</f>
        <v/>
      </c>
      <c r="Q460" s="140" t="str">
        <f>IF(C460="","",IF(N(M460)&gt;0,M460+ROW()/1E9,""))</f>
        <v/>
      </c>
    </row>
    <row r="461">
      <c r="A461" s="141" t="str">
        <f>IF(C461="","","Renda Fixa")</f>
        <v/>
      </c>
      <c r="B461" s="141" t="str">
        <f>IF(C461="","","Brasil")</f>
        <v/>
      </c>
      <c r="C461" s="141" t="str">
        <f>IF('07 Renda Fixa'!A64="","",'07 Renda Fixa'!A64&amp;"")</f>
        <v/>
      </c>
      <c r="D461" s="141" t="str">
        <f>IF(C461="","",'07 Renda Fixa'!B64&amp;"")</f>
        <v/>
      </c>
      <c r="E461" s="141" t="str">
        <f>IF(C461="","","Renda Fixa")</f>
        <v/>
      </c>
      <c r="F461" s="141" t="str">
        <f>IF(C461="","",'07 Renda Fixa'!T64)</f>
        <v/>
      </c>
      <c r="G461" s="142" t="n"/>
      <c r="H461" s="143" t="n"/>
      <c r="I461" s="144" t="str">
        <f>IF(C461="","",'07 Renda Fixa'!H64)</f>
        <v/>
      </c>
      <c r="J461" s="145" t="str">
        <f>IF(C461="","",'07 Renda Fixa'!J64)</f>
        <v/>
      </c>
      <c r="K461" s="145" t="str">
        <f>IF(C461="","",'07 Renda Fixa'!P64)</f>
        <v/>
      </c>
      <c r="L461" s="142" t="n"/>
      <c r="M461" s="145" t="str">
        <f>IF(C461="","",'07 Renda Fixa'!Q64)</f>
        <v/>
      </c>
      <c r="N461" s="146" t="str">
        <f>IF(C461="","",IF($J$3&gt;0,J461/$J$3,0))</f>
        <v/>
      </c>
      <c r="O461" s="141" t="str">
        <f>IF(C461="","","Manual")</f>
        <v/>
      </c>
      <c r="P461" s="147" t="str">
        <f>IF(C461="","",IF(N(J461)&gt;0,J461+ROW()/1E9,""))</f>
        <v/>
      </c>
      <c r="Q461" s="147" t="str">
        <f>IF(C461="","",IF(N(M461)&gt;0,M461+ROW()/1E9,""))</f>
        <v/>
      </c>
    </row>
    <row r="462">
      <c r="A462" s="134" t="str">
        <f>IF(C462="","","Renda Fixa")</f>
        <v/>
      </c>
      <c r="B462" s="134" t="str">
        <f>IF(C462="","","Brasil")</f>
        <v/>
      </c>
      <c r="C462" s="134" t="str">
        <f>IF('07 Renda Fixa'!A65="","",'07 Renda Fixa'!A65&amp;"")</f>
        <v/>
      </c>
      <c r="D462" s="134" t="str">
        <f>IF(C462="","",'07 Renda Fixa'!B65&amp;"")</f>
        <v/>
      </c>
      <c r="E462" s="134" t="str">
        <f>IF(C462="","","Renda Fixa")</f>
        <v/>
      </c>
      <c r="F462" s="134" t="str">
        <f>IF(C462="","",'07 Renda Fixa'!T65)</f>
        <v/>
      </c>
      <c r="G462" s="135" t="n"/>
      <c r="H462" s="136" t="n"/>
      <c r="I462" s="137" t="str">
        <f>IF(C462="","",'07 Renda Fixa'!H65)</f>
        <v/>
      </c>
      <c r="J462" s="138" t="str">
        <f>IF(C462="","",'07 Renda Fixa'!J65)</f>
        <v/>
      </c>
      <c r="K462" s="138" t="str">
        <f>IF(C462="","",'07 Renda Fixa'!P65)</f>
        <v/>
      </c>
      <c r="L462" s="135" t="n"/>
      <c r="M462" s="138" t="str">
        <f>IF(C462="","",'07 Renda Fixa'!Q65)</f>
        <v/>
      </c>
      <c r="N462" s="139" t="str">
        <f>IF(C462="","",IF($J$3&gt;0,J462/$J$3,0))</f>
        <v/>
      </c>
      <c r="O462" s="134" t="str">
        <f>IF(C462="","","Manual")</f>
        <v/>
      </c>
      <c r="P462" s="140" t="str">
        <f>IF(C462="","",IF(N(J462)&gt;0,J462+ROW()/1E9,""))</f>
        <v/>
      </c>
      <c r="Q462" s="140" t="str">
        <f>IF(C462="","",IF(N(M462)&gt;0,M462+ROW()/1E9,""))</f>
        <v/>
      </c>
    </row>
    <row r="463">
      <c r="A463" s="141" t="str">
        <f>IF(C463="","","Renda Fixa")</f>
        <v/>
      </c>
      <c r="B463" s="141" t="str">
        <f>IF(C463="","","Brasil")</f>
        <v/>
      </c>
      <c r="C463" s="141" t="str">
        <f>IF('07 Renda Fixa'!A66="","",'07 Renda Fixa'!A66&amp;"")</f>
        <v/>
      </c>
      <c r="D463" s="141" t="str">
        <f>IF(C463="","",'07 Renda Fixa'!B66&amp;"")</f>
        <v/>
      </c>
      <c r="E463" s="141" t="str">
        <f>IF(C463="","","Renda Fixa")</f>
        <v/>
      </c>
      <c r="F463" s="141" t="str">
        <f>IF(C463="","",'07 Renda Fixa'!T66)</f>
        <v/>
      </c>
      <c r="G463" s="142" t="n"/>
      <c r="H463" s="143" t="n"/>
      <c r="I463" s="144" t="str">
        <f>IF(C463="","",'07 Renda Fixa'!H66)</f>
        <v/>
      </c>
      <c r="J463" s="145" t="str">
        <f>IF(C463="","",'07 Renda Fixa'!J66)</f>
        <v/>
      </c>
      <c r="K463" s="145" t="str">
        <f>IF(C463="","",'07 Renda Fixa'!P66)</f>
        <v/>
      </c>
      <c r="L463" s="142" t="n"/>
      <c r="M463" s="145" t="str">
        <f>IF(C463="","",'07 Renda Fixa'!Q66)</f>
        <v/>
      </c>
      <c r="N463" s="146" t="str">
        <f>IF(C463="","",IF($J$3&gt;0,J463/$J$3,0))</f>
        <v/>
      </c>
      <c r="O463" s="141" t="str">
        <f>IF(C463="","","Manual")</f>
        <v/>
      </c>
      <c r="P463" s="147" t="str">
        <f>IF(C463="","",IF(N(J463)&gt;0,J463+ROW()/1E9,""))</f>
        <v/>
      </c>
      <c r="Q463" s="147" t="str">
        <f>IF(C463="","",IF(N(M463)&gt;0,M463+ROW()/1E9,""))</f>
        <v/>
      </c>
    </row>
    <row r="464">
      <c r="A464" s="134" t="str">
        <f>IF(C464="","","Renda Fixa")</f>
        <v/>
      </c>
      <c r="B464" s="134" t="str">
        <f>IF(C464="","","Brasil")</f>
        <v/>
      </c>
      <c r="C464" s="134" t="str">
        <f>IF('07 Renda Fixa'!A67="","",'07 Renda Fixa'!A67&amp;"")</f>
        <v/>
      </c>
      <c r="D464" s="134" t="str">
        <f>IF(C464="","",'07 Renda Fixa'!B67&amp;"")</f>
        <v/>
      </c>
      <c r="E464" s="134" t="str">
        <f>IF(C464="","","Renda Fixa")</f>
        <v/>
      </c>
      <c r="F464" s="134" t="str">
        <f>IF(C464="","",'07 Renda Fixa'!T67)</f>
        <v/>
      </c>
      <c r="G464" s="135" t="n"/>
      <c r="H464" s="136" t="n"/>
      <c r="I464" s="137" t="str">
        <f>IF(C464="","",'07 Renda Fixa'!H67)</f>
        <v/>
      </c>
      <c r="J464" s="138" t="str">
        <f>IF(C464="","",'07 Renda Fixa'!J67)</f>
        <v/>
      </c>
      <c r="K464" s="138" t="str">
        <f>IF(C464="","",'07 Renda Fixa'!P67)</f>
        <v/>
      </c>
      <c r="L464" s="135" t="n"/>
      <c r="M464" s="138" t="str">
        <f>IF(C464="","",'07 Renda Fixa'!Q67)</f>
        <v/>
      </c>
      <c r="N464" s="139" t="str">
        <f>IF(C464="","",IF($J$3&gt;0,J464/$J$3,0))</f>
        <v/>
      </c>
      <c r="O464" s="134" t="str">
        <f>IF(C464="","","Manual")</f>
        <v/>
      </c>
      <c r="P464" s="140" t="str">
        <f>IF(C464="","",IF(N(J464)&gt;0,J464+ROW()/1E9,""))</f>
        <v/>
      </c>
      <c r="Q464" s="140" t="str">
        <f>IF(C464="","",IF(N(M464)&gt;0,M464+ROW()/1E9,""))</f>
        <v/>
      </c>
    </row>
    <row r="465">
      <c r="A465" s="141" t="str">
        <f>IF(C465="","","Renda Fixa")</f>
        <v/>
      </c>
      <c r="B465" s="141" t="str">
        <f>IF(C465="","","Brasil")</f>
        <v/>
      </c>
      <c r="C465" s="141" t="str">
        <f>IF('07 Renda Fixa'!A68="","",'07 Renda Fixa'!A68&amp;"")</f>
        <v/>
      </c>
      <c r="D465" s="141" t="str">
        <f>IF(C465="","",'07 Renda Fixa'!B68&amp;"")</f>
        <v/>
      </c>
      <c r="E465" s="141" t="str">
        <f>IF(C465="","","Renda Fixa")</f>
        <v/>
      </c>
      <c r="F465" s="141" t="str">
        <f>IF(C465="","",'07 Renda Fixa'!T68)</f>
        <v/>
      </c>
      <c r="G465" s="142" t="n"/>
      <c r="H465" s="143" t="n"/>
      <c r="I465" s="144" t="str">
        <f>IF(C465="","",'07 Renda Fixa'!H68)</f>
        <v/>
      </c>
      <c r="J465" s="145" t="str">
        <f>IF(C465="","",'07 Renda Fixa'!J68)</f>
        <v/>
      </c>
      <c r="K465" s="145" t="str">
        <f>IF(C465="","",'07 Renda Fixa'!P68)</f>
        <v/>
      </c>
      <c r="L465" s="142" t="n"/>
      <c r="M465" s="145" t="str">
        <f>IF(C465="","",'07 Renda Fixa'!Q68)</f>
        <v/>
      </c>
      <c r="N465" s="146" t="str">
        <f>IF(C465="","",IF($J$3&gt;0,J465/$J$3,0))</f>
        <v/>
      </c>
      <c r="O465" s="141" t="str">
        <f>IF(C465="","","Manual")</f>
        <v/>
      </c>
      <c r="P465" s="147" t="str">
        <f>IF(C465="","",IF(N(J465)&gt;0,J465+ROW()/1E9,""))</f>
        <v/>
      </c>
      <c r="Q465" s="147" t="str">
        <f>IF(C465="","",IF(N(M465)&gt;0,M465+ROW()/1E9,""))</f>
        <v/>
      </c>
    </row>
    <row r="466">
      <c r="A466" s="134" t="str">
        <f>IF(C466="","","Renda Fixa")</f>
        <v/>
      </c>
      <c r="B466" s="134" t="str">
        <f>IF(C466="","","Brasil")</f>
        <v/>
      </c>
      <c r="C466" s="134" t="str">
        <f>IF('07 Renda Fixa'!A69="","",'07 Renda Fixa'!A69&amp;"")</f>
        <v/>
      </c>
      <c r="D466" s="134" t="str">
        <f>IF(C466="","",'07 Renda Fixa'!B69&amp;"")</f>
        <v/>
      </c>
      <c r="E466" s="134" t="str">
        <f>IF(C466="","","Renda Fixa")</f>
        <v/>
      </c>
      <c r="F466" s="134" t="str">
        <f>IF(C466="","",'07 Renda Fixa'!T69)</f>
        <v/>
      </c>
      <c r="G466" s="135" t="n"/>
      <c r="H466" s="136" t="n"/>
      <c r="I466" s="137" t="str">
        <f>IF(C466="","",'07 Renda Fixa'!H69)</f>
        <v/>
      </c>
      <c r="J466" s="138" t="str">
        <f>IF(C466="","",'07 Renda Fixa'!J69)</f>
        <v/>
      </c>
      <c r="K466" s="138" t="str">
        <f>IF(C466="","",'07 Renda Fixa'!P69)</f>
        <v/>
      </c>
      <c r="L466" s="135" t="n"/>
      <c r="M466" s="138" t="str">
        <f>IF(C466="","",'07 Renda Fixa'!Q69)</f>
        <v/>
      </c>
      <c r="N466" s="139" t="str">
        <f>IF(C466="","",IF($J$3&gt;0,J466/$J$3,0))</f>
        <v/>
      </c>
      <c r="O466" s="134" t="str">
        <f>IF(C466="","","Manual")</f>
        <v/>
      </c>
      <c r="P466" s="140" t="str">
        <f>IF(C466="","",IF(N(J466)&gt;0,J466+ROW()/1E9,""))</f>
        <v/>
      </c>
      <c r="Q466" s="140" t="str">
        <f>IF(C466="","",IF(N(M466)&gt;0,M466+ROW()/1E9,""))</f>
        <v/>
      </c>
    </row>
    <row r="467">
      <c r="A467" s="141" t="str">
        <f>IF(C467="","","Renda Fixa")</f>
        <v/>
      </c>
      <c r="B467" s="141" t="str">
        <f>IF(C467="","","Brasil")</f>
        <v/>
      </c>
      <c r="C467" s="141" t="str">
        <f>IF('07 Renda Fixa'!A70="","",'07 Renda Fixa'!A70&amp;"")</f>
        <v/>
      </c>
      <c r="D467" s="141" t="str">
        <f>IF(C467="","",'07 Renda Fixa'!B70&amp;"")</f>
        <v/>
      </c>
      <c r="E467" s="141" t="str">
        <f>IF(C467="","","Renda Fixa")</f>
        <v/>
      </c>
      <c r="F467" s="141" t="str">
        <f>IF(C467="","",'07 Renda Fixa'!T70)</f>
        <v/>
      </c>
      <c r="G467" s="142" t="n"/>
      <c r="H467" s="143" t="n"/>
      <c r="I467" s="144" t="str">
        <f>IF(C467="","",'07 Renda Fixa'!H70)</f>
        <v/>
      </c>
      <c r="J467" s="145" t="str">
        <f>IF(C467="","",'07 Renda Fixa'!J70)</f>
        <v/>
      </c>
      <c r="K467" s="145" t="str">
        <f>IF(C467="","",'07 Renda Fixa'!P70)</f>
        <v/>
      </c>
      <c r="L467" s="142" t="n"/>
      <c r="M467" s="145" t="str">
        <f>IF(C467="","",'07 Renda Fixa'!Q70)</f>
        <v/>
      </c>
      <c r="N467" s="146" t="str">
        <f>IF(C467="","",IF($J$3&gt;0,J467/$J$3,0))</f>
        <v/>
      </c>
      <c r="O467" s="141" t="str">
        <f>IF(C467="","","Manual")</f>
        <v/>
      </c>
      <c r="P467" s="147" t="str">
        <f>IF(C467="","",IF(N(J467)&gt;0,J467+ROW()/1E9,""))</f>
        <v/>
      </c>
      <c r="Q467" s="147" t="str">
        <f>IF(C467="","",IF(N(M467)&gt;0,M467+ROW()/1E9,""))</f>
        <v/>
      </c>
    </row>
    <row r="468">
      <c r="A468" s="134" t="str">
        <f>IF(C468="","","Renda Fixa")</f>
        <v/>
      </c>
      <c r="B468" s="134" t="str">
        <f>IF(C468="","","Brasil")</f>
        <v/>
      </c>
      <c r="C468" s="134" t="str">
        <f>IF('07 Renda Fixa'!A71="","",'07 Renda Fixa'!A71&amp;"")</f>
        <v/>
      </c>
      <c r="D468" s="134" t="str">
        <f>IF(C468="","",'07 Renda Fixa'!B71&amp;"")</f>
        <v/>
      </c>
      <c r="E468" s="134" t="str">
        <f>IF(C468="","","Renda Fixa")</f>
        <v/>
      </c>
      <c r="F468" s="134" t="str">
        <f>IF(C468="","",'07 Renda Fixa'!T71)</f>
        <v/>
      </c>
      <c r="G468" s="135" t="n"/>
      <c r="H468" s="136" t="n"/>
      <c r="I468" s="137" t="str">
        <f>IF(C468="","",'07 Renda Fixa'!H71)</f>
        <v/>
      </c>
      <c r="J468" s="138" t="str">
        <f>IF(C468="","",'07 Renda Fixa'!J71)</f>
        <v/>
      </c>
      <c r="K468" s="138" t="str">
        <f>IF(C468="","",'07 Renda Fixa'!P71)</f>
        <v/>
      </c>
      <c r="L468" s="135" t="n"/>
      <c r="M468" s="138" t="str">
        <f>IF(C468="","",'07 Renda Fixa'!Q71)</f>
        <v/>
      </c>
      <c r="N468" s="139" t="str">
        <f>IF(C468="","",IF($J$3&gt;0,J468/$J$3,0))</f>
        <v/>
      </c>
      <c r="O468" s="134" t="str">
        <f>IF(C468="","","Manual")</f>
        <v/>
      </c>
      <c r="P468" s="140" t="str">
        <f>IF(C468="","",IF(N(J468)&gt;0,J468+ROW()/1E9,""))</f>
        <v/>
      </c>
      <c r="Q468" s="140" t="str">
        <f>IF(C468="","",IF(N(M468)&gt;0,M468+ROW()/1E9,""))</f>
        <v/>
      </c>
    </row>
    <row r="469">
      <c r="A469" s="141" t="str">
        <f>IF(C469="","","Renda Fixa")</f>
        <v/>
      </c>
      <c r="B469" s="141" t="str">
        <f>IF(C469="","","Brasil")</f>
        <v/>
      </c>
      <c r="C469" s="141" t="str">
        <f>IF('07 Renda Fixa'!A72="","",'07 Renda Fixa'!A72&amp;"")</f>
        <v/>
      </c>
      <c r="D469" s="141" t="str">
        <f>IF(C469="","",'07 Renda Fixa'!B72&amp;"")</f>
        <v/>
      </c>
      <c r="E469" s="141" t="str">
        <f>IF(C469="","","Renda Fixa")</f>
        <v/>
      </c>
      <c r="F469" s="141" t="str">
        <f>IF(C469="","",'07 Renda Fixa'!T72)</f>
        <v/>
      </c>
      <c r="G469" s="142" t="n"/>
      <c r="H469" s="143" t="n"/>
      <c r="I469" s="144" t="str">
        <f>IF(C469="","",'07 Renda Fixa'!H72)</f>
        <v/>
      </c>
      <c r="J469" s="145" t="str">
        <f>IF(C469="","",'07 Renda Fixa'!J72)</f>
        <v/>
      </c>
      <c r="K469" s="145" t="str">
        <f>IF(C469="","",'07 Renda Fixa'!P72)</f>
        <v/>
      </c>
      <c r="L469" s="142" t="n"/>
      <c r="M469" s="145" t="str">
        <f>IF(C469="","",'07 Renda Fixa'!Q72)</f>
        <v/>
      </c>
      <c r="N469" s="146" t="str">
        <f>IF(C469="","",IF($J$3&gt;0,J469/$J$3,0))</f>
        <v/>
      </c>
      <c r="O469" s="141" t="str">
        <f>IF(C469="","","Manual")</f>
        <v/>
      </c>
      <c r="P469" s="147" t="str">
        <f>IF(C469="","",IF(N(J469)&gt;0,J469+ROW()/1E9,""))</f>
        <v/>
      </c>
      <c r="Q469" s="147" t="str">
        <f>IF(C469="","",IF(N(M469)&gt;0,M469+ROW()/1E9,""))</f>
        <v/>
      </c>
    </row>
    <row r="470">
      <c r="A470" s="134" t="str">
        <f>IF(C470="","","Renda Fixa")</f>
        <v/>
      </c>
      <c r="B470" s="134" t="str">
        <f>IF(C470="","","Brasil")</f>
        <v/>
      </c>
      <c r="C470" s="134" t="str">
        <f>IF('07 Renda Fixa'!A73="","",'07 Renda Fixa'!A73&amp;"")</f>
        <v/>
      </c>
      <c r="D470" s="134" t="str">
        <f>IF(C470="","",'07 Renda Fixa'!B73&amp;"")</f>
        <v/>
      </c>
      <c r="E470" s="134" t="str">
        <f>IF(C470="","","Renda Fixa")</f>
        <v/>
      </c>
      <c r="F470" s="134" t="str">
        <f>IF(C470="","",'07 Renda Fixa'!T73)</f>
        <v/>
      </c>
      <c r="G470" s="135" t="n"/>
      <c r="H470" s="136" t="n"/>
      <c r="I470" s="137" t="str">
        <f>IF(C470="","",'07 Renda Fixa'!H73)</f>
        <v/>
      </c>
      <c r="J470" s="138" t="str">
        <f>IF(C470="","",'07 Renda Fixa'!J73)</f>
        <v/>
      </c>
      <c r="K470" s="138" t="str">
        <f>IF(C470="","",'07 Renda Fixa'!P73)</f>
        <v/>
      </c>
      <c r="L470" s="135" t="n"/>
      <c r="M470" s="138" t="str">
        <f>IF(C470="","",'07 Renda Fixa'!Q73)</f>
        <v/>
      </c>
      <c r="N470" s="139" t="str">
        <f>IF(C470="","",IF($J$3&gt;0,J470/$J$3,0))</f>
        <v/>
      </c>
      <c r="O470" s="134" t="str">
        <f>IF(C470="","","Manual")</f>
        <v/>
      </c>
      <c r="P470" s="140" t="str">
        <f>IF(C470="","",IF(N(J470)&gt;0,J470+ROW()/1E9,""))</f>
        <v/>
      </c>
      <c r="Q470" s="140" t="str">
        <f>IF(C470="","",IF(N(M470)&gt;0,M470+ROW()/1E9,""))</f>
        <v/>
      </c>
    </row>
    <row r="471">
      <c r="A471" s="141" t="str">
        <f>IF(C471="","","Renda Fixa")</f>
        <v/>
      </c>
      <c r="B471" s="141" t="str">
        <f>IF(C471="","","Brasil")</f>
        <v/>
      </c>
      <c r="C471" s="141" t="str">
        <f>IF('07 Renda Fixa'!A74="","",'07 Renda Fixa'!A74&amp;"")</f>
        <v/>
      </c>
      <c r="D471" s="141" t="str">
        <f>IF(C471="","",'07 Renda Fixa'!B74&amp;"")</f>
        <v/>
      </c>
      <c r="E471" s="141" t="str">
        <f>IF(C471="","","Renda Fixa")</f>
        <v/>
      </c>
      <c r="F471" s="141" t="str">
        <f>IF(C471="","",'07 Renda Fixa'!T74)</f>
        <v/>
      </c>
      <c r="G471" s="142" t="n"/>
      <c r="H471" s="143" t="n"/>
      <c r="I471" s="144" t="str">
        <f>IF(C471="","",'07 Renda Fixa'!H74)</f>
        <v/>
      </c>
      <c r="J471" s="145" t="str">
        <f>IF(C471="","",'07 Renda Fixa'!J74)</f>
        <v/>
      </c>
      <c r="K471" s="145" t="str">
        <f>IF(C471="","",'07 Renda Fixa'!P74)</f>
        <v/>
      </c>
      <c r="L471" s="142" t="n"/>
      <c r="M471" s="145" t="str">
        <f>IF(C471="","",'07 Renda Fixa'!Q74)</f>
        <v/>
      </c>
      <c r="N471" s="146" t="str">
        <f>IF(C471="","",IF($J$3&gt;0,J471/$J$3,0))</f>
        <v/>
      </c>
      <c r="O471" s="141" t="str">
        <f>IF(C471="","","Manual")</f>
        <v/>
      </c>
      <c r="P471" s="147" t="str">
        <f>IF(C471="","",IF(N(J471)&gt;0,J471+ROW()/1E9,""))</f>
        <v/>
      </c>
      <c r="Q471" s="147" t="str">
        <f>IF(C471="","",IF(N(M471)&gt;0,M471+ROW()/1E9,""))</f>
        <v/>
      </c>
    </row>
    <row r="472">
      <c r="A472" s="134" t="str">
        <f>IF(C472="","","Renda Fixa")</f>
        <v/>
      </c>
      <c r="B472" s="134" t="str">
        <f>IF(C472="","","Brasil")</f>
        <v/>
      </c>
      <c r="C472" s="134" t="str">
        <f>IF('07 Renda Fixa'!A75="","",'07 Renda Fixa'!A75&amp;"")</f>
        <v/>
      </c>
      <c r="D472" s="134" t="str">
        <f>IF(C472="","",'07 Renda Fixa'!B75&amp;"")</f>
        <v/>
      </c>
      <c r="E472" s="134" t="str">
        <f>IF(C472="","","Renda Fixa")</f>
        <v/>
      </c>
      <c r="F472" s="134" t="str">
        <f>IF(C472="","",'07 Renda Fixa'!T75)</f>
        <v/>
      </c>
      <c r="G472" s="135" t="n"/>
      <c r="H472" s="136" t="n"/>
      <c r="I472" s="137" t="str">
        <f>IF(C472="","",'07 Renda Fixa'!H75)</f>
        <v/>
      </c>
      <c r="J472" s="138" t="str">
        <f>IF(C472="","",'07 Renda Fixa'!J75)</f>
        <v/>
      </c>
      <c r="K472" s="138" t="str">
        <f>IF(C472="","",'07 Renda Fixa'!P75)</f>
        <v/>
      </c>
      <c r="L472" s="135" t="n"/>
      <c r="M472" s="138" t="str">
        <f>IF(C472="","",'07 Renda Fixa'!Q75)</f>
        <v/>
      </c>
      <c r="N472" s="139" t="str">
        <f>IF(C472="","",IF($J$3&gt;0,J472/$J$3,0))</f>
        <v/>
      </c>
      <c r="O472" s="134" t="str">
        <f>IF(C472="","","Manual")</f>
        <v/>
      </c>
      <c r="P472" s="140" t="str">
        <f>IF(C472="","",IF(N(J472)&gt;0,J472+ROW()/1E9,""))</f>
        <v/>
      </c>
      <c r="Q472" s="140" t="str">
        <f>IF(C472="","",IF(N(M472)&gt;0,M472+ROW()/1E9,""))</f>
        <v/>
      </c>
    </row>
    <row r="473">
      <c r="A473" s="141" t="str">
        <f>IF(C473="","","Renda Fixa")</f>
        <v/>
      </c>
      <c r="B473" s="141" t="str">
        <f>IF(C473="","","Brasil")</f>
        <v/>
      </c>
      <c r="C473" s="141" t="str">
        <f>IF('07 Renda Fixa'!A76="","",'07 Renda Fixa'!A76&amp;"")</f>
        <v/>
      </c>
      <c r="D473" s="141" t="str">
        <f>IF(C473="","",'07 Renda Fixa'!B76&amp;"")</f>
        <v/>
      </c>
      <c r="E473" s="141" t="str">
        <f>IF(C473="","","Renda Fixa")</f>
        <v/>
      </c>
      <c r="F473" s="141" t="str">
        <f>IF(C473="","",'07 Renda Fixa'!T76)</f>
        <v/>
      </c>
      <c r="G473" s="142" t="n"/>
      <c r="H473" s="143" t="n"/>
      <c r="I473" s="144" t="str">
        <f>IF(C473="","",'07 Renda Fixa'!H76)</f>
        <v/>
      </c>
      <c r="J473" s="145" t="str">
        <f>IF(C473="","",'07 Renda Fixa'!J76)</f>
        <v/>
      </c>
      <c r="K473" s="145" t="str">
        <f>IF(C473="","",'07 Renda Fixa'!P76)</f>
        <v/>
      </c>
      <c r="L473" s="142" t="n"/>
      <c r="M473" s="145" t="str">
        <f>IF(C473="","",'07 Renda Fixa'!Q76)</f>
        <v/>
      </c>
      <c r="N473" s="146" t="str">
        <f>IF(C473="","",IF($J$3&gt;0,J473/$J$3,0))</f>
        <v/>
      </c>
      <c r="O473" s="141" t="str">
        <f>IF(C473="","","Manual")</f>
        <v/>
      </c>
      <c r="P473" s="147" t="str">
        <f>IF(C473="","",IF(N(J473)&gt;0,J473+ROW()/1E9,""))</f>
        <v/>
      </c>
      <c r="Q473" s="147" t="str">
        <f>IF(C473="","",IF(N(M473)&gt;0,M473+ROW()/1E9,""))</f>
        <v/>
      </c>
    </row>
    <row r="474">
      <c r="A474" s="134" t="str">
        <f>IF(C474="","","Renda Fixa")</f>
        <v/>
      </c>
      <c r="B474" s="134" t="str">
        <f>IF(C474="","","Brasil")</f>
        <v/>
      </c>
      <c r="C474" s="134" t="str">
        <f>IF('07 Renda Fixa'!A77="","",'07 Renda Fixa'!A77&amp;"")</f>
        <v/>
      </c>
      <c r="D474" s="134" t="str">
        <f>IF(C474="","",'07 Renda Fixa'!B77&amp;"")</f>
        <v/>
      </c>
      <c r="E474" s="134" t="str">
        <f>IF(C474="","","Renda Fixa")</f>
        <v/>
      </c>
      <c r="F474" s="134" t="str">
        <f>IF(C474="","",'07 Renda Fixa'!T77)</f>
        <v/>
      </c>
      <c r="G474" s="135" t="n"/>
      <c r="H474" s="136" t="n"/>
      <c r="I474" s="137" t="str">
        <f>IF(C474="","",'07 Renda Fixa'!H77)</f>
        <v/>
      </c>
      <c r="J474" s="138" t="str">
        <f>IF(C474="","",'07 Renda Fixa'!J77)</f>
        <v/>
      </c>
      <c r="K474" s="138" t="str">
        <f>IF(C474="","",'07 Renda Fixa'!P77)</f>
        <v/>
      </c>
      <c r="L474" s="135" t="n"/>
      <c r="M474" s="138" t="str">
        <f>IF(C474="","",'07 Renda Fixa'!Q77)</f>
        <v/>
      </c>
      <c r="N474" s="139" t="str">
        <f>IF(C474="","",IF($J$3&gt;0,J474/$J$3,0))</f>
        <v/>
      </c>
      <c r="O474" s="134" t="str">
        <f>IF(C474="","","Manual")</f>
        <v/>
      </c>
      <c r="P474" s="140" t="str">
        <f>IF(C474="","",IF(N(J474)&gt;0,J474+ROW()/1E9,""))</f>
        <v/>
      </c>
      <c r="Q474" s="140" t="str">
        <f>IF(C474="","",IF(N(M474)&gt;0,M474+ROW()/1E9,""))</f>
        <v/>
      </c>
    </row>
    <row r="475">
      <c r="A475" s="141" t="str">
        <f>IF(C475="","","Renda Fixa")</f>
        <v/>
      </c>
      <c r="B475" s="141" t="str">
        <f>IF(C475="","","Brasil")</f>
        <v/>
      </c>
      <c r="C475" s="141" t="str">
        <f>IF('07 Renda Fixa'!A78="","",'07 Renda Fixa'!A78&amp;"")</f>
        <v/>
      </c>
      <c r="D475" s="141" t="str">
        <f>IF(C475="","",'07 Renda Fixa'!B78&amp;"")</f>
        <v/>
      </c>
      <c r="E475" s="141" t="str">
        <f>IF(C475="","","Renda Fixa")</f>
        <v/>
      </c>
      <c r="F475" s="141" t="str">
        <f>IF(C475="","",'07 Renda Fixa'!T78)</f>
        <v/>
      </c>
      <c r="G475" s="142" t="n"/>
      <c r="H475" s="143" t="n"/>
      <c r="I475" s="144" t="str">
        <f>IF(C475="","",'07 Renda Fixa'!H78)</f>
        <v/>
      </c>
      <c r="J475" s="145" t="str">
        <f>IF(C475="","",'07 Renda Fixa'!J78)</f>
        <v/>
      </c>
      <c r="K475" s="145" t="str">
        <f>IF(C475="","",'07 Renda Fixa'!P78)</f>
        <v/>
      </c>
      <c r="L475" s="142" t="n"/>
      <c r="M475" s="145" t="str">
        <f>IF(C475="","",'07 Renda Fixa'!Q78)</f>
        <v/>
      </c>
      <c r="N475" s="146" t="str">
        <f>IF(C475="","",IF($J$3&gt;0,J475/$J$3,0))</f>
        <v/>
      </c>
      <c r="O475" s="141" t="str">
        <f>IF(C475="","","Manual")</f>
        <v/>
      </c>
      <c r="P475" s="147" t="str">
        <f>IF(C475="","",IF(N(J475)&gt;0,J475+ROW()/1E9,""))</f>
        <v/>
      </c>
      <c r="Q475" s="147" t="str">
        <f>IF(C475="","",IF(N(M475)&gt;0,M475+ROW()/1E9,""))</f>
        <v/>
      </c>
    </row>
    <row r="476">
      <c r="A476" s="134" t="str">
        <f>IF(C476="","","Renda Fixa")</f>
        <v/>
      </c>
      <c r="B476" s="134" t="str">
        <f>IF(C476="","","Brasil")</f>
        <v/>
      </c>
      <c r="C476" s="134" t="str">
        <f>IF('07 Renda Fixa'!A79="","",'07 Renda Fixa'!A79&amp;"")</f>
        <v/>
      </c>
      <c r="D476" s="134" t="str">
        <f>IF(C476="","",'07 Renda Fixa'!B79&amp;"")</f>
        <v/>
      </c>
      <c r="E476" s="134" t="str">
        <f>IF(C476="","","Renda Fixa")</f>
        <v/>
      </c>
      <c r="F476" s="134" t="str">
        <f>IF(C476="","",'07 Renda Fixa'!T79)</f>
        <v/>
      </c>
      <c r="G476" s="135" t="n"/>
      <c r="H476" s="136" t="n"/>
      <c r="I476" s="137" t="str">
        <f>IF(C476="","",'07 Renda Fixa'!H79)</f>
        <v/>
      </c>
      <c r="J476" s="138" t="str">
        <f>IF(C476="","",'07 Renda Fixa'!J79)</f>
        <v/>
      </c>
      <c r="K476" s="138" t="str">
        <f>IF(C476="","",'07 Renda Fixa'!P79)</f>
        <v/>
      </c>
      <c r="L476" s="135" t="n"/>
      <c r="M476" s="138" t="str">
        <f>IF(C476="","",'07 Renda Fixa'!Q79)</f>
        <v/>
      </c>
      <c r="N476" s="139" t="str">
        <f>IF(C476="","",IF($J$3&gt;0,J476/$J$3,0))</f>
        <v/>
      </c>
      <c r="O476" s="134" t="str">
        <f>IF(C476="","","Manual")</f>
        <v/>
      </c>
      <c r="P476" s="140" t="str">
        <f>IF(C476="","",IF(N(J476)&gt;0,J476+ROW()/1E9,""))</f>
        <v/>
      </c>
      <c r="Q476" s="140" t="str">
        <f>IF(C476="","",IF(N(M476)&gt;0,M476+ROW()/1E9,""))</f>
        <v/>
      </c>
    </row>
    <row r="477">
      <c r="A477" s="141" t="str">
        <f>IF(C477="","","Renda Fixa")</f>
        <v/>
      </c>
      <c r="B477" s="141" t="str">
        <f>IF(C477="","","Brasil")</f>
        <v/>
      </c>
      <c r="C477" s="141" t="str">
        <f>IF('07 Renda Fixa'!A80="","",'07 Renda Fixa'!A80&amp;"")</f>
        <v/>
      </c>
      <c r="D477" s="141" t="str">
        <f>IF(C477="","",'07 Renda Fixa'!B80&amp;"")</f>
        <v/>
      </c>
      <c r="E477" s="141" t="str">
        <f>IF(C477="","","Renda Fixa")</f>
        <v/>
      </c>
      <c r="F477" s="141" t="str">
        <f>IF(C477="","",'07 Renda Fixa'!T80)</f>
        <v/>
      </c>
      <c r="G477" s="142" t="n"/>
      <c r="H477" s="143" t="n"/>
      <c r="I477" s="144" t="str">
        <f>IF(C477="","",'07 Renda Fixa'!H80)</f>
        <v/>
      </c>
      <c r="J477" s="145" t="str">
        <f>IF(C477="","",'07 Renda Fixa'!J80)</f>
        <v/>
      </c>
      <c r="K477" s="145" t="str">
        <f>IF(C477="","",'07 Renda Fixa'!P80)</f>
        <v/>
      </c>
      <c r="L477" s="142" t="n"/>
      <c r="M477" s="145" t="str">
        <f>IF(C477="","",'07 Renda Fixa'!Q80)</f>
        <v/>
      </c>
      <c r="N477" s="146" t="str">
        <f>IF(C477="","",IF($J$3&gt;0,J477/$J$3,0))</f>
        <v/>
      </c>
      <c r="O477" s="141" t="str">
        <f>IF(C477="","","Manual")</f>
        <v/>
      </c>
      <c r="P477" s="147" t="str">
        <f>IF(C477="","",IF(N(J477)&gt;0,J477+ROW()/1E9,""))</f>
        <v/>
      </c>
      <c r="Q477" s="147" t="str">
        <f>IF(C477="","",IF(N(M477)&gt;0,M477+ROW()/1E9,""))</f>
        <v/>
      </c>
    </row>
    <row r="478">
      <c r="A478" s="134" t="str">
        <f>IF(C478="","","Renda Fixa")</f>
        <v/>
      </c>
      <c r="B478" s="134" t="str">
        <f>IF(C478="","","Brasil")</f>
        <v/>
      </c>
      <c r="C478" s="134" t="str">
        <f>IF('07 Renda Fixa'!A81="","",'07 Renda Fixa'!A81&amp;"")</f>
        <v/>
      </c>
      <c r="D478" s="134" t="str">
        <f>IF(C478="","",'07 Renda Fixa'!B81&amp;"")</f>
        <v/>
      </c>
      <c r="E478" s="134" t="str">
        <f>IF(C478="","","Renda Fixa")</f>
        <v/>
      </c>
      <c r="F478" s="134" t="str">
        <f>IF(C478="","",'07 Renda Fixa'!T81)</f>
        <v/>
      </c>
      <c r="G478" s="135" t="n"/>
      <c r="H478" s="136" t="n"/>
      <c r="I478" s="137" t="str">
        <f>IF(C478="","",'07 Renda Fixa'!H81)</f>
        <v/>
      </c>
      <c r="J478" s="138" t="str">
        <f>IF(C478="","",'07 Renda Fixa'!J81)</f>
        <v/>
      </c>
      <c r="K478" s="138" t="str">
        <f>IF(C478="","",'07 Renda Fixa'!P81)</f>
        <v/>
      </c>
      <c r="L478" s="135" t="n"/>
      <c r="M478" s="138" t="str">
        <f>IF(C478="","",'07 Renda Fixa'!Q81)</f>
        <v/>
      </c>
      <c r="N478" s="139" t="str">
        <f>IF(C478="","",IF($J$3&gt;0,J478/$J$3,0))</f>
        <v/>
      </c>
      <c r="O478" s="134" t="str">
        <f>IF(C478="","","Manual")</f>
        <v/>
      </c>
      <c r="P478" s="140" t="str">
        <f>IF(C478="","",IF(N(J478)&gt;0,J478+ROW()/1E9,""))</f>
        <v/>
      </c>
      <c r="Q478" s="140" t="str">
        <f>IF(C478="","",IF(N(M478)&gt;0,M478+ROW()/1E9,""))</f>
        <v/>
      </c>
    </row>
    <row r="479">
      <c r="A479" s="141" t="str">
        <f>IF(C479="","","Renda Fixa")</f>
        <v/>
      </c>
      <c r="B479" s="141" t="str">
        <f>IF(C479="","","Brasil")</f>
        <v/>
      </c>
      <c r="C479" s="141" t="str">
        <f>IF('07 Renda Fixa'!A82="","",'07 Renda Fixa'!A82&amp;"")</f>
        <v/>
      </c>
      <c r="D479" s="141" t="str">
        <f>IF(C479="","",'07 Renda Fixa'!B82&amp;"")</f>
        <v/>
      </c>
      <c r="E479" s="141" t="str">
        <f>IF(C479="","","Renda Fixa")</f>
        <v/>
      </c>
      <c r="F479" s="141" t="str">
        <f>IF(C479="","",'07 Renda Fixa'!T82)</f>
        <v/>
      </c>
      <c r="G479" s="142" t="n"/>
      <c r="H479" s="143" t="n"/>
      <c r="I479" s="144" t="str">
        <f>IF(C479="","",'07 Renda Fixa'!H82)</f>
        <v/>
      </c>
      <c r="J479" s="145" t="str">
        <f>IF(C479="","",'07 Renda Fixa'!J82)</f>
        <v/>
      </c>
      <c r="K479" s="145" t="str">
        <f>IF(C479="","",'07 Renda Fixa'!P82)</f>
        <v/>
      </c>
      <c r="L479" s="142" t="n"/>
      <c r="M479" s="145" t="str">
        <f>IF(C479="","",'07 Renda Fixa'!Q82)</f>
        <v/>
      </c>
      <c r="N479" s="146" t="str">
        <f>IF(C479="","",IF($J$3&gt;0,J479/$J$3,0))</f>
        <v/>
      </c>
      <c r="O479" s="141" t="str">
        <f>IF(C479="","","Manual")</f>
        <v/>
      </c>
      <c r="P479" s="147" t="str">
        <f>IF(C479="","",IF(N(J479)&gt;0,J479+ROW()/1E9,""))</f>
        <v/>
      </c>
      <c r="Q479" s="147" t="str">
        <f>IF(C479="","",IF(N(M479)&gt;0,M479+ROW()/1E9,""))</f>
        <v/>
      </c>
    </row>
    <row r="480">
      <c r="A480" s="134" t="str">
        <f>IF(C480="","","Renda Fixa")</f>
        <v/>
      </c>
      <c r="B480" s="134" t="str">
        <f>IF(C480="","","Brasil")</f>
        <v/>
      </c>
      <c r="C480" s="134" t="str">
        <f>IF('07 Renda Fixa'!A83="","",'07 Renda Fixa'!A83&amp;"")</f>
        <v/>
      </c>
      <c r="D480" s="134" t="str">
        <f>IF(C480="","",'07 Renda Fixa'!B83&amp;"")</f>
        <v/>
      </c>
      <c r="E480" s="134" t="str">
        <f>IF(C480="","","Renda Fixa")</f>
        <v/>
      </c>
      <c r="F480" s="134" t="str">
        <f>IF(C480="","",'07 Renda Fixa'!T83)</f>
        <v/>
      </c>
      <c r="G480" s="135" t="n"/>
      <c r="H480" s="136" t="n"/>
      <c r="I480" s="137" t="str">
        <f>IF(C480="","",'07 Renda Fixa'!H83)</f>
        <v/>
      </c>
      <c r="J480" s="138" t="str">
        <f>IF(C480="","",'07 Renda Fixa'!J83)</f>
        <v/>
      </c>
      <c r="K480" s="138" t="str">
        <f>IF(C480="","",'07 Renda Fixa'!P83)</f>
        <v/>
      </c>
      <c r="L480" s="135" t="n"/>
      <c r="M480" s="138" t="str">
        <f>IF(C480="","",'07 Renda Fixa'!Q83)</f>
        <v/>
      </c>
      <c r="N480" s="139" t="str">
        <f>IF(C480="","",IF($J$3&gt;0,J480/$J$3,0))</f>
        <v/>
      </c>
      <c r="O480" s="134" t="str">
        <f>IF(C480="","","Manual")</f>
        <v/>
      </c>
      <c r="P480" s="140" t="str">
        <f>IF(C480="","",IF(N(J480)&gt;0,J480+ROW()/1E9,""))</f>
        <v/>
      </c>
      <c r="Q480" s="140" t="str">
        <f>IF(C480="","",IF(N(M480)&gt;0,M480+ROW()/1E9,""))</f>
        <v/>
      </c>
    </row>
    <row r="481">
      <c r="A481" s="141" t="str">
        <f>IF(C481="","","Renda Fixa")</f>
        <v/>
      </c>
      <c r="B481" s="141" t="str">
        <f>IF(C481="","","Brasil")</f>
        <v/>
      </c>
      <c r="C481" s="141" t="str">
        <f>IF('07 Renda Fixa'!A84="","",'07 Renda Fixa'!A84&amp;"")</f>
        <v/>
      </c>
      <c r="D481" s="141" t="str">
        <f>IF(C481="","",'07 Renda Fixa'!B84&amp;"")</f>
        <v/>
      </c>
      <c r="E481" s="141" t="str">
        <f>IF(C481="","","Renda Fixa")</f>
        <v/>
      </c>
      <c r="F481" s="141" t="str">
        <f>IF(C481="","",'07 Renda Fixa'!T84)</f>
        <v/>
      </c>
      <c r="G481" s="142" t="n"/>
      <c r="H481" s="143" t="n"/>
      <c r="I481" s="144" t="str">
        <f>IF(C481="","",'07 Renda Fixa'!H84)</f>
        <v/>
      </c>
      <c r="J481" s="145" t="str">
        <f>IF(C481="","",'07 Renda Fixa'!J84)</f>
        <v/>
      </c>
      <c r="K481" s="145" t="str">
        <f>IF(C481="","",'07 Renda Fixa'!P84)</f>
        <v/>
      </c>
      <c r="L481" s="142" t="n"/>
      <c r="M481" s="145" t="str">
        <f>IF(C481="","",'07 Renda Fixa'!Q84)</f>
        <v/>
      </c>
      <c r="N481" s="146" t="str">
        <f>IF(C481="","",IF($J$3&gt;0,J481/$J$3,0))</f>
        <v/>
      </c>
      <c r="O481" s="141" t="str">
        <f>IF(C481="","","Manual")</f>
        <v/>
      </c>
      <c r="P481" s="147" t="str">
        <f>IF(C481="","",IF(N(J481)&gt;0,J481+ROW()/1E9,""))</f>
        <v/>
      </c>
      <c r="Q481" s="147" t="str">
        <f>IF(C481="","",IF(N(M481)&gt;0,M481+ROW()/1E9,""))</f>
        <v/>
      </c>
    </row>
    <row r="482">
      <c r="A482" s="134" t="str">
        <f>IF(C482="","","Renda Fixa")</f>
        <v/>
      </c>
      <c r="B482" s="134" t="str">
        <f>IF(C482="","","Brasil")</f>
        <v/>
      </c>
      <c r="C482" s="134" t="str">
        <f>IF('07 Renda Fixa'!A85="","",'07 Renda Fixa'!A85&amp;"")</f>
        <v/>
      </c>
      <c r="D482" s="134" t="str">
        <f>IF(C482="","",'07 Renda Fixa'!B85&amp;"")</f>
        <v/>
      </c>
      <c r="E482" s="134" t="str">
        <f>IF(C482="","","Renda Fixa")</f>
        <v/>
      </c>
      <c r="F482" s="134" t="str">
        <f>IF(C482="","",'07 Renda Fixa'!T85)</f>
        <v/>
      </c>
      <c r="G482" s="135" t="n"/>
      <c r="H482" s="136" t="n"/>
      <c r="I482" s="137" t="str">
        <f>IF(C482="","",'07 Renda Fixa'!H85)</f>
        <v/>
      </c>
      <c r="J482" s="138" t="str">
        <f>IF(C482="","",'07 Renda Fixa'!J85)</f>
        <v/>
      </c>
      <c r="K482" s="138" t="str">
        <f>IF(C482="","",'07 Renda Fixa'!P85)</f>
        <v/>
      </c>
      <c r="L482" s="135" t="n"/>
      <c r="M482" s="138" t="str">
        <f>IF(C482="","",'07 Renda Fixa'!Q85)</f>
        <v/>
      </c>
      <c r="N482" s="139" t="str">
        <f>IF(C482="","",IF($J$3&gt;0,J482/$J$3,0))</f>
        <v/>
      </c>
      <c r="O482" s="134" t="str">
        <f>IF(C482="","","Manual")</f>
        <v/>
      </c>
      <c r="P482" s="140" t="str">
        <f>IF(C482="","",IF(N(J482)&gt;0,J482+ROW()/1E9,""))</f>
        <v/>
      </c>
      <c r="Q482" s="140" t="str">
        <f>IF(C482="","",IF(N(M482)&gt;0,M482+ROW()/1E9,""))</f>
        <v/>
      </c>
    </row>
    <row r="483">
      <c r="A483" s="141" t="str">
        <f>IF(C483="","","Renda Fixa")</f>
        <v/>
      </c>
      <c r="B483" s="141" t="str">
        <f>IF(C483="","","Brasil")</f>
        <v/>
      </c>
      <c r="C483" s="141" t="str">
        <f>IF('07 Renda Fixa'!A86="","",'07 Renda Fixa'!A86&amp;"")</f>
        <v/>
      </c>
      <c r="D483" s="141" t="str">
        <f>IF(C483="","",'07 Renda Fixa'!B86&amp;"")</f>
        <v/>
      </c>
      <c r="E483" s="141" t="str">
        <f>IF(C483="","","Renda Fixa")</f>
        <v/>
      </c>
      <c r="F483" s="141" t="str">
        <f>IF(C483="","",'07 Renda Fixa'!T86)</f>
        <v/>
      </c>
      <c r="G483" s="142" t="n"/>
      <c r="H483" s="143" t="n"/>
      <c r="I483" s="144" t="str">
        <f>IF(C483="","",'07 Renda Fixa'!H86)</f>
        <v/>
      </c>
      <c r="J483" s="145" t="str">
        <f>IF(C483="","",'07 Renda Fixa'!J86)</f>
        <v/>
      </c>
      <c r="K483" s="145" t="str">
        <f>IF(C483="","",'07 Renda Fixa'!P86)</f>
        <v/>
      </c>
      <c r="L483" s="142" t="n"/>
      <c r="M483" s="145" t="str">
        <f>IF(C483="","",'07 Renda Fixa'!Q86)</f>
        <v/>
      </c>
      <c r="N483" s="146" t="str">
        <f>IF(C483="","",IF($J$3&gt;0,J483/$J$3,0))</f>
        <v/>
      </c>
      <c r="O483" s="141" t="str">
        <f>IF(C483="","","Manual")</f>
        <v/>
      </c>
      <c r="P483" s="147" t="str">
        <f>IF(C483="","",IF(N(J483)&gt;0,J483+ROW()/1E9,""))</f>
        <v/>
      </c>
      <c r="Q483" s="147" t="str">
        <f>IF(C483="","",IF(N(M483)&gt;0,M483+ROW()/1E9,""))</f>
        <v/>
      </c>
    </row>
    <row r="484">
      <c r="A484" s="134" t="str">
        <f>IF(C484="","","Renda Fixa")</f>
        <v/>
      </c>
      <c r="B484" s="134" t="str">
        <f>IF(C484="","","Brasil")</f>
        <v/>
      </c>
      <c r="C484" s="134" t="str">
        <f>IF('07 Renda Fixa'!A87="","",'07 Renda Fixa'!A87&amp;"")</f>
        <v/>
      </c>
      <c r="D484" s="134" t="str">
        <f>IF(C484="","",'07 Renda Fixa'!B87&amp;"")</f>
        <v/>
      </c>
      <c r="E484" s="134" t="str">
        <f>IF(C484="","","Renda Fixa")</f>
        <v/>
      </c>
      <c r="F484" s="134" t="str">
        <f>IF(C484="","",'07 Renda Fixa'!T87)</f>
        <v/>
      </c>
      <c r="G484" s="135" t="n"/>
      <c r="H484" s="136" t="n"/>
      <c r="I484" s="137" t="str">
        <f>IF(C484="","",'07 Renda Fixa'!H87)</f>
        <v/>
      </c>
      <c r="J484" s="138" t="str">
        <f>IF(C484="","",'07 Renda Fixa'!J87)</f>
        <v/>
      </c>
      <c r="K484" s="138" t="str">
        <f>IF(C484="","",'07 Renda Fixa'!P87)</f>
        <v/>
      </c>
      <c r="L484" s="135" t="n"/>
      <c r="M484" s="138" t="str">
        <f>IF(C484="","",'07 Renda Fixa'!Q87)</f>
        <v/>
      </c>
      <c r="N484" s="139" t="str">
        <f>IF(C484="","",IF($J$3&gt;0,J484/$J$3,0))</f>
        <v/>
      </c>
      <c r="O484" s="134" t="str">
        <f>IF(C484="","","Manual")</f>
        <v/>
      </c>
      <c r="P484" s="140" t="str">
        <f>IF(C484="","",IF(N(J484)&gt;0,J484+ROW()/1E9,""))</f>
        <v/>
      </c>
      <c r="Q484" s="140" t="str">
        <f>IF(C484="","",IF(N(M484)&gt;0,M484+ROW()/1E9,""))</f>
        <v/>
      </c>
    </row>
    <row r="485">
      <c r="A485" s="141" t="str">
        <f>IF(C485="","","Renda Fixa")</f>
        <v/>
      </c>
      <c r="B485" s="141" t="str">
        <f>IF(C485="","","Brasil")</f>
        <v/>
      </c>
      <c r="C485" s="141" t="str">
        <f>IF('07 Renda Fixa'!A88="","",'07 Renda Fixa'!A88&amp;"")</f>
        <v/>
      </c>
      <c r="D485" s="141" t="str">
        <f>IF(C485="","",'07 Renda Fixa'!B88&amp;"")</f>
        <v/>
      </c>
      <c r="E485" s="141" t="str">
        <f>IF(C485="","","Renda Fixa")</f>
        <v/>
      </c>
      <c r="F485" s="141" t="str">
        <f>IF(C485="","",'07 Renda Fixa'!T88)</f>
        <v/>
      </c>
      <c r="G485" s="142" t="n"/>
      <c r="H485" s="143" t="n"/>
      <c r="I485" s="144" t="str">
        <f>IF(C485="","",'07 Renda Fixa'!H88)</f>
        <v/>
      </c>
      <c r="J485" s="145" t="str">
        <f>IF(C485="","",'07 Renda Fixa'!J88)</f>
        <v/>
      </c>
      <c r="K485" s="145" t="str">
        <f>IF(C485="","",'07 Renda Fixa'!P88)</f>
        <v/>
      </c>
      <c r="L485" s="142" t="n"/>
      <c r="M485" s="145" t="str">
        <f>IF(C485="","",'07 Renda Fixa'!Q88)</f>
        <v/>
      </c>
      <c r="N485" s="146" t="str">
        <f>IF(C485="","",IF($J$3&gt;0,J485/$J$3,0))</f>
        <v/>
      </c>
      <c r="O485" s="141" t="str">
        <f>IF(C485="","","Manual")</f>
        <v/>
      </c>
      <c r="P485" s="147" t="str">
        <f>IF(C485="","",IF(N(J485)&gt;0,J485+ROW()/1E9,""))</f>
        <v/>
      </c>
      <c r="Q485" s="147" t="str">
        <f>IF(C485="","",IF(N(M485)&gt;0,M485+ROW()/1E9,""))</f>
        <v/>
      </c>
    </row>
    <row r="486">
      <c r="A486" s="134" t="str">
        <f>IF(C486="","","Renda Fixa")</f>
        <v/>
      </c>
      <c r="B486" s="134" t="str">
        <f>IF(C486="","","Brasil")</f>
        <v/>
      </c>
      <c r="C486" s="134" t="str">
        <f>IF('07 Renda Fixa'!A89="","",'07 Renda Fixa'!A89&amp;"")</f>
        <v/>
      </c>
      <c r="D486" s="134" t="str">
        <f>IF(C486="","",'07 Renda Fixa'!B89&amp;"")</f>
        <v/>
      </c>
      <c r="E486" s="134" t="str">
        <f>IF(C486="","","Renda Fixa")</f>
        <v/>
      </c>
      <c r="F486" s="134" t="str">
        <f>IF(C486="","",'07 Renda Fixa'!T89)</f>
        <v/>
      </c>
      <c r="G486" s="135" t="n"/>
      <c r="H486" s="136" t="n"/>
      <c r="I486" s="137" t="str">
        <f>IF(C486="","",'07 Renda Fixa'!H89)</f>
        <v/>
      </c>
      <c r="J486" s="138" t="str">
        <f>IF(C486="","",'07 Renda Fixa'!J89)</f>
        <v/>
      </c>
      <c r="K486" s="138" t="str">
        <f>IF(C486="","",'07 Renda Fixa'!P89)</f>
        <v/>
      </c>
      <c r="L486" s="135" t="n"/>
      <c r="M486" s="138" t="str">
        <f>IF(C486="","",'07 Renda Fixa'!Q89)</f>
        <v/>
      </c>
      <c r="N486" s="139" t="str">
        <f>IF(C486="","",IF($J$3&gt;0,J486/$J$3,0))</f>
        <v/>
      </c>
      <c r="O486" s="134" t="str">
        <f>IF(C486="","","Manual")</f>
        <v/>
      </c>
      <c r="P486" s="140" t="str">
        <f>IF(C486="","",IF(N(J486)&gt;0,J486+ROW()/1E9,""))</f>
        <v/>
      </c>
      <c r="Q486" s="140" t="str">
        <f>IF(C486="","",IF(N(M486)&gt;0,M486+ROW()/1E9,""))</f>
        <v/>
      </c>
    </row>
    <row r="487">
      <c r="A487" s="141" t="str">
        <f>IF(C487="","","Renda Fixa")</f>
        <v/>
      </c>
      <c r="B487" s="141" t="str">
        <f>IF(C487="","","Brasil")</f>
        <v/>
      </c>
      <c r="C487" s="141" t="str">
        <f>IF('07 Renda Fixa'!A90="","",'07 Renda Fixa'!A90&amp;"")</f>
        <v/>
      </c>
      <c r="D487" s="141" t="str">
        <f>IF(C487="","",'07 Renda Fixa'!B90&amp;"")</f>
        <v/>
      </c>
      <c r="E487" s="141" t="str">
        <f>IF(C487="","","Renda Fixa")</f>
        <v/>
      </c>
      <c r="F487" s="141" t="str">
        <f>IF(C487="","",'07 Renda Fixa'!T90)</f>
        <v/>
      </c>
      <c r="G487" s="142" t="n"/>
      <c r="H487" s="143" t="n"/>
      <c r="I487" s="144" t="str">
        <f>IF(C487="","",'07 Renda Fixa'!H90)</f>
        <v/>
      </c>
      <c r="J487" s="145" t="str">
        <f>IF(C487="","",'07 Renda Fixa'!J90)</f>
        <v/>
      </c>
      <c r="K487" s="145" t="str">
        <f>IF(C487="","",'07 Renda Fixa'!P90)</f>
        <v/>
      </c>
      <c r="L487" s="142" t="n"/>
      <c r="M487" s="145" t="str">
        <f>IF(C487="","",'07 Renda Fixa'!Q90)</f>
        <v/>
      </c>
      <c r="N487" s="146" t="str">
        <f>IF(C487="","",IF($J$3&gt;0,J487/$J$3,0))</f>
        <v/>
      </c>
      <c r="O487" s="141" t="str">
        <f>IF(C487="","","Manual")</f>
        <v/>
      </c>
      <c r="P487" s="147" t="str">
        <f>IF(C487="","",IF(N(J487)&gt;0,J487+ROW()/1E9,""))</f>
        <v/>
      </c>
      <c r="Q487" s="147" t="str">
        <f>IF(C487="","",IF(N(M487)&gt;0,M487+ROW()/1E9,""))</f>
        <v/>
      </c>
    </row>
    <row r="488">
      <c r="A488" s="134" t="str">
        <f>IF(C488="","","Renda Fixa")</f>
        <v/>
      </c>
      <c r="B488" s="134" t="str">
        <f>IF(C488="","","Brasil")</f>
        <v/>
      </c>
      <c r="C488" s="134" t="str">
        <f>IF('07 Renda Fixa'!A91="","",'07 Renda Fixa'!A91&amp;"")</f>
        <v/>
      </c>
      <c r="D488" s="134" t="str">
        <f>IF(C488="","",'07 Renda Fixa'!B91&amp;"")</f>
        <v/>
      </c>
      <c r="E488" s="134" t="str">
        <f>IF(C488="","","Renda Fixa")</f>
        <v/>
      </c>
      <c r="F488" s="134" t="str">
        <f>IF(C488="","",'07 Renda Fixa'!T91)</f>
        <v/>
      </c>
      <c r="G488" s="135" t="n"/>
      <c r="H488" s="136" t="n"/>
      <c r="I488" s="137" t="str">
        <f>IF(C488="","",'07 Renda Fixa'!H91)</f>
        <v/>
      </c>
      <c r="J488" s="138" t="str">
        <f>IF(C488="","",'07 Renda Fixa'!J91)</f>
        <v/>
      </c>
      <c r="K488" s="138" t="str">
        <f>IF(C488="","",'07 Renda Fixa'!P91)</f>
        <v/>
      </c>
      <c r="L488" s="135" t="n"/>
      <c r="M488" s="138" t="str">
        <f>IF(C488="","",'07 Renda Fixa'!Q91)</f>
        <v/>
      </c>
      <c r="N488" s="139" t="str">
        <f>IF(C488="","",IF($J$3&gt;0,J488/$J$3,0))</f>
        <v/>
      </c>
      <c r="O488" s="134" t="str">
        <f>IF(C488="","","Manual")</f>
        <v/>
      </c>
      <c r="P488" s="140" t="str">
        <f>IF(C488="","",IF(N(J488)&gt;0,J488+ROW()/1E9,""))</f>
        <v/>
      </c>
      <c r="Q488" s="140" t="str">
        <f>IF(C488="","",IF(N(M488)&gt;0,M488+ROW()/1E9,""))</f>
        <v/>
      </c>
    </row>
    <row r="489">
      <c r="A489" s="141" t="str">
        <f>IF(C489="","","Renda Fixa")</f>
        <v/>
      </c>
      <c r="B489" s="141" t="str">
        <f>IF(C489="","","Brasil")</f>
        <v/>
      </c>
      <c r="C489" s="141" t="str">
        <f>IF('07 Renda Fixa'!A92="","",'07 Renda Fixa'!A92&amp;"")</f>
        <v/>
      </c>
      <c r="D489" s="141" t="str">
        <f>IF(C489="","",'07 Renda Fixa'!B92&amp;"")</f>
        <v/>
      </c>
      <c r="E489" s="141" t="str">
        <f>IF(C489="","","Renda Fixa")</f>
        <v/>
      </c>
      <c r="F489" s="141" t="str">
        <f>IF(C489="","",'07 Renda Fixa'!T92)</f>
        <v/>
      </c>
      <c r="G489" s="142" t="n"/>
      <c r="H489" s="143" t="n"/>
      <c r="I489" s="144" t="str">
        <f>IF(C489="","",'07 Renda Fixa'!H92)</f>
        <v/>
      </c>
      <c r="J489" s="145" t="str">
        <f>IF(C489="","",'07 Renda Fixa'!J92)</f>
        <v/>
      </c>
      <c r="K489" s="145" t="str">
        <f>IF(C489="","",'07 Renda Fixa'!P92)</f>
        <v/>
      </c>
      <c r="L489" s="142" t="n"/>
      <c r="M489" s="145" t="str">
        <f>IF(C489="","",'07 Renda Fixa'!Q92)</f>
        <v/>
      </c>
      <c r="N489" s="146" t="str">
        <f>IF(C489="","",IF($J$3&gt;0,J489/$J$3,0))</f>
        <v/>
      </c>
      <c r="O489" s="141" t="str">
        <f>IF(C489="","","Manual")</f>
        <v/>
      </c>
      <c r="P489" s="147" t="str">
        <f>IF(C489="","",IF(N(J489)&gt;0,J489+ROW()/1E9,""))</f>
        <v/>
      </c>
      <c r="Q489" s="147" t="str">
        <f>IF(C489="","",IF(N(M489)&gt;0,M489+ROW()/1E9,""))</f>
        <v/>
      </c>
    </row>
    <row r="490">
      <c r="A490" s="134" t="str">
        <f>IF(C490="","","Renda Fixa")</f>
        <v/>
      </c>
      <c r="B490" s="134" t="str">
        <f>IF(C490="","","Brasil")</f>
        <v/>
      </c>
      <c r="C490" s="134" t="str">
        <f>IF('07 Renda Fixa'!A93="","",'07 Renda Fixa'!A93&amp;"")</f>
        <v/>
      </c>
      <c r="D490" s="134" t="str">
        <f>IF(C490="","",'07 Renda Fixa'!B93&amp;"")</f>
        <v/>
      </c>
      <c r="E490" s="134" t="str">
        <f>IF(C490="","","Renda Fixa")</f>
        <v/>
      </c>
      <c r="F490" s="134" t="str">
        <f>IF(C490="","",'07 Renda Fixa'!T93)</f>
        <v/>
      </c>
      <c r="G490" s="135" t="n"/>
      <c r="H490" s="136" t="n"/>
      <c r="I490" s="137" t="str">
        <f>IF(C490="","",'07 Renda Fixa'!H93)</f>
        <v/>
      </c>
      <c r="J490" s="138" t="str">
        <f>IF(C490="","",'07 Renda Fixa'!J93)</f>
        <v/>
      </c>
      <c r="K490" s="138" t="str">
        <f>IF(C490="","",'07 Renda Fixa'!P93)</f>
        <v/>
      </c>
      <c r="L490" s="135" t="n"/>
      <c r="M490" s="138" t="str">
        <f>IF(C490="","",'07 Renda Fixa'!Q93)</f>
        <v/>
      </c>
      <c r="N490" s="139" t="str">
        <f>IF(C490="","",IF($J$3&gt;0,J490/$J$3,0))</f>
        <v/>
      </c>
      <c r="O490" s="134" t="str">
        <f>IF(C490="","","Manual")</f>
        <v/>
      </c>
      <c r="P490" s="140" t="str">
        <f>IF(C490="","",IF(N(J490)&gt;0,J490+ROW()/1E9,""))</f>
        <v/>
      </c>
      <c r="Q490" s="140" t="str">
        <f>IF(C490="","",IF(N(M490)&gt;0,M490+ROW()/1E9,""))</f>
        <v/>
      </c>
    </row>
    <row r="491">
      <c r="A491" s="141" t="str">
        <f>IF(C491="","","Renda Fixa")</f>
        <v/>
      </c>
      <c r="B491" s="141" t="str">
        <f>IF(C491="","","Brasil")</f>
        <v/>
      </c>
      <c r="C491" s="141" t="str">
        <f>IF('07 Renda Fixa'!A94="","",'07 Renda Fixa'!A94&amp;"")</f>
        <v/>
      </c>
      <c r="D491" s="141" t="str">
        <f>IF(C491="","",'07 Renda Fixa'!B94&amp;"")</f>
        <v/>
      </c>
      <c r="E491" s="141" t="str">
        <f>IF(C491="","","Renda Fixa")</f>
        <v/>
      </c>
      <c r="F491" s="141" t="str">
        <f>IF(C491="","",'07 Renda Fixa'!T94)</f>
        <v/>
      </c>
      <c r="G491" s="142" t="n"/>
      <c r="H491" s="143" t="n"/>
      <c r="I491" s="144" t="str">
        <f>IF(C491="","",'07 Renda Fixa'!H94)</f>
        <v/>
      </c>
      <c r="J491" s="145" t="str">
        <f>IF(C491="","",'07 Renda Fixa'!J94)</f>
        <v/>
      </c>
      <c r="K491" s="145" t="str">
        <f>IF(C491="","",'07 Renda Fixa'!P94)</f>
        <v/>
      </c>
      <c r="L491" s="142" t="n"/>
      <c r="M491" s="145" t="str">
        <f>IF(C491="","",'07 Renda Fixa'!Q94)</f>
        <v/>
      </c>
      <c r="N491" s="146" t="str">
        <f>IF(C491="","",IF($J$3&gt;0,J491/$J$3,0))</f>
        <v/>
      </c>
      <c r="O491" s="141" t="str">
        <f>IF(C491="","","Manual")</f>
        <v/>
      </c>
      <c r="P491" s="147" t="str">
        <f>IF(C491="","",IF(N(J491)&gt;0,J491+ROW()/1E9,""))</f>
        <v/>
      </c>
      <c r="Q491" s="147" t="str">
        <f>IF(C491="","",IF(N(M491)&gt;0,M491+ROW()/1E9,""))</f>
        <v/>
      </c>
    </row>
    <row r="492">
      <c r="A492" s="134" t="str">
        <f>IF(C492="","","Renda Fixa")</f>
        <v/>
      </c>
      <c r="B492" s="134" t="str">
        <f>IF(C492="","","Brasil")</f>
        <v/>
      </c>
      <c r="C492" s="134" t="str">
        <f>IF('07 Renda Fixa'!A95="","",'07 Renda Fixa'!A95&amp;"")</f>
        <v/>
      </c>
      <c r="D492" s="134" t="str">
        <f>IF(C492="","",'07 Renda Fixa'!B95&amp;"")</f>
        <v/>
      </c>
      <c r="E492" s="134" t="str">
        <f>IF(C492="","","Renda Fixa")</f>
        <v/>
      </c>
      <c r="F492" s="134" t="str">
        <f>IF(C492="","",'07 Renda Fixa'!T95)</f>
        <v/>
      </c>
      <c r="G492" s="135" t="n"/>
      <c r="H492" s="136" t="n"/>
      <c r="I492" s="137" t="str">
        <f>IF(C492="","",'07 Renda Fixa'!H95)</f>
        <v/>
      </c>
      <c r="J492" s="138" t="str">
        <f>IF(C492="","",'07 Renda Fixa'!J95)</f>
        <v/>
      </c>
      <c r="K492" s="138" t="str">
        <f>IF(C492="","",'07 Renda Fixa'!P95)</f>
        <v/>
      </c>
      <c r="L492" s="135" t="n"/>
      <c r="M492" s="138" t="str">
        <f>IF(C492="","",'07 Renda Fixa'!Q95)</f>
        <v/>
      </c>
      <c r="N492" s="139" t="str">
        <f>IF(C492="","",IF($J$3&gt;0,J492/$J$3,0))</f>
        <v/>
      </c>
      <c r="O492" s="134" t="str">
        <f>IF(C492="","","Manual")</f>
        <v/>
      </c>
      <c r="P492" s="140" t="str">
        <f>IF(C492="","",IF(N(J492)&gt;0,J492+ROW()/1E9,""))</f>
        <v/>
      </c>
      <c r="Q492" s="140" t="str">
        <f>IF(C492="","",IF(N(M492)&gt;0,M492+ROW()/1E9,""))</f>
        <v/>
      </c>
    </row>
    <row r="493">
      <c r="A493" s="141" t="str">
        <f>IF(C493="","","Renda Fixa")</f>
        <v/>
      </c>
      <c r="B493" s="141" t="str">
        <f>IF(C493="","","Brasil")</f>
        <v/>
      </c>
      <c r="C493" s="141" t="str">
        <f>IF('07 Renda Fixa'!A96="","",'07 Renda Fixa'!A96&amp;"")</f>
        <v/>
      </c>
      <c r="D493" s="141" t="str">
        <f>IF(C493="","",'07 Renda Fixa'!B96&amp;"")</f>
        <v/>
      </c>
      <c r="E493" s="141" t="str">
        <f>IF(C493="","","Renda Fixa")</f>
        <v/>
      </c>
      <c r="F493" s="141" t="str">
        <f>IF(C493="","",'07 Renda Fixa'!T96)</f>
        <v/>
      </c>
      <c r="G493" s="142" t="n"/>
      <c r="H493" s="143" t="n"/>
      <c r="I493" s="144" t="str">
        <f>IF(C493="","",'07 Renda Fixa'!H96)</f>
        <v/>
      </c>
      <c r="J493" s="145" t="str">
        <f>IF(C493="","",'07 Renda Fixa'!J96)</f>
        <v/>
      </c>
      <c r="K493" s="145" t="str">
        <f>IF(C493="","",'07 Renda Fixa'!P96)</f>
        <v/>
      </c>
      <c r="L493" s="142" t="n"/>
      <c r="M493" s="145" t="str">
        <f>IF(C493="","",'07 Renda Fixa'!Q96)</f>
        <v/>
      </c>
      <c r="N493" s="146" t="str">
        <f>IF(C493="","",IF($J$3&gt;0,J493/$J$3,0))</f>
        <v/>
      </c>
      <c r="O493" s="141" t="str">
        <f>IF(C493="","","Manual")</f>
        <v/>
      </c>
      <c r="P493" s="147" t="str">
        <f>IF(C493="","",IF(N(J493)&gt;0,J493+ROW()/1E9,""))</f>
        <v/>
      </c>
      <c r="Q493" s="147" t="str">
        <f>IF(C493="","",IF(N(M493)&gt;0,M493+ROW()/1E9,""))</f>
        <v/>
      </c>
    </row>
    <row r="494">
      <c r="A494" s="134" t="str">
        <f>IF(C494="","","Renda Fixa")</f>
        <v/>
      </c>
      <c r="B494" s="134" t="str">
        <f>IF(C494="","","Brasil")</f>
        <v/>
      </c>
      <c r="C494" s="134" t="str">
        <f>IF('07 Renda Fixa'!A97="","",'07 Renda Fixa'!A97&amp;"")</f>
        <v/>
      </c>
      <c r="D494" s="134" t="str">
        <f>IF(C494="","",'07 Renda Fixa'!B97&amp;"")</f>
        <v/>
      </c>
      <c r="E494" s="134" t="str">
        <f>IF(C494="","","Renda Fixa")</f>
        <v/>
      </c>
      <c r="F494" s="134" t="str">
        <f>IF(C494="","",'07 Renda Fixa'!T97)</f>
        <v/>
      </c>
      <c r="G494" s="135" t="n"/>
      <c r="H494" s="136" t="n"/>
      <c r="I494" s="137" t="str">
        <f>IF(C494="","",'07 Renda Fixa'!H97)</f>
        <v/>
      </c>
      <c r="J494" s="138" t="str">
        <f>IF(C494="","",'07 Renda Fixa'!J97)</f>
        <v/>
      </c>
      <c r="K494" s="138" t="str">
        <f>IF(C494="","",'07 Renda Fixa'!P97)</f>
        <v/>
      </c>
      <c r="L494" s="135" t="n"/>
      <c r="M494" s="138" t="str">
        <f>IF(C494="","",'07 Renda Fixa'!Q97)</f>
        <v/>
      </c>
      <c r="N494" s="139" t="str">
        <f>IF(C494="","",IF($J$3&gt;0,J494/$J$3,0))</f>
        <v/>
      </c>
      <c r="O494" s="134" t="str">
        <f>IF(C494="","","Manual")</f>
        <v/>
      </c>
      <c r="P494" s="140" t="str">
        <f>IF(C494="","",IF(N(J494)&gt;0,J494+ROW()/1E9,""))</f>
        <v/>
      </c>
      <c r="Q494" s="140" t="str">
        <f>IF(C494="","",IF(N(M494)&gt;0,M494+ROW()/1E9,""))</f>
        <v/>
      </c>
    </row>
    <row r="495">
      <c r="A495" s="141" t="str">
        <f>IF(C495="","","Renda Fixa")</f>
        <v/>
      </c>
      <c r="B495" s="141" t="str">
        <f>IF(C495="","","Brasil")</f>
        <v/>
      </c>
      <c r="C495" s="141" t="str">
        <f>IF('07 Renda Fixa'!A98="","",'07 Renda Fixa'!A98&amp;"")</f>
        <v/>
      </c>
      <c r="D495" s="141" t="str">
        <f>IF(C495="","",'07 Renda Fixa'!B98&amp;"")</f>
        <v/>
      </c>
      <c r="E495" s="141" t="str">
        <f>IF(C495="","","Renda Fixa")</f>
        <v/>
      </c>
      <c r="F495" s="141" t="str">
        <f>IF(C495="","",'07 Renda Fixa'!T98)</f>
        <v/>
      </c>
      <c r="G495" s="142" t="n"/>
      <c r="H495" s="143" t="n"/>
      <c r="I495" s="144" t="str">
        <f>IF(C495="","",'07 Renda Fixa'!H98)</f>
        <v/>
      </c>
      <c r="J495" s="145" t="str">
        <f>IF(C495="","",'07 Renda Fixa'!J98)</f>
        <v/>
      </c>
      <c r="K495" s="145" t="str">
        <f>IF(C495="","",'07 Renda Fixa'!P98)</f>
        <v/>
      </c>
      <c r="L495" s="142" t="n"/>
      <c r="M495" s="145" t="str">
        <f>IF(C495="","",'07 Renda Fixa'!Q98)</f>
        <v/>
      </c>
      <c r="N495" s="146" t="str">
        <f>IF(C495="","",IF($J$3&gt;0,J495/$J$3,0))</f>
        <v/>
      </c>
      <c r="O495" s="141" t="str">
        <f>IF(C495="","","Manual")</f>
        <v/>
      </c>
      <c r="P495" s="147" t="str">
        <f>IF(C495="","",IF(N(J495)&gt;0,J495+ROW()/1E9,""))</f>
        <v/>
      </c>
      <c r="Q495" s="147" t="str">
        <f>IF(C495="","",IF(N(M495)&gt;0,M495+ROW()/1E9,""))</f>
        <v/>
      </c>
    </row>
    <row r="496">
      <c r="A496" s="134" t="str">
        <f>IF(C496="","","Renda Fixa")</f>
        <v/>
      </c>
      <c r="B496" s="134" t="str">
        <f>IF(C496="","","Brasil")</f>
        <v/>
      </c>
      <c r="C496" s="134" t="str">
        <f>IF('07 Renda Fixa'!A99="","",'07 Renda Fixa'!A99&amp;"")</f>
        <v/>
      </c>
      <c r="D496" s="134" t="str">
        <f>IF(C496="","",'07 Renda Fixa'!B99&amp;"")</f>
        <v/>
      </c>
      <c r="E496" s="134" t="str">
        <f>IF(C496="","","Renda Fixa")</f>
        <v/>
      </c>
      <c r="F496" s="134" t="str">
        <f>IF(C496="","",'07 Renda Fixa'!T99)</f>
        <v/>
      </c>
      <c r="G496" s="135" t="n"/>
      <c r="H496" s="136" t="n"/>
      <c r="I496" s="137" t="str">
        <f>IF(C496="","",'07 Renda Fixa'!H99)</f>
        <v/>
      </c>
      <c r="J496" s="138" t="str">
        <f>IF(C496="","",'07 Renda Fixa'!J99)</f>
        <v/>
      </c>
      <c r="K496" s="138" t="str">
        <f>IF(C496="","",'07 Renda Fixa'!P99)</f>
        <v/>
      </c>
      <c r="L496" s="135" t="n"/>
      <c r="M496" s="138" t="str">
        <f>IF(C496="","",'07 Renda Fixa'!Q99)</f>
        <v/>
      </c>
      <c r="N496" s="139" t="str">
        <f>IF(C496="","",IF($J$3&gt;0,J496/$J$3,0))</f>
        <v/>
      </c>
      <c r="O496" s="134" t="str">
        <f>IF(C496="","","Manual")</f>
        <v/>
      </c>
      <c r="P496" s="140" t="str">
        <f>IF(C496="","",IF(N(J496)&gt;0,J496+ROW()/1E9,""))</f>
        <v/>
      </c>
      <c r="Q496" s="140" t="str">
        <f>IF(C496="","",IF(N(M496)&gt;0,M496+ROW()/1E9,""))</f>
        <v/>
      </c>
    </row>
    <row r="497">
      <c r="A497" s="141" t="str">
        <f>IF(C497="","","Renda Fixa")</f>
        <v/>
      </c>
      <c r="B497" s="141" t="str">
        <f>IF(C497="","","Brasil")</f>
        <v/>
      </c>
      <c r="C497" s="141" t="str">
        <f>IF('07 Renda Fixa'!A100="","",'07 Renda Fixa'!A100&amp;"")</f>
        <v/>
      </c>
      <c r="D497" s="141" t="str">
        <f>IF(C497="","",'07 Renda Fixa'!B100&amp;"")</f>
        <v/>
      </c>
      <c r="E497" s="141" t="str">
        <f>IF(C497="","","Renda Fixa")</f>
        <v/>
      </c>
      <c r="F497" s="141" t="str">
        <f>IF(C497="","",'07 Renda Fixa'!T100)</f>
        <v/>
      </c>
      <c r="G497" s="142" t="n"/>
      <c r="H497" s="143" t="n"/>
      <c r="I497" s="144" t="str">
        <f>IF(C497="","",'07 Renda Fixa'!H100)</f>
        <v/>
      </c>
      <c r="J497" s="145" t="str">
        <f>IF(C497="","",'07 Renda Fixa'!J100)</f>
        <v/>
      </c>
      <c r="K497" s="145" t="str">
        <f>IF(C497="","",'07 Renda Fixa'!P100)</f>
        <v/>
      </c>
      <c r="L497" s="142" t="n"/>
      <c r="M497" s="145" t="str">
        <f>IF(C497="","",'07 Renda Fixa'!Q100)</f>
        <v/>
      </c>
      <c r="N497" s="146" t="str">
        <f>IF(C497="","",IF($J$3&gt;0,J497/$J$3,0))</f>
        <v/>
      </c>
      <c r="O497" s="141" t="str">
        <f>IF(C497="","","Manual")</f>
        <v/>
      </c>
      <c r="P497" s="147" t="str">
        <f>IF(C497="","",IF(N(J497)&gt;0,J497+ROW()/1E9,""))</f>
        <v/>
      </c>
      <c r="Q497" s="147" t="str">
        <f>IF(C497="","",IF(N(M497)&gt;0,M497+ROW()/1E9,""))</f>
        <v/>
      </c>
    </row>
    <row r="498">
      <c r="A498" s="134" t="str">
        <f>IF(C498="","","Renda Fixa")</f>
        <v/>
      </c>
      <c r="B498" s="134" t="str">
        <f>IF(C498="","","Brasil")</f>
        <v/>
      </c>
      <c r="C498" s="134" t="str">
        <f>IF('07 Renda Fixa'!A101="","",'07 Renda Fixa'!A101&amp;"")</f>
        <v/>
      </c>
      <c r="D498" s="134" t="str">
        <f>IF(C498="","",'07 Renda Fixa'!B101&amp;"")</f>
        <v/>
      </c>
      <c r="E498" s="134" t="str">
        <f>IF(C498="","","Renda Fixa")</f>
        <v/>
      </c>
      <c r="F498" s="134" t="str">
        <f>IF(C498="","",'07 Renda Fixa'!T101)</f>
        <v/>
      </c>
      <c r="G498" s="135" t="n"/>
      <c r="H498" s="136" t="n"/>
      <c r="I498" s="137" t="str">
        <f>IF(C498="","",'07 Renda Fixa'!H101)</f>
        <v/>
      </c>
      <c r="J498" s="138" t="str">
        <f>IF(C498="","",'07 Renda Fixa'!J101)</f>
        <v/>
      </c>
      <c r="K498" s="138" t="str">
        <f>IF(C498="","",'07 Renda Fixa'!P101)</f>
        <v/>
      </c>
      <c r="L498" s="135" t="n"/>
      <c r="M498" s="138" t="str">
        <f>IF(C498="","",'07 Renda Fixa'!Q101)</f>
        <v/>
      </c>
      <c r="N498" s="139" t="str">
        <f>IF(C498="","",IF($J$3&gt;0,J498/$J$3,0))</f>
        <v/>
      </c>
      <c r="O498" s="134" t="str">
        <f>IF(C498="","","Manual")</f>
        <v/>
      </c>
      <c r="P498" s="140" t="str">
        <f>IF(C498="","",IF(N(J498)&gt;0,J498+ROW()/1E9,""))</f>
        <v/>
      </c>
      <c r="Q498" s="140" t="str">
        <f>IF(C498="","",IF(N(M498)&gt;0,M498+ROW()/1E9,""))</f>
        <v/>
      </c>
    </row>
    <row r="499">
      <c r="A499" s="141" t="str">
        <f>IF(C499="","","Renda Fixa")</f>
        <v/>
      </c>
      <c r="B499" s="141" t="str">
        <f>IF(C499="","","Brasil")</f>
        <v/>
      </c>
      <c r="C499" s="141" t="str">
        <f>IF('07 Renda Fixa'!A102="","",'07 Renda Fixa'!A102&amp;"")</f>
        <v/>
      </c>
      <c r="D499" s="141" t="str">
        <f>IF(C499="","",'07 Renda Fixa'!B102&amp;"")</f>
        <v/>
      </c>
      <c r="E499" s="141" t="str">
        <f>IF(C499="","","Renda Fixa")</f>
        <v/>
      </c>
      <c r="F499" s="141" t="str">
        <f>IF(C499="","",'07 Renda Fixa'!T102)</f>
        <v/>
      </c>
      <c r="G499" s="142" t="n"/>
      <c r="H499" s="143" t="n"/>
      <c r="I499" s="144" t="str">
        <f>IF(C499="","",'07 Renda Fixa'!H102)</f>
        <v/>
      </c>
      <c r="J499" s="145" t="str">
        <f>IF(C499="","",'07 Renda Fixa'!J102)</f>
        <v/>
      </c>
      <c r="K499" s="145" t="str">
        <f>IF(C499="","",'07 Renda Fixa'!P102)</f>
        <v/>
      </c>
      <c r="L499" s="142" t="n"/>
      <c r="M499" s="145" t="str">
        <f>IF(C499="","",'07 Renda Fixa'!Q102)</f>
        <v/>
      </c>
      <c r="N499" s="146" t="str">
        <f>IF(C499="","",IF($J$3&gt;0,J499/$J$3,0))</f>
        <v/>
      </c>
      <c r="O499" s="141" t="str">
        <f>IF(C499="","","Manual")</f>
        <v/>
      </c>
      <c r="P499" s="147" t="str">
        <f>IF(C499="","",IF(N(J499)&gt;0,J499+ROW()/1E9,""))</f>
        <v/>
      </c>
      <c r="Q499" s="147" t="str">
        <f>IF(C499="","",IF(N(M499)&gt;0,M499+ROW()/1E9,""))</f>
        <v/>
      </c>
    </row>
    <row r="500">
      <c r="A500" s="134" t="str">
        <f>IF(C500="","","Renda Fixa")</f>
        <v/>
      </c>
      <c r="B500" s="134" t="str">
        <f>IF(C500="","","Brasil")</f>
        <v/>
      </c>
      <c r="C500" s="134" t="str">
        <f>IF('07 Renda Fixa'!A103="","",'07 Renda Fixa'!A103&amp;"")</f>
        <v/>
      </c>
      <c r="D500" s="134" t="str">
        <f>IF(C500="","",'07 Renda Fixa'!B103&amp;"")</f>
        <v/>
      </c>
      <c r="E500" s="134" t="str">
        <f>IF(C500="","","Renda Fixa")</f>
        <v/>
      </c>
      <c r="F500" s="134" t="str">
        <f>IF(C500="","",'07 Renda Fixa'!T103)</f>
        <v/>
      </c>
      <c r="G500" s="135" t="n"/>
      <c r="H500" s="136" t="n"/>
      <c r="I500" s="137" t="str">
        <f>IF(C500="","",'07 Renda Fixa'!H103)</f>
        <v/>
      </c>
      <c r="J500" s="138" t="str">
        <f>IF(C500="","",'07 Renda Fixa'!J103)</f>
        <v/>
      </c>
      <c r="K500" s="138" t="str">
        <f>IF(C500="","",'07 Renda Fixa'!P103)</f>
        <v/>
      </c>
      <c r="L500" s="135" t="n"/>
      <c r="M500" s="138" t="str">
        <f>IF(C500="","",'07 Renda Fixa'!Q103)</f>
        <v/>
      </c>
      <c r="N500" s="139" t="str">
        <f>IF(C500="","",IF($J$3&gt;0,J500/$J$3,0))</f>
        <v/>
      </c>
      <c r="O500" s="134" t="str">
        <f>IF(C500="","","Manual")</f>
        <v/>
      </c>
      <c r="P500" s="140" t="str">
        <f>IF(C500="","",IF(N(J500)&gt;0,J500+ROW()/1E9,""))</f>
        <v/>
      </c>
      <c r="Q500" s="140" t="str">
        <f>IF(C500="","",IF(N(M500)&gt;0,M500+ROW()/1E9,""))</f>
        <v/>
      </c>
    </row>
    <row r="501">
      <c r="A501" s="141" t="str">
        <f>IF(C501="","","Renda Fixa")</f>
        <v/>
      </c>
      <c r="B501" s="141" t="str">
        <f>IF(C501="","","Brasil")</f>
        <v/>
      </c>
      <c r="C501" s="141" t="str">
        <f>IF('07 Renda Fixa'!A104="","",'07 Renda Fixa'!A104&amp;"")</f>
        <v/>
      </c>
      <c r="D501" s="141" t="str">
        <f>IF(C501="","",'07 Renda Fixa'!B104&amp;"")</f>
        <v/>
      </c>
      <c r="E501" s="141" t="str">
        <f>IF(C501="","","Renda Fixa")</f>
        <v/>
      </c>
      <c r="F501" s="141" t="str">
        <f>IF(C501="","",'07 Renda Fixa'!T104)</f>
        <v/>
      </c>
      <c r="G501" s="142" t="n"/>
      <c r="H501" s="143" t="n"/>
      <c r="I501" s="144" t="str">
        <f>IF(C501="","",'07 Renda Fixa'!H104)</f>
        <v/>
      </c>
      <c r="J501" s="145" t="str">
        <f>IF(C501="","",'07 Renda Fixa'!J104)</f>
        <v/>
      </c>
      <c r="K501" s="145" t="str">
        <f>IF(C501="","",'07 Renda Fixa'!P104)</f>
        <v/>
      </c>
      <c r="L501" s="142" t="n"/>
      <c r="M501" s="145" t="str">
        <f>IF(C501="","",'07 Renda Fixa'!Q104)</f>
        <v/>
      </c>
      <c r="N501" s="146" t="str">
        <f>IF(C501="","",IF($J$3&gt;0,J501/$J$3,0))</f>
        <v/>
      </c>
      <c r="O501" s="141" t="str">
        <f>IF(C501="","","Manual")</f>
        <v/>
      </c>
      <c r="P501" s="147" t="str">
        <f>IF(C501="","",IF(N(J501)&gt;0,J501+ROW()/1E9,""))</f>
        <v/>
      </c>
      <c r="Q501" s="147" t="str">
        <f>IF(C501="","",IF(N(M501)&gt;0,M501+ROW()/1E9,""))</f>
        <v/>
      </c>
    </row>
    <row r="502">
      <c r="A502" s="134" t="str">
        <f>IF(C502="","","Renda Fixa")</f>
        <v/>
      </c>
      <c r="B502" s="134" t="str">
        <f>IF(C502="","","Brasil")</f>
        <v/>
      </c>
      <c r="C502" s="134" t="str">
        <f>IF('07 Renda Fixa'!A105="","",'07 Renda Fixa'!A105&amp;"")</f>
        <v/>
      </c>
      <c r="D502" s="134" t="str">
        <f>IF(C502="","",'07 Renda Fixa'!B105&amp;"")</f>
        <v/>
      </c>
      <c r="E502" s="134" t="str">
        <f>IF(C502="","","Renda Fixa")</f>
        <v/>
      </c>
      <c r="F502" s="134" t="str">
        <f>IF(C502="","",'07 Renda Fixa'!T105)</f>
        <v/>
      </c>
      <c r="G502" s="135" t="n"/>
      <c r="H502" s="136" t="n"/>
      <c r="I502" s="137" t="str">
        <f>IF(C502="","",'07 Renda Fixa'!H105)</f>
        <v/>
      </c>
      <c r="J502" s="138" t="str">
        <f>IF(C502="","",'07 Renda Fixa'!J105)</f>
        <v/>
      </c>
      <c r="K502" s="138" t="str">
        <f>IF(C502="","",'07 Renda Fixa'!P105)</f>
        <v/>
      </c>
      <c r="L502" s="135" t="n"/>
      <c r="M502" s="138" t="str">
        <f>IF(C502="","",'07 Renda Fixa'!Q105)</f>
        <v/>
      </c>
      <c r="N502" s="139" t="str">
        <f>IF(C502="","",IF($J$3&gt;0,J502/$J$3,0))</f>
        <v/>
      </c>
      <c r="O502" s="134" t="str">
        <f>IF(C502="","","Manual")</f>
        <v/>
      </c>
      <c r="P502" s="140" t="str">
        <f>IF(C502="","",IF(N(J502)&gt;0,J502+ROW()/1E9,""))</f>
        <v/>
      </c>
      <c r="Q502" s="140" t="str">
        <f>IF(C502="","",IF(N(M502)&gt;0,M502+ROW()/1E9,""))</f>
        <v/>
      </c>
    </row>
    <row r="503">
      <c r="A503" s="141" t="str">
        <f>IF(C503="","","Renda Fixa")</f>
        <v/>
      </c>
      <c r="B503" s="141" t="str">
        <f>IF(C503="","","Brasil")</f>
        <v/>
      </c>
      <c r="C503" s="141" t="str">
        <f>IF('07 Renda Fixa'!A106="","",'07 Renda Fixa'!A106&amp;"")</f>
        <v/>
      </c>
      <c r="D503" s="141" t="str">
        <f>IF(C503="","",'07 Renda Fixa'!B106&amp;"")</f>
        <v/>
      </c>
      <c r="E503" s="141" t="str">
        <f>IF(C503="","","Renda Fixa")</f>
        <v/>
      </c>
      <c r="F503" s="141" t="str">
        <f>IF(C503="","",'07 Renda Fixa'!T106)</f>
        <v/>
      </c>
      <c r="G503" s="142" t="n"/>
      <c r="H503" s="143" t="n"/>
      <c r="I503" s="144" t="str">
        <f>IF(C503="","",'07 Renda Fixa'!H106)</f>
        <v/>
      </c>
      <c r="J503" s="145" t="str">
        <f>IF(C503="","",'07 Renda Fixa'!J106)</f>
        <v/>
      </c>
      <c r="K503" s="145" t="str">
        <f>IF(C503="","",'07 Renda Fixa'!P106)</f>
        <v/>
      </c>
      <c r="L503" s="142" t="n"/>
      <c r="M503" s="145" t="str">
        <f>IF(C503="","",'07 Renda Fixa'!Q106)</f>
        <v/>
      </c>
      <c r="N503" s="146" t="str">
        <f>IF(C503="","",IF($J$3&gt;0,J503/$J$3,0))</f>
        <v/>
      </c>
      <c r="O503" s="141" t="str">
        <f>IF(C503="","","Manual")</f>
        <v/>
      </c>
      <c r="P503" s="147" t="str">
        <f>IF(C503="","",IF(N(J503)&gt;0,J503+ROW()/1E9,""))</f>
        <v/>
      </c>
      <c r="Q503" s="147" t="str">
        <f>IF(C503="","",IF(N(M503)&gt;0,M503+ROW()/1E9,""))</f>
        <v/>
      </c>
    </row>
    <row r="504">
      <c r="A504" s="134" t="str">
        <f>IF(C504="","","Renda Fixa")</f>
        <v/>
      </c>
      <c r="B504" s="134" t="str">
        <f>IF(C504="","","Brasil")</f>
        <v/>
      </c>
      <c r="C504" s="134" t="str">
        <f>IF('07 Renda Fixa'!A107="","",'07 Renda Fixa'!A107&amp;"")</f>
        <v/>
      </c>
      <c r="D504" s="134" t="str">
        <f>IF(C504="","",'07 Renda Fixa'!B107&amp;"")</f>
        <v/>
      </c>
      <c r="E504" s="134" t="str">
        <f>IF(C504="","","Renda Fixa")</f>
        <v/>
      </c>
      <c r="F504" s="134" t="str">
        <f>IF(C504="","",'07 Renda Fixa'!T107)</f>
        <v/>
      </c>
      <c r="G504" s="135" t="n"/>
      <c r="H504" s="136" t="n"/>
      <c r="I504" s="137" t="str">
        <f>IF(C504="","",'07 Renda Fixa'!H107)</f>
        <v/>
      </c>
      <c r="J504" s="138" t="str">
        <f>IF(C504="","",'07 Renda Fixa'!J107)</f>
        <v/>
      </c>
      <c r="K504" s="138" t="str">
        <f>IF(C504="","",'07 Renda Fixa'!P107)</f>
        <v/>
      </c>
      <c r="L504" s="135" t="n"/>
      <c r="M504" s="138" t="str">
        <f>IF(C504="","",'07 Renda Fixa'!Q107)</f>
        <v/>
      </c>
      <c r="N504" s="139" t="str">
        <f>IF(C504="","",IF($J$3&gt;0,J504/$J$3,0))</f>
        <v/>
      </c>
      <c r="O504" s="134" t="str">
        <f>IF(C504="","","Manual")</f>
        <v/>
      </c>
      <c r="P504" s="140" t="str">
        <f>IF(C504="","",IF(N(J504)&gt;0,J504+ROW()/1E9,""))</f>
        <v/>
      </c>
      <c r="Q504" s="140" t="str">
        <f>IF(C504="","",IF(N(M504)&gt;0,M504+ROW()/1E9,""))</f>
        <v/>
      </c>
    </row>
    <row r="505">
      <c r="A505" s="141" t="str">
        <f>IF(C505="","","Renda Fixa")</f>
        <v/>
      </c>
      <c r="B505" s="141" t="str">
        <f>IF(C505="","","Brasil")</f>
        <v/>
      </c>
      <c r="C505" s="141" t="str">
        <f>IF('07 Renda Fixa'!A108="","",'07 Renda Fixa'!A108&amp;"")</f>
        <v/>
      </c>
      <c r="D505" s="141" t="str">
        <f>IF(C505="","",'07 Renda Fixa'!B108&amp;"")</f>
        <v/>
      </c>
      <c r="E505" s="141" t="str">
        <f>IF(C505="","","Renda Fixa")</f>
        <v/>
      </c>
      <c r="F505" s="141" t="str">
        <f>IF(C505="","",'07 Renda Fixa'!T108)</f>
        <v/>
      </c>
      <c r="G505" s="142" t="n"/>
      <c r="H505" s="143" t="n"/>
      <c r="I505" s="144" t="str">
        <f>IF(C505="","",'07 Renda Fixa'!H108)</f>
        <v/>
      </c>
      <c r="J505" s="145" t="str">
        <f>IF(C505="","",'07 Renda Fixa'!J108)</f>
        <v/>
      </c>
      <c r="K505" s="145" t="str">
        <f>IF(C505="","",'07 Renda Fixa'!P108)</f>
        <v/>
      </c>
      <c r="L505" s="142" t="n"/>
      <c r="M505" s="145" t="str">
        <f>IF(C505="","",'07 Renda Fixa'!Q108)</f>
        <v/>
      </c>
      <c r="N505" s="146" t="str">
        <f>IF(C505="","",IF($J$3&gt;0,J505/$J$3,0))</f>
        <v/>
      </c>
      <c r="O505" s="141" t="str">
        <f>IF(C505="","","Manual")</f>
        <v/>
      </c>
      <c r="P505" s="147" t="str">
        <f>IF(C505="","",IF(N(J505)&gt;0,J505+ROW()/1E9,""))</f>
        <v/>
      </c>
      <c r="Q505" s="147" t="str">
        <f>IF(C505="","",IF(N(M505)&gt;0,M505+ROW()/1E9,""))</f>
        <v/>
      </c>
    </row>
    <row r="506">
      <c r="A506" s="134" t="str">
        <f>IF(C506="","","Stocks")</f>
        <v/>
      </c>
      <c r="B506" s="134" t="str">
        <f>IF(C506="","","Exterior")</f>
        <v/>
      </c>
      <c r="C506" s="134" t="str">
        <f>IF('05 Stocks'!A9="","",'05 Stocks'!A9&amp;"")</f>
        <v/>
      </c>
      <c r="D506" s="134" t="str">
        <f>IF(C506="","",'05 Stocks'!B9&amp;"")</f>
        <v/>
      </c>
      <c r="E506" s="134" t="str">
        <f>IF(C506="","",'05 Stocks'!C9&amp;"")</f>
        <v/>
      </c>
      <c r="F506" s="134" t="str">
        <f>IF(C506="","",'05 Stocks'!V9)</f>
        <v/>
      </c>
      <c r="G506" s="135" t="str">
        <f>IF(C506="","",'05 Stocks'!E9)</f>
        <v/>
      </c>
      <c r="H506" s="136" t="str">
        <f>IF(C506="","",'05 Stocks'!H9)</f>
        <v/>
      </c>
      <c r="I506" s="137" t="str">
        <f>IF(C506="","",'05 Stocks'!J9)</f>
        <v/>
      </c>
      <c r="J506" s="138" t="str">
        <f>IF(C506="","",'05 Stocks'!K9)</f>
        <v/>
      </c>
      <c r="K506" s="138" t="str">
        <f>IF(C506="","",'05 Stocks'!Q9)</f>
        <v/>
      </c>
      <c r="L506" s="135" t="str">
        <f>IF(C506="","",'05 Stocks'!R9)</f>
        <v/>
      </c>
      <c r="M506" s="138" t="str">
        <f>IF(C506="","",'05 Stocks'!T9)</f>
        <v/>
      </c>
      <c r="N506" s="139" t="str">
        <f>IF(C506="","",IF($J$3&gt;0,J506/$J$3,0))</f>
        <v/>
      </c>
      <c r="O506" s="134" t="str">
        <f>IF(C506="","",'05 Stocks'!I9)</f>
        <v/>
      </c>
      <c r="P506" s="140" t="str">
        <f>IF(C506="","",IF(N(J506)&gt;0,J506+ROW()/1E9,""))</f>
        <v/>
      </c>
      <c r="Q506" s="140" t="str">
        <f>IF(C506="","",IF(N(M506)&gt;0,M506+ROW()/1E9,""))</f>
        <v/>
      </c>
    </row>
    <row r="507">
      <c r="A507" s="141" t="str">
        <f>IF(C507="","","Stocks")</f>
        <v/>
      </c>
      <c r="B507" s="141" t="str">
        <f>IF(C507="","","Exterior")</f>
        <v/>
      </c>
      <c r="C507" s="141" t="str">
        <f>IF('05 Stocks'!A10="","",'05 Stocks'!A10&amp;"")</f>
        <v/>
      </c>
      <c r="D507" s="141" t="str">
        <f>IF(C507="","",'05 Stocks'!B10&amp;"")</f>
        <v/>
      </c>
      <c r="E507" s="141" t="str">
        <f>IF(C507="","",'05 Stocks'!C10&amp;"")</f>
        <v/>
      </c>
      <c r="F507" s="141" t="str">
        <f>IF(C507="","",'05 Stocks'!V10)</f>
        <v/>
      </c>
      <c r="G507" s="142" t="str">
        <f>IF(C507="","",'05 Stocks'!E10)</f>
        <v/>
      </c>
      <c r="H507" s="143" t="str">
        <f>IF(C507="","",'05 Stocks'!H10)</f>
        <v/>
      </c>
      <c r="I507" s="144" t="str">
        <f>IF(C507="","",'05 Stocks'!J10)</f>
        <v/>
      </c>
      <c r="J507" s="145" t="str">
        <f>IF(C507="","",'05 Stocks'!K10)</f>
        <v/>
      </c>
      <c r="K507" s="145" t="str">
        <f>IF(C507="","",'05 Stocks'!Q10)</f>
        <v/>
      </c>
      <c r="L507" s="142" t="str">
        <f>IF(C507="","",'05 Stocks'!R10)</f>
        <v/>
      </c>
      <c r="M507" s="145" t="str">
        <f>IF(C507="","",'05 Stocks'!T10)</f>
        <v/>
      </c>
      <c r="N507" s="146" t="str">
        <f>IF(C507="","",IF($J$3&gt;0,J507/$J$3,0))</f>
        <v/>
      </c>
      <c r="O507" s="141" t="str">
        <f>IF(C507="","",'05 Stocks'!I10)</f>
        <v/>
      </c>
      <c r="P507" s="147" t="str">
        <f>IF(C507="","",IF(N(J507)&gt;0,J507+ROW()/1E9,""))</f>
        <v/>
      </c>
      <c r="Q507" s="147" t="str">
        <f>IF(C507="","",IF(N(M507)&gt;0,M507+ROW()/1E9,""))</f>
        <v/>
      </c>
    </row>
    <row r="508">
      <c r="A508" s="134" t="str">
        <f>IF(C508="","","Stocks")</f>
        <v/>
      </c>
      <c r="B508" s="134" t="str">
        <f>IF(C508="","","Exterior")</f>
        <v/>
      </c>
      <c r="C508" s="134" t="str">
        <f>IF('05 Stocks'!A11="","",'05 Stocks'!A11&amp;"")</f>
        <v/>
      </c>
      <c r="D508" s="134" t="str">
        <f>IF(C508="","",'05 Stocks'!B11&amp;"")</f>
        <v/>
      </c>
      <c r="E508" s="134" t="str">
        <f>IF(C508="","",'05 Stocks'!C11&amp;"")</f>
        <v/>
      </c>
      <c r="F508" s="134" t="str">
        <f>IF(C508="","",'05 Stocks'!V11)</f>
        <v/>
      </c>
      <c r="G508" s="135" t="str">
        <f>IF(C508="","",'05 Stocks'!E11)</f>
        <v/>
      </c>
      <c r="H508" s="136" t="str">
        <f>IF(C508="","",'05 Stocks'!H11)</f>
        <v/>
      </c>
      <c r="I508" s="137" t="str">
        <f>IF(C508="","",'05 Stocks'!J11)</f>
        <v/>
      </c>
      <c r="J508" s="138" t="str">
        <f>IF(C508="","",'05 Stocks'!K11)</f>
        <v/>
      </c>
      <c r="K508" s="138" t="str">
        <f>IF(C508="","",'05 Stocks'!Q11)</f>
        <v/>
      </c>
      <c r="L508" s="135" t="str">
        <f>IF(C508="","",'05 Stocks'!R11)</f>
        <v/>
      </c>
      <c r="M508" s="138" t="str">
        <f>IF(C508="","",'05 Stocks'!T11)</f>
        <v/>
      </c>
      <c r="N508" s="139" t="str">
        <f>IF(C508="","",IF($J$3&gt;0,J508/$J$3,0))</f>
        <v/>
      </c>
      <c r="O508" s="134" t="str">
        <f>IF(C508="","",'05 Stocks'!I11)</f>
        <v/>
      </c>
      <c r="P508" s="140" t="str">
        <f>IF(C508="","",IF(N(J508)&gt;0,J508+ROW()/1E9,""))</f>
        <v/>
      </c>
      <c r="Q508" s="140" t="str">
        <f>IF(C508="","",IF(N(M508)&gt;0,M508+ROW()/1E9,""))</f>
        <v/>
      </c>
    </row>
    <row r="509">
      <c r="A509" s="141" t="str">
        <f>IF(C509="","","Stocks")</f>
        <v/>
      </c>
      <c r="B509" s="141" t="str">
        <f>IF(C509="","","Exterior")</f>
        <v/>
      </c>
      <c r="C509" s="141" t="str">
        <f>IF('05 Stocks'!A12="","",'05 Stocks'!A12&amp;"")</f>
        <v/>
      </c>
      <c r="D509" s="141" t="str">
        <f>IF(C509="","",'05 Stocks'!B12&amp;"")</f>
        <v/>
      </c>
      <c r="E509" s="141" t="str">
        <f>IF(C509="","",'05 Stocks'!C12&amp;"")</f>
        <v/>
      </c>
      <c r="F509" s="141" t="str">
        <f>IF(C509="","",'05 Stocks'!V12)</f>
        <v/>
      </c>
      <c r="G509" s="142" t="str">
        <f>IF(C509="","",'05 Stocks'!E12)</f>
        <v/>
      </c>
      <c r="H509" s="143" t="str">
        <f>IF(C509="","",'05 Stocks'!H12)</f>
        <v/>
      </c>
      <c r="I509" s="144" t="str">
        <f>IF(C509="","",'05 Stocks'!J12)</f>
        <v/>
      </c>
      <c r="J509" s="145" t="str">
        <f>IF(C509="","",'05 Stocks'!K12)</f>
        <v/>
      </c>
      <c r="K509" s="145" t="str">
        <f>IF(C509="","",'05 Stocks'!Q12)</f>
        <v/>
      </c>
      <c r="L509" s="142" t="str">
        <f>IF(C509="","",'05 Stocks'!R12)</f>
        <v/>
      </c>
      <c r="M509" s="145" t="str">
        <f>IF(C509="","",'05 Stocks'!T12)</f>
        <v/>
      </c>
      <c r="N509" s="146" t="str">
        <f>IF(C509="","",IF($J$3&gt;0,J509/$J$3,0))</f>
        <v/>
      </c>
      <c r="O509" s="141" t="str">
        <f>IF(C509="","",'05 Stocks'!I12)</f>
        <v/>
      </c>
      <c r="P509" s="147" t="str">
        <f>IF(C509="","",IF(N(J509)&gt;0,J509+ROW()/1E9,""))</f>
        <v/>
      </c>
      <c r="Q509" s="147" t="str">
        <f>IF(C509="","",IF(N(M509)&gt;0,M509+ROW()/1E9,""))</f>
        <v/>
      </c>
    </row>
    <row r="510">
      <c r="A510" s="134" t="str">
        <f>IF(C510="","","Stocks")</f>
        <v/>
      </c>
      <c r="B510" s="134" t="str">
        <f>IF(C510="","","Exterior")</f>
        <v/>
      </c>
      <c r="C510" s="134" t="str">
        <f>IF('05 Stocks'!A13="","",'05 Stocks'!A13&amp;"")</f>
        <v/>
      </c>
      <c r="D510" s="134" t="str">
        <f>IF(C510="","",'05 Stocks'!B13&amp;"")</f>
        <v/>
      </c>
      <c r="E510" s="134" t="str">
        <f>IF(C510="","",'05 Stocks'!C13&amp;"")</f>
        <v/>
      </c>
      <c r="F510" s="134" t="str">
        <f>IF(C510="","",'05 Stocks'!V13)</f>
        <v/>
      </c>
      <c r="G510" s="135" t="str">
        <f>IF(C510="","",'05 Stocks'!E13)</f>
        <v/>
      </c>
      <c r="H510" s="136" t="str">
        <f>IF(C510="","",'05 Stocks'!H13)</f>
        <v/>
      </c>
      <c r="I510" s="137" t="str">
        <f>IF(C510="","",'05 Stocks'!J13)</f>
        <v/>
      </c>
      <c r="J510" s="138" t="str">
        <f>IF(C510="","",'05 Stocks'!K13)</f>
        <v/>
      </c>
      <c r="K510" s="138" t="str">
        <f>IF(C510="","",'05 Stocks'!Q13)</f>
        <v/>
      </c>
      <c r="L510" s="135" t="str">
        <f>IF(C510="","",'05 Stocks'!R13)</f>
        <v/>
      </c>
      <c r="M510" s="138" t="str">
        <f>IF(C510="","",'05 Stocks'!T13)</f>
        <v/>
      </c>
      <c r="N510" s="139" t="str">
        <f>IF(C510="","",IF($J$3&gt;0,J510/$J$3,0))</f>
        <v/>
      </c>
      <c r="O510" s="134" t="str">
        <f>IF(C510="","",'05 Stocks'!I13)</f>
        <v/>
      </c>
      <c r="P510" s="140" t="str">
        <f>IF(C510="","",IF(N(J510)&gt;0,J510+ROW()/1E9,""))</f>
        <v/>
      </c>
      <c r="Q510" s="140" t="str">
        <f>IF(C510="","",IF(N(M510)&gt;0,M510+ROW()/1E9,""))</f>
        <v/>
      </c>
    </row>
    <row r="511">
      <c r="A511" s="141" t="str">
        <f>IF(C511="","","Stocks")</f>
        <v/>
      </c>
      <c r="B511" s="141" t="str">
        <f>IF(C511="","","Exterior")</f>
        <v/>
      </c>
      <c r="C511" s="141" t="str">
        <f>IF('05 Stocks'!A14="","",'05 Stocks'!A14&amp;"")</f>
        <v/>
      </c>
      <c r="D511" s="141" t="str">
        <f>IF(C511="","",'05 Stocks'!B14&amp;"")</f>
        <v/>
      </c>
      <c r="E511" s="141" t="str">
        <f>IF(C511="","",'05 Stocks'!C14&amp;"")</f>
        <v/>
      </c>
      <c r="F511" s="141" t="str">
        <f>IF(C511="","",'05 Stocks'!V14)</f>
        <v/>
      </c>
      <c r="G511" s="142" t="str">
        <f>IF(C511="","",'05 Stocks'!E14)</f>
        <v/>
      </c>
      <c r="H511" s="143" t="str">
        <f>IF(C511="","",'05 Stocks'!H14)</f>
        <v/>
      </c>
      <c r="I511" s="144" t="str">
        <f>IF(C511="","",'05 Stocks'!J14)</f>
        <v/>
      </c>
      <c r="J511" s="145" t="str">
        <f>IF(C511="","",'05 Stocks'!K14)</f>
        <v/>
      </c>
      <c r="K511" s="145" t="str">
        <f>IF(C511="","",'05 Stocks'!Q14)</f>
        <v/>
      </c>
      <c r="L511" s="142" t="str">
        <f>IF(C511="","",'05 Stocks'!R14)</f>
        <v/>
      </c>
      <c r="M511" s="145" t="str">
        <f>IF(C511="","",'05 Stocks'!T14)</f>
        <v/>
      </c>
      <c r="N511" s="146" t="str">
        <f>IF(C511="","",IF($J$3&gt;0,J511/$J$3,0))</f>
        <v/>
      </c>
      <c r="O511" s="141" t="str">
        <f>IF(C511="","",'05 Stocks'!I14)</f>
        <v/>
      </c>
      <c r="P511" s="147" t="str">
        <f>IF(C511="","",IF(N(J511)&gt;0,J511+ROW()/1E9,""))</f>
        <v/>
      </c>
      <c r="Q511" s="147" t="str">
        <f>IF(C511="","",IF(N(M511)&gt;0,M511+ROW()/1E9,""))</f>
        <v/>
      </c>
    </row>
    <row r="512">
      <c r="A512" s="134" t="str">
        <f>IF(C512="","","Stocks")</f>
        <v/>
      </c>
      <c r="B512" s="134" t="str">
        <f>IF(C512="","","Exterior")</f>
        <v/>
      </c>
      <c r="C512" s="134" t="str">
        <f>IF('05 Stocks'!A15="","",'05 Stocks'!A15&amp;"")</f>
        <v/>
      </c>
      <c r="D512" s="134" t="str">
        <f>IF(C512="","",'05 Stocks'!B15&amp;"")</f>
        <v/>
      </c>
      <c r="E512" s="134" t="str">
        <f>IF(C512="","",'05 Stocks'!C15&amp;"")</f>
        <v/>
      </c>
      <c r="F512" s="134" t="str">
        <f>IF(C512="","",'05 Stocks'!V15)</f>
        <v/>
      </c>
      <c r="G512" s="135" t="str">
        <f>IF(C512="","",'05 Stocks'!E15)</f>
        <v/>
      </c>
      <c r="H512" s="136" t="str">
        <f>IF(C512="","",'05 Stocks'!H15)</f>
        <v/>
      </c>
      <c r="I512" s="137" t="str">
        <f>IF(C512="","",'05 Stocks'!J15)</f>
        <v/>
      </c>
      <c r="J512" s="138" t="str">
        <f>IF(C512="","",'05 Stocks'!K15)</f>
        <v/>
      </c>
      <c r="K512" s="138" t="str">
        <f>IF(C512="","",'05 Stocks'!Q15)</f>
        <v/>
      </c>
      <c r="L512" s="135" t="str">
        <f>IF(C512="","",'05 Stocks'!R15)</f>
        <v/>
      </c>
      <c r="M512" s="138" t="str">
        <f>IF(C512="","",'05 Stocks'!T15)</f>
        <v/>
      </c>
      <c r="N512" s="139" t="str">
        <f>IF(C512="","",IF($J$3&gt;0,J512/$J$3,0))</f>
        <v/>
      </c>
      <c r="O512" s="134" t="str">
        <f>IF(C512="","",'05 Stocks'!I15)</f>
        <v/>
      </c>
      <c r="P512" s="140" t="str">
        <f>IF(C512="","",IF(N(J512)&gt;0,J512+ROW()/1E9,""))</f>
        <v/>
      </c>
      <c r="Q512" s="140" t="str">
        <f>IF(C512="","",IF(N(M512)&gt;0,M512+ROW()/1E9,""))</f>
        <v/>
      </c>
    </row>
    <row r="513">
      <c r="A513" s="141" t="str">
        <f>IF(C513="","","Stocks")</f>
        <v/>
      </c>
      <c r="B513" s="141" t="str">
        <f>IF(C513="","","Exterior")</f>
        <v/>
      </c>
      <c r="C513" s="141" t="str">
        <f>IF('05 Stocks'!A16="","",'05 Stocks'!A16&amp;"")</f>
        <v/>
      </c>
      <c r="D513" s="141" t="str">
        <f>IF(C513="","",'05 Stocks'!B16&amp;"")</f>
        <v/>
      </c>
      <c r="E513" s="141" t="str">
        <f>IF(C513="","",'05 Stocks'!C16&amp;"")</f>
        <v/>
      </c>
      <c r="F513" s="141" t="str">
        <f>IF(C513="","",'05 Stocks'!V16)</f>
        <v/>
      </c>
      <c r="G513" s="142" t="str">
        <f>IF(C513="","",'05 Stocks'!E16)</f>
        <v/>
      </c>
      <c r="H513" s="143" t="str">
        <f>IF(C513="","",'05 Stocks'!H16)</f>
        <v/>
      </c>
      <c r="I513" s="144" t="str">
        <f>IF(C513="","",'05 Stocks'!J16)</f>
        <v/>
      </c>
      <c r="J513" s="145" t="str">
        <f>IF(C513="","",'05 Stocks'!K16)</f>
        <v/>
      </c>
      <c r="K513" s="145" t="str">
        <f>IF(C513="","",'05 Stocks'!Q16)</f>
        <v/>
      </c>
      <c r="L513" s="142" t="str">
        <f>IF(C513="","",'05 Stocks'!R16)</f>
        <v/>
      </c>
      <c r="M513" s="145" t="str">
        <f>IF(C513="","",'05 Stocks'!T16)</f>
        <v/>
      </c>
      <c r="N513" s="146" t="str">
        <f>IF(C513="","",IF($J$3&gt;0,J513/$J$3,0))</f>
        <v/>
      </c>
      <c r="O513" s="141" t="str">
        <f>IF(C513="","",'05 Stocks'!I16)</f>
        <v/>
      </c>
      <c r="P513" s="147" t="str">
        <f>IF(C513="","",IF(N(J513)&gt;0,J513+ROW()/1E9,""))</f>
        <v/>
      </c>
      <c r="Q513" s="147" t="str">
        <f>IF(C513="","",IF(N(M513)&gt;0,M513+ROW()/1E9,""))</f>
        <v/>
      </c>
    </row>
    <row r="514">
      <c r="A514" s="134" t="str">
        <f>IF(C514="","","Stocks")</f>
        <v/>
      </c>
      <c r="B514" s="134" t="str">
        <f>IF(C514="","","Exterior")</f>
        <v/>
      </c>
      <c r="C514" s="134" t="str">
        <f>IF('05 Stocks'!A17="","",'05 Stocks'!A17&amp;"")</f>
        <v/>
      </c>
      <c r="D514" s="134" t="str">
        <f>IF(C514="","",'05 Stocks'!B17&amp;"")</f>
        <v/>
      </c>
      <c r="E514" s="134" t="str">
        <f>IF(C514="","",'05 Stocks'!C17&amp;"")</f>
        <v/>
      </c>
      <c r="F514" s="134" t="str">
        <f>IF(C514="","",'05 Stocks'!V17)</f>
        <v/>
      </c>
      <c r="G514" s="135" t="str">
        <f>IF(C514="","",'05 Stocks'!E17)</f>
        <v/>
      </c>
      <c r="H514" s="136" t="str">
        <f>IF(C514="","",'05 Stocks'!H17)</f>
        <v/>
      </c>
      <c r="I514" s="137" t="str">
        <f>IF(C514="","",'05 Stocks'!J17)</f>
        <v/>
      </c>
      <c r="J514" s="138" t="str">
        <f>IF(C514="","",'05 Stocks'!K17)</f>
        <v/>
      </c>
      <c r="K514" s="138" t="str">
        <f>IF(C514="","",'05 Stocks'!Q17)</f>
        <v/>
      </c>
      <c r="L514" s="135" t="str">
        <f>IF(C514="","",'05 Stocks'!R17)</f>
        <v/>
      </c>
      <c r="M514" s="138" t="str">
        <f>IF(C514="","",'05 Stocks'!T17)</f>
        <v/>
      </c>
      <c r="N514" s="139" t="str">
        <f>IF(C514="","",IF($J$3&gt;0,J514/$J$3,0))</f>
        <v/>
      </c>
      <c r="O514" s="134" t="str">
        <f>IF(C514="","",'05 Stocks'!I17)</f>
        <v/>
      </c>
      <c r="P514" s="140" t="str">
        <f>IF(C514="","",IF(N(J514)&gt;0,J514+ROW()/1E9,""))</f>
        <v/>
      </c>
      <c r="Q514" s="140" t="str">
        <f>IF(C514="","",IF(N(M514)&gt;0,M514+ROW()/1E9,""))</f>
        <v/>
      </c>
    </row>
    <row r="515">
      <c r="A515" s="141" t="str">
        <f>IF(C515="","","Stocks")</f>
        <v/>
      </c>
      <c r="B515" s="141" t="str">
        <f>IF(C515="","","Exterior")</f>
        <v/>
      </c>
      <c r="C515" s="141" t="str">
        <f>IF('05 Stocks'!A18="","",'05 Stocks'!A18&amp;"")</f>
        <v/>
      </c>
      <c r="D515" s="141" t="str">
        <f>IF(C515="","",'05 Stocks'!B18&amp;"")</f>
        <v/>
      </c>
      <c r="E515" s="141" t="str">
        <f>IF(C515="","",'05 Stocks'!C18&amp;"")</f>
        <v/>
      </c>
      <c r="F515" s="141" t="str">
        <f>IF(C515="","",'05 Stocks'!V18)</f>
        <v/>
      </c>
      <c r="G515" s="142" t="str">
        <f>IF(C515="","",'05 Stocks'!E18)</f>
        <v/>
      </c>
      <c r="H515" s="143" t="str">
        <f>IF(C515="","",'05 Stocks'!H18)</f>
        <v/>
      </c>
      <c r="I515" s="144" t="str">
        <f>IF(C515="","",'05 Stocks'!J18)</f>
        <v/>
      </c>
      <c r="J515" s="145" t="str">
        <f>IF(C515="","",'05 Stocks'!K18)</f>
        <v/>
      </c>
      <c r="K515" s="145" t="str">
        <f>IF(C515="","",'05 Stocks'!Q18)</f>
        <v/>
      </c>
      <c r="L515" s="142" t="str">
        <f>IF(C515="","",'05 Stocks'!R18)</f>
        <v/>
      </c>
      <c r="M515" s="145" t="str">
        <f>IF(C515="","",'05 Stocks'!T18)</f>
        <v/>
      </c>
      <c r="N515" s="146" t="str">
        <f>IF(C515="","",IF($J$3&gt;0,J515/$J$3,0))</f>
        <v/>
      </c>
      <c r="O515" s="141" t="str">
        <f>IF(C515="","",'05 Stocks'!I18)</f>
        <v/>
      </c>
      <c r="P515" s="147" t="str">
        <f>IF(C515="","",IF(N(J515)&gt;0,J515+ROW()/1E9,""))</f>
        <v/>
      </c>
      <c r="Q515" s="147" t="str">
        <f>IF(C515="","",IF(N(M515)&gt;0,M515+ROW()/1E9,""))</f>
        <v/>
      </c>
    </row>
    <row r="516">
      <c r="A516" s="134" t="str">
        <f>IF(C516="","","Stocks")</f>
        <v/>
      </c>
      <c r="B516" s="134" t="str">
        <f>IF(C516="","","Exterior")</f>
        <v/>
      </c>
      <c r="C516" s="134" t="str">
        <f>IF('05 Stocks'!A19="","",'05 Stocks'!A19&amp;"")</f>
        <v/>
      </c>
      <c r="D516" s="134" t="str">
        <f>IF(C516="","",'05 Stocks'!B19&amp;"")</f>
        <v/>
      </c>
      <c r="E516" s="134" t="str">
        <f>IF(C516="","",'05 Stocks'!C19&amp;"")</f>
        <v/>
      </c>
      <c r="F516" s="134" t="str">
        <f>IF(C516="","",'05 Stocks'!V19)</f>
        <v/>
      </c>
      <c r="G516" s="135" t="str">
        <f>IF(C516="","",'05 Stocks'!E19)</f>
        <v/>
      </c>
      <c r="H516" s="136" t="str">
        <f>IF(C516="","",'05 Stocks'!H19)</f>
        <v/>
      </c>
      <c r="I516" s="137" t="str">
        <f>IF(C516="","",'05 Stocks'!J19)</f>
        <v/>
      </c>
      <c r="J516" s="138" t="str">
        <f>IF(C516="","",'05 Stocks'!K19)</f>
        <v/>
      </c>
      <c r="K516" s="138" t="str">
        <f>IF(C516="","",'05 Stocks'!Q19)</f>
        <v/>
      </c>
      <c r="L516" s="135" t="str">
        <f>IF(C516="","",'05 Stocks'!R19)</f>
        <v/>
      </c>
      <c r="M516" s="138" t="str">
        <f>IF(C516="","",'05 Stocks'!T19)</f>
        <v/>
      </c>
      <c r="N516" s="139" t="str">
        <f>IF(C516="","",IF($J$3&gt;0,J516/$J$3,0))</f>
        <v/>
      </c>
      <c r="O516" s="134" t="str">
        <f>IF(C516="","",'05 Stocks'!I19)</f>
        <v/>
      </c>
      <c r="P516" s="140" t="str">
        <f>IF(C516="","",IF(N(J516)&gt;0,J516+ROW()/1E9,""))</f>
        <v/>
      </c>
      <c r="Q516" s="140" t="str">
        <f>IF(C516="","",IF(N(M516)&gt;0,M516+ROW()/1E9,""))</f>
        <v/>
      </c>
    </row>
    <row r="517">
      <c r="A517" s="141" t="str">
        <f>IF(C517="","","Stocks")</f>
        <v/>
      </c>
      <c r="B517" s="141" t="str">
        <f>IF(C517="","","Exterior")</f>
        <v/>
      </c>
      <c r="C517" s="141" t="str">
        <f>IF('05 Stocks'!A20="","",'05 Stocks'!A20&amp;"")</f>
        <v/>
      </c>
      <c r="D517" s="141" t="str">
        <f>IF(C517="","",'05 Stocks'!B20&amp;"")</f>
        <v/>
      </c>
      <c r="E517" s="141" t="str">
        <f>IF(C517="","",'05 Stocks'!C20&amp;"")</f>
        <v/>
      </c>
      <c r="F517" s="141" t="str">
        <f>IF(C517="","",'05 Stocks'!V20)</f>
        <v/>
      </c>
      <c r="G517" s="142" t="str">
        <f>IF(C517="","",'05 Stocks'!E20)</f>
        <v/>
      </c>
      <c r="H517" s="143" t="str">
        <f>IF(C517="","",'05 Stocks'!H20)</f>
        <v/>
      </c>
      <c r="I517" s="144" t="str">
        <f>IF(C517="","",'05 Stocks'!J20)</f>
        <v/>
      </c>
      <c r="J517" s="145" t="str">
        <f>IF(C517="","",'05 Stocks'!K20)</f>
        <v/>
      </c>
      <c r="K517" s="145" t="str">
        <f>IF(C517="","",'05 Stocks'!Q20)</f>
        <v/>
      </c>
      <c r="L517" s="142" t="str">
        <f>IF(C517="","",'05 Stocks'!R20)</f>
        <v/>
      </c>
      <c r="M517" s="145" t="str">
        <f>IF(C517="","",'05 Stocks'!T20)</f>
        <v/>
      </c>
      <c r="N517" s="146" t="str">
        <f>IF(C517="","",IF($J$3&gt;0,J517/$J$3,0))</f>
        <v/>
      </c>
      <c r="O517" s="141" t="str">
        <f>IF(C517="","",'05 Stocks'!I20)</f>
        <v/>
      </c>
      <c r="P517" s="147" t="str">
        <f>IF(C517="","",IF(N(J517)&gt;0,J517+ROW()/1E9,""))</f>
        <v/>
      </c>
      <c r="Q517" s="147" t="str">
        <f>IF(C517="","",IF(N(M517)&gt;0,M517+ROW()/1E9,""))</f>
        <v/>
      </c>
    </row>
    <row r="518">
      <c r="A518" s="134" t="str">
        <f>IF(C518="","","Stocks")</f>
        <v/>
      </c>
      <c r="B518" s="134" t="str">
        <f>IF(C518="","","Exterior")</f>
        <v/>
      </c>
      <c r="C518" s="134" t="str">
        <f>IF('05 Stocks'!A21="","",'05 Stocks'!A21&amp;"")</f>
        <v/>
      </c>
      <c r="D518" s="134" t="str">
        <f>IF(C518="","",'05 Stocks'!B21&amp;"")</f>
        <v/>
      </c>
      <c r="E518" s="134" t="str">
        <f>IF(C518="","",'05 Stocks'!C21&amp;"")</f>
        <v/>
      </c>
      <c r="F518" s="134" t="str">
        <f>IF(C518="","",'05 Stocks'!V21)</f>
        <v/>
      </c>
      <c r="G518" s="135" t="str">
        <f>IF(C518="","",'05 Stocks'!E21)</f>
        <v/>
      </c>
      <c r="H518" s="136" t="str">
        <f>IF(C518="","",'05 Stocks'!H21)</f>
        <v/>
      </c>
      <c r="I518" s="137" t="str">
        <f>IF(C518="","",'05 Stocks'!J21)</f>
        <v/>
      </c>
      <c r="J518" s="138" t="str">
        <f>IF(C518="","",'05 Stocks'!K21)</f>
        <v/>
      </c>
      <c r="K518" s="138" t="str">
        <f>IF(C518="","",'05 Stocks'!Q21)</f>
        <v/>
      </c>
      <c r="L518" s="135" t="str">
        <f>IF(C518="","",'05 Stocks'!R21)</f>
        <v/>
      </c>
      <c r="M518" s="138" t="str">
        <f>IF(C518="","",'05 Stocks'!T21)</f>
        <v/>
      </c>
      <c r="N518" s="139" t="str">
        <f>IF(C518="","",IF($J$3&gt;0,J518/$J$3,0))</f>
        <v/>
      </c>
      <c r="O518" s="134" t="str">
        <f>IF(C518="","",'05 Stocks'!I21)</f>
        <v/>
      </c>
      <c r="P518" s="140" t="str">
        <f>IF(C518="","",IF(N(J518)&gt;0,J518+ROW()/1E9,""))</f>
        <v/>
      </c>
      <c r="Q518" s="140" t="str">
        <f>IF(C518="","",IF(N(M518)&gt;0,M518+ROW()/1E9,""))</f>
        <v/>
      </c>
    </row>
    <row r="519">
      <c r="A519" s="141" t="str">
        <f>IF(C519="","","Stocks")</f>
        <v/>
      </c>
      <c r="B519" s="141" t="str">
        <f>IF(C519="","","Exterior")</f>
        <v/>
      </c>
      <c r="C519" s="141" t="str">
        <f>IF('05 Stocks'!A22="","",'05 Stocks'!A22&amp;"")</f>
        <v/>
      </c>
      <c r="D519" s="141" t="str">
        <f>IF(C519="","",'05 Stocks'!B22&amp;"")</f>
        <v/>
      </c>
      <c r="E519" s="141" t="str">
        <f>IF(C519="","",'05 Stocks'!C22&amp;"")</f>
        <v/>
      </c>
      <c r="F519" s="141" t="str">
        <f>IF(C519="","",'05 Stocks'!V22)</f>
        <v/>
      </c>
      <c r="G519" s="142" t="str">
        <f>IF(C519="","",'05 Stocks'!E22)</f>
        <v/>
      </c>
      <c r="H519" s="143" t="str">
        <f>IF(C519="","",'05 Stocks'!H22)</f>
        <v/>
      </c>
      <c r="I519" s="144" t="str">
        <f>IF(C519="","",'05 Stocks'!J22)</f>
        <v/>
      </c>
      <c r="J519" s="145" t="str">
        <f>IF(C519="","",'05 Stocks'!K22)</f>
        <v/>
      </c>
      <c r="K519" s="145" t="str">
        <f>IF(C519="","",'05 Stocks'!Q22)</f>
        <v/>
      </c>
      <c r="L519" s="142" t="str">
        <f>IF(C519="","",'05 Stocks'!R22)</f>
        <v/>
      </c>
      <c r="M519" s="145" t="str">
        <f>IF(C519="","",'05 Stocks'!T22)</f>
        <v/>
      </c>
      <c r="N519" s="146" t="str">
        <f>IF(C519="","",IF($J$3&gt;0,J519/$J$3,0))</f>
        <v/>
      </c>
      <c r="O519" s="141" t="str">
        <f>IF(C519="","",'05 Stocks'!I22)</f>
        <v/>
      </c>
      <c r="P519" s="147" t="str">
        <f>IF(C519="","",IF(N(J519)&gt;0,J519+ROW()/1E9,""))</f>
        <v/>
      </c>
      <c r="Q519" s="147" t="str">
        <f>IF(C519="","",IF(N(M519)&gt;0,M519+ROW()/1E9,""))</f>
        <v/>
      </c>
    </row>
    <row r="520">
      <c r="A520" s="134" t="str">
        <f>IF(C520="","","Stocks")</f>
        <v/>
      </c>
      <c r="B520" s="134" t="str">
        <f>IF(C520="","","Exterior")</f>
        <v/>
      </c>
      <c r="C520" s="134" t="str">
        <f>IF('05 Stocks'!A23="","",'05 Stocks'!A23&amp;"")</f>
        <v/>
      </c>
      <c r="D520" s="134" t="str">
        <f>IF(C520="","",'05 Stocks'!B23&amp;"")</f>
        <v/>
      </c>
      <c r="E520" s="134" t="str">
        <f>IF(C520="","",'05 Stocks'!C23&amp;"")</f>
        <v/>
      </c>
      <c r="F520" s="134" t="str">
        <f>IF(C520="","",'05 Stocks'!V23)</f>
        <v/>
      </c>
      <c r="G520" s="135" t="str">
        <f>IF(C520="","",'05 Stocks'!E23)</f>
        <v/>
      </c>
      <c r="H520" s="136" t="str">
        <f>IF(C520="","",'05 Stocks'!H23)</f>
        <v/>
      </c>
      <c r="I520" s="137" t="str">
        <f>IF(C520="","",'05 Stocks'!J23)</f>
        <v/>
      </c>
      <c r="J520" s="138" t="str">
        <f>IF(C520="","",'05 Stocks'!K23)</f>
        <v/>
      </c>
      <c r="K520" s="138" t="str">
        <f>IF(C520="","",'05 Stocks'!Q23)</f>
        <v/>
      </c>
      <c r="L520" s="135" t="str">
        <f>IF(C520="","",'05 Stocks'!R23)</f>
        <v/>
      </c>
      <c r="M520" s="138" t="str">
        <f>IF(C520="","",'05 Stocks'!T23)</f>
        <v/>
      </c>
      <c r="N520" s="139" t="str">
        <f>IF(C520="","",IF($J$3&gt;0,J520/$J$3,0))</f>
        <v/>
      </c>
      <c r="O520" s="134" t="str">
        <f>IF(C520="","",'05 Stocks'!I23)</f>
        <v/>
      </c>
      <c r="P520" s="140" t="str">
        <f>IF(C520="","",IF(N(J520)&gt;0,J520+ROW()/1E9,""))</f>
        <v/>
      </c>
      <c r="Q520" s="140" t="str">
        <f>IF(C520="","",IF(N(M520)&gt;0,M520+ROW()/1E9,""))</f>
        <v/>
      </c>
    </row>
    <row r="521">
      <c r="A521" s="141" t="str">
        <f>IF(C521="","","Stocks")</f>
        <v/>
      </c>
      <c r="B521" s="141" t="str">
        <f>IF(C521="","","Exterior")</f>
        <v/>
      </c>
      <c r="C521" s="141" t="str">
        <f>IF('05 Stocks'!A24="","",'05 Stocks'!A24&amp;"")</f>
        <v/>
      </c>
      <c r="D521" s="141" t="str">
        <f>IF(C521="","",'05 Stocks'!B24&amp;"")</f>
        <v/>
      </c>
      <c r="E521" s="141" t="str">
        <f>IF(C521="","",'05 Stocks'!C24&amp;"")</f>
        <v/>
      </c>
      <c r="F521" s="141" t="str">
        <f>IF(C521="","",'05 Stocks'!V24)</f>
        <v/>
      </c>
      <c r="G521" s="142" t="str">
        <f>IF(C521="","",'05 Stocks'!E24)</f>
        <v/>
      </c>
      <c r="H521" s="143" t="str">
        <f>IF(C521="","",'05 Stocks'!H24)</f>
        <v/>
      </c>
      <c r="I521" s="144" t="str">
        <f>IF(C521="","",'05 Stocks'!J24)</f>
        <v/>
      </c>
      <c r="J521" s="145" t="str">
        <f>IF(C521="","",'05 Stocks'!K24)</f>
        <v/>
      </c>
      <c r="K521" s="145" t="str">
        <f>IF(C521="","",'05 Stocks'!Q24)</f>
        <v/>
      </c>
      <c r="L521" s="142" t="str">
        <f>IF(C521="","",'05 Stocks'!R24)</f>
        <v/>
      </c>
      <c r="M521" s="145" t="str">
        <f>IF(C521="","",'05 Stocks'!T24)</f>
        <v/>
      </c>
      <c r="N521" s="146" t="str">
        <f>IF(C521="","",IF($J$3&gt;0,J521/$J$3,0))</f>
        <v/>
      </c>
      <c r="O521" s="141" t="str">
        <f>IF(C521="","",'05 Stocks'!I24)</f>
        <v/>
      </c>
      <c r="P521" s="147" t="str">
        <f>IF(C521="","",IF(N(J521)&gt;0,J521+ROW()/1E9,""))</f>
        <v/>
      </c>
      <c r="Q521" s="147" t="str">
        <f>IF(C521="","",IF(N(M521)&gt;0,M521+ROW()/1E9,""))</f>
        <v/>
      </c>
    </row>
    <row r="522">
      <c r="A522" s="134" t="str">
        <f>IF(C522="","","Stocks")</f>
        <v/>
      </c>
      <c r="B522" s="134" t="str">
        <f>IF(C522="","","Exterior")</f>
        <v/>
      </c>
      <c r="C522" s="134" t="str">
        <f>IF('05 Stocks'!A25="","",'05 Stocks'!A25&amp;"")</f>
        <v/>
      </c>
      <c r="D522" s="134" t="str">
        <f>IF(C522="","",'05 Stocks'!B25&amp;"")</f>
        <v/>
      </c>
      <c r="E522" s="134" t="str">
        <f>IF(C522="","",'05 Stocks'!C25&amp;"")</f>
        <v/>
      </c>
      <c r="F522" s="134" t="str">
        <f>IF(C522="","",'05 Stocks'!V25)</f>
        <v/>
      </c>
      <c r="G522" s="135" t="str">
        <f>IF(C522="","",'05 Stocks'!E25)</f>
        <v/>
      </c>
      <c r="H522" s="136" t="str">
        <f>IF(C522="","",'05 Stocks'!H25)</f>
        <v/>
      </c>
      <c r="I522" s="137" t="str">
        <f>IF(C522="","",'05 Stocks'!J25)</f>
        <v/>
      </c>
      <c r="J522" s="138" t="str">
        <f>IF(C522="","",'05 Stocks'!K25)</f>
        <v/>
      </c>
      <c r="K522" s="138" t="str">
        <f>IF(C522="","",'05 Stocks'!Q25)</f>
        <v/>
      </c>
      <c r="L522" s="135" t="str">
        <f>IF(C522="","",'05 Stocks'!R25)</f>
        <v/>
      </c>
      <c r="M522" s="138" t="str">
        <f>IF(C522="","",'05 Stocks'!T25)</f>
        <v/>
      </c>
      <c r="N522" s="139" t="str">
        <f>IF(C522="","",IF($J$3&gt;0,J522/$J$3,0))</f>
        <v/>
      </c>
      <c r="O522" s="134" t="str">
        <f>IF(C522="","",'05 Stocks'!I25)</f>
        <v/>
      </c>
      <c r="P522" s="140" t="str">
        <f>IF(C522="","",IF(N(J522)&gt;0,J522+ROW()/1E9,""))</f>
        <v/>
      </c>
      <c r="Q522" s="140" t="str">
        <f>IF(C522="","",IF(N(M522)&gt;0,M522+ROW()/1E9,""))</f>
        <v/>
      </c>
    </row>
    <row r="523">
      <c r="A523" s="141" t="str">
        <f>IF(C523="","","Stocks")</f>
        <v/>
      </c>
      <c r="B523" s="141" t="str">
        <f>IF(C523="","","Exterior")</f>
        <v/>
      </c>
      <c r="C523" s="141" t="str">
        <f>IF('05 Stocks'!A26="","",'05 Stocks'!A26&amp;"")</f>
        <v/>
      </c>
      <c r="D523" s="141" t="str">
        <f>IF(C523="","",'05 Stocks'!B26&amp;"")</f>
        <v/>
      </c>
      <c r="E523" s="141" t="str">
        <f>IF(C523="","",'05 Stocks'!C26&amp;"")</f>
        <v/>
      </c>
      <c r="F523" s="141" t="str">
        <f>IF(C523="","",'05 Stocks'!V26)</f>
        <v/>
      </c>
      <c r="G523" s="142" t="str">
        <f>IF(C523="","",'05 Stocks'!E26)</f>
        <v/>
      </c>
      <c r="H523" s="143" t="str">
        <f>IF(C523="","",'05 Stocks'!H26)</f>
        <v/>
      </c>
      <c r="I523" s="144" t="str">
        <f>IF(C523="","",'05 Stocks'!J26)</f>
        <v/>
      </c>
      <c r="J523" s="145" t="str">
        <f>IF(C523="","",'05 Stocks'!K26)</f>
        <v/>
      </c>
      <c r="K523" s="145" t="str">
        <f>IF(C523="","",'05 Stocks'!Q26)</f>
        <v/>
      </c>
      <c r="L523" s="142" t="str">
        <f>IF(C523="","",'05 Stocks'!R26)</f>
        <v/>
      </c>
      <c r="M523" s="145" t="str">
        <f>IF(C523="","",'05 Stocks'!T26)</f>
        <v/>
      </c>
      <c r="N523" s="146" t="str">
        <f>IF(C523="","",IF($J$3&gt;0,J523/$J$3,0))</f>
        <v/>
      </c>
      <c r="O523" s="141" t="str">
        <f>IF(C523="","",'05 Stocks'!I26)</f>
        <v/>
      </c>
      <c r="P523" s="147" t="str">
        <f>IF(C523="","",IF(N(J523)&gt;0,J523+ROW()/1E9,""))</f>
        <v/>
      </c>
      <c r="Q523" s="147" t="str">
        <f>IF(C523="","",IF(N(M523)&gt;0,M523+ROW()/1E9,""))</f>
        <v/>
      </c>
    </row>
    <row r="524">
      <c r="A524" s="134" t="str">
        <f>IF(C524="","","Stocks")</f>
        <v/>
      </c>
      <c r="B524" s="134" t="str">
        <f>IF(C524="","","Exterior")</f>
        <v/>
      </c>
      <c r="C524" s="134" t="str">
        <f>IF('05 Stocks'!A27="","",'05 Stocks'!A27&amp;"")</f>
        <v/>
      </c>
      <c r="D524" s="134" t="str">
        <f>IF(C524="","",'05 Stocks'!B27&amp;"")</f>
        <v/>
      </c>
      <c r="E524" s="134" t="str">
        <f>IF(C524="","",'05 Stocks'!C27&amp;"")</f>
        <v/>
      </c>
      <c r="F524" s="134" t="str">
        <f>IF(C524="","",'05 Stocks'!V27)</f>
        <v/>
      </c>
      <c r="G524" s="135" t="str">
        <f>IF(C524="","",'05 Stocks'!E27)</f>
        <v/>
      </c>
      <c r="H524" s="136" t="str">
        <f>IF(C524="","",'05 Stocks'!H27)</f>
        <v/>
      </c>
      <c r="I524" s="137" t="str">
        <f>IF(C524="","",'05 Stocks'!J27)</f>
        <v/>
      </c>
      <c r="J524" s="138" t="str">
        <f>IF(C524="","",'05 Stocks'!K27)</f>
        <v/>
      </c>
      <c r="K524" s="138" t="str">
        <f>IF(C524="","",'05 Stocks'!Q27)</f>
        <v/>
      </c>
      <c r="L524" s="135" t="str">
        <f>IF(C524="","",'05 Stocks'!R27)</f>
        <v/>
      </c>
      <c r="M524" s="138" t="str">
        <f>IF(C524="","",'05 Stocks'!T27)</f>
        <v/>
      </c>
      <c r="N524" s="139" t="str">
        <f>IF(C524="","",IF($J$3&gt;0,J524/$J$3,0))</f>
        <v/>
      </c>
      <c r="O524" s="134" t="str">
        <f>IF(C524="","",'05 Stocks'!I27)</f>
        <v/>
      </c>
      <c r="P524" s="140" t="str">
        <f>IF(C524="","",IF(N(J524)&gt;0,J524+ROW()/1E9,""))</f>
        <v/>
      </c>
      <c r="Q524" s="140" t="str">
        <f>IF(C524="","",IF(N(M524)&gt;0,M524+ROW()/1E9,""))</f>
        <v/>
      </c>
    </row>
    <row r="525">
      <c r="A525" s="141" t="str">
        <f>IF(C525="","","Stocks")</f>
        <v/>
      </c>
      <c r="B525" s="141" t="str">
        <f>IF(C525="","","Exterior")</f>
        <v/>
      </c>
      <c r="C525" s="141" t="str">
        <f>IF('05 Stocks'!A28="","",'05 Stocks'!A28&amp;"")</f>
        <v/>
      </c>
      <c r="D525" s="141" t="str">
        <f>IF(C525="","",'05 Stocks'!B28&amp;"")</f>
        <v/>
      </c>
      <c r="E525" s="141" t="str">
        <f>IF(C525="","",'05 Stocks'!C28&amp;"")</f>
        <v/>
      </c>
      <c r="F525" s="141" t="str">
        <f>IF(C525="","",'05 Stocks'!V28)</f>
        <v/>
      </c>
      <c r="G525" s="142" t="str">
        <f>IF(C525="","",'05 Stocks'!E28)</f>
        <v/>
      </c>
      <c r="H525" s="143" t="str">
        <f>IF(C525="","",'05 Stocks'!H28)</f>
        <v/>
      </c>
      <c r="I525" s="144" t="str">
        <f>IF(C525="","",'05 Stocks'!J28)</f>
        <v/>
      </c>
      <c r="J525" s="145" t="str">
        <f>IF(C525="","",'05 Stocks'!K28)</f>
        <v/>
      </c>
      <c r="K525" s="145" t="str">
        <f>IF(C525="","",'05 Stocks'!Q28)</f>
        <v/>
      </c>
      <c r="L525" s="142" t="str">
        <f>IF(C525="","",'05 Stocks'!R28)</f>
        <v/>
      </c>
      <c r="M525" s="145" t="str">
        <f>IF(C525="","",'05 Stocks'!T28)</f>
        <v/>
      </c>
      <c r="N525" s="146" t="str">
        <f>IF(C525="","",IF($J$3&gt;0,J525/$J$3,0))</f>
        <v/>
      </c>
      <c r="O525" s="141" t="str">
        <f>IF(C525="","",'05 Stocks'!I28)</f>
        <v/>
      </c>
      <c r="P525" s="147" t="str">
        <f>IF(C525="","",IF(N(J525)&gt;0,J525+ROW()/1E9,""))</f>
        <v/>
      </c>
      <c r="Q525" s="147" t="str">
        <f>IF(C525="","",IF(N(M525)&gt;0,M525+ROW()/1E9,""))</f>
        <v/>
      </c>
    </row>
    <row r="526">
      <c r="A526" s="134" t="str">
        <f>IF(C526="","","Stocks")</f>
        <v/>
      </c>
      <c r="B526" s="134" t="str">
        <f>IF(C526="","","Exterior")</f>
        <v/>
      </c>
      <c r="C526" s="134" t="str">
        <f>IF('05 Stocks'!A29="","",'05 Stocks'!A29&amp;"")</f>
        <v/>
      </c>
      <c r="D526" s="134" t="str">
        <f>IF(C526="","",'05 Stocks'!B29&amp;"")</f>
        <v/>
      </c>
      <c r="E526" s="134" t="str">
        <f>IF(C526="","",'05 Stocks'!C29&amp;"")</f>
        <v/>
      </c>
      <c r="F526" s="134" t="str">
        <f>IF(C526="","",'05 Stocks'!V29)</f>
        <v/>
      </c>
      <c r="G526" s="135" t="str">
        <f>IF(C526="","",'05 Stocks'!E29)</f>
        <v/>
      </c>
      <c r="H526" s="136" t="str">
        <f>IF(C526="","",'05 Stocks'!H29)</f>
        <v/>
      </c>
      <c r="I526" s="137" t="str">
        <f>IF(C526="","",'05 Stocks'!J29)</f>
        <v/>
      </c>
      <c r="J526" s="138" t="str">
        <f>IF(C526="","",'05 Stocks'!K29)</f>
        <v/>
      </c>
      <c r="K526" s="138" t="str">
        <f>IF(C526="","",'05 Stocks'!Q29)</f>
        <v/>
      </c>
      <c r="L526" s="135" t="str">
        <f>IF(C526="","",'05 Stocks'!R29)</f>
        <v/>
      </c>
      <c r="M526" s="138" t="str">
        <f>IF(C526="","",'05 Stocks'!T29)</f>
        <v/>
      </c>
      <c r="N526" s="139" t="str">
        <f>IF(C526="","",IF($J$3&gt;0,J526/$J$3,0))</f>
        <v/>
      </c>
      <c r="O526" s="134" t="str">
        <f>IF(C526="","",'05 Stocks'!I29)</f>
        <v/>
      </c>
      <c r="P526" s="140" t="str">
        <f>IF(C526="","",IF(N(J526)&gt;0,J526+ROW()/1E9,""))</f>
        <v/>
      </c>
      <c r="Q526" s="140" t="str">
        <f>IF(C526="","",IF(N(M526)&gt;0,M526+ROW()/1E9,""))</f>
        <v/>
      </c>
    </row>
    <row r="527">
      <c r="A527" s="141" t="str">
        <f>IF(C527="","","Stocks")</f>
        <v/>
      </c>
      <c r="B527" s="141" t="str">
        <f>IF(C527="","","Exterior")</f>
        <v/>
      </c>
      <c r="C527" s="141" t="str">
        <f>IF('05 Stocks'!A30="","",'05 Stocks'!A30&amp;"")</f>
        <v/>
      </c>
      <c r="D527" s="141" t="str">
        <f>IF(C527="","",'05 Stocks'!B30&amp;"")</f>
        <v/>
      </c>
      <c r="E527" s="141" t="str">
        <f>IF(C527="","",'05 Stocks'!C30&amp;"")</f>
        <v/>
      </c>
      <c r="F527" s="141" t="str">
        <f>IF(C527="","",'05 Stocks'!V30)</f>
        <v/>
      </c>
      <c r="G527" s="142" t="str">
        <f>IF(C527="","",'05 Stocks'!E30)</f>
        <v/>
      </c>
      <c r="H527" s="143" t="str">
        <f>IF(C527="","",'05 Stocks'!H30)</f>
        <v/>
      </c>
      <c r="I527" s="144" t="str">
        <f>IF(C527="","",'05 Stocks'!J30)</f>
        <v/>
      </c>
      <c r="J527" s="145" t="str">
        <f>IF(C527="","",'05 Stocks'!K30)</f>
        <v/>
      </c>
      <c r="K527" s="145" t="str">
        <f>IF(C527="","",'05 Stocks'!Q30)</f>
        <v/>
      </c>
      <c r="L527" s="142" t="str">
        <f>IF(C527="","",'05 Stocks'!R30)</f>
        <v/>
      </c>
      <c r="M527" s="145" t="str">
        <f>IF(C527="","",'05 Stocks'!T30)</f>
        <v/>
      </c>
      <c r="N527" s="146" t="str">
        <f>IF(C527="","",IF($J$3&gt;0,J527/$J$3,0))</f>
        <v/>
      </c>
      <c r="O527" s="141" t="str">
        <f>IF(C527="","",'05 Stocks'!I30)</f>
        <v/>
      </c>
      <c r="P527" s="147" t="str">
        <f>IF(C527="","",IF(N(J527)&gt;0,J527+ROW()/1E9,""))</f>
        <v/>
      </c>
      <c r="Q527" s="147" t="str">
        <f>IF(C527="","",IF(N(M527)&gt;0,M527+ROW()/1E9,""))</f>
        <v/>
      </c>
    </row>
    <row r="528">
      <c r="A528" s="134" t="str">
        <f>IF(C528="","","Stocks")</f>
        <v/>
      </c>
      <c r="B528" s="134" t="str">
        <f>IF(C528="","","Exterior")</f>
        <v/>
      </c>
      <c r="C528" s="134" t="str">
        <f>IF('05 Stocks'!A31="","",'05 Stocks'!A31&amp;"")</f>
        <v/>
      </c>
      <c r="D528" s="134" t="str">
        <f>IF(C528="","",'05 Stocks'!B31&amp;"")</f>
        <v/>
      </c>
      <c r="E528" s="134" t="str">
        <f>IF(C528="","",'05 Stocks'!C31&amp;"")</f>
        <v/>
      </c>
      <c r="F528" s="134" t="str">
        <f>IF(C528="","",'05 Stocks'!V31)</f>
        <v/>
      </c>
      <c r="G528" s="135" t="str">
        <f>IF(C528="","",'05 Stocks'!E31)</f>
        <v/>
      </c>
      <c r="H528" s="136" t="str">
        <f>IF(C528="","",'05 Stocks'!H31)</f>
        <v/>
      </c>
      <c r="I528" s="137" t="str">
        <f>IF(C528="","",'05 Stocks'!J31)</f>
        <v/>
      </c>
      <c r="J528" s="138" t="str">
        <f>IF(C528="","",'05 Stocks'!K31)</f>
        <v/>
      </c>
      <c r="K528" s="138" t="str">
        <f>IF(C528="","",'05 Stocks'!Q31)</f>
        <v/>
      </c>
      <c r="L528" s="135" t="str">
        <f>IF(C528="","",'05 Stocks'!R31)</f>
        <v/>
      </c>
      <c r="M528" s="138" t="str">
        <f>IF(C528="","",'05 Stocks'!T31)</f>
        <v/>
      </c>
      <c r="N528" s="139" t="str">
        <f>IF(C528="","",IF($J$3&gt;0,J528/$J$3,0))</f>
        <v/>
      </c>
      <c r="O528" s="134" t="str">
        <f>IF(C528="","",'05 Stocks'!I31)</f>
        <v/>
      </c>
      <c r="P528" s="140" t="str">
        <f>IF(C528="","",IF(N(J528)&gt;0,J528+ROW()/1E9,""))</f>
        <v/>
      </c>
      <c r="Q528" s="140" t="str">
        <f>IF(C528="","",IF(N(M528)&gt;0,M528+ROW()/1E9,""))</f>
        <v/>
      </c>
    </row>
    <row r="529">
      <c r="A529" s="141" t="str">
        <f>IF(C529="","","Stocks")</f>
        <v/>
      </c>
      <c r="B529" s="141" t="str">
        <f>IF(C529="","","Exterior")</f>
        <v/>
      </c>
      <c r="C529" s="141" t="str">
        <f>IF('05 Stocks'!A32="","",'05 Stocks'!A32&amp;"")</f>
        <v/>
      </c>
      <c r="D529" s="141" t="str">
        <f>IF(C529="","",'05 Stocks'!B32&amp;"")</f>
        <v/>
      </c>
      <c r="E529" s="141" t="str">
        <f>IF(C529="","",'05 Stocks'!C32&amp;"")</f>
        <v/>
      </c>
      <c r="F529" s="141" t="str">
        <f>IF(C529="","",'05 Stocks'!V32)</f>
        <v/>
      </c>
      <c r="G529" s="142" t="str">
        <f>IF(C529="","",'05 Stocks'!E32)</f>
        <v/>
      </c>
      <c r="H529" s="143" t="str">
        <f>IF(C529="","",'05 Stocks'!H32)</f>
        <v/>
      </c>
      <c r="I529" s="144" t="str">
        <f>IF(C529="","",'05 Stocks'!J32)</f>
        <v/>
      </c>
      <c r="J529" s="145" t="str">
        <f>IF(C529="","",'05 Stocks'!K32)</f>
        <v/>
      </c>
      <c r="K529" s="145" t="str">
        <f>IF(C529="","",'05 Stocks'!Q32)</f>
        <v/>
      </c>
      <c r="L529" s="142" t="str">
        <f>IF(C529="","",'05 Stocks'!R32)</f>
        <v/>
      </c>
      <c r="M529" s="145" t="str">
        <f>IF(C529="","",'05 Stocks'!T32)</f>
        <v/>
      </c>
      <c r="N529" s="146" t="str">
        <f>IF(C529="","",IF($J$3&gt;0,J529/$J$3,0))</f>
        <v/>
      </c>
      <c r="O529" s="141" t="str">
        <f>IF(C529="","",'05 Stocks'!I32)</f>
        <v/>
      </c>
      <c r="P529" s="147" t="str">
        <f>IF(C529="","",IF(N(J529)&gt;0,J529+ROW()/1E9,""))</f>
        <v/>
      </c>
      <c r="Q529" s="147" t="str">
        <f>IF(C529="","",IF(N(M529)&gt;0,M529+ROW()/1E9,""))</f>
        <v/>
      </c>
    </row>
    <row r="530">
      <c r="A530" s="134" t="str">
        <f>IF(C530="","","Stocks")</f>
        <v/>
      </c>
      <c r="B530" s="134" t="str">
        <f>IF(C530="","","Exterior")</f>
        <v/>
      </c>
      <c r="C530" s="134" t="str">
        <f>IF('05 Stocks'!A33="","",'05 Stocks'!A33&amp;"")</f>
        <v/>
      </c>
      <c r="D530" s="134" t="str">
        <f>IF(C530="","",'05 Stocks'!B33&amp;"")</f>
        <v/>
      </c>
      <c r="E530" s="134" t="str">
        <f>IF(C530="","",'05 Stocks'!C33&amp;"")</f>
        <v/>
      </c>
      <c r="F530" s="134" t="str">
        <f>IF(C530="","",'05 Stocks'!V33)</f>
        <v/>
      </c>
      <c r="G530" s="135" t="str">
        <f>IF(C530="","",'05 Stocks'!E33)</f>
        <v/>
      </c>
      <c r="H530" s="136" t="str">
        <f>IF(C530="","",'05 Stocks'!H33)</f>
        <v/>
      </c>
      <c r="I530" s="137" t="str">
        <f>IF(C530="","",'05 Stocks'!J33)</f>
        <v/>
      </c>
      <c r="J530" s="138" t="str">
        <f>IF(C530="","",'05 Stocks'!K33)</f>
        <v/>
      </c>
      <c r="K530" s="138" t="str">
        <f>IF(C530="","",'05 Stocks'!Q33)</f>
        <v/>
      </c>
      <c r="L530" s="135" t="str">
        <f>IF(C530="","",'05 Stocks'!R33)</f>
        <v/>
      </c>
      <c r="M530" s="138" t="str">
        <f>IF(C530="","",'05 Stocks'!T33)</f>
        <v/>
      </c>
      <c r="N530" s="139" t="str">
        <f>IF(C530="","",IF($J$3&gt;0,J530/$J$3,0))</f>
        <v/>
      </c>
      <c r="O530" s="134" t="str">
        <f>IF(C530="","",'05 Stocks'!I33)</f>
        <v/>
      </c>
      <c r="P530" s="140" t="str">
        <f>IF(C530="","",IF(N(J530)&gt;0,J530+ROW()/1E9,""))</f>
        <v/>
      </c>
      <c r="Q530" s="140" t="str">
        <f>IF(C530="","",IF(N(M530)&gt;0,M530+ROW()/1E9,""))</f>
        <v/>
      </c>
    </row>
    <row r="531">
      <c r="A531" s="141" t="str">
        <f>IF(C531="","","Stocks")</f>
        <v/>
      </c>
      <c r="B531" s="141" t="str">
        <f>IF(C531="","","Exterior")</f>
        <v/>
      </c>
      <c r="C531" s="141" t="str">
        <f>IF('05 Stocks'!A34="","",'05 Stocks'!A34&amp;"")</f>
        <v/>
      </c>
      <c r="D531" s="141" t="str">
        <f>IF(C531="","",'05 Stocks'!B34&amp;"")</f>
        <v/>
      </c>
      <c r="E531" s="141" t="str">
        <f>IF(C531="","",'05 Stocks'!C34&amp;"")</f>
        <v/>
      </c>
      <c r="F531" s="141" t="str">
        <f>IF(C531="","",'05 Stocks'!V34)</f>
        <v/>
      </c>
      <c r="G531" s="142" t="str">
        <f>IF(C531="","",'05 Stocks'!E34)</f>
        <v/>
      </c>
      <c r="H531" s="143" t="str">
        <f>IF(C531="","",'05 Stocks'!H34)</f>
        <v/>
      </c>
      <c r="I531" s="144" t="str">
        <f>IF(C531="","",'05 Stocks'!J34)</f>
        <v/>
      </c>
      <c r="J531" s="145" t="str">
        <f>IF(C531="","",'05 Stocks'!K34)</f>
        <v/>
      </c>
      <c r="K531" s="145" t="str">
        <f>IF(C531="","",'05 Stocks'!Q34)</f>
        <v/>
      </c>
      <c r="L531" s="142" t="str">
        <f>IF(C531="","",'05 Stocks'!R34)</f>
        <v/>
      </c>
      <c r="M531" s="145" t="str">
        <f>IF(C531="","",'05 Stocks'!T34)</f>
        <v/>
      </c>
      <c r="N531" s="146" t="str">
        <f>IF(C531="","",IF($J$3&gt;0,J531/$J$3,0))</f>
        <v/>
      </c>
      <c r="O531" s="141" t="str">
        <f>IF(C531="","",'05 Stocks'!I34)</f>
        <v/>
      </c>
      <c r="P531" s="147" t="str">
        <f>IF(C531="","",IF(N(J531)&gt;0,J531+ROW()/1E9,""))</f>
        <v/>
      </c>
      <c r="Q531" s="147" t="str">
        <f>IF(C531="","",IF(N(M531)&gt;0,M531+ROW()/1E9,""))</f>
        <v/>
      </c>
    </row>
    <row r="532">
      <c r="A532" s="134" t="str">
        <f>IF(C532="","","Stocks")</f>
        <v/>
      </c>
      <c r="B532" s="134" t="str">
        <f>IF(C532="","","Exterior")</f>
        <v/>
      </c>
      <c r="C532" s="134" t="str">
        <f>IF('05 Stocks'!A35="","",'05 Stocks'!A35&amp;"")</f>
        <v/>
      </c>
      <c r="D532" s="134" t="str">
        <f>IF(C532="","",'05 Stocks'!B35&amp;"")</f>
        <v/>
      </c>
      <c r="E532" s="134" t="str">
        <f>IF(C532="","",'05 Stocks'!C35&amp;"")</f>
        <v/>
      </c>
      <c r="F532" s="134" t="str">
        <f>IF(C532="","",'05 Stocks'!V35)</f>
        <v/>
      </c>
      <c r="G532" s="135" t="str">
        <f>IF(C532="","",'05 Stocks'!E35)</f>
        <v/>
      </c>
      <c r="H532" s="136" t="str">
        <f>IF(C532="","",'05 Stocks'!H35)</f>
        <v/>
      </c>
      <c r="I532" s="137" t="str">
        <f>IF(C532="","",'05 Stocks'!J35)</f>
        <v/>
      </c>
      <c r="J532" s="138" t="str">
        <f>IF(C532="","",'05 Stocks'!K35)</f>
        <v/>
      </c>
      <c r="K532" s="138" t="str">
        <f>IF(C532="","",'05 Stocks'!Q35)</f>
        <v/>
      </c>
      <c r="L532" s="135" t="str">
        <f>IF(C532="","",'05 Stocks'!R35)</f>
        <v/>
      </c>
      <c r="M532" s="138" t="str">
        <f>IF(C532="","",'05 Stocks'!T35)</f>
        <v/>
      </c>
      <c r="N532" s="139" t="str">
        <f>IF(C532="","",IF($J$3&gt;0,J532/$J$3,0))</f>
        <v/>
      </c>
      <c r="O532" s="134" t="str">
        <f>IF(C532="","",'05 Stocks'!I35)</f>
        <v/>
      </c>
      <c r="P532" s="140" t="str">
        <f>IF(C532="","",IF(N(J532)&gt;0,J532+ROW()/1E9,""))</f>
        <v/>
      </c>
      <c r="Q532" s="140" t="str">
        <f>IF(C532="","",IF(N(M532)&gt;0,M532+ROW()/1E9,""))</f>
        <v/>
      </c>
    </row>
    <row r="533">
      <c r="A533" s="141" t="str">
        <f>IF(C533="","","Stocks")</f>
        <v/>
      </c>
      <c r="B533" s="141" t="str">
        <f>IF(C533="","","Exterior")</f>
        <v/>
      </c>
      <c r="C533" s="141" t="str">
        <f>IF('05 Stocks'!A36="","",'05 Stocks'!A36&amp;"")</f>
        <v/>
      </c>
      <c r="D533" s="141" t="str">
        <f>IF(C533="","",'05 Stocks'!B36&amp;"")</f>
        <v/>
      </c>
      <c r="E533" s="141" t="str">
        <f>IF(C533="","",'05 Stocks'!C36&amp;"")</f>
        <v/>
      </c>
      <c r="F533" s="141" t="str">
        <f>IF(C533="","",'05 Stocks'!V36)</f>
        <v/>
      </c>
      <c r="G533" s="142" t="str">
        <f>IF(C533="","",'05 Stocks'!E36)</f>
        <v/>
      </c>
      <c r="H533" s="143" t="str">
        <f>IF(C533="","",'05 Stocks'!H36)</f>
        <v/>
      </c>
      <c r="I533" s="144" t="str">
        <f>IF(C533="","",'05 Stocks'!J36)</f>
        <v/>
      </c>
      <c r="J533" s="145" t="str">
        <f>IF(C533="","",'05 Stocks'!K36)</f>
        <v/>
      </c>
      <c r="K533" s="145" t="str">
        <f>IF(C533="","",'05 Stocks'!Q36)</f>
        <v/>
      </c>
      <c r="L533" s="142" t="str">
        <f>IF(C533="","",'05 Stocks'!R36)</f>
        <v/>
      </c>
      <c r="M533" s="145" t="str">
        <f>IF(C533="","",'05 Stocks'!T36)</f>
        <v/>
      </c>
      <c r="N533" s="146" t="str">
        <f>IF(C533="","",IF($J$3&gt;0,J533/$J$3,0))</f>
        <v/>
      </c>
      <c r="O533" s="141" t="str">
        <f>IF(C533="","",'05 Stocks'!I36)</f>
        <v/>
      </c>
      <c r="P533" s="147" t="str">
        <f>IF(C533="","",IF(N(J533)&gt;0,J533+ROW()/1E9,""))</f>
        <v/>
      </c>
      <c r="Q533" s="147" t="str">
        <f>IF(C533="","",IF(N(M533)&gt;0,M533+ROW()/1E9,""))</f>
        <v/>
      </c>
    </row>
    <row r="534">
      <c r="A534" s="134" t="str">
        <f>IF(C534="","","Stocks")</f>
        <v/>
      </c>
      <c r="B534" s="134" t="str">
        <f>IF(C534="","","Exterior")</f>
        <v/>
      </c>
      <c r="C534" s="134" t="str">
        <f>IF('05 Stocks'!A37="","",'05 Stocks'!A37&amp;"")</f>
        <v/>
      </c>
      <c r="D534" s="134" t="str">
        <f>IF(C534="","",'05 Stocks'!B37&amp;"")</f>
        <v/>
      </c>
      <c r="E534" s="134" t="str">
        <f>IF(C534="","",'05 Stocks'!C37&amp;"")</f>
        <v/>
      </c>
      <c r="F534" s="134" t="str">
        <f>IF(C534="","",'05 Stocks'!V37)</f>
        <v/>
      </c>
      <c r="G534" s="135" t="str">
        <f>IF(C534="","",'05 Stocks'!E37)</f>
        <v/>
      </c>
      <c r="H534" s="136" t="str">
        <f>IF(C534="","",'05 Stocks'!H37)</f>
        <v/>
      </c>
      <c r="I534" s="137" t="str">
        <f>IF(C534="","",'05 Stocks'!J37)</f>
        <v/>
      </c>
      <c r="J534" s="138" t="str">
        <f>IF(C534="","",'05 Stocks'!K37)</f>
        <v/>
      </c>
      <c r="K534" s="138" t="str">
        <f>IF(C534="","",'05 Stocks'!Q37)</f>
        <v/>
      </c>
      <c r="L534" s="135" t="str">
        <f>IF(C534="","",'05 Stocks'!R37)</f>
        <v/>
      </c>
      <c r="M534" s="138" t="str">
        <f>IF(C534="","",'05 Stocks'!T37)</f>
        <v/>
      </c>
      <c r="N534" s="139" t="str">
        <f>IF(C534="","",IF($J$3&gt;0,J534/$J$3,0))</f>
        <v/>
      </c>
      <c r="O534" s="134" t="str">
        <f>IF(C534="","",'05 Stocks'!I37)</f>
        <v/>
      </c>
      <c r="P534" s="140" t="str">
        <f>IF(C534="","",IF(N(J534)&gt;0,J534+ROW()/1E9,""))</f>
        <v/>
      </c>
      <c r="Q534" s="140" t="str">
        <f>IF(C534="","",IF(N(M534)&gt;0,M534+ROW()/1E9,""))</f>
        <v/>
      </c>
    </row>
    <row r="535">
      <c r="A535" s="141" t="str">
        <f>IF(C535="","","Stocks")</f>
        <v/>
      </c>
      <c r="B535" s="141" t="str">
        <f>IF(C535="","","Exterior")</f>
        <v/>
      </c>
      <c r="C535" s="141" t="str">
        <f>IF('05 Stocks'!A38="","",'05 Stocks'!A38&amp;"")</f>
        <v/>
      </c>
      <c r="D535" s="141" t="str">
        <f>IF(C535="","",'05 Stocks'!B38&amp;"")</f>
        <v/>
      </c>
      <c r="E535" s="141" t="str">
        <f>IF(C535="","",'05 Stocks'!C38&amp;"")</f>
        <v/>
      </c>
      <c r="F535" s="141" t="str">
        <f>IF(C535="","",'05 Stocks'!V38)</f>
        <v/>
      </c>
      <c r="G535" s="142" t="str">
        <f>IF(C535="","",'05 Stocks'!E38)</f>
        <v/>
      </c>
      <c r="H535" s="143" t="str">
        <f>IF(C535="","",'05 Stocks'!H38)</f>
        <v/>
      </c>
      <c r="I535" s="144" t="str">
        <f>IF(C535="","",'05 Stocks'!J38)</f>
        <v/>
      </c>
      <c r="J535" s="145" t="str">
        <f>IF(C535="","",'05 Stocks'!K38)</f>
        <v/>
      </c>
      <c r="K535" s="145" t="str">
        <f>IF(C535="","",'05 Stocks'!Q38)</f>
        <v/>
      </c>
      <c r="L535" s="142" t="str">
        <f>IF(C535="","",'05 Stocks'!R38)</f>
        <v/>
      </c>
      <c r="M535" s="145" t="str">
        <f>IF(C535="","",'05 Stocks'!T38)</f>
        <v/>
      </c>
      <c r="N535" s="146" t="str">
        <f>IF(C535="","",IF($J$3&gt;0,J535/$J$3,0))</f>
        <v/>
      </c>
      <c r="O535" s="141" t="str">
        <f>IF(C535="","",'05 Stocks'!I38)</f>
        <v/>
      </c>
      <c r="P535" s="147" t="str">
        <f>IF(C535="","",IF(N(J535)&gt;0,J535+ROW()/1E9,""))</f>
        <v/>
      </c>
      <c r="Q535" s="147" t="str">
        <f>IF(C535="","",IF(N(M535)&gt;0,M535+ROW()/1E9,""))</f>
        <v/>
      </c>
    </row>
    <row r="536">
      <c r="A536" s="134" t="str">
        <f>IF(C536="","","Stocks")</f>
        <v/>
      </c>
      <c r="B536" s="134" t="str">
        <f>IF(C536="","","Exterior")</f>
        <v/>
      </c>
      <c r="C536" s="134" t="str">
        <f>IF('05 Stocks'!A39="","",'05 Stocks'!A39&amp;"")</f>
        <v/>
      </c>
      <c r="D536" s="134" t="str">
        <f>IF(C536="","",'05 Stocks'!B39&amp;"")</f>
        <v/>
      </c>
      <c r="E536" s="134" t="str">
        <f>IF(C536="","",'05 Stocks'!C39&amp;"")</f>
        <v/>
      </c>
      <c r="F536" s="134" t="str">
        <f>IF(C536="","",'05 Stocks'!V39)</f>
        <v/>
      </c>
      <c r="G536" s="135" t="str">
        <f>IF(C536="","",'05 Stocks'!E39)</f>
        <v/>
      </c>
      <c r="H536" s="136" t="str">
        <f>IF(C536="","",'05 Stocks'!H39)</f>
        <v/>
      </c>
      <c r="I536" s="137" t="str">
        <f>IF(C536="","",'05 Stocks'!J39)</f>
        <v/>
      </c>
      <c r="J536" s="138" t="str">
        <f>IF(C536="","",'05 Stocks'!K39)</f>
        <v/>
      </c>
      <c r="K536" s="138" t="str">
        <f>IF(C536="","",'05 Stocks'!Q39)</f>
        <v/>
      </c>
      <c r="L536" s="135" t="str">
        <f>IF(C536="","",'05 Stocks'!R39)</f>
        <v/>
      </c>
      <c r="M536" s="138" t="str">
        <f>IF(C536="","",'05 Stocks'!T39)</f>
        <v/>
      </c>
      <c r="N536" s="139" t="str">
        <f>IF(C536="","",IF($J$3&gt;0,J536/$J$3,0))</f>
        <v/>
      </c>
      <c r="O536" s="134" t="str">
        <f>IF(C536="","",'05 Stocks'!I39)</f>
        <v/>
      </c>
      <c r="P536" s="140" t="str">
        <f>IF(C536="","",IF(N(J536)&gt;0,J536+ROW()/1E9,""))</f>
        <v/>
      </c>
      <c r="Q536" s="140" t="str">
        <f>IF(C536="","",IF(N(M536)&gt;0,M536+ROW()/1E9,""))</f>
        <v/>
      </c>
    </row>
    <row r="537">
      <c r="A537" s="141" t="str">
        <f>IF(C537="","","Stocks")</f>
        <v/>
      </c>
      <c r="B537" s="141" t="str">
        <f>IF(C537="","","Exterior")</f>
        <v/>
      </c>
      <c r="C537" s="141" t="str">
        <f>IF('05 Stocks'!A40="","",'05 Stocks'!A40&amp;"")</f>
        <v/>
      </c>
      <c r="D537" s="141" t="str">
        <f>IF(C537="","",'05 Stocks'!B40&amp;"")</f>
        <v/>
      </c>
      <c r="E537" s="141" t="str">
        <f>IF(C537="","",'05 Stocks'!C40&amp;"")</f>
        <v/>
      </c>
      <c r="F537" s="141" t="str">
        <f>IF(C537="","",'05 Stocks'!V40)</f>
        <v/>
      </c>
      <c r="G537" s="142" t="str">
        <f>IF(C537="","",'05 Stocks'!E40)</f>
        <v/>
      </c>
      <c r="H537" s="143" t="str">
        <f>IF(C537="","",'05 Stocks'!H40)</f>
        <v/>
      </c>
      <c r="I537" s="144" t="str">
        <f>IF(C537="","",'05 Stocks'!J40)</f>
        <v/>
      </c>
      <c r="J537" s="145" t="str">
        <f>IF(C537="","",'05 Stocks'!K40)</f>
        <v/>
      </c>
      <c r="K537" s="145" t="str">
        <f>IF(C537="","",'05 Stocks'!Q40)</f>
        <v/>
      </c>
      <c r="L537" s="142" t="str">
        <f>IF(C537="","",'05 Stocks'!R40)</f>
        <v/>
      </c>
      <c r="M537" s="145" t="str">
        <f>IF(C537="","",'05 Stocks'!T40)</f>
        <v/>
      </c>
      <c r="N537" s="146" t="str">
        <f>IF(C537="","",IF($J$3&gt;0,J537/$J$3,0))</f>
        <v/>
      </c>
      <c r="O537" s="141" t="str">
        <f>IF(C537="","",'05 Stocks'!I40)</f>
        <v/>
      </c>
      <c r="P537" s="147" t="str">
        <f>IF(C537="","",IF(N(J537)&gt;0,J537+ROW()/1E9,""))</f>
        <v/>
      </c>
      <c r="Q537" s="147" t="str">
        <f>IF(C537="","",IF(N(M537)&gt;0,M537+ROW()/1E9,""))</f>
        <v/>
      </c>
    </row>
    <row r="538">
      <c r="A538" s="134" t="str">
        <f>IF(C538="","","Stocks")</f>
        <v/>
      </c>
      <c r="B538" s="134" t="str">
        <f>IF(C538="","","Exterior")</f>
        <v/>
      </c>
      <c r="C538" s="134" t="str">
        <f>IF('05 Stocks'!A41="","",'05 Stocks'!A41&amp;"")</f>
        <v/>
      </c>
      <c r="D538" s="134" t="str">
        <f>IF(C538="","",'05 Stocks'!B41&amp;"")</f>
        <v/>
      </c>
      <c r="E538" s="134" t="str">
        <f>IF(C538="","",'05 Stocks'!C41&amp;"")</f>
        <v/>
      </c>
      <c r="F538" s="134" t="str">
        <f>IF(C538="","",'05 Stocks'!V41)</f>
        <v/>
      </c>
      <c r="G538" s="135" t="str">
        <f>IF(C538="","",'05 Stocks'!E41)</f>
        <v/>
      </c>
      <c r="H538" s="136" t="str">
        <f>IF(C538="","",'05 Stocks'!H41)</f>
        <v/>
      </c>
      <c r="I538" s="137" t="str">
        <f>IF(C538="","",'05 Stocks'!J41)</f>
        <v/>
      </c>
      <c r="J538" s="138" t="str">
        <f>IF(C538="","",'05 Stocks'!K41)</f>
        <v/>
      </c>
      <c r="K538" s="138" t="str">
        <f>IF(C538="","",'05 Stocks'!Q41)</f>
        <v/>
      </c>
      <c r="L538" s="135" t="str">
        <f>IF(C538="","",'05 Stocks'!R41)</f>
        <v/>
      </c>
      <c r="M538" s="138" t="str">
        <f>IF(C538="","",'05 Stocks'!T41)</f>
        <v/>
      </c>
      <c r="N538" s="139" t="str">
        <f>IF(C538="","",IF($J$3&gt;0,J538/$J$3,0))</f>
        <v/>
      </c>
      <c r="O538" s="134" t="str">
        <f>IF(C538="","",'05 Stocks'!I41)</f>
        <v/>
      </c>
      <c r="P538" s="140" t="str">
        <f>IF(C538="","",IF(N(J538)&gt;0,J538+ROW()/1E9,""))</f>
        <v/>
      </c>
      <c r="Q538" s="140" t="str">
        <f>IF(C538="","",IF(N(M538)&gt;0,M538+ROW()/1E9,""))</f>
        <v/>
      </c>
    </row>
    <row r="539">
      <c r="A539" s="141" t="str">
        <f>IF(C539="","","Stocks")</f>
        <v/>
      </c>
      <c r="B539" s="141" t="str">
        <f>IF(C539="","","Exterior")</f>
        <v/>
      </c>
      <c r="C539" s="141" t="str">
        <f>IF('05 Stocks'!A42="","",'05 Stocks'!A42&amp;"")</f>
        <v/>
      </c>
      <c r="D539" s="141" t="str">
        <f>IF(C539="","",'05 Stocks'!B42&amp;"")</f>
        <v/>
      </c>
      <c r="E539" s="141" t="str">
        <f>IF(C539="","",'05 Stocks'!C42&amp;"")</f>
        <v/>
      </c>
      <c r="F539" s="141" t="str">
        <f>IF(C539="","",'05 Stocks'!V42)</f>
        <v/>
      </c>
      <c r="G539" s="142" t="str">
        <f>IF(C539="","",'05 Stocks'!E42)</f>
        <v/>
      </c>
      <c r="H539" s="143" t="str">
        <f>IF(C539="","",'05 Stocks'!H42)</f>
        <v/>
      </c>
      <c r="I539" s="144" t="str">
        <f>IF(C539="","",'05 Stocks'!J42)</f>
        <v/>
      </c>
      <c r="J539" s="145" t="str">
        <f>IF(C539="","",'05 Stocks'!K42)</f>
        <v/>
      </c>
      <c r="K539" s="145" t="str">
        <f>IF(C539="","",'05 Stocks'!Q42)</f>
        <v/>
      </c>
      <c r="L539" s="142" t="str">
        <f>IF(C539="","",'05 Stocks'!R42)</f>
        <v/>
      </c>
      <c r="M539" s="145" t="str">
        <f>IF(C539="","",'05 Stocks'!T42)</f>
        <v/>
      </c>
      <c r="N539" s="146" t="str">
        <f>IF(C539="","",IF($J$3&gt;0,J539/$J$3,0))</f>
        <v/>
      </c>
      <c r="O539" s="141" t="str">
        <f>IF(C539="","",'05 Stocks'!I42)</f>
        <v/>
      </c>
      <c r="P539" s="147" t="str">
        <f>IF(C539="","",IF(N(J539)&gt;0,J539+ROW()/1E9,""))</f>
        <v/>
      </c>
      <c r="Q539" s="147" t="str">
        <f>IF(C539="","",IF(N(M539)&gt;0,M539+ROW()/1E9,""))</f>
        <v/>
      </c>
    </row>
    <row r="540">
      <c r="A540" s="134" t="str">
        <f>IF(C540="","","Stocks")</f>
        <v/>
      </c>
      <c r="B540" s="134" t="str">
        <f>IF(C540="","","Exterior")</f>
        <v/>
      </c>
      <c r="C540" s="134" t="str">
        <f>IF('05 Stocks'!A43="","",'05 Stocks'!A43&amp;"")</f>
        <v/>
      </c>
      <c r="D540" s="134" t="str">
        <f>IF(C540="","",'05 Stocks'!B43&amp;"")</f>
        <v/>
      </c>
      <c r="E540" s="134" t="str">
        <f>IF(C540="","",'05 Stocks'!C43&amp;"")</f>
        <v/>
      </c>
      <c r="F540" s="134" t="str">
        <f>IF(C540="","",'05 Stocks'!V43)</f>
        <v/>
      </c>
      <c r="G540" s="135" t="str">
        <f>IF(C540="","",'05 Stocks'!E43)</f>
        <v/>
      </c>
      <c r="H540" s="136" t="str">
        <f>IF(C540="","",'05 Stocks'!H43)</f>
        <v/>
      </c>
      <c r="I540" s="137" t="str">
        <f>IF(C540="","",'05 Stocks'!J43)</f>
        <v/>
      </c>
      <c r="J540" s="138" t="str">
        <f>IF(C540="","",'05 Stocks'!K43)</f>
        <v/>
      </c>
      <c r="K540" s="138" t="str">
        <f>IF(C540="","",'05 Stocks'!Q43)</f>
        <v/>
      </c>
      <c r="L540" s="135" t="str">
        <f>IF(C540="","",'05 Stocks'!R43)</f>
        <v/>
      </c>
      <c r="M540" s="138" t="str">
        <f>IF(C540="","",'05 Stocks'!T43)</f>
        <v/>
      </c>
      <c r="N540" s="139" t="str">
        <f>IF(C540="","",IF($J$3&gt;0,J540/$J$3,0))</f>
        <v/>
      </c>
      <c r="O540" s="134" t="str">
        <f>IF(C540="","",'05 Stocks'!I43)</f>
        <v/>
      </c>
      <c r="P540" s="140" t="str">
        <f>IF(C540="","",IF(N(J540)&gt;0,J540+ROW()/1E9,""))</f>
        <v/>
      </c>
      <c r="Q540" s="140" t="str">
        <f>IF(C540="","",IF(N(M540)&gt;0,M540+ROW()/1E9,""))</f>
        <v/>
      </c>
    </row>
    <row r="541">
      <c r="A541" s="141" t="str">
        <f>IF(C541="","","Stocks")</f>
        <v/>
      </c>
      <c r="B541" s="141" t="str">
        <f>IF(C541="","","Exterior")</f>
        <v/>
      </c>
      <c r="C541" s="141" t="str">
        <f>IF('05 Stocks'!A44="","",'05 Stocks'!A44&amp;"")</f>
        <v/>
      </c>
      <c r="D541" s="141" t="str">
        <f>IF(C541="","",'05 Stocks'!B44&amp;"")</f>
        <v/>
      </c>
      <c r="E541" s="141" t="str">
        <f>IF(C541="","",'05 Stocks'!C44&amp;"")</f>
        <v/>
      </c>
      <c r="F541" s="141" t="str">
        <f>IF(C541="","",'05 Stocks'!V44)</f>
        <v/>
      </c>
      <c r="G541" s="142" t="str">
        <f>IF(C541="","",'05 Stocks'!E44)</f>
        <v/>
      </c>
      <c r="H541" s="143" t="str">
        <f>IF(C541="","",'05 Stocks'!H44)</f>
        <v/>
      </c>
      <c r="I541" s="144" t="str">
        <f>IF(C541="","",'05 Stocks'!J44)</f>
        <v/>
      </c>
      <c r="J541" s="145" t="str">
        <f>IF(C541="","",'05 Stocks'!K44)</f>
        <v/>
      </c>
      <c r="K541" s="145" t="str">
        <f>IF(C541="","",'05 Stocks'!Q44)</f>
        <v/>
      </c>
      <c r="L541" s="142" t="str">
        <f>IF(C541="","",'05 Stocks'!R44)</f>
        <v/>
      </c>
      <c r="M541" s="145" t="str">
        <f>IF(C541="","",'05 Stocks'!T44)</f>
        <v/>
      </c>
      <c r="N541" s="146" t="str">
        <f>IF(C541="","",IF($J$3&gt;0,J541/$J$3,0))</f>
        <v/>
      </c>
      <c r="O541" s="141" t="str">
        <f>IF(C541="","",'05 Stocks'!I44)</f>
        <v/>
      </c>
      <c r="P541" s="147" t="str">
        <f>IF(C541="","",IF(N(J541)&gt;0,J541+ROW()/1E9,""))</f>
        <v/>
      </c>
      <c r="Q541" s="147" t="str">
        <f>IF(C541="","",IF(N(M541)&gt;0,M541+ROW()/1E9,""))</f>
        <v/>
      </c>
    </row>
    <row r="542">
      <c r="A542" s="134" t="str">
        <f>IF(C542="","","Stocks")</f>
        <v/>
      </c>
      <c r="B542" s="134" t="str">
        <f>IF(C542="","","Exterior")</f>
        <v/>
      </c>
      <c r="C542" s="134" t="str">
        <f>IF('05 Stocks'!A45="","",'05 Stocks'!A45&amp;"")</f>
        <v/>
      </c>
      <c r="D542" s="134" t="str">
        <f>IF(C542="","",'05 Stocks'!B45&amp;"")</f>
        <v/>
      </c>
      <c r="E542" s="134" t="str">
        <f>IF(C542="","",'05 Stocks'!C45&amp;"")</f>
        <v/>
      </c>
      <c r="F542" s="134" t="str">
        <f>IF(C542="","",'05 Stocks'!V45)</f>
        <v/>
      </c>
      <c r="G542" s="135" t="str">
        <f>IF(C542="","",'05 Stocks'!E45)</f>
        <v/>
      </c>
      <c r="H542" s="136" t="str">
        <f>IF(C542="","",'05 Stocks'!H45)</f>
        <v/>
      </c>
      <c r="I542" s="137" t="str">
        <f>IF(C542="","",'05 Stocks'!J45)</f>
        <v/>
      </c>
      <c r="J542" s="138" t="str">
        <f>IF(C542="","",'05 Stocks'!K45)</f>
        <v/>
      </c>
      <c r="K542" s="138" t="str">
        <f>IF(C542="","",'05 Stocks'!Q45)</f>
        <v/>
      </c>
      <c r="L542" s="135" t="str">
        <f>IF(C542="","",'05 Stocks'!R45)</f>
        <v/>
      </c>
      <c r="M542" s="138" t="str">
        <f>IF(C542="","",'05 Stocks'!T45)</f>
        <v/>
      </c>
      <c r="N542" s="139" t="str">
        <f>IF(C542="","",IF($J$3&gt;0,J542/$J$3,0))</f>
        <v/>
      </c>
      <c r="O542" s="134" t="str">
        <f>IF(C542="","",'05 Stocks'!I45)</f>
        <v/>
      </c>
      <c r="P542" s="140" t="str">
        <f>IF(C542="","",IF(N(J542)&gt;0,J542+ROW()/1E9,""))</f>
        <v/>
      </c>
      <c r="Q542" s="140" t="str">
        <f>IF(C542="","",IF(N(M542)&gt;0,M542+ROW()/1E9,""))</f>
        <v/>
      </c>
    </row>
    <row r="543">
      <c r="A543" s="141" t="str">
        <f>IF(C543="","","Stocks")</f>
        <v/>
      </c>
      <c r="B543" s="141" t="str">
        <f>IF(C543="","","Exterior")</f>
        <v/>
      </c>
      <c r="C543" s="141" t="str">
        <f>IF('05 Stocks'!A46="","",'05 Stocks'!A46&amp;"")</f>
        <v/>
      </c>
      <c r="D543" s="141" t="str">
        <f>IF(C543="","",'05 Stocks'!B46&amp;"")</f>
        <v/>
      </c>
      <c r="E543" s="141" t="str">
        <f>IF(C543="","",'05 Stocks'!C46&amp;"")</f>
        <v/>
      </c>
      <c r="F543" s="141" t="str">
        <f>IF(C543="","",'05 Stocks'!V46)</f>
        <v/>
      </c>
      <c r="G543" s="142" t="str">
        <f>IF(C543="","",'05 Stocks'!E46)</f>
        <v/>
      </c>
      <c r="H543" s="143" t="str">
        <f>IF(C543="","",'05 Stocks'!H46)</f>
        <v/>
      </c>
      <c r="I543" s="144" t="str">
        <f>IF(C543="","",'05 Stocks'!J46)</f>
        <v/>
      </c>
      <c r="J543" s="145" t="str">
        <f>IF(C543="","",'05 Stocks'!K46)</f>
        <v/>
      </c>
      <c r="K543" s="145" t="str">
        <f>IF(C543="","",'05 Stocks'!Q46)</f>
        <v/>
      </c>
      <c r="L543" s="142" t="str">
        <f>IF(C543="","",'05 Stocks'!R46)</f>
        <v/>
      </c>
      <c r="M543" s="145" t="str">
        <f>IF(C543="","",'05 Stocks'!T46)</f>
        <v/>
      </c>
      <c r="N543" s="146" t="str">
        <f>IF(C543="","",IF($J$3&gt;0,J543/$J$3,0))</f>
        <v/>
      </c>
      <c r="O543" s="141" t="str">
        <f>IF(C543="","",'05 Stocks'!I46)</f>
        <v/>
      </c>
      <c r="P543" s="147" t="str">
        <f>IF(C543="","",IF(N(J543)&gt;0,J543+ROW()/1E9,""))</f>
        <v/>
      </c>
      <c r="Q543" s="147" t="str">
        <f>IF(C543="","",IF(N(M543)&gt;0,M543+ROW()/1E9,""))</f>
        <v/>
      </c>
    </row>
    <row r="544">
      <c r="A544" s="134" t="str">
        <f>IF(C544="","","Stocks")</f>
        <v/>
      </c>
      <c r="B544" s="134" t="str">
        <f>IF(C544="","","Exterior")</f>
        <v/>
      </c>
      <c r="C544" s="134" t="str">
        <f>IF('05 Stocks'!A47="","",'05 Stocks'!A47&amp;"")</f>
        <v/>
      </c>
      <c r="D544" s="134" t="str">
        <f>IF(C544="","",'05 Stocks'!B47&amp;"")</f>
        <v/>
      </c>
      <c r="E544" s="134" t="str">
        <f>IF(C544="","",'05 Stocks'!C47&amp;"")</f>
        <v/>
      </c>
      <c r="F544" s="134" t="str">
        <f>IF(C544="","",'05 Stocks'!V47)</f>
        <v/>
      </c>
      <c r="G544" s="135" t="str">
        <f>IF(C544="","",'05 Stocks'!E47)</f>
        <v/>
      </c>
      <c r="H544" s="136" t="str">
        <f>IF(C544="","",'05 Stocks'!H47)</f>
        <v/>
      </c>
      <c r="I544" s="137" t="str">
        <f>IF(C544="","",'05 Stocks'!J47)</f>
        <v/>
      </c>
      <c r="J544" s="138" t="str">
        <f>IF(C544="","",'05 Stocks'!K47)</f>
        <v/>
      </c>
      <c r="K544" s="138" t="str">
        <f>IF(C544="","",'05 Stocks'!Q47)</f>
        <v/>
      </c>
      <c r="L544" s="135" t="str">
        <f>IF(C544="","",'05 Stocks'!R47)</f>
        <v/>
      </c>
      <c r="M544" s="138" t="str">
        <f>IF(C544="","",'05 Stocks'!T47)</f>
        <v/>
      </c>
      <c r="N544" s="139" t="str">
        <f>IF(C544="","",IF($J$3&gt;0,J544/$J$3,0))</f>
        <v/>
      </c>
      <c r="O544" s="134" t="str">
        <f>IF(C544="","",'05 Stocks'!I47)</f>
        <v/>
      </c>
      <c r="P544" s="140" t="str">
        <f>IF(C544="","",IF(N(J544)&gt;0,J544+ROW()/1E9,""))</f>
        <v/>
      </c>
      <c r="Q544" s="140" t="str">
        <f>IF(C544="","",IF(N(M544)&gt;0,M544+ROW()/1E9,""))</f>
        <v/>
      </c>
    </row>
    <row r="545">
      <c r="A545" s="141" t="str">
        <f>IF(C545="","","Stocks")</f>
        <v/>
      </c>
      <c r="B545" s="141" t="str">
        <f>IF(C545="","","Exterior")</f>
        <v/>
      </c>
      <c r="C545" s="141" t="str">
        <f>IF('05 Stocks'!A48="","",'05 Stocks'!A48&amp;"")</f>
        <v/>
      </c>
      <c r="D545" s="141" t="str">
        <f>IF(C545="","",'05 Stocks'!B48&amp;"")</f>
        <v/>
      </c>
      <c r="E545" s="141" t="str">
        <f>IF(C545="","",'05 Stocks'!C48&amp;"")</f>
        <v/>
      </c>
      <c r="F545" s="141" t="str">
        <f>IF(C545="","",'05 Stocks'!V48)</f>
        <v/>
      </c>
      <c r="G545" s="142" t="str">
        <f>IF(C545="","",'05 Stocks'!E48)</f>
        <v/>
      </c>
      <c r="H545" s="143" t="str">
        <f>IF(C545="","",'05 Stocks'!H48)</f>
        <v/>
      </c>
      <c r="I545" s="144" t="str">
        <f>IF(C545="","",'05 Stocks'!J48)</f>
        <v/>
      </c>
      <c r="J545" s="145" t="str">
        <f>IF(C545="","",'05 Stocks'!K48)</f>
        <v/>
      </c>
      <c r="K545" s="145" t="str">
        <f>IF(C545="","",'05 Stocks'!Q48)</f>
        <v/>
      </c>
      <c r="L545" s="142" t="str">
        <f>IF(C545="","",'05 Stocks'!R48)</f>
        <v/>
      </c>
      <c r="M545" s="145" t="str">
        <f>IF(C545="","",'05 Stocks'!T48)</f>
        <v/>
      </c>
      <c r="N545" s="146" t="str">
        <f>IF(C545="","",IF($J$3&gt;0,J545/$J$3,0))</f>
        <v/>
      </c>
      <c r="O545" s="141" t="str">
        <f>IF(C545="","",'05 Stocks'!I48)</f>
        <v/>
      </c>
      <c r="P545" s="147" t="str">
        <f>IF(C545="","",IF(N(J545)&gt;0,J545+ROW()/1E9,""))</f>
        <v/>
      </c>
      <c r="Q545" s="147" t="str">
        <f>IF(C545="","",IF(N(M545)&gt;0,M545+ROW()/1E9,""))</f>
        <v/>
      </c>
    </row>
    <row r="546">
      <c r="A546" s="134" t="str">
        <f>IF(C546="","","Stocks")</f>
        <v/>
      </c>
      <c r="B546" s="134" t="str">
        <f>IF(C546="","","Exterior")</f>
        <v/>
      </c>
      <c r="C546" s="134" t="str">
        <f>IF('05 Stocks'!A49="","",'05 Stocks'!A49&amp;"")</f>
        <v/>
      </c>
      <c r="D546" s="134" t="str">
        <f>IF(C546="","",'05 Stocks'!B49&amp;"")</f>
        <v/>
      </c>
      <c r="E546" s="134" t="str">
        <f>IF(C546="","",'05 Stocks'!C49&amp;"")</f>
        <v/>
      </c>
      <c r="F546" s="134" t="str">
        <f>IF(C546="","",'05 Stocks'!V49)</f>
        <v/>
      </c>
      <c r="G546" s="135" t="str">
        <f>IF(C546="","",'05 Stocks'!E49)</f>
        <v/>
      </c>
      <c r="H546" s="136" t="str">
        <f>IF(C546="","",'05 Stocks'!H49)</f>
        <v/>
      </c>
      <c r="I546" s="137" t="str">
        <f>IF(C546="","",'05 Stocks'!J49)</f>
        <v/>
      </c>
      <c r="J546" s="138" t="str">
        <f>IF(C546="","",'05 Stocks'!K49)</f>
        <v/>
      </c>
      <c r="K546" s="138" t="str">
        <f>IF(C546="","",'05 Stocks'!Q49)</f>
        <v/>
      </c>
      <c r="L546" s="135" t="str">
        <f>IF(C546="","",'05 Stocks'!R49)</f>
        <v/>
      </c>
      <c r="M546" s="138" t="str">
        <f>IF(C546="","",'05 Stocks'!T49)</f>
        <v/>
      </c>
      <c r="N546" s="139" t="str">
        <f>IF(C546="","",IF($J$3&gt;0,J546/$J$3,0))</f>
        <v/>
      </c>
      <c r="O546" s="134" t="str">
        <f>IF(C546="","",'05 Stocks'!I49)</f>
        <v/>
      </c>
      <c r="P546" s="140" t="str">
        <f>IF(C546="","",IF(N(J546)&gt;0,J546+ROW()/1E9,""))</f>
        <v/>
      </c>
      <c r="Q546" s="140" t="str">
        <f>IF(C546="","",IF(N(M546)&gt;0,M546+ROW()/1E9,""))</f>
        <v/>
      </c>
    </row>
    <row r="547">
      <c r="A547" s="141" t="str">
        <f>IF(C547="","","Stocks")</f>
        <v/>
      </c>
      <c r="B547" s="141" t="str">
        <f>IF(C547="","","Exterior")</f>
        <v/>
      </c>
      <c r="C547" s="141" t="str">
        <f>IF('05 Stocks'!A50="","",'05 Stocks'!A50&amp;"")</f>
        <v/>
      </c>
      <c r="D547" s="141" t="str">
        <f>IF(C547="","",'05 Stocks'!B50&amp;"")</f>
        <v/>
      </c>
      <c r="E547" s="141" t="str">
        <f>IF(C547="","",'05 Stocks'!C50&amp;"")</f>
        <v/>
      </c>
      <c r="F547" s="141" t="str">
        <f>IF(C547="","",'05 Stocks'!V50)</f>
        <v/>
      </c>
      <c r="G547" s="142" t="str">
        <f>IF(C547="","",'05 Stocks'!E50)</f>
        <v/>
      </c>
      <c r="H547" s="143" t="str">
        <f>IF(C547="","",'05 Stocks'!H50)</f>
        <v/>
      </c>
      <c r="I547" s="144" t="str">
        <f>IF(C547="","",'05 Stocks'!J50)</f>
        <v/>
      </c>
      <c r="J547" s="145" t="str">
        <f>IF(C547="","",'05 Stocks'!K50)</f>
        <v/>
      </c>
      <c r="K547" s="145" t="str">
        <f>IF(C547="","",'05 Stocks'!Q50)</f>
        <v/>
      </c>
      <c r="L547" s="142" t="str">
        <f>IF(C547="","",'05 Stocks'!R50)</f>
        <v/>
      </c>
      <c r="M547" s="145" t="str">
        <f>IF(C547="","",'05 Stocks'!T50)</f>
        <v/>
      </c>
      <c r="N547" s="146" t="str">
        <f>IF(C547="","",IF($J$3&gt;0,J547/$J$3,0))</f>
        <v/>
      </c>
      <c r="O547" s="141" t="str">
        <f>IF(C547="","",'05 Stocks'!I50)</f>
        <v/>
      </c>
      <c r="P547" s="147" t="str">
        <f>IF(C547="","",IF(N(J547)&gt;0,J547+ROW()/1E9,""))</f>
        <v/>
      </c>
      <c r="Q547" s="147" t="str">
        <f>IF(C547="","",IF(N(M547)&gt;0,M547+ROW()/1E9,""))</f>
        <v/>
      </c>
    </row>
    <row r="548">
      <c r="A548" s="134" t="str">
        <f>IF(C548="","","Stocks")</f>
        <v/>
      </c>
      <c r="B548" s="134" t="str">
        <f>IF(C548="","","Exterior")</f>
        <v/>
      </c>
      <c r="C548" s="134" t="str">
        <f>IF('05 Stocks'!A51="","",'05 Stocks'!A51&amp;"")</f>
        <v/>
      </c>
      <c r="D548" s="134" t="str">
        <f>IF(C548="","",'05 Stocks'!B51&amp;"")</f>
        <v/>
      </c>
      <c r="E548" s="134" t="str">
        <f>IF(C548="","",'05 Stocks'!C51&amp;"")</f>
        <v/>
      </c>
      <c r="F548" s="134" t="str">
        <f>IF(C548="","",'05 Stocks'!V51)</f>
        <v/>
      </c>
      <c r="G548" s="135" t="str">
        <f>IF(C548="","",'05 Stocks'!E51)</f>
        <v/>
      </c>
      <c r="H548" s="136" t="str">
        <f>IF(C548="","",'05 Stocks'!H51)</f>
        <v/>
      </c>
      <c r="I548" s="137" t="str">
        <f>IF(C548="","",'05 Stocks'!J51)</f>
        <v/>
      </c>
      <c r="J548" s="138" t="str">
        <f>IF(C548="","",'05 Stocks'!K51)</f>
        <v/>
      </c>
      <c r="K548" s="138" t="str">
        <f>IF(C548="","",'05 Stocks'!Q51)</f>
        <v/>
      </c>
      <c r="L548" s="135" t="str">
        <f>IF(C548="","",'05 Stocks'!R51)</f>
        <v/>
      </c>
      <c r="M548" s="138" t="str">
        <f>IF(C548="","",'05 Stocks'!T51)</f>
        <v/>
      </c>
      <c r="N548" s="139" t="str">
        <f>IF(C548="","",IF($J$3&gt;0,J548/$J$3,0))</f>
        <v/>
      </c>
      <c r="O548" s="134" t="str">
        <f>IF(C548="","",'05 Stocks'!I51)</f>
        <v/>
      </c>
      <c r="P548" s="140" t="str">
        <f>IF(C548="","",IF(N(J548)&gt;0,J548+ROW()/1E9,""))</f>
        <v/>
      </c>
      <c r="Q548" s="140" t="str">
        <f>IF(C548="","",IF(N(M548)&gt;0,M548+ROW()/1E9,""))</f>
        <v/>
      </c>
    </row>
    <row r="549">
      <c r="A549" s="141" t="str">
        <f>IF(C549="","","Stocks")</f>
        <v/>
      </c>
      <c r="B549" s="141" t="str">
        <f>IF(C549="","","Exterior")</f>
        <v/>
      </c>
      <c r="C549" s="141" t="str">
        <f>IF('05 Stocks'!A52="","",'05 Stocks'!A52&amp;"")</f>
        <v/>
      </c>
      <c r="D549" s="141" t="str">
        <f>IF(C549="","",'05 Stocks'!B52&amp;"")</f>
        <v/>
      </c>
      <c r="E549" s="141" t="str">
        <f>IF(C549="","",'05 Stocks'!C52&amp;"")</f>
        <v/>
      </c>
      <c r="F549" s="141" t="str">
        <f>IF(C549="","",'05 Stocks'!V52)</f>
        <v/>
      </c>
      <c r="G549" s="142" t="str">
        <f>IF(C549="","",'05 Stocks'!E52)</f>
        <v/>
      </c>
      <c r="H549" s="143" t="str">
        <f>IF(C549="","",'05 Stocks'!H52)</f>
        <v/>
      </c>
      <c r="I549" s="144" t="str">
        <f>IF(C549="","",'05 Stocks'!J52)</f>
        <v/>
      </c>
      <c r="J549" s="145" t="str">
        <f>IF(C549="","",'05 Stocks'!K52)</f>
        <v/>
      </c>
      <c r="K549" s="145" t="str">
        <f>IF(C549="","",'05 Stocks'!Q52)</f>
        <v/>
      </c>
      <c r="L549" s="142" t="str">
        <f>IF(C549="","",'05 Stocks'!R52)</f>
        <v/>
      </c>
      <c r="M549" s="145" t="str">
        <f>IF(C549="","",'05 Stocks'!T52)</f>
        <v/>
      </c>
      <c r="N549" s="146" t="str">
        <f>IF(C549="","",IF($J$3&gt;0,J549/$J$3,0))</f>
        <v/>
      </c>
      <c r="O549" s="141" t="str">
        <f>IF(C549="","",'05 Stocks'!I52)</f>
        <v/>
      </c>
      <c r="P549" s="147" t="str">
        <f>IF(C549="","",IF(N(J549)&gt;0,J549+ROW()/1E9,""))</f>
        <v/>
      </c>
      <c r="Q549" s="147" t="str">
        <f>IF(C549="","",IF(N(M549)&gt;0,M549+ROW()/1E9,""))</f>
        <v/>
      </c>
    </row>
    <row r="550">
      <c r="A550" s="134" t="str">
        <f>IF(C550="","","Stocks")</f>
        <v/>
      </c>
      <c r="B550" s="134" t="str">
        <f>IF(C550="","","Exterior")</f>
        <v/>
      </c>
      <c r="C550" s="134" t="str">
        <f>IF('05 Stocks'!A53="","",'05 Stocks'!A53&amp;"")</f>
        <v/>
      </c>
      <c r="D550" s="134" t="str">
        <f>IF(C550="","",'05 Stocks'!B53&amp;"")</f>
        <v/>
      </c>
      <c r="E550" s="134" t="str">
        <f>IF(C550="","",'05 Stocks'!C53&amp;"")</f>
        <v/>
      </c>
      <c r="F550" s="134" t="str">
        <f>IF(C550="","",'05 Stocks'!V53)</f>
        <v/>
      </c>
      <c r="G550" s="135" t="str">
        <f>IF(C550="","",'05 Stocks'!E53)</f>
        <v/>
      </c>
      <c r="H550" s="136" t="str">
        <f>IF(C550="","",'05 Stocks'!H53)</f>
        <v/>
      </c>
      <c r="I550" s="137" t="str">
        <f>IF(C550="","",'05 Stocks'!J53)</f>
        <v/>
      </c>
      <c r="J550" s="138" t="str">
        <f>IF(C550="","",'05 Stocks'!K53)</f>
        <v/>
      </c>
      <c r="K550" s="138" t="str">
        <f>IF(C550="","",'05 Stocks'!Q53)</f>
        <v/>
      </c>
      <c r="L550" s="135" t="str">
        <f>IF(C550="","",'05 Stocks'!R53)</f>
        <v/>
      </c>
      <c r="M550" s="138" t="str">
        <f>IF(C550="","",'05 Stocks'!T53)</f>
        <v/>
      </c>
      <c r="N550" s="139" t="str">
        <f>IF(C550="","",IF($J$3&gt;0,J550/$J$3,0))</f>
        <v/>
      </c>
      <c r="O550" s="134" t="str">
        <f>IF(C550="","",'05 Stocks'!I53)</f>
        <v/>
      </c>
      <c r="P550" s="140" t="str">
        <f>IF(C550="","",IF(N(J550)&gt;0,J550+ROW()/1E9,""))</f>
        <v/>
      </c>
      <c r="Q550" s="140" t="str">
        <f>IF(C550="","",IF(N(M550)&gt;0,M550+ROW()/1E9,""))</f>
        <v/>
      </c>
    </row>
    <row r="551">
      <c r="A551" s="141" t="str">
        <f>IF(C551="","","Stocks")</f>
        <v/>
      </c>
      <c r="B551" s="141" t="str">
        <f>IF(C551="","","Exterior")</f>
        <v/>
      </c>
      <c r="C551" s="141" t="str">
        <f>IF('05 Stocks'!A54="","",'05 Stocks'!A54&amp;"")</f>
        <v/>
      </c>
      <c r="D551" s="141" t="str">
        <f>IF(C551="","",'05 Stocks'!B54&amp;"")</f>
        <v/>
      </c>
      <c r="E551" s="141" t="str">
        <f>IF(C551="","",'05 Stocks'!C54&amp;"")</f>
        <v/>
      </c>
      <c r="F551" s="141" t="str">
        <f>IF(C551="","",'05 Stocks'!V54)</f>
        <v/>
      </c>
      <c r="G551" s="142" t="str">
        <f>IF(C551="","",'05 Stocks'!E54)</f>
        <v/>
      </c>
      <c r="H551" s="143" t="str">
        <f>IF(C551="","",'05 Stocks'!H54)</f>
        <v/>
      </c>
      <c r="I551" s="144" t="str">
        <f>IF(C551="","",'05 Stocks'!J54)</f>
        <v/>
      </c>
      <c r="J551" s="145" t="str">
        <f>IF(C551="","",'05 Stocks'!K54)</f>
        <v/>
      </c>
      <c r="K551" s="145" t="str">
        <f>IF(C551="","",'05 Stocks'!Q54)</f>
        <v/>
      </c>
      <c r="L551" s="142" t="str">
        <f>IF(C551="","",'05 Stocks'!R54)</f>
        <v/>
      </c>
      <c r="M551" s="145" t="str">
        <f>IF(C551="","",'05 Stocks'!T54)</f>
        <v/>
      </c>
      <c r="N551" s="146" t="str">
        <f>IF(C551="","",IF($J$3&gt;0,J551/$J$3,0))</f>
        <v/>
      </c>
      <c r="O551" s="141" t="str">
        <f>IF(C551="","",'05 Stocks'!I54)</f>
        <v/>
      </c>
      <c r="P551" s="147" t="str">
        <f>IF(C551="","",IF(N(J551)&gt;0,J551+ROW()/1E9,""))</f>
        <v/>
      </c>
      <c r="Q551" s="147" t="str">
        <f>IF(C551="","",IF(N(M551)&gt;0,M551+ROW()/1E9,""))</f>
        <v/>
      </c>
    </row>
    <row r="552">
      <c r="A552" s="134" t="str">
        <f>IF(C552="","","Stocks")</f>
        <v/>
      </c>
      <c r="B552" s="134" t="str">
        <f>IF(C552="","","Exterior")</f>
        <v/>
      </c>
      <c r="C552" s="134" t="str">
        <f>IF('05 Stocks'!A55="","",'05 Stocks'!A55&amp;"")</f>
        <v/>
      </c>
      <c r="D552" s="134" t="str">
        <f>IF(C552="","",'05 Stocks'!B55&amp;"")</f>
        <v/>
      </c>
      <c r="E552" s="134" t="str">
        <f>IF(C552="","",'05 Stocks'!C55&amp;"")</f>
        <v/>
      </c>
      <c r="F552" s="134" t="str">
        <f>IF(C552="","",'05 Stocks'!V55)</f>
        <v/>
      </c>
      <c r="G552" s="135" t="str">
        <f>IF(C552="","",'05 Stocks'!E55)</f>
        <v/>
      </c>
      <c r="H552" s="136" t="str">
        <f>IF(C552="","",'05 Stocks'!H55)</f>
        <v/>
      </c>
      <c r="I552" s="137" t="str">
        <f>IF(C552="","",'05 Stocks'!J55)</f>
        <v/>
      </c>
      <c r="J552" s="138" t="str">
        <f>IF(C552="","",'05 Stocks'!K55)</f>
        <v/>
      </c>
      <c r="K552" s="138" t="str">
        <f>IF(C552="","",'05 Stocks'!Q55)</f>
        <v/>
      </c>
      <c r="L552" s="135" t="str">
        <f>IF(C552="","",'05 Stocks'!R55)</f>
        <v/>
      </c>
      <c r="M552" s="138" t="str">
        <f>IF(C552="","",'05 Stocks'!T55)</f>
        <v/>
      </c>
      <c r="N552" s="139" t="str">
        <f>IF(C552="","",IF($J$3&gt;0,J552/$J$3,0))</f>
        <v/>
      </c>
      <c r="O552" s="134" t="str">
        <f>IF(C552="","",'05 Stocks'!I55)</f>
        <v/>
      </c>
      <c r="P552" s="140" t="str">
        <f>IF(C552="","",IF(N(J552)&gt;0,J552+ROW()/1E9,""))</f>
        <v/>
      </c>
      <c r="Q552" s="140" t="str">
        <f>IF(C552="","",IF(N(M552)&gt;0,M552+ROW()/1E9,""))</f>
        <v/>
      </c>
    </row>
    <row r="553">
      <c r="A553" s="141" t="str">
        <f>IF(C553="","","Stocks")</f>
        <v/>
      </c>
      <c r="B553" s="141" t="str">
        <f>IF(C553="","","Exterior")</f>
        <v/>
      </c>
      <c r="C553" s="141" t="str">
        <f>IF('05 Stocks'!A56="","",'05 Stocks'!A56&amp;"")</f>
        <v/>
      </c>
      <c r="D553" s="141" t="str">
        <f>IF(C553="","",'05 Stocks'!B56&amp;"")</f>
        <v/>
      </c>
      <c r="E553" s="141" t="str">
        <f>IF(C553="","",'05 Stocks'!C56&amp;"")</f>
        <v/>
      </c>
      <c r="F553" s="141" t="str">
        <f>IF(C553="","",'05 Stocks'!V56)</f>
        <v/>
      </c>
      <c r="G553" s="142" t="str">
        <f>IF(C553="","",'05 Stocks'!E56)</f>
        <v/>
      </c>
      <c r="H553" s="143" t="str">
        <f>IF(C553="","",'05 Stocks'!H56)</f>
        <v/>
      </c>
      <c r="I553" s="144" t="str">
        <f>IF(C553="","",'05 Stocks'!J56)</f>
        <v/>
      </c>
      <c r="J553" s="145" t="str">
        <f>IF(C553="","",'05 Stocks'!K56)</f>
        <v/>
      </c>
      <c r="K553" s="145" t="str">
        <f>IF(C553="","",'05 Stocks'!Q56)</f>
        <v/>
      </c>
      <c r="L553" s="142" t="str">
        <f>IF(C553="","",'05 Stocks'!R56)</f>
        <v/>
      </c>
      <c r="M553" s="145" t="str">
        <f>IF(C553="","",'05 Stocks'!T56)</f>
        <v/>
      </c>
      <c r="N553" s="146" t="str">
        <f>IF(C553="","",IF($J$3&gt;0,J553/$J$3,0))</f>
        <v/>
      </c>
      <c r="O553" s="141" t="str">
        <f>IF(C553="","",'05 Stocks'!I56)</f>
        <v/>
      </c>
      <c r="P553" s="147" t="str">
        <f>IF(C553="","",IF(N(J553)&gt;0,J553+ROW()/1E9,""))</f>
        <v/>
      </c>
      <c r="Q553" s="147" t="str">
        <f>IF(C553="","",IF(N(M553)&gt;0,M553+ROW()/1E9,""))</f>
        <v/>
      </c>
    </row>
    <row r="554">
      <c r="A554" s="134" t="str">
        <f>IF(C554="","","Stocks")</f>
        <v/>
      </c>
      <c r="B554" s="134" t="str">
        <f>IF(C554="","","Exterior")</f>
        <v/>
      </c>
      <c r="C554" s="134" t="str">
        <f>IF('05 Stocks'!A57="","",'05 Stocks'!A57&amp;"")</f>
        <v/>
      </c>
      <c r="D554" s="134" t="str">
        <f>IF(C554="","",'05 Stocks'!B57&amp;"")</f>
        <v/>
      </c>
      <c r="E554" s="134" t="str">
        <f>IF(C554="","",'05 Stocks'!C57&amp;"")</f>
        <v/>
      </c>
      <c r="F554" s="134" t="str">
        <f>IF(C554="","",'05 Stocks'!V57)</f>
        <v/>
      </c>
      <c r="G554" s="135" t="str">
        <f>IF(C554="","",'05 Stocks'!E57)</f>
        <v/>
      </c>
      <c r="H554" s="136" t="str">
        <f>IF(C554="","",'05 Stocks'!H57)</f>
        <v/>
      </c>
      <c r="I554" s="137" t="str">
        <f>IF(C554="","",'05 Stocks'!J57)</f>
        <v/>
      </c>
      <c r="J554" s="138" t="str">
        <f>IF(C554="","",'05 Stocks'!K57)</f>
        <v/>
      </c>
      <c r="K554" s="138" t="str">
        <f>IF(C554="","",'05 Stocks'!Q57)</f>
        <v/>
      </c>
      <c r="L554" s="135" t="str">
        <f>IF(C554="","",'05 Stocks'!R57)</f>
        <v/>
      </c>
      <c r="M554" s="138" t="str">
        <f>IF(C554="","",'05 Stocks'!T57)</f>
        <v/>
      </c>
      <c r="N554" s="139" t="str">
        <f>IF(C554="","",IF($J$3&gt;0,J554/$J$3,0))</f>
        <v/>
      </c>
      <c r="O554" s="134" t="str">
        <f>IF(C554="","",'05 Stocks'!I57)</f>
        <v/>
      </c>
      <c r="P554" s="140" t="str">
        <f>IF(C554="","",IF(N(J554)&gt;0,J554+ROW()/1E9,""))</f>
        <v/>
      </c>
      <c r="Q554" s="140" t="str">
        <f>IF(C554="","",IF(N(M554)&gt;0,M554+ROW()/1E9,""))</f>
        <v/>
      </c>
    </row>
    <row r="555">
      <c r="A555" s="141" t="str">
        <f>IF(C555="","","Stocks")</f>
        <v/>
      </c>
      <c r="B555" s="141" t="str">
        <f>IF(C555="","","Exterior")</f>
        <v/>
      </c>
      <c r="C555" s="141" t="str">
        <f>IF('05 Stocks'!A58="","",'05 Stocks'!A58&amp;"")</f>
        <v/>
      </c>
      <c r="D555" s="141" t="str">
        <f>IF(C555="","",'05 Stocks'!B58&amp;"")</f>
        <v/>
      </c>
      <c r="E555" s="141" t="str">
        <f>IF(C555="","",'05 Stocks'!C58&amp;"")</f>
        <v/>
      </c>
      <c r="F555" s="141" t="str">
        <f>IF(C555="","",'05 Stocks'!V58)</f>
        <v/>
      </c>
      <c r="G555" s="142" t="str">
        <f>IF(C555="","",'05 Stocks'!E58)</f>
        <v/>
      </c>
      <c r="H555" s="143" t="str">
        <f>IF(C555="","",'05 Stocks'!H58)</f>
        <v/>
      </c>
      <c r="I555" s="144" t="str">
        <f>IF(C555="","",'05 Stocks'!J58)</f>
        <v/>
      </c>
      <c r="J555" s="145" t="str">
        <f>IF(C555="","",'05 Stocks'!K58)</f>
        <v/>
      </c>
      <c r="K555" s="145" t="str">
        <f>IF(C555="","",'05 Stocks'!Q58)</f>
        <v/>
      </c>
      <c r="L555" s="142" t="str">
        <f>IF(C555="","",'05 Stocks'!R58)</f>
        <v/>
      </c>
      <c r="M555" s="145" t="str">
        <f>IF(C555="","",'05 Stocks'!T58)</f>
        <v/>
      </c>
      <c r="N555" s="146" t="str">
        <f>IF(C555="","",IF($J$3&gt;0,J555/$J$3,0))</f>
        <v/>
      </c>
      <c r="O555" s="141" t="str">
        <f>IF(C555="","",'05 Stocks'!I58)</f>
        <v/>
      </c>
      <c r="P555" s="147" t="str">
        <f>IF(C555="","",IF(N(J555)&gt;0,J555+ROW()/1E9,""))</f>
        <v/>
      </c>
      <c r="Q555" s="147" t="str">
        <f>IF(C555="","",IF(N(M555)&gt;0,M555+ROW()/1E9,""))</f>
        <v/>
      </c>
    </row>
    <row r="556">
      <c r="A556" s="134" t="str">
        <f>IF(C556="","","Stocks")</f>
        <v/>
      </c>
      <c r="B556" s="134" t="str">
        <f>IF(C556="","","Exterior")</f>
        <v/>
      </c>
      <c r="C556" s="134" t="str">
        <f>IF('05 Stocks'!A59="","",'05 Stocks'!A59&amp;"")</f>
        <v/>
      </c>
      <c r="D556" s="134" t="str">
        <f>IF(C556="","",'05 Stocks'!B59&amp;"")</f>
        <v/>
      </c>
      <c r="E556" s="134" t="str">
        <f>IF(C556="","",'05 Stocks'!C59&amp;"")</f>
        <v/>
      </c>
      <c r="F556" s="134" t="str">
        <f>IF(C556="","",'05 Stocks'!V59)</f>
        <v/>
      </c>
      <c r="G556" s="135" t="str">
        <f>IF(C556="","",'05 Stocks'!E59)</f>
        <v/>
      </c>
      <c r="H556" s="136" t="str">
        <f>IF(C556="","",'05 Stocks'!H59)</f>
        <v/>
      </c>
      <c r="I556" s="137" t="str">
        <f>IF(C556="","",'05 Stocks'!J59)</f>
        <v/>
      </c>
      <c r="J556" s="138" t="str">
        <f>IF(C556="","",'05 Stocks'!K59)</f>
        <v/>
      </c>
      <c r="K556" s="138" t="str">
        <f>IF(C556="","",'05 Stocks'!Q59)</f>
        <v/>
      </c>
      <c r="L556" s="135" t="str">
        <f>IF(C556="","",'05 Stocks'!R59)</f>
        <v/>
      </c>
      <c r="M556" s="138" t="str">
        <f>IF(C556="","",'05 Stocks'!T59)</f>
        <v/>
      </c>
      <c r="N556" s="139" t="str">
        <f>IF(C556="","",IF($J$3&gt;0,J556/$J$3,0))</f>
        <v/>
      </c>
      <c r="O556" s="134" t="str">
        <f>IF(C556="","",'05 Stocks'!I59)</f>
        <v/>
      </c>
      <c r="P556" s="140" t="str">
        <f>IF(C556="","",IF(N(J556)&gt;0,J556+ROW()/1E9,""))</f>
        <v/>
      </c>
      <c r="Q556" s="140" t="str">
        <f>IF(C556="","",IF(N(M556)&gt;0,M556+ROW()/1E9,""))</f>
        <v/>
      </c>
    </row>
    <row r="557">
      <c r="A557" s="141" t="str">
        <f>IF(C557="","","Stocks")</f>
        <v/>
      </c>
      <c r="B557" s="141" t="str">
        <f>IF(C557="","","Exterior")</f>
        <v/>
      </c>
      <c r="C557" s="141" t="str">
        <f>IF('05 Stocks'!A60="","",'05 Stocks'!A60&amp;"")</f>
        <v/>
      </c>
      <c r="D557" s="141" t="str">
        <f>IF(C557="","",'05 Stocks'!B60&amp;"")</f>
        <v/>
      </c>
      <c r="E557" s="141" t="str">
        <f>IF(C557="","",'05 Stocks'!C60&amp;"")</f>
        <v/>
      </c>
      <c r="F557" s="141" t="str">
        <f>IF(C557="","",'05 Stocks'!V60)</f>
        <v/>
      </c>
      <c r="G557" s="142" t="str">
        <f>IF(C557="","",'05 Stocks'!E60)</f>
        <v/>
      </c>
      <c r="H557" s="143" t="str">
        <f>IF(C557="","",'05 Stocks'!H60)</f>
        <v/>
      </c>
      <c r="I557" s="144" t="str">
        <f>IF(C557="","",'05 Stocks'!J60)</f>
        <v/>
      </c>
      <c r="J557" s="145" t="str">
        <f>IF(C557="","",'05 Stocks'!K60)</f>
        <v/>
      </c>
      <c r="K557" s="145" t="str">
        <f>IF(C557="","",'05 Stocks'!Q60)</f>
        <v/>
      </c>
      <c r="L557" s="142" t="str">
        <f>IF(C557="","",'05 Stocks'!R60)</f>
        <v/>
      </c>
      <c r="M557" s="145" t="str">
        <f>IF(C557="","",'05 Stocks'!T60)</f>
        <v/>
      </c>
      <c r="N557" s="146" t="str">
        <f>IF(C557="","",IF($J$3&gt;0,J557/$J$3,0))</f>
        <v/>
      </c>
      <c r="O557" s="141" t="str">
        <f>IF(C557="","",'05 Stocks'!I60)</f>
        <v/>
      </c>
      <c r="P557" s="147" t="str">
        <f>IF(C557="","",IF(N(J557)&gt;0,J557+ROW()/1E9,""))</f>
        <v/>
      </c>
      <c r="Q557" s="147" t="str">
        <f>IF(C557="","",IF(N(M557)&gt;0,M557+ROW()/1E9,""))</f>
        <v/>
      </c>
    </row>
    <row r="558">
      <c r="A558" s="134" t="str">
        <f>IF(C558="","","Stocks")</f>
        <v/>
      </c>
      <c r="B558" s="134" t="str">
        <f>IF(C558="","","Exterior")</f>
        <v/>
      </c>
      <c r="C558" s="134" t="str">
        <f>IF('05 Stocks'!A61="","",'05 Stocks'!A61&amp;"")</f>
        <v/>
      </c>
      <c r="D558" s="134" t="str">
        <f>IF(C558="","",'05 Stocks'!B61&amp;"")</f>
        <v/>
      </c>
      <c r="E558" s="134" t="str">
        <f>IF(C558="","",'05 Stocks'!C61&amp;"")</f>
        <v/>
      </c>
      <c r="F558" s="134" t="str">
        <f>IF(C558="","",'05 Stocks'!V61)</f>
        <v/>
      </c>
      <c r="G558" s="135" t="str">
        <f>IF(C558="","",'05 Stocks'!E61)</f>
        <v/>
      </c>
      <c r="H558" s="136" t="str">
        <f>IF(C558="","",'05 Stocks'!H61)</f>
        <v/>
      </c>
      <c r="I558" s="137" t="str">
        <f>IF(C558="","",'05 Stocks'!J61)</f>
        <v/>
      </c>
      <c r="J558" s="138" t="str">
        <f>IF(C558="","",'05 Stocks'!K61)</f>
        <v/>
      </c>
      <c r="K558" s="138" t="str">
        <f>IF(C558="","",'05 Stocks'!Q61)</f>
        <v/>
      </c>
      <c r="L558" s="135" t="str">
        <f>IF(C558="","",'05 Stocks'!R61)</f>
        <v/>
      </c>
      <c r="M558" s="138" t="str">
        <f>IF(C558="","",'05 Stocks'!T61)</f>
        <v/>
      </c>
      <c r="N558" s="139" t="str">
        <f>IF(C558="","",IF($J$3&gt;0,J558/$J$3,0))</f>
        <v/>
      </c>
      <c r="O558" s="134" t="str">
        <f>IF(C558="","",'05 Stocks'!I61)</f>
        <v/>
      </c>
      <c r="P558" s="140" t="str">
        <f>IF(C558="","",IF(N(J558)&gt;0,J558+ROW()/1E9,""))</f>
        <v/>
      </c>
      <c r="Q558" s="140" t="str">
        <f>IF(C558="","",IF(N(M558)&gt;0,M558+ROW()/1E9,""))</f>
        <v/>
      </c>
    </row>
    <row r="559">
      <c r="A559" s="141" t="str">
        <f>IF(C559="","","Stocks")</f>
        <v/>
      </c>
      <c r="B559" s="141" t="str">
        <f>IF(C559="","","Exterior")</f>
        <v/>
      </c>
      <c r="C559" s="141" t="str">
        <f>IF('05 Stocks'!A62="","",'05 Stocks'!A62&amp;"")</f>
        <v/>
      </c>
      <c r="D559" s="141" t="str">
        <f>IF(C559="","",'05 Stocks'!B62&amp;"")</f>
        <v/>
      </c>
      <c r="E559" s="141" t="str">
        <f>IF(C559="","",'05 Stocks'!C62&amp;"")</f>
        <v/>
      </c>
      <c r="F559" s="141" t="str">
        <f>IF(C559="","",'05 Stocks'!V62)</f>
        <v/>
      </c>
      <c r="G559" s="142" t="str">
        <f>IF(C559="","",'05 Stocks'!E62)</f>
        <v/>
      </c>
      <c r="H559" s="143" t="str">
        <f>IF(C559="","",'05 Stocks'!H62)</f>
        <v/>
      </c>
      <c r="I559" s="144" t="str">
        <f>IF(C559="","",'05 Stocks'!J62)</f>
        <v/>
      </c>
      <c r="J559" s="145" t="str">
        <f>IF(C559="","",'05 Stocks'!K62)</f>
        <v/>
      </c>
      <c r="K559" s="145" t="str">
        <f>IF(C559="","",'05 Stocks'!Q62)</f>
        <v/>
      </c>
      <c r="L559" s="142" t="str">
        <f>IF(C559="","",'05 Stocks'!R62)</f>
        <v/>
      </c>
      <c r="M559" s="145" t="str">
        <f>IF(C559="","",'05 Stocks'!T62)</f>
        <v/>
      </c>
      <c r="N559" s="146" t="str">
        <f>IF(C559="","",IF($J$3&gt;0,J559/$J$3,0))</f>
        <v/>
      </c>
      <c r="O559" s="141" t="str">
        <f>IF(C559="","",'05 Stocks'!I62)</f>
        <v/>
      </c>
      <c r="P559" s="147" t="str">
        <f>IF(C559="","",IF(N(J559)&gt;0,J559+ROW()/1E9,""))</f>
        <v/>
      </c>
      <c r="Q559" s="147" t="str">
        <f>IF(C559="","",IF(N(M559)&gt;0,M559+ROW()/1E9,""))</f>
        <v/>
      </c>
    </row>
    <row r="560">
      <c r="A560" s="134" t="str">
        <f>IF(C560="","","Stocks")</f>
        <v/>
      </c>
      <c r="B560" s="134" t="str">
        <f>IF(C560="","","Exterior")</f>
        <v/>
      </c>
      <c r="C560" s="134" t="str">
        <f>IF('05 Stocks'!A63="","",'05 Stocks'!A63&amp;"")</f>
        <v/>
      </c>
      <c r="D560" s="134" t="str">
        <f>IF(C560="","",'05 Stocks'!B63&amp;"")</f>
        <v/>
      </c>
      <c r="E560" s="134" t="str">
        <f>IF(C560="","",'05 Stocks'!C63&amp;"")</f>
        <v/>
      </c>
      <c r="F560" s="134" t="str">
        <f>IF(C560="","",'05 Stocks'!V63)</f>
        <v/>
      </c>
      <c r="G560" s="135" t="str">
        <f>IF(C560="","",'05 Stocks'!E63)</f>
        <v/>
      </c>
      <c r="H560" s="136" t="str">
        <f>IF(C560="","",'05 Stocks'!H63)</f>
        <v/>
      </c>
      <c r="I560" s="137" t="str">
        <f>IF(C560="","",'05 Stocks'!J63)</f>
        <v/>
      </c>
      <c r="J560" s="138" t="str">
        <f>IF(C560="","",'05 Stocks'!K63)</f>
        <v/>
      </c>
      <c r="K560" s="138" t="str">
        <f>IF(C560="","",'05 Stocks'!Q63)</f>
        <v/>
      </c>
      <c r="L560" s="135" t="str">
        <f>IF(C560="","",'05 Stocks'!R63)</f>
        <v/>
      </c>
      <c r="M560" s="138" t="str">
        <f>IF(C560="","",'05 Stocks'!T63)</f>
        <v/>
      </c>
      <c r="N560" s="139" t="str">
        <f>IF(C560="","",IF($J$3&gt;0,J560/$J$3,0))</f>
        <v/>
      </c>
      <c r="O560" s="134" t="str">
        <f>IF(C560="","",'05 Stocks'!I63)</f>
        <v/>
      </c>
      <c r="P560" s="140" t="str">
        <f>IF(C560="","",IF(N(J560)&gt;0,J560+ROW()/1E9,""))</f>
        <v/>
      </c>
      <c r="Q560" s="140" t="str">
        <f>IF(C560="","",IF(N(M560)&gt;0,M560+ROW()/1E9,""))</f>
        <v/>
      </c>
    </row>
    <row r="561">
      <c r="A561" s="141" t="str">
        <f>IF(C561="","","Stocks")</f>
        <v/>
      </c>
      <c r="B561" s="141" t="str">
        <f>IF(C561="","","Exterior")</f>
        <v/>
      </c>
      <c r="C561" s="141" t="str">
        <f>IF('05 Stocks'!A64="","",'05 Stocks'!A64&amp;"")</f>
        <v/>
      </c>
      <c r="D561" s="141" t="str">
        <f>IF(C561="","",'05 Stocks'!B64&amp;"")</f>
        <v/>
      </c>
      <c r="E561" s="141" t="str">
        <f>IF(C561="","",'05 Stocks'!C64&amp;"")</f>
        <v/>
      </c>
      <c r="F561" s="141" t="str">
        <f>IF(C561="","",'05 Stocks'!V64)</f>
        <v/>
      </c>
      <c r="G561" s="142" t="str">
        <f>IF(C561="","",'05 Stocks'!E64)</f>
        <v/>
      </c>
      <c r="H561" s="143" t="str">
        <f>IF(C561="","",'05 Stocks'!H64)</f>
        <v/>
      </c>
      <c r="I561" s="144" t="str">
        <f>IF(C561="","",'05 Stocks'!J64)</f>
        <v/>
      </c>
      <c r="J561" s="145" t="str">
        <f>IF(C561="","",'05 Stocks'!K64)</f>
        <v/>
      </c>
      <c r="K561" s="145" t="str">
        <f>IF(C561="","",'05 Stocks'!Q64)</f>
        <v/>
      </c>
      <c r="L561" s="142" t="str">
        <f>IF(C561="","",'05 Stocks'!R64)</f>
        <v/>
      </c>
      <c r="M561" s="145" t="str">
        <f>IF(C561="","",'05 Stocks'!T64)</f>
        <v/>
      </c>
      <c r="N561" s="146" t="str">
        <f>IF(C561="","",IF($J$3&gt;0,J561/$J$3,0))</f>
        <v/>
      </c>
      <c r="O561" s="141" t="str">
        <f>IF(C561="","",'05 Stocks'!I64)</f>
        <v/>
      </c>
      <c r="P561" s="147" t="str">
        <f>IF(C561="","",IF(N(J561)&gt;0,J561+ROW()/1E9,""))</f>
        <v/>
      </c>
      <c r="Q561" s="147" t="str">
        <f>IF(C561="","",IF(N(M561)&gt;0,M561+ROW()/1E9,""))</f>
        <v/>
      </c>
    </row>
    <row r="562">
      <c r="A562" s="134" t="str">
        <f>IF(C562="","","Stocks")</f>
        <v/>
      </c>
      <c r="B562" s="134" t="str">
        <f>IF(C562="","","Exterior")</f>
        <v/>
      </c>
      <c r="C562" s="134" t="str">
        <f>IF('05 Stocks'!A65="","",'05 Stocks'!A65&amp;"")</f>
        <v/>
      </c>
      <c r="D562" s="134" t="str">
        <f>IF(C562="","",'05 Stocks'!B65&amp;"")</f>
        <v/>
      </c>
      <c r="E562" s="134" t="str">
        <f>IF(C562="","",'05 Stocks'!C65&amp;"")</f>
        <v/>
      </c>
      <c r="F562" s="134" t="str">
        <f>IF(C562="","",'05 Stocks'!V65)</f>
        <v/>
      </c>
      <c r="G562" s="135" t="str">
        <f>IF(C562="","",'05 Stocks'!E65)</f>
        <v/>
      </c>
      <c r="H562" s="136" t="str">
        <f>IF(C562="","",'05 Stocks'!H65)</f>
        <v/>
      </c>
      <c r="I562" s="137" t="str">
        <f>IF(C562="","",'05 Stocks'!J65)</f>
        <v/>
      </c>
      <c r="J562" s="138" t="str">
        <f>IF(C562="","",'05 Stocks'!K65)</f>
        <v/>
      </c>
      <c r="K562" s="138" t="str">
        <f>IF(C562="","",'05 Stocks'!Q65)</f>
        <v/>
      </c>
      <c r="L562" s="135" t="str">
        <f>IF(C562="","",'05 Stocks'!R65)</f>
        <v/>
      </c>
      <c r="M562" s="138" t="str">
        <f>IF(C562="","",'05 Stocks'!T65)</f>
        <v/>
      </c>
      <c r="N562" s="139" t="str">
        <f>IF(C562="","",IF($J$3&gt;0,J562/$J$3,0))</f>
        <v/>
      </c>
      <c r="O562" s="134" t="str">
        <f>IF(C562="","",'05 Stocks'!I65)</f>
        <v/>
      </c>
      <c r="P562" s="140" t="str">
        <f>IF(C562="","",IF(N(J562)&gt;0,J562+ROW()/1E9,""))</f>
        <v/>
      </c>
      <c r="Q562" s="140" t="str">
        <f>IF(C562="","",IF(N(M562)&gt;0,M562+ROW()/1E9,""))</f>
        <v/>
      </c>
    </row>
    <row r="563">
      <c r="A563" s="141" t="str">
        <f>IF(C563="","","Stocks")</f>
        <v/>
      </c>
      <c r="B563" s="141" t="str">
        <f>IF(C563="","","Exterior")</f>
        <v/>
      </c>
      <c r="C563" s="141" t="str">
        <f>IF('05 Stocks'!A66="","",'05 Stocks'!A66&amp;"")</f>
        <v/>
      </c>
      <c r="D563" s="141" t="str">
        <f>IF(C563="","",'05 Stocks'!B66&amp;"")</f>
        <v/>
      </c>
      <c r="E563" s="141" t="str">
        <f>IF(C563="","",'05 Stocks'!C66&amp;"")</f>
        <v/>
      </c>
      <c r="F563" s="141" t="str">
        <f>IF(C563="","",'05 Stocks'!V66)</f>
        <v/>
      </c>
      <c r="G563" s="142" t="str">
        <f>IF(C563="","",'05 Stocks'!E66)</f>
        <v/>
      </c>
      <c r="H563" s="143" t="str">
        <f>IF(C563="","",'05 Stocks'!H66)</f>
        <v/>
      </c>
      <c r="I563" s="144" t="str">
        <f>IF(C563="","",'05 Stocks'!J66)</f>
        <v/>
      </c>
      <c r="J563" s="145" t="str">
        <f>IF(C563="","",'05 Stocks'!K66)</f>
        <v/>
      </c>
      <c r="K563" s="145" t="str">
        <f>IF(C563="","",'05 Stocks'!Q66)</f>
        <v/>
      </c>
      <c r="L563" s="142" t="str">
        <f>IF(C563="","",'05 Stocks'!R66)</f>
        <v/>
      </c>
      <c r="M563" s="145" t="str">
        <f>IF(C563="","",'05 Stocks'!T66)</f>
        <v/>
      </c>
      <c r="N563" s="146" t="str">
        <f>IF(C563="","",IF($J$3&gt;0,J563/$J$3,0))</f>
        <v/>
      </c>
      <c r="O563" s="141" t="str">
        <f>IF(C563="","",'05 Stocks'!I66)</f>
        <v/>
      </c>
      <c r="P563" s="147" t="str">
        <f>IF(C563="","",IF(N(J563)&gt;0,J563+ROW()/1E9,""))</f>
        <v/>
      </c>
      <c r="Q563" s="147" t="str">
        <f>IF(C563="","",IF(N(M563)&gt;0,M563+ROW()/1E9,""))</f>
        <v/>
      </c>
    </row>
    <row r="564">
      <c r="A564" s="134" t="str">
        <f>IF(C564="","","Stocks")</f>
        <v/>
      </c>
      <c r="B564" s="134" t="str">
        <f>IF(C564="","","Exterior")</f>
        <v/>
      </c>
      <c r="C564" s="134" t="str">
        <f>IF('05 Stocks'!A67="","",'05 Stocks'!A67&amp;"")</f>
        <v/>
      </c>
      <c r="D564" s="134" t="str">
        <f>IF(C564="","",'05 Stocks'!B67&amp;"")</f>
        <v/>
      </c>
      <c r="E564" s="134" t="str">
        <f>IF(C564="","",'05 Stocks'!C67&amp;"")</f>
        <v/>
      </c>
      <c r="F564" s="134" t="str">
        <f>IF(C564="","",'05 Stocks'!V67)</f>
        <v/>
      </c>
      <c r="G564" s="135" t="str">
        <f>IF(C564="","",'05 Stocks'!E67)</f>
        <v/>
      </c>
      <c r="H564" s="136" t="str">
        <f>IF(C564="","",'05 Stocks'!H67)</f>
        <v/>
      </c>
      <c r="I564" s="137" t="str">
        <f>IF(C564="","",'05 Stocks'!J67)</f>
        <v/>
      </c>
      <c r="J564" s="138" t="str">
        <f>IF(C564="","",'05 Stocks'!K67)</f>
        <v/>
      </c>
      <c r="K564" s="138" t="str">
        <f>IF(C564="","",'05 Stocks'!Q67)</f>
        <v/>
      </c>
      <c r="L564" s="135" t="str">
        <f>IF(C564="","",'05 Stocks'!R67)</f>
        <v/>
      </c>
      <c r="M564" s="138" t="str">
        <f>IF(C564="","",'05 Stocks'!T67)</f>
        <v/>
      </c>
      <c r="N564" s="139" t="str">
        <f>IF(C564="","",IF($J$3&gt;0,J564/$J$3,0))</f>
        <v/>
      </c>
      <c r="O564" s="134" t="str">
        <f>IF(C564="","",'05 Stocks'!I67)</f>
        <v/>
      </c>
      <c r="P564" s="140" t="str">
        <f>IF(C564="","",IF(N(J564)&gt;0,J564+ROW()/1E9,""))</f>
        <v/>
      </c>
      <c r="Q564" s="140" t="str">
        <f>IF(C564="","",IF(N(M564)&gt;0,M564+ROW()/1E9,""))</f>
        <v/>
      </c>
    </row>
    <row r="565">
      <c r="A565" s="141" t="str">
        <f>IF(C565="","","Stocks")</f>
        <v/>
      </c>
      <c r="B565" s="141" t="str">
        <f>IF(C565="","","Exterior")</f>
        <v/>
      </c>
      <c r="C565" s="141" t="str">
        <f>IF('05 Stocks'!A68="","",'05 Stocks'!A68&amp;"")</f>
        <v/>
      </c>
      <c r="D565" s="141" t="str">
        <f>IF(C565="","",'05 Stocks'!B68&amp;"")</f>
        <v/>
      </c>
      <c r="E565" s="141" t="str">
        <f>IF(C565="","",'05 Stocks'!C68&amp;"")</f>
        <v/>
      </c>
      <c r="F565" s="141" t="str">
        <f>IF(C565="","",'05 Stocks'!V68)</f>
        <v/>
      </c>
      <c r="G565" s="142" t="str">
        <f>IF(C565="","",'05 Stocks'!E68)</f>
        <v/>
      </c>
      <c r="H565" s="143" t="str">
        <f>IF(C565="","",'05 Stocks'!H68)</f>
        <v/>
      </c>
      <c r="I565" s="144" t="str">
        <f>IF(C565="","",'05 Stocks'!J68)</f>
        <v/>
      </c>
      <c r="J565" s="145" t="str">
        <f>IF(C565="","",'05 Stocks'!K68)</f>
        <v/>
      </c>
      <c r="K565" s="145" t="str">
        <f>IF(C565="","",'05 Stocks'!Q68)</f>
        <v/>
      </c>
      <c r="L565" s="142" t="str">
        <f>IF(C565="","",'05 Stocks'!R68)</f>
        <v/>
      </c>
      <c r="M565" s="145" t="str">
        <f>IF(C565="","",'05 Stocks'!T68)</f>
        <v/>
      </c>
      <c r="N565" s="146" t="str">
        <f>IF(C565="","",IF($J$3&gt;0,J565/$J$3,0))</f>
        <v/>
      </c>
      <c r="O565" s="141" t="str">
        <f>IF(C565="","",'05 Stocks'!I68)</f>
        <v/>
      </c>
      <c r="P565" s="147" t="str">
        <f>IF(C565="","",IF(N(J565)&gt;0,J565+ROW()/1E9,""))</f>
        <v/>
      </c>
      <c r="Q565" s="147" t="str">
        <f>IF(C565="","",IF(N(M565)&gt;0,M565+ROW()/1E9,""))</f>
        <v/>
      </c>
    </row>
    <row r="566">
      <c r="A566" s="134" t="str">
        <f>IF(C566="","","Stocks")</f>
        <v/>
      </c>
      <c r="B566" s="134" t="str">
        <f>IF(C566="","","Exterior")</f>
        <v/>
      </c>
      <c r="C566" s="134" t="str">
        <f>IF('05 Stocks'!A69="","",'05 Stocks'!A69&amp;"")</f>
        <v/>
      </c>
      <c r="D566" s="134" t="str">
        <f>IF(C566="","",'05 Stocks'!B69&amp;"")</f>
        <v/>
      </c>
      <c r="E566" s="134" t="str">
        <f>IF(C566="","",'05 Stocks'!C69&amp;"")</f>
        <v/>
      </c>
      <c r="F566" s="134" t="str">
        <f>IF(C566="","",'05 Stocks'!V69)</f>
        <v/>
      </c>
      <c r="G566" s="135" t="str">
        <f>IF(C566="","",'05 Stocks'!E69)</f>
        <v/>
      </c>
      <c r="H566" s="136" t="str">
        <f>IF(C566="","",'05 Stocks'!H69)</f>
        <v/>
      </c>
      <c r="I566" s="137" t="str">
        <f>IF(C566="","",'05 Stocks'!J69)</f>
        <v/>
      </c>
      <c r="J566" s="138" t="str">
        <f>IF(C566="","",'05 Stocks'!K69)</f>
        <v/>
      </c>
      <c r="K566" s="138" t="str">
        <f>IF(C566="","",'05 Stocks'!Q69)</f>
        <v/>
      </c>
      <c r="L566" s="135" t="str">
        <f>IF(C566="","",'05 Stocks'!R69)</f>
        <v/>
      </c>
      <c r="M566" s="138" t="str">
        <f>IF(C566="","",'05 Stocks'!T69)</f>
        <v/>
      </c>
      <c r="N566" s="139" t="str">
        <f>IF(C566="","",IF($J$3&gt;0,J566/$J$3,0))</f>
        <v/>
      </c>
      <c r="O566" s="134" t="str">
        <f>IF(C566="","",'05 Stocks'!I69)</f>
        <v/>
      </c>
      <c r="P566" s="140" t="str">
        <f>IF(C566="","",IF(N(J566)&gt;0,J566+ROW()/1E9,""))</f>
        <v/>
      </c>
      <c r="Q566" s="140" t="str">
        <f>IF(C566="","",IF(N(M566)&gt;0,M566+ROW()/1E9,""))</f>
        <v/>
      </c>
    </row>
    <row r="567">
      <c r="A567" s="141" t="str">
        <f>IF(C567="","","Stocks")</f>
        <v/>
      </c>
      <c r="B567" s="141" t="str">
        <f>IF(C567="","","Exterior")</f>
        <v/>
      </c>
      <c r="C567" s="141" t="str">
        <f>IF('05 Stocks'!A70="","",'05 Stocks'!A70&amp;"")</f>
        <v/>
      </c>
      <c r="D567" s="141" t="str">
        <f>IF(C567="","",'05 Stocks'!B70&amp;"")</f>
        <v/>
      </c>
      <c r="E567" s="141" t="str">
        <f>IF(C567="","",'05 Stocks'!C70&amp;"")</f>
        <v/>
      </c>
      <c r="F567" s="141" t="str">
        <f>IF(C567="","",'05 Stocks'!V70)</f>
        <v/>
      </c>
      <c r="G567" s="142" t="str">
        <f>IF(C567="","",'05 Stocks'!E70)</f>
        <v/>
      </c>
      <c r="H567" s="143" t="str">
        <f>IF(C567="","",'05 Stocks'!H70)</f>
        <v/>
      </c>
      <c r="I567" s="144" t="str">
        <f>IF(C567="","",'05 Stocks'!J70)</f>
        <v/>
      </c>
      <c r="J567" s="145" t="str">
        <f>IF(C567="","",'05 Stocks'!K70)</f>
        <v/>
      </c>
      <c r="K567" s="145" t="str">
        <f>IF(C567="","",'05 Stocks'!Q70)</f>
        <v/>
      </c>
      <c r="L567" s="142" t="str">
        <f>IF(C567="","",'05 Stocks'!R70)</f>
        <v/>
      </c>
      <c r="M567" s="145" t="str">
        <f>IF(C567="","",'05 Stocks'!T70)</f>
        <v/>
      </c>
      <c r="N567" s="146" t="str">
        <f>IF(C567="","",IF($J$3&gt;0,J567/$J$3,0))</f>
        <v/>
      </c>
      <c r="O567" s="141" t="str">
        <f>IF(C567="","",'05 Stocks'!I70)</f>
        <v/>
      </c>
      <c r="P567" s="147" t="str">
        <f>IF(C567="","",IF(N(J567)&gt;0,J567+ROW()/1E9,""))</f>
        <v/>
      </c>
      <c r="Q567" s="147" t="str">
        <f>IF(C567="","",IF(N(M567)&gt;0,M567+ROW()/1E9,""))</f>
        <v/>
      </c>
    </row>
    <row r="568">
      <c r="A568" s="134" t="str">
        <f>IF(C568="","","Stocks")</f>
        <v/>
      </c>
      <c r="B568" s="134" t="str">
        <f>IF(C568="","","Exterior")</f>
        <v/>
      </c>
      <c r="C568" s="134" t="str">
        <f>IF('05 Stocks'!A71="","",'05 Stocks'!A71&amp;"")</f>
        <v/>
      </c>
      <c r="D568" s="134" t="str">
        <f>IF(C568="","",'05 Stocks'!B71&amp;"")</f>
        <v/>
      </c>
      <c r="E568" s="134" t="str">
        <f>IF(C568="","",'05 Stocks'!C71&amp;"")</f>
        <v/>
      </c>
      <c r="F568" s="134" t="str">
        <f>IF(C568="","",'05 Stocks'!V71)</f>
        <v/>
      </c>
      <c r="G568" s="135" t="str">
        <f>IF(C568="","",'05 Stocks'!E71)</f>
        <v/>
      </c>
      <c r="H568" s="136" t="str">
        <f>IF(C568="","",'05 Stocks'!H71)</f>
        <v/>
      </c>
      <c r="I568" s="137" t="str">
        <f>IF(C568="","",'05 Stocks'!J71)</f>
        <v/>
      </c>
      <c r="J568" s="138" t="str">
        <f>IF(C568="","",'05 Stocks'!K71)</f>
        <v/>
      </c>
      <c r="K568" s="138" t="str">
        <f>IF(C568="","",'05 Stocks'!Q71)</f>
        <v/>
      </c>
      <c r="L568" s="135" t="str">
        <f>IF(C568="","",'05 Stocks'!R71)</f>
        <v/>
      </c>
      <c r="M568" s="138" t="str">
        <f>IF(C568="","",'05 Stocks'!T71)</f>
        <v/>
      </c>
      <c r="N568" s="139" t="str">
        <f>IF(C568="","",IF($J$3&gt;0,J568/$J$3,0))</f>
        <v/>
      </c>
      <c r="O568" s="134" t="str">
        <f>IF(C568="","",'05 Stocks'!I71)</f>
        <v/>
      </c>
      <c r="P568" s="140" t="str">
        <f>IF(C568="","",IF(N(J568)&gt;0,J568+ROW()/1E9,""))</f>
        <v/>
      </c>
      <c r="Q568" s="140" t="str">
        <f>IF(C568="","",IF(N(M568)&gt;0,M568+ROW()/1E9,""))</f>
        <v/>
      </c>
    </row>
    <row r="569">
      <c r="A569" s="141" t="str">
        <f>IF(C569="","","Stocks")</f>
        <v/>
      </c>
      <c r="B569" s="141" t="str">
        <f>IF(C569="","","Exterior")</f>
        <v/>
      </c>
      <c r="C569" s="141" t="str">
        <f>IF('05 Stocks'!A72="","",'05 Stocks'!A72&amp;"")</f>
        <v/>
      </c>
      <c r="D569" s="141" t="str">
        <f>IF(C569="","",'05 Stocks'!B72&amp;"")</f>
        <v/>
      </c>
      <c r="E569" s="141" t="str">
        <f>IF(C569="","",'05 Stocks'!C72&amp;"")</f>
        <v/>
      </c>
      <c r="F569" s="141" t="str">
        <f>IF(C569="","",'05 Stocks'!V72)</f>
        <v/>
      </c>
      <c r="G569" s="142" t="str">
        <f>IF(C569="","",'05 Stocks'!E72)</f>
        <v/>
      </c>
      <c r="H569" s="143" t="str">
        <f>IF(C569="","",'05 Stocks'!H72)</f>
        <v/>
      </c>
      <c r="I569" s="144" t="str">
        <f>IF(C569="","",'05 Stocks'!J72)</f>
        <v/>
      </c>
      <c r="J569" s="145" t="str">
        <f>IF(C569="","",'05 Stocks'!K72)</f>
        <v/>
      </c>
      <c r="K569" s="145" t="str">
        <f>IF(C569="","",'05 Stocks'!Q72)</f>
        <v/>
      </c>
      <c r="L569" s="142" t="str">
        <f>IF(C569="","",'05 Stocks'!R72)</f>
        <v/>
      </c>
      <c r="M569" s="145" t="str">
        <f>IF(C569="","",'05 Stocks'!T72)</f>
        <v/>
      </c>
      <c r="N569" s="146" t="str">
        <f>IF(C569="","",IF($J$3&gt;0,J569/$J$3,0))</f>
        <v/>
      </c>
      <c r="O569" s="141" t="str">
        <f>IF(C569="","",'05 Stocks'!I72)</f>
        <v/>
      </c>
      <c r="P569" s="147" t="str">
        <f>IF(C569="","",IF(N(J569)&gt;0,J569+ROW()/1E9,""))</f>
        <v/>
      </c>
      <c r="Q569" s="147" t="str">
        <f>IF(C569="","",IF(N(M569)&gt;0,M569+ROW()/1E9,""))</f>
        <v/>
      </c>
    </row>
    <row r="570">
      <c r="A570" s="134" t="str">
        <f>IF(C570="","","Stocks")</f>
        <v/>
      </c>
      <c r="B570" s="134" t="str">
        <f>IF(C570="","","Exterior")</f>
        <v/>
      </c>
      <c r="C570" s="134" t="str">
        <f>IF('05 Stocks'!A73="","",'05 Stocks'!A73&amp;"")</f>
        <v/>
      </c>
      <c r="D570" s="134" t="str">
        <f>IF(C570="","",'05 Stocks'!B73&amp;"")</f>
        <v/>
      </c>
      <c r="E570" s="134" t="str">
        <f>IF(C570="","",'05 Stocks'!C73&amp;"")</f>
        <v/>
      </c>
      <c r="F570" s="134" t="str">
        <f>IF(C570="","",'05 Stocks'!V73)</f>
        <v/>
      </c>
      <c r="G570" s="135" t="str">
        <f>IF(C570="","",'05 Stocks'!E73)</f>
        <v/>
      </c>
      <c r="H570" s="136" t="str">
        <f>IF(C570="","",'05 Stocks'!H73)</f>
        <v/>
      </c>
      <c r="I570" s="137" t="str">
        <f>IF(C570="","",'05 Stocks'!J73)</f>
        <v/>
      </c>
      <c r="J570" s="138" t="str">
        <f>IF(C570="","",'05 Stocks'!K73)</f>
        <v/>
      </c>
      <c r="K570" s="138" t="str">
        <f>IF(C570="","",'05 Stocks'!Q73)</f>
        <v/>
      </c>
      <c r="L570" s="135" t="str">
        <f>IF(C570="","",'05 Stocks'!R73)</f>
        <v/>
      </c>
      <c r="M570" s="138" t="str">
        <f>IF(C570="","",'05 Stocks'!T73)</f>
        <v/>
      </c>
      <c r="N570" s="139" t="str">
        <f>IF(C570="","",IF($J$3&gt;0,J570/$J$3,0))</f>
        <v/>
      </c>
      <c r="O570" s="134" t="str">
        <f>IF(C570="","",'05 Stocks'!I73)</f>
        <v/>
      </c>
      <c r="P570" s="140" t="str">
        <f>IF(C570="","",IF(N(J570)&gt;0,J570+ROW()/1E9,""))</f>
        <v/>
      </c>
      <c r="Q570" s="140" t="str">
        <f>IF(C570="","",IF(N(M570)&gt;0,M570+ROW()/1E9,""))</f>
        <v/>
      </c>
    </row>
    <row r="571">
      <c r="A571" s="141" t="str">
        <f>IF(C571="","","Stocks")</f>
        <v/>
      </c>
      <c r="B571" s="141" t="str">
        <f>IF(C571="","","Exterior")</f>
        <v/>
      </c>
      <c r="C571" s="141" t="str">
        <f>IF('05 Stocks'!A74="","",'05 Stocks'!A74&amp;"")</f>
        <v/>
      </c>
      <c r="D571" s="141" t="str">
        <f>IF(C571="","",'05 Stocks'!B74&amp;"")</f>
        <v/>
      </c>
      <c r="E571" s="141" t="str">
        <f>IF(C571="","",'05 Stocks'!C74&amp;"")</f>
        <v/>
      </c>
      <c r="F571" s="141" t="str">
        <f>IF(C571="","",'05 Stocks'!V74)</f>
        <v/>
      </c>
      <c r="G571" s="142" t="str">
        <f>IF(C571="","",'05 Stocks'!E74)</f>
        <v/>
      </c>
      <c r="H571" s="143" t="str">
        <f>IF(C571="","",'05 Stocks'!H74)</f>
        <v/>
      </c>
      <c r="I571" s="144" t="str">
        <f>IF(C571="","",'05 Stocks'!J74)</f>
        <v/>
      </c>
      <c r="J571" s="145" t="str">
        <f>IF(C571="","",'05 Stocks'!K74)</f>
        <v/>
      </c>
      <c r="K571" s="145" t="str">
        <f>IF(C571="","",'05 Stocks'!Q74)</f>
        <v/>
      </c>
      <c r="L571" s="142" t="str">
        <f>IF(C571="","",'05 Stocks'!R74)</f>
        <v/>
      </c>
      <c r="M571" s="145" t="str">
        <f>IF(C571="","",'05 Stocks'!T74)</f>
        <v/>
      </c>
      <c r="N571" s="146" t="str">
        <f>IF(C571="","",IF($J$3&gt;0,J571/$J$3,0))</f>
        <v/>
      </c>
      <c r="O571" s="141" t="str">
        <f>IF(C571="","",'05 Stocks'!I74)</f>
        <v/>
      </c>
      <c r="P571" s="147" t="str">
        <f>IF(C571="","",IF(N(J571)&gt;0,J571+ROW()/1E9,""))</f>
        <v/>
      </c>
      <c r="Q571" s="147" t="str">
        <f>IF(C571="","",IF(N(M571)&gt;0,M571+ROW()/1E9,""))</f>
        <v/>
      </c>
    </row>
    <row r="572">
      <c r="A572" s="134" t="str">
        <f>IF(C572="","","Stocks")</f>
        <v/>
      </c>
      <c r="B572" s="134" t="str">
        <f>IF(C572="","","Exterior")</f>
        <v/>
      </c>
      <c r="C572" s="134" t="str">
        <f>IF('05 Stocks'!A75="","",'05 Stocks'!A75&amp;"")</f>
        <v/>
      </c>
      <c r="D572" s="134" t="str">
        <f>IF(C572="","",'05 Stocks'!B75&amp;"")</f>
        <v/>
      </c>
      <c r="E572" s="134" t="str">
        <f>IF(C572="","",'05 Stocks'!C75&amp;"")</f>
        <v/>
      </c>
      <c r="F572" s="134" t="str">
        <f>IF(C572="","",'05 Stocks'!V75)</f>
        <v/>
      </c>
      <c r="G572" s="135" t="str">
        <f>IF(C572="","",'05 Stocks'!E75)</f>
        <v/>
      </c>
      <c r="H572" s="136" t="str">
        <f>IF(C572="","",'05 Stocks'!H75)</f>
        <v/>
      </c>
      <c r="I572" s="137" t="str">
        <f>IF(C572="","",'05 Stocks'!J75)</f>
        <v/>
      </c>
      <c r="J572" s="138" t="str">
        <f>IF(C572="","",'05 Stocks'!K75)</f>
        <v/>
      </c>
      <c r="K572" s="138" t="str">
        <f>IF(C572="","",'05 Stocks'!Q75)</f>
        <v/>
      </c>
      <c r="L572" s="135" t="str">
        <f>IF(C572="","",'05 Stocks'!R75)</f>
        <v/>
      </c>
      <c r="M572" s="138" t="str">
        <f>IF(C572="","",'05 Stocks'!T75)</f>
        <v/>
      </c>
      <c r="N572" s="139" t="str">
        <f>IF(C572="","",IF($J$3&gt;0,J572/$J$3,0))</f>
        <v/>
      </c>
      <c r="O572" s="134" t="str">
        <f>IF(C572="","",'05 Stocks'!I75)</f>
        <v/>
      </c>
      <c r="P572" s="140" t="str">
        <f>IF(C572="","",IF(N(J572)&gt;0,J572+ROW()/1E9,""))</f>
        <v/>
      </c>
      <c r="Q572" s="140" t="str">
        <f>IF(C572="","",IF(N(M572)&gt;0,M572+ROW()/1E9,""))</f>
        <v/>
      </c>
    </row>
    <row r="573">
      <c r="A573" s="141" t="str">
        <f>IF(C573="","","Stocks")</f>
        <v/>
      </c>
      <c r="B573" s="141" t="str">
        <f>IF(C573="","","Exterior")</f>
        <v/>
      </c>
      <c r="C573" s="141" t="str">
        <f>IF('05 Stocks'!A76="","",'05 Stocks'!A76&amp;"")</f>
        <v/>
      </c>
      <c r="D573" s="141" t="str">
        <f>IF(C573="","",'05 Stocks'!B76&amp;"")</f>
        <v/>
      </c>
      <c r="E573" s="141" t="str">
        <f>IF(C573="","",'05 Stocks'!C76&amp;"")</f>
        <v/>
      </c>
      <c r="F573" s="141" t="str">
        <f>IF(C573="","",'05 Stocks'!V76)</f>
        <v/>
      </c>
      <c r="G573" s="142" t="str">
        <f>IF(C573="","",'05 Stocks'!E76)</f>
        <v/>
      </c>
      <c r="H573" s="143" t="str">
        <f>IF(C573="","",'05 Stocks'!H76)</f>
        <v/>
      </c>
      <c r="I573" s="144" t="str">
        <f>IF(C573="","",'05 Stocks'!J76)</f>
        <v/>
      </c>
      <c r="J573" s="145" t="str">
        <f>IF(C573="","",'05 Stocks'!K76)</f>
        <v/>
      </c>
      <c r="K573" s="145" t="str">
        <f>IF(C573="","",'05 Stocks'!Q76)</f>
        <v/>
      </c>
      <c r="L573" s="142" t="str">
        <f>IF(C573="","",'05 Stocks'!R76)</f>
        <v/>
      </c>
      <c r="M573" s="145" t="str">
        <f>IF(C573="","",'05 Stocks'!T76)</f>
        <v/>
      </c>
      <c r="N573" s="146" t="str">
        <f>IF(C573="","",IF($J$3&gt;0,J573/$J$3,0))</f>
        <v/>
      </c>
      <c r="O573" s="141" t="str">
        <f>IF(C573="","",'05 Stocks'!I76)</f>
        <v/>
      </c>
      <c r="P573" s="147" t="str">
        <f>IF(C573="","",IF(N(J573)&gt;0,J573+ROW()/1E9,""))</f>
        <v/>
      </c>
      <c r="Q573" s="147" t="str">
        <f>IF(C573="","",IF(N(M573)&gt;0,M573+ROW()/1E9,""))</f>
        <v/>
      </c>
    </row>
    <row r="574">
      <c r="A574" s="134" t="str">
        <f>IF(C574="","","Stocks")</f>
        <v/>
      </c>
      <c r="B574" s="134" t="str">
        <f>IF(C574="","","Exterior")</f>
        <v/>
      </c>
      <c r="C574" s="134" t="str">
        <f>IF('05 Stocks'!A77="","",'05 Stocks'!A77&amp;"")</f>
        <v/>
      </c>
      <c r="D574" s="134" t="str">
        <f>IF(C574="","",'05 Stocks'!B77&amp;"")</f>
        <v/>
      </c>
      <c r="E574" s="134" t="str">
        <f>IF(C574="","",'05 Stocks'!C77&amp;"")</f>
        <v/>
      </c>
      <c r="F574" s="134" t="str">
        <f>IF(C574="","",'05 Stocks'!V77)</f>
        <v/>
      </c>
      <c r="G574" s="135" t="str">
        <f>IF(C574="","",'05 Stocks'!E77)</f>
        <v/>
      </c>
      <c r="H574" s="136" t="str">
        <f>IF(C574="","",'05 Stocks'!H77)</f>
        <v/>
      </c>
      <c r="I574" s="137" t="str">
        <f>IF(C574="","",'05 Stocks'!J77)</f>
        <v/>
      </c>
      <c r="J574" s="138" t="str">
        <f>IF(C574="","",'05 Stocks'!K77)</f>
        <v/>
      </c>
      <c r="K574" s="138" t="str">
        <f>IF(C574="","",'05 Stocks'!Q77)</f>
        <v/>
      </c>
      <c r="L574" s="135" t="str">
        <f>IF(C574="","",'05 Stocks'!R77)</f>
        <v/>
      </c>
      <c r="M574" s="138" t="str">
        <f>IF(C574="","",'05 Stocks'!T77)</f>
        <v/>
      </c>
      <c r="N574" s="139" t="str">
        <f>IF(C574="","",IF($J$3&gt;0,J574/$J$3,0))</f>
        <v/>
      </c>
      <c r="O574" s="134" t="str">
        <f>IF(C574="","",'05 Stocks'!I77)</f>
        <v/>
      </c>
      <c r="P574" s="140" t="str">
        <f>IF(C574="","",IF(N(J574)&gt;0,J574+ROW()/1E9,""))</f>
        <v/>
      </c>
      <c r="Q574" s="140" t="str">
        <f>IF(C574="","",IF(N(M574)&gt;0,M574+ROW()/1E9,""))</f>
        <v/>
      </c>
    </row>
    <row r="575">
      <c r="A575" s="141" t="str">
        <f>IF(C575="","","Stocks")</f>
        <v/>
      </c>
      <c r="B575" s="141" t="str">
        <f>IF(C575="","","Exterior")</f>
        <v/>
      </c>
      <c r="C575" s="141" t="str">
        <f>IF('05 Stocks'!A78="","",'05 Stocks'!A78&amp;"")</f>
        <v/>
      </c>
      <c r="D575" s="141" t="str">
        <f>IF(C575="","",'05 Stocks'!B78&amp;"")</f>
        <v/>
      </c>
      <c r="E575" s="141" t="str">
        <f>IF(C575="","",'05 Stocks'!C78&amp;"")</f>
        <v/>
      </c>
      <c r="F575" s="141" t="str">
        <f>IF(C575="","",'05 Stocks'!V78)</f>
        <v/>
      </c>
      <c r="G575" s="142" t="str">
        <f>IF(C575="","",'05 Stocks'!E78)</f>
        <v/>
      </c>
      <c r="H575" s="143" t="str">
        <f>IF(C575="","",'05 Stocks'!H78)</f>
        <v/>
      </c>
      <c r="I575" s="144" t="str">
        <f>IF(C575="","",'05 Stocks'!J78)</f>
        <v/>
      </c>
      <c r="J575" s="145" t="str">
        <f>IF(C575="","",'05 Stocks'!K78)</f>
        <v/>
      </c>
      <c r="K575" s="145" t="str">
        <f>IF(C575="","",'05 Stocks'!Q78)</f>
        <v/>
      </c>
      <c r="L575" s="142" t="str">
        <f>IF(C575="","",'05 Stocks'!R78)</f>
        <v/>
      </c>
      <c r="M575" s="145" t="str">
        <f>IF(C575="","",'05 Stocks'!T78)</f>
        <v/>
      </c>
      <c r="N575" s="146" t="str">
        <f>IF(C575="","",IF($J$3&gt;0,J575/$J$3,0))</f>
        <v/>
      </c>
      <c r="O575" s="141" t="str">
        <f>IF(C575="","",'05 Stocks'!I78)</f>
        <v/>
      </c>
      <c r="P575" s="147" t="str">
        <f>IF(C575="","",IF(N(J575)&gt;0,J575+ROW()/1E9,""))</f>
        <v/>
      </c>
      <c r="Q575" s="147" t="str">
        <f>IF(C575="","",IF(N(M575)&gt;0,M575+ROW()/1E9,""))</f>
        <v/>
      </c>
    </row>
    <row r="576">
      <c r="A576" s="134" t="str">
        <f>IF(C576="","","Stocks")</f>
        <v/>
      </c>
      <c r="B576" s="134" t="str">
        <f>IF(C576="","","Exterior")</f>
        <v/>
      </c>
      <c r="C576" s="134" t="str">
        <f>IF('05 Stocks'!A79="","",'05 Stocks'!A79&amp;"")</f>
        <v/>
      </c>
      <c r="D576" s="134" t="str">
        <f>IF(C576="","",'05 Stocks'!B79&amp;"")</f>
        <v/>
      </c>
      <c r="E576" s="134" t="str">
        <f>IF(C576="","",'05 Stocks'!C79&amp;"")</f>
        <v/>
      </c>
      <c r="F576" s="134" t="str">
        <f>IF(C576="","",'05 Stocks'!V79)</f>
        <v/>
      </c>
      <c r="G576" s="135" t="str">
        <f>IF(C576="","",'05 Stocks'!E79)</f>
        <v/>
      </c>
      <c r="H576" s="136" t="str">
        <f>IF(C576="","",'05 Stocks'!H79)</f>
        <v/>
      </c>
      <c r="I576" s="137" t="str">
        <f>IF(C576="","",'05 Stocks'!J79)</f>
        <v/>
      </c>
      <c r="J576" s="138" t="str">
        <f>IF(C576="","",'05 Stocks'!K79)</f>
        <v/>
      </c>
      <c r="K576" s="138" t="str">
        <f>IF(C576="","",'05 Stocks'!Q79)</f>
        <v/>
      </c>
      <c r="L576" s="135" t="str">
        <f>IF(C576="","",'05 Stocks'!R79)</f>
        <v/>
      </c>
      <c r="M576" s="138" t="str">
        <f>IF(C576="","",'05 Stocks'!T79)</f>
        <v/>
      </c>
      <c r="N576" s="139" t="str">
        <f>IF(C576="","",IF($J$3&gt;0,J576/$J$3,0))</f>
        <v/>
      </c>
      <c r="O576" s="134" t="str">
        <f>IF(C576="","",'05 Stocks'!I79)</f>
        <v/>
      </c>
      <c r="P576" s="140" t="str">
        <f>IF(C576="","",IF(N(J576)&gt;0,J576+ROW()/1E9,""))</f>
        <v/>
      </c>
      <c r="Q576" s="140" t="str">
        <f>IF(C576="","",IF(N(M576)&gt;0,M576+ROW()/1E9,""))</f>
        <v/>
      </c>
    </row>
    <row r="577">
      <c r="A577" s="141" t="str">
        <f>IF(C577="","","Stocks")</f>
        <v/>
      </c>
      <c r="B577" s="141" t="str">
        <f>IF(C577="","","Exterior")</f>
        <v/>
      </c>
      <c r="C577" s="141" t="str">
        <f>IF('05 Stocks'!A80="","",'05 Stocks'!A80&amp;"")</f>
        <v/>
      </c>
      <c r="D577" s="141" t="str">
        <f>IF(C577="","",'05 Stocks'!B80&amp;"")</f>
        <v/>
      </c>
      <c r="E577" s="141" t="str">
        <f>IF(C577="","",'05 Stocks'!C80&amp;"")</f>
        <v/>
      </c>
      <c r="F577" s="141" t="str">
        <f>IF(C577="","",'05 Stocks'!V80)</f>
        <v/>
      </c>
      <c r="G577" s="142" t="str">
        <f>IF(C577="","",'05 Stocks'!E80)</f>
        <v/>
      </c>
      <c r="H577" s="143" t="str">
        <f>IF(C577="","",'05 Stocks'!H80)</f>
        <v/>
      </c>
      <c r="I577" s="144" t="str">
        <f>IF(C577="","",'05 Stocks'!J80)</f>
        <v/>
      </c>
      <c r="J577" s="145" t="str">
        <f>IF(C577="","",'05 Stocks'!K80)</f>
        <v/>
      </c>
      <c r="K577" s="145" t="str">
        <f>IF(C577="","",'05 Stocks'!Q80)</f>
        <v/>
      </c>
      <c r="L577" s="142" t="str">
        <f>IF(C577="","",'05 Stocks'!R80)</f>
        <v/>
      </c>
      <c r="M577" s="145" t="str">
        <f>IF(C577="","",'05 Stocks'!T80)</f>
        <v/>
      </c>
      <c r="N577" s="146" t="str">
        <f>IF(C577="","",IF($J$3&gt;0,J577/$J$3,0))</f>
        <v/>
      </c>
      <c r="O577" s="141" t="str">
        <f>IF(C577="","",'05 Stocks'!I80)</f>
        <v/>
      </c>
      <c r="P577" s="147" t="str">
        <f>IF(C577="","",IF(N(J577)&gt;0,J577+ROW()/1E9,""))</f>
        <v/>
      </c>
      <c r="Q577" s="147" t="str">
        <f>IF(C577="","",IF(N(M577)&gt;0,M577+ROW()/1E9,""))</f>
        <v/>
      </c>
    </row>
    <row r="578">
      <c r="A578" s="134" t="str">
        <f>IF(C578="","","Stocks")</f>
        <v/>
      </c>
      <c r="B578" s="134" t="str">
        <f>IF(C578="","","Exterior")</f>
        <v/>
      </c>
      <c r="C578" s="134" t="str">
        <f>IF('05 Stocks'!A81="","",'05 Stocks'!A81&amp;"")</f>
        <v/>
      </c>
      <c r="D578" s="134" t="str">
        <f>IF(C578="","",'05 Stocks'!B81&amp;"")</f>
        <v/>
      </c>
      <c r="E578" s="134" t="str">
        <f>IF(C578="","",'05 Stocks'!C81&amp;"")</f>
        <v/>
      </c>
      <c r="F578" s="134" t="str">
        <f>IF(C578="","",'05 Stocks'!V81)</f>
        <v/>
      </c>
      <c r="G578" s="135" t="str">
        <f>IF(C578="","",'05 Stocks'!E81)</f>
        <v/>
      </c>
      <c r="H578" s="136" t="str">
        <f>IF(C578="","",'05 Stocks'!H81)</f>
        <v/>
      </c>
      <c r="I578" s="137" t="str">
        <f>IF(C578="","",'05 Stocks'!J81)</f>
        <v/>
      </c>
      <c r="J578" s="138" t="str">
        <f>IF(C578="","",'05 Stocks'!K81)</f>
        <v/>
      </c>
      <c r="K578" s="138" t="str">
        <f>IF(C578="","",'05 Stocks'!Q81)</f>
        <v/>
      </c>
      <c r="L578" s="135" t="str">
        <f>IF(C578="","",'05 Stocks'!R81)</f>
        <v/>
      </c>
      <c r="M578" s="138" t="str">
        <f>IF(C578="","",'05 Stocks'!T81)</f>
        <v/>
      </c>
      <c r="N578" s="139" t="str">
        <f>IF(C578="","",IF($J$3&gt;0,J578/$J$3,0))</f>
        <v/>
      </c>
      <c r="O578" s="134" t="str">
        <f>IF(C578="","",'05 Stocks'!I81)</f>
        <v/>
      </c>
      <c r="P578" s="140" t="str">
        <f>IF(C578="","",IF(N(J578)&gt;0,J578+ROW()/1E9,""))</f>
        <v/>
      </c>
      <c r="Q578" s="140" t="str">
        <f>IF(C578="","",IF(N(M578)&gt;0,M578+ROW()/1E9,""))</f>
        <v/>
      </c>
    </row>
    <row r="579">
      <c r="A579" s="141" t="str">
        <f>IF(C579="","","Stocks")</f>
        <v/>
      </c>
      <c r="B579" s="141" t="str">
        <f>IF(C579="","","Exterior")</f>
        <v/>
      </c>
      <c r="C579" s="141" t="str">
        <f>IF('05 Stocks'!A82="","",'05 Stocks'!A82&amp;"")</f>
        <v/>
      </c>
      <c r="D579" s="141" t="str">
        <f>IF(C579="","",'05 Stocks'!B82&amp;"")</f>
        <v/>
      </c>
      <c r="E579" s="141" t="str">
        <f>IF(C579="","",'05 Stocks'!C82&amp;"")</f>
        <v/>
      </c>
      <c r="F579" s="141" t="str">
        <f>IF(C579="","",'05 Stocks'!V82)</f>
        <v/>
      </c>
      <c r="G579" s="142" t="str">
        <f>IF(C579="","",'05 Stocks'!E82)</f>
        <v/>
      </c>
      <c r="H579" s="143" t="str">
        <f>IF(C579="","",'05 Stocks'!H82)</f>
        <v/>
      </c>
      <c r="I579" s="144" t="str">
        <f>IF(C579="","",'05 Stocks'!J82)</f>
        <v/>
      </c>
      <c r="J579" s="145" t="str">
        <f>IF(C579="","",'05 Stocks'!K82)</f>
        <v/>
      </c>
      <c r="K579" s="145" t="str">
        <f>IF(C579="","",'05 Stocks'!Q82)</f>
        <v/>
      </c>
      <c r="L579" s="142" t="str">
        <f>IF(C579="","",'05 Stocks'!R82)</f>
        <v/>
      </c>
      <c r="M579" s="145" t="str">
        <f>IF(C579="","",'05 Stocks'!T82)</f>
        <v/>
      </c>
      <c r="N579" s="146" t="str">
        <f>IF(C579="","",IF($J$3&gt;0,J579/$J$3,0))</f>
        <v/>
      </c>
      <c r="O579" s="141" t="str">
        <f>IF(C579="","",'05 Stocks'!I82)</f>
        <v/>
      </c>
      <c r="P579" s="147" t="str">
        <f>IF(C579="","",IF(N(J579)&gt;0,J579+ROW()/1E9,""))</f>
        <v/>
      </c>
      <c r="Q579" s="147" t="str">
        <f>IF(C579="","",IF(N(M579)&gt;0,M579+ROW()/1E9,""))</f>
        <v/>
      </c>
    </row>
    <row r="580">
      <c r="A580" s="134" t="str">
        <f>IF(C580="","","Stocks")</f>
        <v/>
      </c>
      <c r="B580" s="134" t="str">
        <f>IF(C580="","","Exterior")</f>
        <v/>
      </c>
      <c r="C580" s="134" t="str">
        <f>IF('05 Stocks'!A83="","",'05 Stocks'!A83&amp;"")</f>
        <v/>
      </c>
      <c r="D580" s="134" t="str">
        <f>IF(C580="","",'05 Stocks'!B83&amp;"")</f>
        <v/>
      </c>
      <c r="E580" s="134" t="str">
        <f>IF(C580="","",'05 Stocks'!C83&amp;"")</f>
        <v/>
      </c>
      <c r="F580" s="134" t="str">
        <f>IF(C580="","",'05 Stocks'!V83)</f>
        <v/>
      </c>
      <c r="G580" s="135" t="str">
        <f>IF(C580="","",'05 Stocks'!E83)</f>
        <v/>
      </c>
      <c r="H580" s="136" t="str">
        <f>IF(C580="","",'05 Stocks'!H83)</f>
        <v/>
      </c>
      <c r="I580" s="137" t="str">
        <f>IF(C580="","",'05 Stocks'!J83)</f>
        <v/>
      </c>
      <c r="J580" s="138" t="str">
        <f>IF(C580="","",'05 Stocks'!K83)</f>
        <v/>
      </c>
      <c r="K580" s="138" t="str">
        <f>IF(C580="","",'05 Stocks'!Q83)</f>
        <v/>
      </c>
      <c r="L580" s="135" t="str">
        <f>IF(C580="","",'05 Stocks'!R83)</f>
        <v/>
      </c>
      <c r="M580" s="138" t="str">
        <f>IF(C580="","",'05 Stocks'!T83)</f>
        <v/>
      </c>
      <c r="N580" s="139" t="str">
        <f>IF(C580="","",IF($J$3&gt;0,J580/$J$3,0))</f>
        <v/>
      </c>
      <c r="O580" s="134" t="str">
        <f>IF(C580="","",'05 Stocks'!I83)</f>
        <v/>
      </c>
      <c r="P580" s="140" t="str">
        <f>IF(C580="","",IF(N(J580)&gt;0,J580+ROW()/1E9,""))</f>
        <v/>
      </c>
      <c r="Q580" s="140" t="str">
        <f>IF(C580="","",IF(N(M580)&gt;0,M580+ROW()/1E9,""))</f>
        <v/>
      </c>
    </row>
    <row r="581">
      <c r="A581" s="141" t="str">
        <f>IF(C581="","","Stocks")</f>
        <v/>
      </c>
      <c r="B581" s="141" t="str">
        <f>IF(C581="","","Exterior")</f>
        <v/>
      </c>
      <c r="C581" s="141" t="str">
        <f>IF('05 Stocks'!A84="","",'05 Stocks'!A84&amp;"")</f>
        <v/>
      </c>
      <c r="D581" s="141" t="str">
        <f>IF(C581="","",'05 Stocks'!B84&amp;"")</f>
        <v/>
      </c>
      <c r="E581" s="141" t="str">
        <f>IF(C581="","",'05 Stocks'!C84&amp;"")</f>
        <v/>
      </c>
      <c r="F581" s="141" t="str">
        <f>IF(C581="","",'05 Stocks'!V84)</f>
        <v/>
      </c>
      <c r="G581" s="142" t="str">
        <f>IF(C581="","",'05 Stocks'!E84)</f>
        <v/>
      </c>
      <c r="H581" s="143" t="str">
        <f>IF(C581="","",'05 Stocks'!H84)</f>
        <v/>
      </c>
      <c r="I581" s="144" t="str">
        <f>IF(C581="","",'05 Stocks'!J84)</f>
        <v/>
      </c>
      <c r="J581" s="145" t="str">
        <f>IF(C581="","",'05 Stocks'!K84)</f>
        <v/>
      </c>
      <c r="K581" s="145" t="str">
        <f>IF(C581="","",'05 Stocks'!Q84)</f>
        <v/>
      </c>
      <c r="L581" s="142" t="str">
        <f>IF(C581="","",'05 Stocks'!R84)</f>
        <v/>
      </c>
      <c r="M581" s="145" t="str">
        <f>IF(C581="","",'05 Stocks'!T84)</f>
        <v/>
      </c>
      <c r="N581" s="146" t="str">
        <f>IF(C581="","",IF($J$3&gt;0,J581/$J$3,0))</f>
        <v/>
      </c>
      <c r="O581" s="141" t="str">
        <f>IF(C581="","",'05 Stocks'!I84)</f>
        <v/>
      </c>
      <c r="P581" s="147" t="str">
        <f>IF(C581="","",IF(N(J581)&gt;0,J581+ROW()/1E9,""))</f>
        <v/>
      </c>
      <c r="Q581" s="147" t="str">
        <f>IF(C581="","",IF(N(M581)&gt;0,M581+ROW()/1E9,""))</f>
        <v/>
      </c>
    </row>
    <row r="582">
      <c r="A582" s="134" t="str">
        <f>IF(C582="","","Stocks")</f>
        <v/>
      </c>
      <c r="B582" s="134" t="str">
        <f>IF(C582="","","Exterior")</f>
        <v/>
      </c>
      <c r="C582" s="134" t="str">
        <f>IF('05 Stocks'!A85="","",'05 Stocks'!A85&amp;"")</f>
        <v/>
      </c>
      <c r="D582" s="134" t="str">
        <f>IF(C582="","",'05 Stocks'!B85&amp;"")</f>
        <v/>
      </c>
      <c r="E582" s="134" t="str">
        <f>IF(C582="","",'05 Stocks'!C85&amp;"")</f>
        <v/>
      </c>
      <c r="F582" s="134" t="str">
        <f>IF(C582="","",'05 Stocks'!V85)</f>
        <v/>
      </c>
      <c r="G582" s="135" t="str">
        <f>IF(C582="","",'05 Stocks'!E85)</f>
        <v/>
      </c>
      <c r="H582" s="136" t="str">
        <f>IF(C582="","",'05 Stocks'!H85)</f>
        <v/>
      </c>
      <c r="I582" s="137" t="str">
        <f>IF(C582="","",'05 Stocks'!J85)</f>
        <v/>
      </c>
      <c r="J582" s="138" t="str">
        <f>IF(C582="","",'05 Stocks'!K85)</f>
        <v/>
      </c>
      <c r="K582" s="138" t="str">
        <f>IF(C582="","",'05 Stocks'!Q85)</f>
        <v/>
      </c>
      <c r="L582" s="135" t="str">
        <f>IF(C582="","",'05 Stocks'!R85)</f>
        <v/>
      </c>
      <c r="M582" s="138" t="str">
        <f>IF(C582="","",'05 Stocks'!T85)</f>
        <v/>
      </c>
      <c r="N582" s="139" t="str">
        <f>IF(C582="","",IF($J$3&gt;0,J582/$J$3,0))</f>
        <v/>
      </c>
      <c r="O582" s="134" t="str">
        <f>IF(C582="","",'05 Stocks'!I85)</f>
        <v/>
      </c>
      <c r="P582" s="140" t="str">
        <f>IF(C582="","",IF(N(J582)&gt;0,J582+ROW()/1E9,""))</f>
        <v/>
      </c>
      <c r="Q582" s="140" t="str">
        <f>IF(C582="","",IF(N(M582)&gt;0,M582+ROW()/1E9,""))</f>
        <v/>
      </c>
    </row>
    <row r="583">
      <c r="A583" s="141" t="str">
        <f>IF(C583="","","Stocks")</f>
        <v/>
      </c>
      <c r="B583" s="141" t="str">
        <f>IF(C583="","","Exterior")</f>
        <v/>
      </c>
      <c r="C583" s="141" t="str">
        <f>IF('05 Stocks'!A86="","",'05 Stocks'!A86&amp;"")</f>
        <v/>
      </c>
      <c r="D583" s="141" t="str">
        <f>IF(C583="","",'05 Stocks'!B86&amp;"")</f>
        <v/>
      </c>
      <c r="E583" s="141" t="str">
        <f>IF(C583="","",'05 Stocks'!C86&amp;"")</f>
        <v/>
      </c>
      <c r="F583" s="141" t="str">
        <f>IF(C583="","",'05 Stocks'!V86)</f>
        <v/>
      </c>
      <c r="G583" s="142" t="str">
        <f>IF(C583="","",'05 Stocks'!E86)</f>
        <v/>
      </c>
      <c r="H583" s="143" t="str">
        <f>IF(C583="","",'05 Stocks'!H86)</f>
        <v/>
      </c>
      <c r="I583" s="144" t="str">
        <f>IF(C583="","",'05 Stocks'!J86)</f>
        <v/>
      </c>
      <c r="J583" s="145" t="str">
        <f>IF(C583="","",'05 Stocks'!K86)</f>
        <v/>
      </c>
      <c r="K583" s="145" t="str">
        <f>IF(C583="","",'05 Stocks'!Q86)</f>
        <v/>
      </c>
      <c r="L583" s="142" t="str">
        <f>IF(C583="","",'05 Stocks'!R86)</f>
        <v/>
      </c>
      <c r="M583" s="145" t="str">
        <f>IF(C583="","",'05 Stocks'!T86)</f>
        <v/>
      </c>
      <c r="N583" s="146" t="str">
        <f>IF(C583="","",IF($J$3&gt;0,J583/$J$3,0))</f>
        <v/>
      </c>
      <c r="O583" s="141" t="str">
        <f>IF(C583="","",'05 Stocks'!I86)</f>
        <v/>
      </c>
      <c r="P583" s="147" t="str">
        <f>IF(C583="","",IF(N(J583)&gt;0,J583+ROW()/1E9,""))</f>
        <v/>
      </c>
      <c r="Q583" s="147" t="str">
        <f>IF(C583="","",IF(N(M583)&gt;0,M583+ROW()/1E9,""))</f>
        <v/>
      </c>
    </row>
    <row r="584">
      <c r="A584" s="134" t="str">
        <f>IF(C584="","","Stocks")</f>
        <v/>
      </c>
      <c r="B584" s="134" t="str">
        <f>IF(C584="","","Exterior")</f>
        <v/>
      </c>
      <c r="C584" s="134" t="str">
        <f>IF('05 Stocks'!A87="","",'05 Stocks'!A87&amp;"")</f>
        <v/>
      </c>
      <c r="D584" s="134" t="str">
        <f>IF(C584="","",'05 Stocks'!B87&amp;"")</f>
        <v/>
      </c>
      <c r="E584" s="134" t="str">
        <f>IF(C584="","",'05 Stocks'!C87&amp;"")</f>
        <v/>
      </c>
      <c r="F584" s="134" t="str">
        <f>IF(C584="","",'05 Stocks'!V87)</f>
        <v/>
      </c>
      <c r="G584" s="135" t="str">
        <f>IF(C584="","",'05 Stocks'!E87)</f>
        <v/>
      </c>
      <c r="H584" s="136" t="str">
        <f>IF(C584="","",'05 Stocks'!H87)</f>
        <v/>
      </c>
      <c r="I584" s="137" t="str">
        <f>IF(C584="","",'05 Stocks'!J87)</f>
        <v/>
      </c>
      <c r="J584" s="138" t="str">
        <f>IF(C584="","",'05 Stocks'!K87)</f>
        <v/>
      </c>
      <c r="K584" s="138" t="str">
        <f>IF(C584="","",'05 Stocks'!Q87)</f>
        <v/>
      </c>
      <c r="L584" s="135" t="str">
        <f>IF(C584="","",'05 Stocks'!R87)</f>
        <v/>
      </c>
      <c r="M584" s="138" t="str">
        <f>IF(C584="","",'05 Stocks'!T87)</f>
        <v/>
      </c>
      <c r="N584" s="139" t="str">
        <f>IF(C584="","",IF($J$3&gt;0,J584/$J$3,0))</f>
        <v/>
      </c>
      <c r="O584" s="134" t="str">
        <f>IF(C584="","",'05 Stocks'!I87)</f>
        <v/>
      </c>
      <c r="P584" s="140" t="str">
        <f>IF(C584="","",IF(N(J584)&gt;0,J584+ROW()/1E9,""))</f>
        <v/>
      </c>
      <c r="Q584" s="140" t="str">
        <f>IF(C584="","",IF(N(M584)&gt;0,M584+ROW()/1E9,""))</f>
        <v/>
      </c>
    </row>
    <row r="585">
      <c r="A585" s="141" t="str">
        <f>IF(C585="","","Stocks")</f>
        <v/>
      </c>
      <c r="B585" s="141" t="str">
        <f>IF(C585="","","Exterior")</f>
        <v/>
      </c>
      <c r="C585" s="141" t="str">
        <f>IF('05 Stocks'!A88="","",'05 Stocks'!A88&amp;"")</f>
        <v/>
      </c>
      <c r="D585" s="141" t="str">
        <f>IF(C585="","",'05 Stocks'!B88&amp;"")</f>
        <v/>
      </c>
      <c r="E585" s="141" t="str">
        <f>IF(C585="","",'05 Stocks'!C88&amp;"")</f>
        <v/>
      </c>
      <c r="F585" s="141" t="str">
        <f>IF(C585="","",'05 Stocks'!V88)</f>
        <v/>
      </c>
      <c r="G585" s="142" t="str">
        <f>IF(C585="","",'05 Stocks'!E88)</f>
        <v/>
      </c>
      <c r="H585" s="143" t="str">
        <f>IF(C585="","",'05 Stocks'!H88)</f>
        <v/>
      </c>
      <c r="I585" s="144" t="str">
        <f>IF(C585="","",'05 Stocks'!J88)</f>
        <v/>
      </c>
      <c r="J585" s="145" t="str">
        <f>IF(C585="","",'05 Stocks'!K88)</f>
        <v/>
      </c>
      <c r="K585" s="145" t="str">
        <f>IF(C585="","",'05 Stocks'!Q88)</f>
        <v/>
      </c>
      <c r="L585" s="142" t="str">
        <f>IF(C585="","",'05 Stocks'!R88)</f>
        <v/>
      </c>
      <c r="M585" s="145" t="str">
        <f>IF(C585="","",'05 Stocks'!T88)</f>
        <v/>
      </c>
      <c r="N585" s="146" t="str">
        <f>IF(C585="","",IF($J$3&gt;0,J585/$J$3,0))</f>
        <v/>
      </c>
      <c r="O585" s="141" t="str">
        <f>IF(C585="","",'05 Stocks'!I88)</f>
        <v/>
      </c>
      <c r="P585" s="147" t="str">
        <f>IF(C585="","",IF(N(J585)&gt;0,J585+ROW()/1E9,""))</f>
        <v/>
      </c>
      <c r="Q585" s="147" t="str">
        <f>IF(C585="","",IF(N(M585)&gt;0,M585+ROW()/1E9,""))</f>
        <v/>
      </c>
    </row>
    <row r="586">
      <c r="A586" s="134" t="str">
        <f>IF(C586="","","Stocks")</f>
        <v/>
      </c>
      <c r="B586" s="134" t="str">
        <f>IF(C586="","","Exterior")</f>
        <v/>
      </c>
      <c r="C586" s="134" t="str">
        <f>IF('05 Stocks'!A89="","",'05 Stocks'!A89&amp;"")</f>
        <v/>
      </c>
      <c r="D586" s="134" t="str">
        <f>IF(C586="","",'05 Stocks'!B89&amp;"")</f>
        <v/>
      </c>
      <c r="E586" s="134" t="str">
        <f>IF(C586="","",'05 Stocks'!C89&amp;"")</f>
        <v/>
      </c>
      <c r="F586" s="134" t="str">
        <f>IF(C586="","",'05 Stocks'!V89)</f>
        <v/>
      </c>
      <c r="G586" s="135" t="str">
        <f>IF(C586="","",'05 Stocks'!E89)</f>
        <v/>
      </c>
      <c r="H586" s="136" t="str">
        <f>IF(C586="","",'05 Stocks'!H89)</f>
        <v/>
      </c>
      <c r="I586" s="137" t="str">
        <f>IF(C586="","",'05 Stocks'!J89)</f>
        <v/>
      </c>
      <c r="J586" s="138" t="str">
        <f>IF(C586="","",'05 Stocks'!K89)</f>
        <v/>
      </c>
      <c r="K586" s="138" t="str">
        <f>IF(C586="","",'05 Stocks'!Q89)</f>
        <v/>
      </c>
      <c r="L586" s="135" t="str">
        <f>IF(C586="","",'05 Stocks'!R89)</f>
        <v/>
      </c>
      <c r="M586" s="138" t="str">
        <f>IF(C586="","",'05 Stocks'!T89)</f>
        <v/>
      </c>
      <c r="N586" s="139" t="str">
        <f>IF(C586="","",IF($J$3&gt;0,J586/$J$3,0))</f>
        <v/>
      </c>
      <c r="O586" s="134" t="str">
        <f>IF(C586="","",'05 Stocks'!I89)</f>
        <v/>
      </c>
      <c r="P586" s="140" t="str">
        <f>IF(C586="","",IF(N(J586)&gt;0,J586+ROW()/1E9,""))</f>
        <v/>
      </c>
      <c r="Q586" s="140" t="str">
        <f>IF(C586="","",IF(N(M586)&gt;0,M586+ROW()/1E9,""))</f>
        <v/>
      </c>
    </row>
    <row r="587">
      <c r="A587" s="141" t="str">
        <f>IF(C587="","","Stocks")</f>
        <v/>
      </c>
      <c r="B587" s="141" t="str">
        <f>IF(C587="","","Exterior")</f>
        <v/>
      </c>
      <c r="C587" s="141" t="str">
        <f>IF('05 Stocks'!A90="","",'05 Stocks'!A90&amp;"")</f>
        <v/>
      </c>
      <c r="D587" s="141" t="str">
        <f>IF(C587="","",'05 Stocks'!B90&amp;"")</f>
        <v/>
      </c>
      <c r="E587" s="141" t="str">
        <f>IF(C587="","",'05 Stocks'!C90&amp;"")</f>
        <v/>
      </c>
      <c r="F587" s="141" t="str">
        <f>IF(C587="","",'05 Stocks'!V90)</f>
        <v/>
      </c>
      <c r="G587" s="142" t="str">
        <f>IF(C587="","",'05 Stocks'!E90)</f>
        <v/>
      </c>
      <c r="H587" s="143" t="str">
        <f>IF(C587="","",'05 Stocks'!H90)</f>
        <v/>
      </c>
      <c r="I587" s="144" t="str">
        <f>IF(C587="","",'05 Stocks'!J90)</f>
        <v/>
      </c>
      <c r="J587" s="145" t="str">
        <f>IF(C587="","",'05 Stocks'!K90)</f>
        <v/>
      </c>
      <c r="K587" s="145" t="str">
        <f>IF(C587="","",'05 Stocks'!Q90)</f>
        <v/>
      </c>
      <c r="L587" s="142" t="str">
        <f>IF(C587="","",'05 Stocks'!R90)</f>
        <v/>
      </c>
      <c r="M587" s="145" t="str">
        <f>IF(C587="","",'05 Stocks'!T90)</f>
        <v/>
      </c>
      <c r="N587" s="146" t="str">
        <f>IF(C587="","",IF($J$3&gt;0,J587/$J$3,0))</f>
        <v/>
      </c>
      <c r="O587" s="141" t="str">
        <f>IF(C587="","",'05 Stocks'!I90)</f>
        <v/>
      </c>
      <c r="P587" s="147" t="str">
        <f>IF(C587="","",IF(N(J587)&gt;0,J587+ROW()/1E9,""))</f>
        <v/>
      </c>
      <c r="Q587" s="147" t="str">
        <f>IF(C587="","",IF(N(M587)&gt;0,M587+ROW()/1E9,""))</f>
        <v/>
      </c>
    </row>
    <row r="588">
      <c r="A588" s="134" t="str">
        <f>IF(C588="","","Stocks")</f>
        <v/>
      </c>
      <c r="B588" s="134" t="str">
        <f>IF(C588="","","Exterior")</f>
        <v/>
      </c>
      <c r="C588" s="134" t="str">
        <f>IF('05 Stocks'!A91="","",'05 Stocks'!A91&amp;"")</f>
        <v/>
      </c>
      <c r="D588" s="134" t="str">
        <f>IF(C588="","",'05 Stocks'!B91&amp;"")</f>
        <v/>
      </c>
      <c r="E588" s="134" t="str">
        <f>IF(C588="","",'05 Stocks'!C91&amp;"")</f>
        <v/>
      </c>
      <c r="F588" s="134" t="str">
        <f>IF(C588="","",'05 Stocks'!V91)</f>
        <v/>
      </c>
      <c r="G588" s="135" t="str">
        <f>IF(C588="","",'05 Stocks'!E91)</f>
        <v/>
      </c>
      <c r="H588" s="136" t="str">
        <f>IF(C588="","",'05 Stocks'!H91)</f>
        <v/>
      </c>
      <c r="I588" s="137" t="str">
        <f>IF(C588="","",'05 Stocks'!J91)</f>
        <v/>
      </c>
      <c r="J588" s="138" t="str">
        <f>IF(C588="","",'05 Stocks'!K91)</f>
        <v/>
      </c>
      <c r="K588" s="138" t="str">
        <f>IF(C588="","",'05 Stocks'!Q91)</f>
        <v/>
      </c>
      <c r="L588" s="135" t="str">
        <f>IF(C588="","",'05 Stocks'!R91)</f>
        <v/>
      </c>
      <c r="M588" s="138" t="str">
        <f>IF(C588="","",'05 Stocks'!T91)</f>
        <v/>
      </c>
      <c r="N588" s="139" t="str">
        <f>IF(C588="","",IF($J$3&gt;0,J588/$J$3,0))</f>
        <v/>
      </c>
      <c r="O588" s="134" t="str">
        <f>IF(C588="","",'05 Stocks'!I91)</f>
        <v/>
      </c>
      <c r="P588" s="140" t="str">
        <f>IF(C588="","",IF(N(J588)&gt;0,J588+ROW()/1E9,""))</f>
        <v/>
      </c>
      <c r="Q588" s="140" t="str">
        <f>IF(C588="","",IF(N(M588)&gt;0,M588+ROW()/1E9,""))</f>
        <v/>
      </c>
    </row>
    <row r="589">
      <c r="A589" s="141" t="str">
        <f>IF(C589="","","Stocks")</f>
        <v/>
      </c>
      <c r="B589" s="141" t="str">
        <f>IF(C589="","","Exterior")</f>
        <v/>
      </c>
      <c r="C589" s="141" t="str">
        <f>IF('05 Stocks'!A92="","",'05 Stocks'!A92&amp;"")</f>
        <v/>
      </c>
      <c r="D589" s="141" t="str">
        <f>IF(C589="","",'05 Stocks'!B92&amp;"")</f>
        <v/>
      </c>
      <c r="E589" s="141" t="str">
        <f>IF(C589="","",'05 Stocks'!C92&amp;"")</f>
        <v/>
      </c>
      <c r="F589" s="141" t="str">
        <f>IF(C589="","",'05 Stocks'!V92)</f>
        <v/>
      </c>
      <c r="G589" s="142" t="str">
        <f>IF(C589="","",'05 Stocks'!E92)</f>
        <v/>
      </c>
      <c r="H589" s="143" t="str">
        <f>IF(C589="","",'05 Stocks'!H92)</f>
        <v/>
      </c>
      <c r="I589" s="144" t="str">
        <f>IF(C589="","",'05 Stocks'!J92)</f>
        <v/>
      </c>
      <c r="J589" s="145" t="str">
        <f>IF(C589="","",'05 Stocks'!K92)</f>
        <v/>
      </c>
      <c r="K589" s="145" t="str">
        <f>IF(C589="","",'05 Stocks'!Q92)</f>
        <v/>
      </c>
      <c r="L589" s="142" t="str">
        <f>IF(C589="","",'05 Stocks'!R92)</f>
        <v/>
      </c>
      <c r="M589" s="145" t="str">
        <f>IF(C589="","",'05 Stocks'!T92)</f>
        <v/>
      </c>
      <c r="N589" s="146" t="str">
        <f>IF(C589="","",IF($J$3&gt;0,J589/$J$3,0))</f>
        <v/>
      </c>
      <c r="O589" s="141" t="str">
        <f>IF(C589="","",'05 Stocks'!I92)</f>
        <v/>
      </c>
      <c r="P589" s="147" t="str">
        <f>IF(C589="","",IF(N(J589)&gt;0,J589+ROW()/1E9,""))</f>
        <v/>
      </c>
      <c r="Q589" s="147" t="str">
        <f>IF(C589="","",IF(N(M589)&gt;0,M589+ROW()/1E9,""))</f>
        <v/>
      </c>
    </row>
    <row r="590">
      <c r="A590" s="134" t="str">
        <f>IF(C590="","","Stocks")</f>
        <v/>
      </c>
      <c r="B590" s="134" t="str">
        <f>IF(C590="","","Exterior")</f>
        <v/>
      </c>
      <c r="C590" s="134" t="str">
        <f>IF('05 Stocks'!A93="","",'05 Stocks'!A93&amp;"")</f>
        <v/>
      </c>
      <c r="D590" s="134" t="str">
        <f>IF(C590="","",'05 Stocks'!B93&amp;"")</f>
        <v/>
      </c>
      <c r="E590" s="134" t="str">
        <f>IF(C590="","",'05 Stocks'!C93&amp;"")</f>
        <v/>
      </c>
      <c r="F590" s="134" t="str">
        <f>IF(C590="","",'05 Stocks'!V93)</f>
        <v/>
      </c>
      <c r="G590" s="135" t="str">
        <f>IF(C590="","",'05 Stocks'!E93)</f>
        <v/>
      </c>
      <c r="H590" s="136" t="str">
        <f>IF(C590="","",'05 Stocks'!H93)</f>
        <v/>
      </c>
      <c r="I590" s="137" t="str">
        <f>IF(C590="","",'05 Stocks'!J93)</f>
        <v/>
      </c>
      <c r="J590" s="138" t="str">
        <f>IF(C590="","",'05 Stocks'!K93)</f>
        <v/>
      </c>
      <c r="K590" s="138" t="str">
        <f>IF(C590="","",'05 Stocks'!Q93)</f>
        <v/>
      </c>
      <c r="L590" s="135" t="str">
        <f>IF(C590="","",'05 Stocks'!R93)</f>
        <v/>
      </c>
      <c r="M590" s="138" t="str">
        <f>IF(C590="","",'05 Stocks'!T93)</f>
        <v/>
      </c>
      <c r="N590" s="139" t="str">
        <f>IF(C590="","",IF($J$3&gt;0,J590/$J$3,0))</f>
        <v/>
      </c>
      <c r="O590" s="134" t="str">
        <f>IF(C590="","",'05 Stocks'!I93)</f>
        <v/>
      </c>
      <c r="P590" s="140" t="str">
        <f>IF(C590="","",IF(N(J590)&gt;0,J590+ROW()/1E9,""))</f>
        <v/>
      </c>
      <c r="Q590" s="140" t="str">
        <f>IF(C590="","",IF(N(M590)&gt;0,M590+ROW()/1E9,""))</f>
        <v/>
      </c>
    </row>
    <row r="591">
      <c r="A591" s="141" t="str">
        <f>IF(C591="","","Stocks")</f>
        <v/>
      </c>
      <c r="B591" s="141" t="str">
        <f>IF(C591="","","Exterior")</f>
        <v/>
      </c>
      <c r="C591" s="141" t="str">
        <f>IF('05 Stocks'!A94="","",'05 Stocks'!A94&amp;"")</f>
        <v/>
      </c>
      <c r="D591" s="141" t="str">
        <f>IF(C591="","",'05 Stocks'!B94&amp;"")</f>
        <v/>
      </c>
      <c r="E591" s="141" t="str">
        <f>IF(C591="","",'05 Stocks'!C94&amp;"")</f>
        <v/>
      </c>
      <c r="F591" s="141" t="str">
        <f>IF(C591="","",'05 Stocks'!V94)</f>
        <v/>
      </c>
      <c r="G591" s="142" t="str">
        <f>IF(C591="","",'05 Stocks'!E94)</f>
        <v/>
      </c>
      <c r="H591" s="143" t="str">
        <f>IF(C591="","",'05 Stocks'!H94)</f>
        <v/>
      </c>
      <c r="I591" s="144" t="str">
        <f>IF(C591="","",'05 Stocks'!J94)</f>
        <v/>
      </c>
      <c r="J591" s="145" t="str">
        <f>IF(C591="","",'05 Stocks'!K94)</f>
        <v/>
      </c>
      <c r="K591" s="145" t="str">
        <f>IF(C591="","",'05 Stocks'!Q94)</f>
        <v/>
      </c>
      <c r="L591" s="142" t="str">
        <f>IF(C591="","",'05 Stocks'!R94)</f>
        <v/>
      </c>
      <c r="M591" s="145" t="str">
        <f>IF(C591="","",'05 Stocks'!T94)</f>
        <v/>
      </c>
      <c r="N591" s="146" t="str">
        <f>IF(C591="","",IF($J$3&gt;0,J591/$J$3,0))</f>
        <v/>
      </c>
      <c r="O591" s="141" t="str">
        <f>IF(C591="","",'05 Stocks'!I94)</f>
        <v/>
      </c>
      <c r="P591" s="147" t="str">
        <f>IF(C591="","",IF(N(J591)&gt;0,J591+ROW()/1E9,""))</f>
        <v/>
      </c>
      <c r="Q591" s="147" t="str">
        <f>IF(C591="","",IF(N(M591)&gt;0,M591+ROW()/1E9,""))</f>
        <v/>
      </c>
    </row>
    <row r="592">
      <c r="A592" s="134" t="str">
        <f>IF(C592="","","Stocks")</f>
        <v/>
      </c>
      <c r="B592" s="134" t="str">
        <f>IF(C592="","","Exterior")</f>
        <v/>
      </c>
      <c r="C592" s="134" t="str">
        <f>IF('05 Stocks'!A95="","",'05 Stocks'!A95&amp;"")</f>
        <v/>
      </c>
      <c r="D592" s="134" t="str">
        <f>IF(C592="","",'05 Stocks'!B95&amp;"")</f>
        <v/>
      </c>
      <c r="E592" s="134" t="str">
        <f>IF(C592="","",'05 Stocks'!C95&amp;"")</f>
        <v/>
      </c>
      <c r="F592" s="134" t="str">
        <f>IF(C592="","",'05 Stocks'!V95)</f>
        <v/>
      </c>
      <c r="G592" s="135" t="str">
        <f>IF(C592="","",'05 Stocks'!E95)</f>
        <v/>
      </c>
      <c r="H592" s="136" t="str">
        <f>IF(C592="","",'05 Stocks'!H95)</f>
        <v/>
      </c>
      <c r="I592" s="137" t="str">
        <f>IF(C592="","",'05 Stocks'!J95)</f>
        <v/>
      </c>
      <c r="J592" s="138" t="str">
        <f>IF(C592="","",'05 Stocks'!K95)</f>
        <v/>
      </c>
      <c r="K592" s="138" t="str">
        <f>IF(C592="","",'05 Stocks'!Q95)</f>
        <v/>
      </c>
      <c r="L592" s="135" t="str">
        <f>IF(C592="","",'05 Stocks'!R95)</f>
        <v/>
      </c>
      <c r="M592" s="138" t="str">
        <f>IF(C592="","",'05 Stocks'!T95)</f>
        <v/>
      </c>
      <c r="N592" s="139" t="str">
        <f>IF(C592="","",IF($J$3&gt;0,J592/$J$3,0))</f>
        <v/>
      </c>
      <c r="O592" s="134" t="str">
        <f>IF(C592="","",'05 Stocks'!I95)</f>
        <v/>
      </c>
      <c r="P592" s="140" t="str">
        <f>IF(C592="","",IF(N(J592)&gt;0,J592+ROW()/1E9,""))</f>
        <v/>
      </c>
      <c r="Q592" s="140" t="str">
        <f>IF(C592="","",IF(N(M592)&gt;0,M592+ROW()/1E9,""))</f>
        <v/>
      </c>
    </row>
    <row r="593">
      <c r="A593" s="141" t="str">
        <f>IF(C593="","","Stocks")</f>
        <v/>
      </c>
      <c r="B593" s="141" t="str">
        <f>IF(C593="","","Exterior")</f>
        <v/>
      </c>
      <c r="C593" s="141" t="str">
        <f>IF('05 Stocks'!A96="","",'05 Stocks'!A96&amp;"")</f>
        <v/>
      </c>
      <c r="D593" s="141" t="str">
        <f>IF(C593="","",'05 Stocks'!B96&amp;"")</f>
        <v/>
      </c>
      <c r="E593" s="141" t="str">
        <f>IF(C593="","",'05 Stocks'!C96&amp;"")</f>
        <v/>
      </c>
      <c r="F593" s="141" t="str">
        <f>IF(C593="","",'05 Stocks'!V96)</f>
        <v/>
      </c>
      <c r="G593" s="142" t="str">
        <f>IF(C593="","",'05 Stocks'!E96)</f>
        <v/>
      </c>
      <c r="H593" s="143" t="str">
        <f>IF(C593="","",'05 Stocks'!H96)</f>
        <v/>
      </c>
      <c r="I593" s="144" t="str">
        <f>IF(C593="","",'05 Stocks'!J96)</f>
        <v/>
      </c>
      <c r="J593" s="145" t="str">
        <f>IF(C593="","",'05 Stocks'!K96)</f>
        <v/>
      </c>
      <c r="K593" s="145" t="str">
        <f>IF(C593="","",'05 Stocks'!Q96)</f>
        <v/>
      </c>
      <c r="L593" s="142" t="str">
        <f>IF(C593="","",'05 Stocks'!R96)</f>
        <v/>
      </c>
      <c r="M593" s="145" t="str">
        <f>IF(C593="","",'05 Stocks'!T96)</f>
        <v/>
      </c>
      <c r="N593" s="146" t="str">
        <f>IF(C593="","",IF($J$3&gt;0,J593/$J$3,0))</f>
        <v/>
      </c>
      <c r="O593" s="141" t="str">
        <f>IF(C593="","",'05 Stocks'!I96)</f>
        <v/>
      </c>
      <c r="P593" s="147" t="str">
        <f>IF(C593="","",IF(N(J593)&gt;0,J593+ROW()/1E9,""))</f>
        <v/>
      </c>
      <c r="Q593" s="147" t="str">
        <f>IF(C593="","",IF(N(M593)&gt;0,M593+ROW()/1E9,""))</f>
        <v/>
      </c>
    </row>
    <row r="594">
      <c r="A594" s="134" t="str">
        <f>IF(C594="","","Stocks")</f>
        <v/>
      </c>
      <c r="B594" s="134" t="str">
        <f>IF(C594="","","Exterior")</f>
        <v/>
      </c>
      <c r="C594" s="134" t="str">
        <f>IF('05 Stocks'!A97="","",'05 Stocks'!A97&amp;"")</f>
        <v/>
      </c>
      <c r="D594" s="134" t="str">
        <f>IF(C594="","",'05 Stocks'!B97&amp;"")</f>
        <v/>
      </c>
      <c r="E594" s="134" t="str">
        <f>IF(C594="","",'05 Stocks'!C97&amp;"")</f>
        <v/>
      </c>
      <c r="F594" s="134" t="str">
        <f>IF(C594="","",'05 Stocks'!V97)</f>
        <v/>
      </c>
      <c r="G594" s="135" t="str">
        <f>IF(C594="","",'05 Stocks'!E97)</f>
        <v/>
      </c>
      <c r="H594" s="136" t="str">
        <f>IF(C594="","",'05 Stocks'!H97)</f>
        <v/>
      </c>
      <c r="I594" s="137" t="str">
        <f>IF(C594="","",'05 Stocks'!J97)</f>
        <v/>
      </c>
      <c r="J594" s="138" t="str">
        <f>IF(C594="","",'05 Stocks'!K97)</f>
        <v/>
      </c>
      <c r="K594" s="138" t="str">
        <f>IF(C594="","",'05 Stocks'!Q97)</f>
        <v/>
      </c>
      <c r="L594" s="135" t="str">
        <f>IF(C594="","",'05 Stocks'!R97)</f>
        <v/>
      </c>
      <c r="M594" s="138" t="str">
        <f>IF(C594="","",'05 Stocks'!T97)</f>
        <v/>
      </c>
      <c r="N594" s="139" t="str">
        <f>IF(C594="","",IF($J$3&gt;0,J594/$J$3,0))</f>
        <v/>
      </c>
      <c r="O594" s="134" t="str">
        <f>IF(C594="","",'05 Stocks'!I97)</f>
        <v/>
      </c>
      <c r="P594" s="140" t="str">
        <f>IF(C594="","",IF(N(J594)&gt;0,J594+ROW()/1E9,""))</f>
        <v/>
      </c>
      <c r="Q594" s="140" t="str">
        <f>IF(C594="","",IF(N(M594)&gt;0,M594+ROW()/1E9,""))</f>
        <v/>
      </c>
    </row>
    <row r="595">
      <c r="A595" s="141" t="str">
        <f>IF(C595="","","Stocks")</f>
        <v/>
      </c>
      <c r="B595" s="141" t="str">
        <f>IF(C595="","","Exterior")</f>
        <v/>
      </c>
      <c r="C595" s="141" t="str">
        <f>IF('05 Stocks'!A98="","",'05 Stocks'!A98&amp;"")</f>
        <v/>
      </c>
      <c r="D595" s="141" t="str">
        <f>IF(C595="","",'05 Stocks'!B98&amp;"")</f>
        <v/>
      </c>
      <c r="E595" s="141" t="str">
        <f>IF(C595="","",'05 Stocks'!C98&amp;"")</f>
        <v/>
      </c>
      <c r="F595" s="141" t="str">
        <f>IF(C595="","",'05 Stocks'!V98)</f>
        <v/>
      </c>
      <c r="G595" s="142" t="str">
        <f>IF(C595="","",'05 Stocks'!E98)</f>
        <v/>
      </c>
      <c r="H595" s="143" t="str">
        <f>IF(C595="","",'05 Stocks'!H98)</f>
        <v/>
      </c>
      <c r="I595" s="144" t="str">
        <f>IF(C595="","",'05 Stocks'!J98)</f>
        <v/>
      </c>
      <c r="J595" s="145" t="str">
        <f>IF(C595="","",'05 Stocks'!K98)</f>
        <v/>
      </c>
      <c r="K595" s="145" t="str">
        <f>IF(C595="","",'05 Stocks'!Q98)</f>
        <v/>
      </c>
      <c r="L595" s="142" t="str">
        <f>IF(C595="","",'05 Stocks'!R98)</f>
        <v/>
      </c>
      <c r="M595" s="145" t="str">
        <f>IF(C595="","",'05 Stocks'!T98)</f>
        <v/>
      </c>
      <c r="N595" s="146" t="str">
        <f>IF(C595="","",IF($J$3&gt;0,J595/$J$3,0))</f>
        <v/>
      </c>
      <c r="O595" s="141" t="str">
        <f>IF(C595="","",'05 Stocks'!I98)</f>
        <v/>
      </c>
      <c r="P595" s="147" t="str">
        <f>IF(C595="","",IF(N(J595)&gt;0,J595+ROW()/1E9,""))</f>
        <v/>
      </c>
      <c r="Q595" s="147" t="str">
        <f>IF(C595="","",IF(N(M595)&gt;0,M595+ROW()/1E9,""))</f>
        <v/>
      </c>
    </row>
    <row r="596">
      <c r="A596" s="134" t="str">
        <f>IF(C596="","","Stocks")</f>
        <v/>
      </c>
      <c r="B596" s="134" t="str">
        <f>IF(C596="","","Exterior")</f>
        <v/>
      </c>
      <c r="C596" s="134" t="str">
        <f>IF('05 Stocks'!A99="","",'05 Stocks'!A99&amp;"")</f>
        <v/>
      </c>
      <c r="D596" s="134" t="str">
        <f>IF(C596="","",'05 Stocks'!B99&amp;"")</f>
        <v/>
      </c>
      <c r="E596" s="134" t="str">
        <f>IF(C596="","",'05 Stocks'!C99&amp;"")</f>
        <v/>
      </c>
      <c r="F596" s="134" t="str">
        <f>IF(C596="","",'05 Stocks'!V99)</f>
        <v/>
      </c>
      <c r="G596" s="135" t="str">
        <f>IF(C596="","",'05 Stocks'!E99)</f>
        <v/>
      </c>
      <c r="H596" s="136" t="str">
        <f>IF(C596="","",'05 Stocks'!H99)</f>
        <v/>
      </c>
      <c r="I596" s="137" t="str">
        <f>IF(C596="","",'05 Stocks'!J99)</f>
        <v/>
      </c>
      <c r="J596" s="138" t="str">
        <f>IF(C596="","",'05 Stocks'!K99)</f>
        <v/>
      </c>
      <c r="K596" s="138" t="str">
        <f>IF(C596="","",'05 Stocks'!Q99)</f>
        <v/>
      </c>
      <c r="L596" s="135" t="str">
        <f>IF(C596="","",'05 Stocks'!R99)</f>
        <v/>
      </c>
      <c r="M596" s="138" t="str">
        <f>IF(C596="","",'05 Stocks'!T99)</f>
        <v/>
      </c>
      <c r="N596" s="139" t="str">
        <f>IF(C596="","",IF($J$3&gt;0,J596/$J$3,0))</f>
        <v/>
      </c>
      <c r="O596" s="134" t="str">
        <f>IF(C596="","",'05 Stocks'!I99)</f>
        <v/>
      </c>
      <c r="P596" s="140" t="str">
        <f>IF(C596="","",IF(N(J596)&gt;0,J596+ROW()/1E9,""))</f>
        <v/>
      </c>
      <c r="Q596" s="140" t="str">
        <f>IF(C596="","",IF(N(M596)&gt;0,M596+ROW()/1E9,""))</f>
        <v/>
      </c>
    </row>
    <row r="597">
      <c r="A597" s="141" t="str">
        <f>IF(C597="","","Stocks")</f>
        <v/>
      </c>
      <c r="B597" s="141" t="str">
        <f>IF(C597="","","Exterior")</f>
        <v/>
      </c>
      <c r="C597" s="141" t="str">
        <f>IF('05 Stocks'!A100="","",'05 Stocks'!A100&amp;"")</f>
        <v/>
      </c>
      <c r="D597" s="141" t="str">
        <f>IF(C597="","",'05 Stocks'!B100&amp;"")</f>
        <v/>
      </c>
      <c r="E597" s="141" t="str">
        <f>IF(C597="","",'05 Stocks'!C100&amp;"")</f>
        <v/>
      </c>
      <c r="F597" s="141" t="str">
        <f>IF(C597="","",'05 Stocks'!V100)</f>
        <v/>
      </c>
      <c r="G597" s="142" t="str">
        <f>IF(C597="","",'05 Stocks'!E100)</f>
        <v/>
      </c>
      <c r="H597" s="143" t="str">
        <f>IF(C597="","",'05 Stocks'!H100)</f>
        <v/>
      </c>
      <c r="I597" s="144" t="str">
        <f>IF(C597="","",'05 Stocks'!J100)</f>
        <v/>
      </c>
      <c r="J597" s="145" t="str">
        <f>IF(C597="","",'05 Stocks'!K100)</f>
        <v/>
      </c>
      <c r="K597" s="145" t="str">
        <f>IF(C597="","",'05 Stocks'!Q100)</f>
        <v/>
      </c>
      <c r="L597" s="142" t="str">
        <f>IF(C597="","",'05 Stocks'!R100)</f>
        <v/>
      </c>
      <c r="M597" s="145" t="str">
        <f>IF(C597="","",'05 Stocks'!T100)</f>
        <v/>
      </c>
      <c r="N597" s="146" t="str">
        <f>IF(C597="","",IF($J$3&gt;0,J597/$J$3,0))</f>
        <v/>
      </c>
      <c r="O597" s="141" t="str">
        <f>IF(C597="","",'05 Stocks'!I100)</f>
        <v/>
      </c>
      <c r="P597" s="147" t="str">
        <f>IF(C597="","",IF(N(J597)&gt;0,J597+ROW()/1E9,""))</f>
        <v/>
      </c>
      <c r="Q597" s="147" t="str">
        <f>IF(C597="","",IF(N(M597)&gt;0,M597+ROW()/1E9,""))</f>
        <v/>
      </c>
    </row>
    <row r="598">
      <c r="A598" s="134" t="str">
        <f>IF(C598="","","Stocks")</f>
        <v/>
      </c>
      <c r="B598" s="134" t="str">
        <f>IF(C598="","","Exterior")</f>
        <v/>
      </c>
      <c r="C598" s="134" t="str">
        <f>IF('05 Stocks'!A101="","",'05 Stocks'!A101&amp;"")</f>
        <v/>
      </c>
      <c r="D598" s="134" t="str">
        <f>IF(C598="","",'05 Stocks'!B101&amp;"")</f>
        <v/>
      </c>
      <c r="E598" s="134" t="str">
        <f>IF(C598="","",'05 Stocks'!C101&amp;"")</f>
        <v/>
      </c>
      <c r="F598" s="134" t="str">
        <f>IF(C598="","",'05 Stocks'!V101)</f>
        <v/>
      </c>
      <c r="G598" s="135" t="str">
        <f>IF(C598="","",'05 Stocks'!E101)</f>
        <v/>
      </c>
      <c r="H598" s="136" t="str">
        <f>IF(C598="","",'05 Stocks'!H101)</f>
        <v/>
      </c>
      <c r="I598" s="137" t="str">
        <f>IF(C598="","",'05 Stocks'!J101)</f>
        <v/>
      </c>
      <c r="J598" s="138" t="str">
        <f>IF(C598="","",'05 Stocks'!K101)</f>
        <v/>
      </c>
      <c r="K598" s="138" t="str">
        <f>IF(C598="","",'05 Stocks'!Q101)</f>
        <v/>
      </c>
      <c r="L598" s="135" t="str">
        <f>IF(C598="","",'05 Stocks'!R101)</f>
        <v/>
      </c>
      <c r="M598" s="138" t="str">
        <f>IF(C598="","",'05 Stocks'!T101)</f>
        <v/>
      </c>
      <c r="N598" s="139" t="str">
        <f>IF(C598="","",IF($J$3&gt;0,J598/$J$3,0))</f>
        <v/>
      </c>
      <c r="O598" s="134" t="str">
        <f>IF(C598="","",'05 Stocks'!I101)</f>
        <v/>
      </c>
      <c r="P598" s="140" t="str">
        <f>IF(C598="","",IF(N(J598)&gt;0,J598+ROW()/1E9,""))</f>
        <v/>
      </c>
      <c r="Q598" s="140" t="str">
        <f>IF(C598="","",IF(N(M598)&gt;0,M598+ROW()/1E9,""))</f>
        <v/>
      </c>
    </row>
    <row r="599">
      <c r="A599" s="141" t="str">
        <f>IF(C599="","","Stocks")</f>
        <v/>
      </c>
      <c r="B599" s="141" t="str">
        <f>IF(C599="","","Exterior")</f>
        <v/>
      </c>
      <c r="C599" s="141" t="str">
        <f>IF('05 Stocks'!A102="","",'05 Stocks'!A102&amp;"")</f>
        <v/>
      </c>
      <c r="D599" s="141" t="str">
        <f>IF(C599="","",'05 Stocks'!B102&amp;"")</f>
        <v/>
      </c>
      <c r="E599" s="141" t="str">
        <f>IF(C599="","",'05 Stocks'!C102&amp;"")</f>
        <v/>
      </c>
      <c r="F599" s="141" t="str">
        <f>IF(C599="","",'05 Stocks'!V102)</f>
        <v/>
      </c>
      <c r="G599" s="142" t="str">
        <f>IF(C599="","",'05 Stocks'!E102)</f>
        <v/>
      </c>
      <c r="H599" s="143" t="str">
        <f>IF(C599="","",'05 Stocks'!H102)</f>
        <v/>
      </c>
      <c r="I599" s="144" t="str">
        <f>IF(C599="","",'05 Stocks'!J102)</f>
        <v/>
      </c>
      <c r="J599" s="145" t="str">
        <f>IF(C599="","",'05 Stocks'!K102)</f>
        <v/>
      </c>
      <c r="K599" s="145" t="str">
        <f>IF(C599="","",'05 Stocks'!Q102)</f>
        <v/>
      </c>
      <c r="L599" s="142" t="str">
        <f>IF(C599="","",'05 Stocks'!R102)</f>
        <v/>
      </c>
      <c r="M599" s="145" t="str">
        <f>IF(C599="","",'05 Stocks'!T102)</f>
        <v/>
      </c>
      <c r="N599" s="146" t="str">
        <f>IF(C599="","",IF($J$3&gt;0,J599/$J$3,0))</f>
        <v/>
      </c>
      <c r="O599" s="141" t="str">
        <f>IF(C599="","",'05 Stocks'!I102)</f>
        <v/>
      </c>
      <c r="P599" s="147" t="str">
        <f>IF(C599="","",IF(N(J599)&gt;0,J599+ROW()/1E9,""))</f>
        <v/>
      </c>
      <c r="Q599" s="147" t="str">
        <f>IF(C599="","",IF(N(M599)&gt;0,M599+ROW()/1E9,""))</f>
        <v/>
      </c>
    </row>
    <row r="600">
      <c r="A600" s="134" t="str">
        <f>IF(C600="","","Stocks")</f>
        <v/>
      </c>
      <c r="B600" s="134" t="str">
        <f>IF(C600="","","Exterior")</f>
        <v/>
      </c>
      <c r="C600" s="134" t="str">
        <f>IF('05 Stocks'!A103="","",'05 Stocks'!A103&amp;"")</f>
        <v/>
      </c>
      <c r="D600" s="134" t="str">
        <f>IF(C600="","",'05 Stocks'!B103&amp;"")</f>
        <v/>
      </c>
      <c r="E600" s="134" t="str">
        <f>IF(C600="","",'05 Stocks'!C103&amp;"")</f>
        <v/>
      </c>
      <c r="F600" s="134" t="str">
        <f>IF(C600="","",'05 Stocks'!V103)</f>
        <v/>
      </c>
      <c r="G600" s="135" t="str">
        <f>IF(C600="","",'05 Stocks'!E103)</f>
        <v/>
      </c>
      <c r="H600" s="136" t="str">
        <f>IF(C600="","",'05 Stocks'!H103)</f>
        <v/>
      </c>
      <c r="I600" s="137" t="str">
        <f>IF(C600="","",'05 Stocks'!J103)</f>
        <v/>
      </c>
      <c r="J600" s="138" t="str">
        <f>IF(C600="","",'05 Stocks'!K103)</f>
        <v/>
      </c>
      <c r="K600" s="138" t="str">
        <f>IF(C600="","",'05 Stocks'!Q103)</f>
        <v/>
      </c>
      <c r="L600" s="135" t="str">
        <f>IF(C600="","",'05 Stocks'!R103)</f>
        <v/>
      </c>
      <c r="M600" s="138" t="str">
        <f>IF(C600="","",'05 Stocks'!T103)</f>
        <v/>
      </c>
      <c r="N600" s="139" t="str">
        <f>IF(C600="","",IF($J$3&gt;0,J600/$J$3,0))</f>
        <v/>
      </c>
      <c r="O600" s="134" t="str">
        <f>IF(C600="","",'05 Stocks'!I103)</f>
        <v/>
      </c>
      <c r="P600" s="140" t="str">
        <f>IF(C600="","",IF(N(J600)&gt;0,J600+ROW()/1E9,""))</f>
        <v/>
      </c>
      <c r="Q600" s="140" t="str">
        <f>IF(C600="","",IF(N(M600)&gt;0,M600+ROW()/1E9,""))</f>
        <v/>
      </c>
    </row>
    <row r="601">
      <c r="A601" s="141" t="str">
        <f>IF(C601="","","Stocks")</f>
        <v/>
      </c>
      <c r="B601" s="141" t="str">
        <f>IF(C601="","","Exterior")</f>
        <v/>
      </c>
      <c r="C601" s="141" t="str">
        <f>IF('05 Stocks'!A104="","",'05 Stocks'!A104&amp;"")</f>
        <v/>
      </c>
      <c r="D601" s="141" t="str">
        <f>IF(C601="","",'05 Stocks'!B104&amp;"")</f>
        <v/>
      </c>
      <c r="E601" s="141" t="str">
        <f>IF(C601="","",'05 Stocks'!C104&amp;"")</f>
        <v/>
      </c>
      <c r="F601" s="141" t="str">
        <f>IF(C601="","",'05 Stocks'!V104)</f>
        <v/>
      </c>
      <c r="G601" s="142" t="str">
        <f>IF(C601="","",'05 Stocks'!E104)</f>
        <v/>
      </c>
      <c r="H601" s="143" t="str">
        <f>IF(C601="","",'05 Stocks'!H104)</f>
        <v/>
      </c>
      <c r="I601" s="144" t="str">
        <f>IF(C601="","",'05 Stocks'!J104)</f>
        <v/>
      </c>
      <c r="J601" s="145" t="str">
        <f>IF(C601="","",'05 Stocks'!K104)</f>
        <v/>
      </c>
      <c r="K601" s="145" t="str">
        <f>IF(C601="","",'05 Stocks'!Q104)</f>
        <v/>
      </c>
      <c r="L601" s="142" t="str">
        <f>IF(C601="","",'05 Stocks'!R104)</f>
        <v/>
      </c>
      <c r="M601" s="145" t="str">
        <f>IF(C601="","",'05 Stocks'!T104)</f>
        <v/>
      </c>
      <c r="N601" s="146" t="str">
        <f>IF(C601="","",IF($J$3&gt;0,J601/$J$3,0))</f>
        <v/>
      </c>
      <c r="O601" s="141" t="str">
        <f>IF(C601="","",'05 Stocks'!I104)</f>
        <v/>
      </c>
      <c r="P601" s="147" t="str">
        <f>IF(C601="","",IF(N(J601)&gt;0,J601+ROW()/1E9,""))</f>
        <v/>
      </c>
      <c r="Q601" s="147" t="str">
        <f>IF(C601="","",IF(N(M601)&gt;0,M601+ROW()/1E9,""))</f>
        <v/>
      </c>
    </row>
    <row r="602">
      <c r="A602" s="134" t="str">
        <f>IF(C602="","","Stocks")</f>
        <v/>
      </c>
      <c r="B602" s="134" t="str">
        <f>IF(C602="","","Exterior")</f>
        <v/>
      </c>
      <c r="C602" s="134" t="str">
        <f>IF('05 Stocks'!A105="","",'05 Stocks'!A105&amp;"")</f>
        <v/>
      </c>
      <c r="D602" s="134" t="str">
        <f>IF(C602="","",'05 Stocks'!B105&amp;"")</f>
        <v/>
      </c>
      <c r="E602" s="134" t="str">
        <f>IF(C602="","",'05 Stocks'!C105&amp;"")</f>
        <v/>
      </c>
      <c r="F602" s="134" t="str">
        <f>IF(C602="","",'05 Stocks'!V105)</f>
        <v/>
      </c>
      <c r="G602" s="135" t="str">
        <f>IF(C602="","",'05 Stocks'!E105)</f>
        <v/>
      </c>
      <c r="H602" s="136" t="str">
        <f>IF(C602="","",'05 Stocks'!H105)</f>
        <v/>
      </c>
      <c r="I602" s="137" t="str">
        <f>IF(C602="","",'05 Stocks'!J105)</f>
        <v/>
      </c>
      <c r="J602" s="138" t="str">
        <f>IF(C602="","",'05 Stocks'!K105)</f>
        <v/>
      </c>
      <c r="K602" s="138" t="str">
        <f>IF(C602="","",'05 Stocks'!Q105)</f>
        <v/>
      </c>
      <c r="L602" s="135" t="str">
        <f>IF(C602="","",'05 Stocks'!R105)</f>
        <v/>
      </c>
      <c r="M602" s="138" t="str">
        <f>IF(C602="","",'05 Stocks'!T105)</f>
        <v/>
      </c>
      <c r="N602" s="139" t="str">
        <f>IF(C602="","",IF($J$3&gt;0,J602/$J$3,0))</f>
        <v/>
      </c>
      <c r="O602" s="134" t="str">
        <f>IF(C602="","",'05 Stocks'!I105)</f>
        <v/>
      </c>
      <c r="P602" s="140" t="str">
        <f>IF(C602="","",IF(N(J602)&gt;0,J602+ROW()/1E9,""))</f>
        <v/>
      </c>
      <c r="Q602" s="140" t="str">
        <f>IF(C602="","",IF(N(M602)&gt;0,M602+ROW()/1E9,""))</f>
        <v/>
      </c>
    </row>
    <row r="603">
      <c r="A603" s="141" t="str">
        <f>IF(C603="","","Stocks")</f>
        <v/>
      </c>
      <c r="B603" s="141" t="str">
        <f>IF(C603="","","Exterior")</f>
        <v/>
      </c>
      <c r="C603" s="141" t="str">
        <f>IF('05 Stocks'!A106="","",'05 Stocks'!A106&amp;"")</f>
        <v/>
      </c>
      <c r="D603" s="141" t="str">
        <f>IF(C603="","",'05 Stocks'!B106&amp;"")</f>
        <v/>
      </c>
      <c r="E603" s="141" t="str">
        <f>IF(C603="","",'05 Stocks'!C106&amp;"")</f>
        <v/>
      </c>
      <c r="F603" s="141" t="str">
        <f>IF(C603="","",'05 Stocks'!V106)</f>
        <v/>
      </c>
      <c r="G603" s="142" t="str">
        <f>IF(C603="","",'05 Stocks'!E106)</f>
        <v/>
      </c>
      <c r="H603" s="143" t="str">
        <f>IF(C603="","",'05 Stocks'!H106)</f>
        <v/>
      </c>
      <c r="I603" s="144" t="str">
        <f>IF(C603="","",'05 Stocks'!J106)</f>
        <v/>
      </c>
      <c r="J603" s="145" t="str">
        <f>IF(C603="","",'05 Stocks'!K106)</f>
        <v/>
      </c>
      <c r="K603" s="145" t="str">
        <f>IF(C603="","",'05 Stocks'!Q106)</f>
        <v/>
      </c>
      <c r="L603" s="142" t="str">
        <f>IF(C603="","",'05 Stocks'!R106)</f>
        <v/>
      </c>
      <c r="M603" s="145" t="str">
        <f>IF(C603="","",'05 Stocks'!T106)</f>
        <v/>
      </c>
      <c r="N603" s="146" t="str">
        <f>IF(C603="","",IF($J$3&gt;0,J603/$J$3,0))</f>
        <v/>
      </c>
      <c r="O603" s="141" t="str">
        <f>IF(C603="","",'05 Stocks'!I106)</f>
        <v/>
      </c>
      <c r="P603" s="147" t="str">
        <f>IF(C603="","",IF(N(J603)&gt;0,J603+ROW()/1E9,""))</f>
        <v/>
      </c>
      <c r="Q603" s="147" t="str">
        <f>IF(C603="","",IF(N(M603)&gt;0,M603+ROW()/1E9,""))</f>
        <v/>
      </c>
    </row>
    <row r="604">
      <c r="A604" s="134" t="str">
        <f>IF(C604="","","Stocks")</f>
        <v/>
      </c>
      <c r="B604" s="134" t="str">
        <f>IF(C604="","","Exterior")</f>
        <v/>
      </c>
      <c r="C604" s="134" t="str">
        <f>IF('05 Stocks'!A107="","",'05 Stocks'!A107&amp;"")</f>
        <v/>
      </c>
      <c r="D604" s="134" t="str">
        <f>IF(C604="","",'05 Stocks'!B107&amp;"")</f>
        <v/>
      </c>
      <c r="E604" s="134" t="str">
        <f>IF(C604="","",'05 Stocks'!C107&amp;"")</f>
        <v/>
      </c>
      <c r="F604" s="134" t="str">
        <f>IF(C604="","",'05 Stocks'!V107)</f>
        <v/>
      </c>
      <c r="G604" s="135" t="str">
        <f>IF(C604="","",'05 Stocks'!E107)</f>
        <v/>
      </c>
      <c r="H604" s="136" t="str">
        <f>IF(C604="","",'05 Stocks'!H107)</f>
        <v/>
      </c>
      <c r="I604" s="137" t="str">
        <f>IF(C604="","",'05 Stocks'!J107)</f>
        <v/>
      </c>
      <c r="J604" s="138" t="str">
        <f>IF(C604="","",'05 Stocks'!K107)</f>
        <v/>
      </c>
      <c r="K604" s="138" t="str">
        <f>IF(C604="","",'05 Stocks'!Q107)</f>
        <v/>
      </c>
      <c r="L604" s="135" t="str">
        <f>IF(C604="","",'05 Stocks'!R107)</f>
        <v/>
      </c>
      <c r="M604" s="138" t="str">
        <f>IF(C604="","",'05 Stocks'!T107)</f>
        <v/>
      </c>
      <c r="N604" s="139" t="str">
        <f>IF(C604="","",IF($J$3&gt;0,J604/$J$3,0))</f>
        <v/>
      </c>
      <c r="O604" s="134" t="str">
        <f>IF(C604="","",'05 Stocks'!I107)</f>
        <v/>
      </c>
      <c r="P604" s="140" t="str">
        <f>IF(C604="","",IF(N(J604)&gt;0,J604+ROW()/1E9,""))</f>
        <v/>
      </c>
      <c r="Q604" s="140" t="str">
        <f>IF(C604="","",IF(N(M604)&gt;0,M604+ROW()/1E9,""))</f>
        <v/>
      </c>
    </row>
    <row r="605">
      <c r="A605" s="141" t="str">
        <f>IF(C605="","","Stocks")</f>
        <v/>
      </c>
      <c r="B605" s="141" t="str">
        <f>IF(C605="","","Exterior")</f>
        <v/>
      </c>
      <c r="C605" s="141" t="str">
        <f>IF('05 Stocks'!A108="","",'05 Stocks'!A108&amp;"")</f>
        <v/>
      </c>
      <c r="D605" s="141" t="str">
        <f>IF(C605="","",'05 Stocks'!B108&amp;"")</f>
        <v/>
      </c>
      <c r="E605" s="141" t="str">
        <f>IF(C605="","",'05 Stocks'!C108&amp;"")</f>
        <v/>
      </c>
      <c r="F605" s="141" t="str">
        <f>IF(C605="","",'05 Stocks'!V108)</f>
        <v/>
      </c>
      <c r="G605" s="142" t="str">
        <f>IF(C605="","",'05 Stocks'!E108)</f>
        <v/>
      </c>
      <c r="H605" s="143" t="str">
        <f>IF(C605="","",'05 Stocks'!H108)</f>
        <v/>
      </c>
      <c r="I605" s="144" t="str">
        <f>IF(C605="","",'05 Stocks'!J108)</f>
        <v/>
      </c>
      <c r="J605" s="145" t="str">
        <f>IF(C605="","",'05 Stocks'!K108)</f>
        <v/>
      </c>
      <c r="K605" s="145" t="str">
        <f>IF(C605="","",'05 Stocks'!Q108)</f>
        <v/>
      </c>
      <c r="L605" s="142" t="str">
        <f>IF(C605="","",'05 Stocks'!R108)</f>
        <v/>
      </c>
      <c r="M605" s="145" t="str">
        <f>IF(C605="","",'05 Stocks'!T108)</f>
        <v/>
      </c>
      <c r="N605" s="146" t="str">
        <f>IF(C605="","",IF($J$3&gt;0,J605/$J$3,0))</f>
        <v/>
      </c>
      <c r="O605" s="141" t="str">
        <f>IF(C605="","",'05 Stocks'!I108)</f>
        <v/>
      </c>
      <c r="P605" s="147" t="str">
        <f>IF(C605="","",IF(N(J605)&gt;0,J605+ROW()/1E9,""))</f>
        <v/>
      </c>
      <c r="Q605" s="147" t="str">
        <f>IF(C605="","",IF(N(M605)&gt;0,M605+ROW()/1E9,""))</f>
        <v/>
      </c>
    </row>
    <row r="606">
      <c r="A606" s="134" t="str">
        <f>IF(C606="","","Stocks")</f>
        <v/>
      </c>
      <c r="B606" s="134" t="str">
        <f>IF(C606="","","Exterior")</f>
        <v/>
      </c>
      <c r="C606" s="134" t="str">
        <f>IF('05 Stocks'!A109="","",'05 Stocks'!A109&amp;"")</f>
        <v/>
      </c>
      <c r="D606" s="134" t="str">
        <f>IF(C606="","",'05 Stocks'!B109&amp;"")</f>
        <v/>
      </c>
      <c r="E606" s="134" t="str">
        <f>IF(C606="","",'05 Stocks'!C109&amp;"")</f>
        <v/>
      </c>
      <c r="F606" s="134" t="str">
        <f>IF(C606="","",'05 Stocks'!V109)</f>
        <v/>
      </c>
      <c r="G606" s="135" t="str">
        <f>IF(C606="","",'05 Stocks'!E109)</f>
        <v/>
      </c>
      <c r="H606" s="136" t="str">
        <f>IF(C606="","",'05 Stocks'!H109)</f>
        <v/>
      </c>
      <c r="I606" s="137" t="str">
        <f>IF(C606="","",'05 Stocks'!J109)</f>
        <v/>
      </c>
      <c r="J606" s="138" t="str">
        <f>IF(C606="","",'05 Stocks'!K109)</f>
        <v/>
      </c>
      <c r="K606" s="138" t="str">
        <f>IF(C606="","",'05 Stocks'!Q109)</f>
        <v/>
      </c>
      <c r="L606" s="135" t="str">
        <f>IF(C606="","",'05 Stocks'!R109)</f>
        <v/>
      </c>
      <c r="M606" s="138" t="str">
        <f>IF(C606="","",'05 Stocks'!T109)</f>
        <v/>
      </c>
      <c r="N606" s="139" t="str">
        <f>IF(C606="","",IF($J$3&gt;0,J606/$J$3,0))</f>
        <v/>
      </c>
      <c r="O606" s="134" t="str">
        <f>IF(C606="","",'05 Stocks'!I109)</f>
        <v/>
      </c>
      <c r="P606" s="140" t="str">
        <f>IF(C606="","",IF(N(J606)&gt;0,J606+ROW()/1E9,""))</f>
        <v/>
      </c>
      <c r="Q606" s="140" t="str">
        <f>IF(C606="","",IF(N(M606)&gt;0,M606+ROW()/1E9,""))</f>
        <v/>
      </c>
    </row>
    <row r="607">
      <c r="A607" s="141" t="str">
        <f>IF(C607="","","Stocks")</f>
        <v/>
      </c>
      <c r="B607" s="141" t="str">
        <f>IF(C607="","","Exterior")</f>
        <v/>
      </c>
      <c r="C607" s="141" t="str">
        <f>IF('05 Stocks'!A110="","",'05 Stocks'!A110&amp;"")</f>
        <v/>
      </c>
      <c r="D607" s="141" t="str">
        <f>IF(C607="","",'05 Stocks'!B110&amp;"")</f>
        <v/>
      </c>
      <c r="E607" s="141" t="str">
        <f>IF(C607="","",'05 Stocks'!C110&amp;"")</f>
        <v/>
      </c>
      <c r="F607" s="141" t="str">
        <f>IF(C607="","",'05 Stocks'!V110)</f>
        <v/>
      </c>
      <c r="G607" s="142" t="str">
        <f>IF(C607="","",'05 Stocks'!E110)</f>
        <v/>
      </c>
      <c r="H607" s="143" t="str">
        <f>IF(C607="","",'05 Stocks'!H110)</f>
        <v/>
      </c>
      <c r="I607" s="144" t="str">
        <f>IF(C607="","",'05 Stocks'!J110)</f>
        <v/>
      </c>
      <c r="J607" s="145" t="str">
        <f>IF(C607="","",'05 Stocks'!K110)</f>
        <v/>
      </c>
      <c r="K607" s="145" t="str">
        <f>IF(C607="","",'05 Stocks'!Q110)</f>
        <v/>
      </c>
      <c r="L607" s="142" t="str">
        <f>IF(C607="","",'05 Stocks'!R110)</f>
        <v/>
      </c>
      <c r="M607" s="145" t="str">
        <f>IF(C607="","",'05 Stocks'!T110)</f>
        <v/>
      </c>
      <c r="N607" s="146" t="str">
        <f>IF(C607="","",IF($J$3&gt;0,J607/$J$3,0))</f>
        <v/>
      </c>
      <c r="O607" s="141" t="str">
        <f>IF(C607="","",'05 Stocks'!I110)</f>
        <v/>
      </c>
      <c r="P607" s="147" t="str">
        <f>IF(C607="","",IF(N(J607)&gt;0,J607+ROW()/1E9,""))</f>
        <v/>
      </c>
      <c r="Q607" s="147" t="str">
        <f>IF(C607="","",IF(N(M607)&gt;0,M607+ROW()/1E9,""))</f>
        <v/>
      </c>
    </row>
    <row r="608">
      <c r="A608" s="134" t="str">
        <f>IF(C608="","","Stocks")</f>
        <v/>
      </c>
      <c r="B608" s="134" t="str">
        <f>IF(C608="","","Exterior")</f>
        <v/>
      </c>
      <c r="C608" s="134" t="str">
        <f>IF('05 Stocks'!A111="","",'05 Stocks'!A111&amp;"")</f>
        <v/>
      </c>
      <c r="D608" s="134" t="str">
        <f>IF(C608="","",'05 Stocks'!B111&amp;"")</f>
        <v/>
      </c>
      <c r="E608" s="134" t="str">
        <f>IF(C608="","",'05 Stocks'!C111&amp;"")</f>
        <v/>
      </c>
      <c r="F608" s="134" t="str">
        <f>IF(C608="","",'05 Stocks'!V111)</f>
        <v/>
      </c>
      <c r="G608" s="135" t="str">
        <f>IF(C608="","",'05 Stocks'!E111)</f>
        <v/>
      </c>
      <c r="H608" s="136" t="str">
        <f>IF(C608="","",'05 Stocks'!H111)</f>
        <v/>
      </c>
      <c r="I608" s="137" t="str">
        <f>IF(C608="","",'05 Stocks'!J111)</f>
        <v/>
      </c>
      <c r="J608" s="138" t="str">
        <f>IF(C608="","",'05 Stocks'!K111)</f>
        <v/>
      </c>
      <c r="K608" s="138" t="str">
        <f>IF(C608="","",'05 Stocks'!Q111)</f>
        <v/>
      </c>
      <c r="L608" s="135" t="str">
        <f>IF(C608="","",'05 Stocks'!R111)</f>
        <v/>
      </c>
      <c r="M608" s="138" t="str">
        <f>IF(C608="","",'05 Stocks'!T111)</f>
        <v/>
      </c>
      <c r="N608" s="139" t="str">
        <f>IF(C608="","",IF($J$3&gt;0,J608/$J$3,0))</f>
        <v/>
      </c>
      <c r="O608" s="134" t="str">
        <f>IF(C608="","",'05 Stocks'!I111)</f>
        <v/>
      </c>
      <c r="P608" s="140" t="str">
        <f>IF(C608="","",IF(N(J608)&gt;0,J608+ROW()/1E9,""))</f>
        <v/>
      </c>
      <c r="Q608" s="140" t="str">
        <f>IF(C608="","",IF(N(M608)&gt;0,M608+ROW()/1E9,""))</f>
        <v/>
      </c>
    </row>
    <row r="609">
      <c r="A609" s="141" t="str">
        <f>IF(C609="","","Stocks")</f>
        <v/>
      </c>
      <c r="B609" s="141" t="str">
        <f>IF(C609="","","Exterior")</f>
        <v/>
      </c>
      <c r="C609" s="141" t="str">
        <f>IF('05 Stocks'!A112="","",'05 Stocks'!A112&amp;"")</f>
        <v/>
      </c>
      <c r="D609" s="141" t="str">
        <f>IF(C609="","",'05 Stocks'!B112&amp;"")</f>
        <v/>
      </c>
      <c r="E609" s="141" t="str">
        <f>IF(C609="","",'05 Stocks'!C112&amp;"")</f>
        <v/>
      </c>
      <c r="F609" s="141" t="str">
        <f>IF(C609="","",'05 Stocks'!V112)</f>
        <v/>
      </c>
      <c r="G609" s="142" t="str">
        <f>IF(C609="","",'05 Stocks'!E112)</f>
        <v/>
      </c>
      <c r="H609" s="143" t="str">
        <f>IF(C609="","",'05 Stocks'!H112)</f>
        <v/>
      </c>
      <c r="I609" s="144" t="str">
        <f>IF(C609="","",'05 Stocks'!J112)</f>
        <v/>
      </c>
      <c r="J609" s="145" t="str">
        <f>IF(C609="","",'05 Stocks'!K112)</f>
        <v/>
      </c>
      <c r="K609" s="145" t="str">
        <f>IF(C609="","",'05 Stocks'!Q112)</f>
        <v/>
      </c>
      <c r="L609" s="142" t="str">
        <f>IF(C609="","",'05 Stocks'!R112)</f>
        <v/>
      </c>
      <c r="M609" s="145" t="str">
        <f>IF(C609="","",'05 Stocks'!T112)</f>
        <v/>
      </c>
      <c r="N609" s="146" t="str">
        <f>IF(C609="","",IF($J$3&gt;0,J609/$J$3,0))</f>
        <v/>
      </c>
      <c r="O609" s="141" t="str">
        <f>IF(C609="","",'05 Stocks'!I112)</f>
        <v/>
      </c>
      <c r="P609" s="147" t="str">
        <f>IF(C609="","",IF(N(J609)&gt;0,J609+ROW()/1E9,""))</f>
        <v/>
      </c>
      <c r="Q609" s="147" t="str">
        <f>IF(C609="","",IF(N(M609)&gt;0,M609+ROW()/1E9,""))</f>
        <v/>
      </c>
    </row>
    <row r="610">
      <c r="A610" s="134" t="str">
        <f>IF(C610="","","Stocks")</f>
        <v/>
      </c>
      <c r="B610" s="134" t="str">
        <f>IF(C610="","","Exterior")</f>
        <v/>
      </c>
      <c r="C610" s="134" t="str">
        <f>IF('05 Stocks'!A113="","",'05 Stocks'!A113&amp;"")</f>
        <v/>
      </c>
      <c r="D610" s="134" t="str">
        <f>IF(C610="","",'05 Stocks'!B113&amp;"")</f>
        <v/>
      </c>
      <c r="E610" s="134" t="str">
        <f>IF(C610="","",'05 Stocks'!C113&amp;"")</f>
        <v/>
      </c>
      <c r="F610" s="134" t="str">
        <f>IF(C610="","",'05 Stocks'!V113)</f>
        <v/>
      </c>
      <c r="G610" s="135" t="str">
        <f>IF(C610="","",'05 Stocks'!E113)</f>
        <v/>
      </c>
      <c r="H610" s="136" t="str">
        <f>IF(C610="","",'05 Stocks'!H113)</f>
        <v/>
      </c>
      <c r="I610" s="137" t="str">
        <f>IF(C610="","",'05 Stocks'!J113)</f>
        <v/>
      </c>
      <c r="J610" s="138" t="str">
        <f>IF(C610="","",'05 Stocks'!K113)</f>
        <v/>
      </c>
      <c r="K610" s="138" t="str">
        <f>IF(C610="","",'05 Stocks'!Q113)</f>
        <v/>
      </c>
      <c r="L610" s="135" t="str">
        <f>IF(C610="","",'05 Stocks'!R113)</f>
        <v/>
      </c>
      <c r="M610" s="138" t="str">
        <f>IF(C610="","",'05 Stocks'!T113)</f>
        <v/>
      </c>
      <c r="N610" s="139" t="str">
        <f>IF(C610="","",IF($J$3&gt;0,J610/$J$3,0))</f>
        <v/>
      </c>
      <c r="O610" s="134" t="str">
        <f>IF(C610="","",'05 Stocks'!I113)</f>
        <v/>
      </c>
      <c r="P610" s="140" t="str">
        <f>IF(C610="","",IF(N(J610)&gt;0,J610+ROW()/1E9,""))</f>
        <v/>
      </c>
      <c r="Q610" s="140" t="str">
        <f>IF(C610="","",IF(N(M610)&gt;0,M610+ROW()/1E9,""))</f>
        <v/>
      </c>
    </row>
    <row r="611">
      <c r="A611" s="141" t="str">
        <f>IF(C611="","","Stocks")</f>
        <v/>
      </c>
      <c r="B611" s="141" t="str">
        <f>IF(C611="","","Exterior")</f>
        <v/>
      </c>
      <c r="C611" s="141" t="str">
        <f>IF('05 Stocks'!A114="","",'05 Stocks'!A114&amp;"")</f>
        <v/>
      </c>
      <c r="D611" s="141" t="str">
        <f>IF(C611="","",'05 Stocks'!B114&amp;"")</f>
        <v/>
      </c>
      <c r="E611" s="141" t="str">
        <f>IF(C611="","",'05 Stocks'!C114&amp;"")</f>
        <v/>
      </c>
      <c r="F611" s="141" t="str">
        <f>IF(C611="","",'05 Stocks'!V114)</f>
        <v/>
      </c>
      <c r="G611" s="142" t="str">
        <f>IF(C611="","",'05 Stocks'!E114)</f>
        <v/>
      </c>
      <c r="H611" s="143" t="str">
        <f>IF(C611="","",'05 Stocks'!H114)</f>
        <v/>
      </c>
      <c r="I611" s="144" t="str">
        <f>IF(C611="","",'05 Stocks'!J114)</f>
        <v/>
      </c>
      <c r="J611" s="145" t="str">
        <f>IF(C611="","",'05 Stocks'!K114)</f>
        <v/>
      </c>
      <c r="K611" s="145" t="str">
        <f>IF(C611="","",'05 Stocks'!Q114)</f>
        <v/>
      </c>
      <c r="L611" s="142" t="str">
        <f>IF(C611="","",'05 Stocks'!R114)</f>
        <v/>
      </c>
      <c r="M611" s="145" t="str">
        <f>IF(C611="","",'05 Stocks'!T114)</f>
        <v/>
      </c>
      <c r="N611" s="146" t="str">
        <f>IF(C611="","",IF($J$3&gt;0,J611/$J$3,0))</f>
        <v/>
      </c>
      <c r="O611" s="141" t="str">
        <f>IF(C611="","",'05 Stocks'!I114)</f>
        <v/>
      </c>
      <c r="P611" s="147" t="str">
        <f>IF(C611="","",IF(N(J611)&gt;0,J611+ROW()/1E9,""))</f>
        <v/>
      </c>
      <c r="Q611" s="147" t="str">
        <f>IF(C611="","",IF(N(M611)&gt;0,M611+ROW()/1E9,""))</f>
        <v/>
      </c>
    </row>
    <row r="612">
      <c r="A612" s="134" t="str">
        <f>IF(C612="","","Stocks")</f>
        <v/>
      </c>
      <c r="B612" s="134" t="str">
        <f>IF(C612="","","Exterior")</f>
        <v/>
      </c>
      <c r="C612" s="134" t="str">
        <f>IF('05 Stocks'!A115="","",'05 Stocks'!A115&amp;"")</f>
        <v/>
      </c>
      <c r="D612" s="134" t="str">
        <f>IF(C612="","",'05 Stocks'!B115&amp;"")</f>
        <v/>
      </c>
      <c r="E612" s="134" t="str">
        <f>IF(C612="","",'05 Stocks'!C115&amp;"")</f>
        <v/>
      </c>
      <c r="F612" s="134" t="str">
        <f>IF(C612="","",'05 Stocks'!V115)</f>
        <v/>
      </c>
      <c r="G612" s="135" t="str">
        <f>IF(C612="","",'05 Stocks'!E115)</f>
        <v/>
      </c>
      <c r="H612" s="136" t="str">
        <f>IF(C612="","",'05 Stocks'!H115)</f>
        <v/>
      </c>
      <c r="I612" s="137" t="str">
        <f>IF(C612="","",'05 Stocks'!J115)</f>
        <v/>
      </c>
      <c r="J612" s="138" t="str">
        <f>IF(C612="","",'05 Stocks'!K115)</f>
        <v/>
      </c>
      <c r="K612" s="138" t="str">
        <f>IF(C612="","",'05 Stocks'!Q115)</f>
        <v/>
      </c>
      <c r="L612" s="135" t="str">
        <f>IF(C612="","",'05 Stocks'!R115)</f>
        <v/>
      </c>
      <c r="M612" s="138" t="str">
        <f>IF(C612="","",'05 Stocks'!T115)</f>
        <v/>
      </c>
      <c r="N612" s="139" t="str">
        <f>IF(C612="","",IF($J$3&gt;0,J612/$J$3,0))</f>
        <v/>
      </c>
      <c r="O612" s="134" t="str">
        <f>IF(C612="","",'05 Stocks'!I115)</f>
        <v/>
      </c>
      <c r="P612" s="140" t="str">
        <f>IF(C612="","",IF(N(J612)&gt;0,J612+ROW()/1E9,""))</f>
        <v/>
      </c>
      <c r="Q612" s="140" t="str">
        <f>IF(C612="","",IF(N(M612)&gt;0,M612+ROW()/1E9,""))</f>
        <v/>
      </c>
    </row>
    <row r="613">
      <c r="A613" s="141" t="str">
        <f>IF(C613="","","Stocks")</f>
        <v/>
      </c>
      <c r="B613" s="141" t="str">
        <f>IF(C613="","","Exterior")</f>
        <v/>
      </c>
      <c r="C613" s="141" t="str">
        <f>IF('05 Stocks'!A116="","",'05 Stocks'!A116&amp;"")</f>
        <v/>
      </c>
      <c r="D613" s="141" t="str">
        <f>IF(C613="","",'05 Stocks'!B116&amp;"")</f>
        <v/>
      </c>
      <c r="E613" s="141" t="str">
        <f>IF(C613="","",'05 Stocks'!C116&amp;"")</f>
        <v/>
      </c>
      <c r="F613" s="141" t="str">
        <f>IF(C613="","",'05 Stocks'!V116)</f>
        <v/>
      </c>
      <c r="G613" s="142" t="str">
        <f>IF(C613="","",'05 Stocks'!E116)</f>
        <v/>
      </c>
      <c r="H613" s="143" t="str">
        <f>IF(C613="","",'05 Stocks'!H116)</f>
        <v/>
      </c>
      <c r="I613" s="144" t="str">
        <f>IF(C613="","",'05 Stocks'!J116)</f>
        <v/>
      </c>
      <c r="J613" s="145" t="str">
        <f>IF(C613="","",'05 Stocks'!K116)</f>
        <v/>
      </c>
      <c r="K613" s="145" t="str">
        <f>IF(C613="","",'05 Stocks'!Q116)</f>
        <v/>
      </c>
      <c r="L613" s="142" t="str">
        <f>IF(C613="","",'05 Stocks'!R116)</f>
        <v/>
      </c>
      <c r="M613" s="145" t="str">
        <f>IF(C613="","",'05 Stocks'!T116)</f>
        <v/>
      </c>
      <c r="N613" s="146" t="str">
        <f>IF(C613="","",IF($J$3&gt;0,J613/$J$3,0))</f>
        <v/>
      </c>
      <c r="O613" s="141" t="str">
        <f>IF(C613="","",'05 Stocks'!I116)</f>
        <v/>
      </c>
      <c r="P613" s="147" t="str">
        <f>IF(C613="","",IF(N(J613)&gt;0,J613+ROW()/1E9,""))</f>
        <v/>
      </c>
      <c r="Q613" s="147" t="str">
        <f>IF(C613="","",IF(N(M613)&gt;0,M613+ROW()/1E9,""))</f>
        <v/>
      </c>
    </row>
    <row r="614">
      <c r="A614" s="134" t="str">
        <f>IF(C614="","","Stocks")</f>
        <v/>
      </c>
      <c r="B614" s="134" t="str">
        <f>IF(C614="","","Exterior")</f>
        <v/>
      </c>
      <c r="C614" s="134" t="str">
        <f>IF('05 Stocks'!A117="","",'05 Stocks'!A117&amp;"")</f>
        <v/>
      </c>
      <c r="D614" s="134" t="str">
        <f>IF(C614="","",'05 Stocks'!B117&amp;"")</f>
        <v/>
      </c>
      <c r="E614" s="134" t="str">
        <f>IF(C614="","",'05 Stocks'!C117&amp;"")</f>
        <v/>
      </c>
      <c r="F614" s="134" t="str">
        <f>IF(C614="","",'05 Stocks'!V117)</f>
        <v/>
      </c>
      <c r="G614" s="135" t="str">
        <f>IF(C614="","",'05 Stocks'!E117)</f>
        <v/>
      </c>
      <c r="H614" s="136" t="str">
        <f>IF(C614="","",'05 Stocks'!H117)</f>
        <v/>
      </c>
      <c r="I614" s="137" t="str">
        <f>IF(C614="","",'05 Stocks'!J117)</f>
        <v/>
      </c>
      <c r="J614" s="138" t="str">
        <f>IF(C614="","",'05 Stocks'!K117)</f>
        <v/>
      </c>
      <c r="K614" s="138" t="str">
        <f>IF(C614="","",'05 Stocks'!Q117)</f>
        <v/>
      </c>
      <c r="L614" s="135" t="str">
        <f>IF(C614="","",'05 Stocks'!R117)</f>
        <v/>
      </c>
      <c r="M614" s="138" t="str">
        <f>IF(C614="","",'05 Stocks'!T117)</f>
        <v/>
      </c>
      <c r="N614" s="139" t="str">
        <f>IF(C614="","",IF($J$3&gt;0,J614/$J$3,0))</f>
        <v/>
      </c>
      <c r="O614" s="134" t="str">
        <f>IF(C614="","",'05 Stocks'!I117)</f>
        <v/>
      </c>
      <c r="P614" s="140" t="str">
        <f>IF(C614="","",IF(N(J614)&gt;0,J614+ROW()/1E9,""))</f>
        <v/>
      </c>
      <c r="Q614" s="140" t="str">
        <f>IF(C614="","",IF(N(M614)&gt;0,M614+ROW()/1E9,""))</f>
        <v/>
      </c>
    </row>
    <row r="615">
      <c r="A615" s="141" t="str">
        <f>IF(C615="","","Stocks")</f>
        <v/>
      </c>
      <c r="B615" s="141" t="str">
        <f>IF(C615="","","Exterior")</f>
        <v/>
      </c>
      <c r="C615" s="141" t="str">
        <f>IF('05 Stocks'!A118="","",'05 Stocks'!A118&amp;"")</f>
        <v/>
      </c>
      <c r="D615" s="141" t="str">
        <f>IF(C615="","",'05 Stocks'!B118&amp;"")</f>
        <v/>
      </c>
      <c r="E615" s="141" t="str">
        <f>IF(C615="","",'05 Stocks'!C118&amp;"")</f>
        <v/>
      </c>
      <c r="F615" s="141" t="str">
        <f>IF(C615="","",'05 Stocks'!V118)</f>
        <v/>
      </c>
      <c r="G615" s="142" t="str">
        <f>IF(C615="","",'05 Stocks'!E118)</f>
        <v/>
      </c>
      <c r="H615" s="143" t="str">
        <f>IF(C615="","",'05 Stocks'!H118)</f>
        <v/>
      </c>
      <c r="I615" s="144" t="str">
        <f>IF(C615="","",'05 Stocks'!J118)</f>
        <v/>
      </c>
      <c r="J615" s="145" t="str">
        <f>IF(C615="","",'05 Stocks'!K118)</f>
        <v/>
      </c>
      <c r="K615" s="145" t="str">
        <f>IF(C615="","",'05 Stocks'!Q118)</f>
        <v/>
      </c>
      <c r="L615" s="142" t="str">
        <f>IF(C615="","",'05 Stocks'!R118)</f>
        <v/>
      </c>
      <c r="M615" s="145" t="str">
        <f>IF(C615="","",'05 Stocks'!T118)</f>
        <v/>
      </c>
      <c r="N615" s="146" t="str">
        <f>IF(C615="","",IF($J$3&gt;0,J615/$J$3,0))</f>
        <v/>
      </c>
      <c r="O615" s="141" t="str">
        <f>IF(C615="","",'05 Stocks'!I118)</f>
        <v/>
      </c>
      <c r="P615" s="147" t="str">
        <f>IF(C615="","",IF(N(J615)&gt;0,J615+ROW()/1E9,""))</f>
        <v/>
      </c>
      <c r="Q615" s="147" t="str">
        <f>IF(C615="","",IF(N(M615)&gt;0,M615+ROW()/1E9,""))</f>
        <v/>
      </c>
    </row>
    <row r="616">
      <c r="A616" s="134" t="str">
        <f>IF(C616="","","Stocks")</f>
        <v/>
      </c>
      <c r="B616" s="134" t="str">
        <f>IF(C616="","","Exterior")</f>
        <v/>
      </c>
      <c r="C616" s="134" t="str">
        <f>IF('05 Stocks'!A119="","",'05 Stocks'!A119&amp;"")</f>
        <v/>
      </c>
      <c r="D616" s="134" t="str">
        <f>IF(C616="","",'05 Stocks'!B119&amp;"")</f>
        <v/>
      </c>
      <c r="E616" s="134" t="str">
        <f>IF(C616="","",'05 Stocks'!C119&amp;"")</f>
        <v/>
      </c>
      <c r="F616" s="134" t="str">
        <f>IF(C616="","",'05 Stocks'!V119)</f>
        <v/>
      </c>
      <c r="G616" s="135" t="str">
        <f>IF(C616="","",'05 Stocks'!E119)</f>
        <v/>
      </c>
      <c r="H616" s="136" t="str">
        <f>IF(C616="","",'05 Stocks'!H119)</f>
        <v/>
      </c>
      <c r="I616" s="137" t="str">
        <f>IF(C616="","",'05 Stocks'!J119)</f>
        <v/>
      </c>
      <c r="J616" s="138" t="str">
        <f>IF(C616="","",'05 Stocks'!K119)</f>
        <v/>
      </c>
      <c r="K616" s="138" t="str">
        <f>IF(C616="","",'05 Stocks'!Q119)</f>
        <v/>
      </c>
      <c r="L616" s="135" t="str">
        <f>IF(C616="","",'05 Stocks'!R119)</f>
        <v/>
      </c>
      <c r="M616" s="138" t="str">
        <f>IF(C616="","",'05 Stocks'!T119)</f>
        <v/>
      </c>
      <c r="N616" s="139" t="str">
        <f>IF(C616="","",IF($J$3&gt;0,J616/$J$3,0))</f>
        <v/>
      </c>
      <c r="O616" s="134" t="str">
        <f>IF(C616="","",'05 Stocks'!I119)</f>
        <v/>
      </c>
      <c r="P616" s="140" t="str">
        <f>IF(C616="","",IF(N(J616)&gt;0,J616+ROW()/1E9,""))</f>
        <v/>
      </c>
      <c r="Q616" s="140" t="str">
        <f>IF(C616="","",IF(N(M616)&gt;0,M616+ROW()/1E9,""))</f>
        <v/>
      </c>
    </row>
    <row r="617">
      <c r="A617" s="141" t="str">
        <f>IF(C617="","","Stocks")</f>
        <v/>
      </c>
      <c r="B617" s="141" t="str">
        <f>IF(C617="","","Exterior")</f>
        <v/>
      </c>
      <c r="C617" s="141" t="str">
        <f>IF('05 Stocks'!A120="","",'05 Stocks'!A120&amp;"")</f>
        <v/>
      </c>
      <c r="D617" s="141" t="str">
        <f>IF(C617="","",'05 Stocks'!B120&amp;"")</f>
        <v/>
      </c>
      <c r="E617" s="141" t="str">
        <f>IF(C617="","",'05 Stocks'!C120&amp;"")</f>
        <v/>
      </c>
      <c r="F617" s="141" t="str">
        <f>IF(C617="","",'05 Stocks'!V120)</f>
        <v/>
      </c>
      <c r="G617" s="142" t="str">
        <f>IF(C617="","",'05 Stocks'!E120)</f>
        <v/>
      </c>
      <c r="H617" s="143" t="str">
        <f>IF(C617="","",'05 Stocks'!H120)</f>
        <v/>
      </c>
      <c r="I617" s="144" t="str">
        <f>IF(C617="","",'05 Stocks'!J120)</f>
        <v/>
      </c>
      <c r="J617" s="145" t="str">
        <f>IF(C617="","",'05 Stocks'!K120)</f>
        <v/>
      </c>
      <c r="K617" s="145" t="str">
        <f>IF(C617="","",'05 Stocks'!Q120)</f>
        <v/>
      </c>
      <c r="L617" s="142" t="str">
        <f>IF(C617="","",'05 Stocks'!R120)</f>
        <v/>
      </c>
      <c r="M617" s="145" t="str">
        <f>IF(C617="","",'05 Stocks'!T120)</f>
        <v/>
      </c>
      <c r="N617" s="146" t="str">
        <f>IF(C617="","",IF($J$3&gt;0,J617/$J$3,0))</f>
        <v/>
      </c>
      <c r="O617" s="141" t="str">
        <f>IF(C617="","",'05 Stocks'!I120)</f>
        <v/>
      </c>
      <c r="P617" s="147" t="str">
        <f>IF(C617="","",IF(N(J617)&gt;0,J617+ROW()/1E9,""))</f>
        <v/>
      </c>
      <c r="Q617" s="147" t="str">
        <f>IF(C617="","",IF(N(M617)&gt;0,M617+ROW()/1E9,""))</f>
        <v/>
      </c>
    </row>
    <row r="618">
      <c r="A618" s="134" t="str">
        <f>IF(C618="","","Stocks")</f>
        <v/>
      </c>
      <c r="B618" s="134" t="str">
        <f>IF(C618="","","Exterior")</f>
        <v/>
      </c>
      <c r="C618" s="134" t="str">
        <f>IF('05 Stocks'!A121="","",'05 Stocks'!A121&amp;"")</f>
        <v/>
      </c>
      <c r="D618" s="134" t="str">
        <f>IF(C618="","",'05 Stocks'!B121&amp;"")</f>
        <v/>
      </c>
      <c r="E618" s="134" t="str">
        <f>IF(C618="","",'05 Stocks'!C121&amp;"")</f>
        <v/>
      </c>
      <c r="F618" s="134" t="str">
        <f>IF(C618="","",'05 Stocks'!V121)</f>
        <v/>
      </c>
      <c r="G618" s="135" t="str">
        <f>IF(C618="","",'05 Stocks'!E121)</f>
        <v/>
      </c>
      <c r="H618" s="136" t="str">
        <f>IF(C618="","",'05 Stocks'!H121)</f>
        <v/>
      </c>
      <c r="I618" s="137" t="str">
        <f>IF(C618="","",'05 Stocks'!J121)</f>
        <v/>
      </c>
      <c r="J618" s="138" t="str">
        <f>IF(C618="","",'05 Stocks'!K121)</f>
        <v/>
      </c>
      <c r="K618" s="138" t="str">
        <f>IF(C618="","",'05 Stocks'!Q121)</f>
        <v/>
      </c>
      <c r="L618" s="135" t="str">
        <f>IF(C618="","",'05 Stocks'!R121)</f>
        <v/>
      </c>
      <c r="M618" s="138" t="str">
        <f>IF(C618="","",'05 Stocks'!T121)</f>
        <v/>
      </c>
      <c r="N618" s="139" t="str">
        <f>IF(C618="","",IF($J$3&gt;0,J618/$J$3,0))</f>
        <v/>
      </c>
      <c r="O618" s="134" t="str">
        <f>IF(C618="","",'05 Stocks'!I121)</f>
        <v/>
      </c>
      <c r="P618" s="140" t="str">
        <f>IF(C618="","",IF(N(J618)&gt;0,J618+ROW()/1E9,""))</f>
        <v/>
      </c>
      <c r="Q618" s="140" t="str">
        <f>IF(C618="","",IF(N(M618)&gt;0,M618+ROW()/1E9,""))</f>
        <v/>
      </c>
    </row>
    <row r="619">
      <c r="A619" s="141" t="str">
        <f>IF(C619="","","Stocks")</f>
        <v/>
      </c>
      <c r="B619" s="141" t="str">
        <f>IF(C619="","","Exterior")</f>
        <v/>
      </c>
      <c r="C619" s="141" t="str">
        <f>IF('05 Stocks'!A122="","",'05 Stocks'!A122&amp;"")</f>
        <v/>
      </c>
      <c r="D619" s="141" t="str">
        <f>IF(C619="","",'05 Stocks'!B122&amp;"")</f>
        <v/>
      </c>
      <c r="E619" s="141" t="str">
        <f>IF(C619="","",'05 Stocks'!C122&amp;"")</f>
        <v/>
      </c>
      <c r="F619" s="141" t="str">
        <f>IF(C619="","",'05 Stocks'!V122)</f>
        <v/>
      </c>
      <c r="G619" s="142" t="str">
        <f>IF(C619="","",'05 Stocks'!E122)</f>
        <v/>
      </c>
      <c r="H619" s="143" t="str">
        <f>IF(C619="","",'05 Stocks'!H122)</f>
        <v/>
      </c>
      <c r="I619" s="144" t="str">
        <f>IF(C619="","",'05 Stocks'!J122)</f>
        <v/>
      </c>
      <c r="J619" s="145" t="str">
        <f>IF(C619="","",'05 Stocks'!K122)</f>
        <v/>
      </c>
      <c r="K619" s="145" t="str">
        <f>IF(C619="","",'05 Stocks'!Q122)</f>
        <v/>
      </c>
      <c r="L619" s="142" t="str">
        <f>IF(C619="","",'05 Stocks'!R122)</f>
        <v/>
      </c>
      <c r="M619" s="145" t="str">
        <f>IF(C619="","",'05 Stocks'!T122)</f>
        <v/>
      </c>
      <c r="N619" s="146" t="str">
        <f>IF(C619="","",IF($J$3&gt;0,J619/$J$3,0))</f>
        <v/>
      </c>
      <c r="O619" s="141" t="str">
        <f>IF(C619="","",'05 Stocks'!I122)</f>
        <v/>
      </c>
      <c r="P619" s="147" t="str">
        <f>IF(C619="","",IF(N(J619)&gt;0,J619+ROW()/1E9,""))</f>
        <v/>
      </c>
      <c r="Q619" s="147" t="str">
        <f>IF(C619="","",IF(N(M619)&gt;0,M619+ROW()/1E9,""))</f>
        <v/>
      </c>
    </row>
    <row r="620">
      <c r="A620" s="134" t="str">
        <f>IF(C620="","","Stocks")</f>
        <v/>
      </c>
      <c r="B620" s="134" t="str">
        <f>IF(C620="","","Exterior")</f>
        <v/>
      </c>
      <c r="C620" s="134" t="str">
        <f>IF('05 Stocks'!A123="","",'05 Stocks'!A123&amp;"")</f>
        <v/>
      </c>
      <c r="D620" s="134" t="str">
        <f>IF(C620="","",'05 Stocks'!B123&amp;"")</f>
        <v/>
      </c>
      <c r="E620" s="134" t="str">
        <f>IF(C620="","",'05 Stocks'!C123&amp;"")</f>
        <v/>
      </c>
      <c r="F620" s="134" t="str">
        <f>IF(C620="","",'05 Stocks'!V123)</f>
        <v/>
      </c>
      <c r="G620" s="135" t="str">
        <f>IF(C620="","",'05 Stocks'!E123)</f>
        <v/>
      </c>
      <c r="H620" s="136" t="str">
        <f>IF(C620="","",'05 Stocks'!H123)</f>
        <v/>
      </c>
      <c r="I620" s="137" t="str">
        <f>IF(C620="","",'05 Stocks'!J123)</f>
        <v/>
      </c>
      <c r="J620" s="138" t="str">
        <f>IF(C620="","",'05 Stocks'!K123)</f>
        <v/>
      </c>
      <c r="K620" s="138" t="str">
        <f>IF(C620="","",'05 Stocks'!Q123)</f>
        <v/>
      </c>
      <c r="L620" s="135" t="str">
        <f>IF(C620="","",'05 Stocks'!R123)</f>
        <v/>
      </c>
      <c r="M620" s="138" t="str">
        <f>IF(C620="","",'05 Stocks'!T123)</f>
        <v/>
      </c>
      <c r="N620" s="139" t="str">
        <f>IF(C620="","",IF($J$3&gt;0,J620/$J$3,0))</f>
        <v/>
      </c>
      <c r="O620" s="134" t="str">
        <f>IF(C620="","",'05 Stocks'!I123)</f>
        <v/>
      </c>
      <c r="P620" s="140" t="str">
        <f>IF(C620="","",IF(N(J620)&gt;0,J620+ROW()/1E9,""))</f>
        <v/>
      </c>
      <c r="Q620" s="140" t="str">
        <f>IF(C620="","",IF(N(M620)&gt;0,M620+ROW()/1E9,""))</f>
        <v/>
      </c>
    </row>
    <row r="621">
      <c r="A621" s="141" t="str">
        <f>IF(C621="","","Stocks")</f>
        <v/>
      </c>
      <c r="B621" s="141" t="str">
        <f>IF(C621="","","Exterior")</f>
        <v/>
      </c>
      <c r="C621" s="141" t="str">
        <f>IF('05 Stocks'!A124="","",'05 Stocks'!A124&amp;"")</f>
        <v/>
      </c>
      <c r="D621" s="141" t="str">
        <f>IF(C621="","",'05 Stocks'!B124&amp;"")</f>
        <v/>
      </c>
      <c r="E621" s="141" t="str">
        <f>IF(C621="","",'05 Stocks'!C124&amp;"")</f>
        <v/>
      </c>
      <c r="F621" s="141" t="str">
        <f>IF(C621="","",'05 Stocks'!V124)</f>
        <v/>
      </c>
      <c r="G621" s="142" t="str">
        <f>IF(C621="","",'05 Stocks'!E124)</f>
        <v/>
      </c>
      <c r="H621" s="143" t="str">
        <f>IF(C621="","",'05 Stocks'!H124)</f>
        <v/>
      </c>
      <c r="I621" s="144" t="str">
        <f>IF(C621="","",'05 Stocks'!J124)</f>
        <v/>
      </c>
      <c r="J621" s="145" t="str">
        <f>IF(C621="","",'05 Stocks'!K124)</f>
        <v/>
      </c>
      <c r="K621" s="145" t="str">
        <f>IF(C621="","",'05 Stocks'!Q124)</f>
        <v/>
      </c>
      <c r="L621" s="142" t="str">
        <f>IF(C621="","",'05 Stocks'!R124)</f>
        <v/>
      </c>
      <c r="M621" s="145" t="str">
        <f>IF(C621="","",'05 Stocks'!T124)</f>
        <v/>
      </c>
      <c r="N621" s="146" t="str">
        <f>IF(C621="","",IF($J$3&gt;0,J621/$J$3,0))</f>
        <v/>
      </c>
      <c r="O621" s="141" t="str">
        <f>IF(C621="","",'05 Stocks'!I124)</f>
        <v/>
      </c>
      <c r="P621" s="147" t="str">
        <f>IF(C621="","",IF(N(J621)&gt;0,J621+ROW()/1E9,""))</f>
        <v/>
      </c>
      <c r="Q621" s="147" t="str">
        <f>IF(C621="","",IF(N(M621)&gt;0,M621+ROW()/1E9,""))</f>
        <v/>
      </c>
    </row>
    <row r="622">
      <c r="A622" s="134" t="str">
        <f>IF(C622="","","Stocks")</f>
        <v/>
      </c>
      <c r="B622" s="134" t="str">
        <f>IF(C622="","","Exterior")</f>
        <v/>
      </c>
      <c r="C622" s="134" t="str">
        <f>IF('05 Stocks'!A125="","",'05 Stocks'!A125&amp;"")</f>
        <v/>
      </c>
      <c r="D622" s="134" t="str">
        <f>IF(C622="","",'05 Stocks'!B125&amp;"")</f>
        <v/>
      </c>
      <c r="E622" s="134" t="str">
        <f>IF(C622="","",'05 Stocks'!C125&amp;"")</f>
        <v/>
      </c>
      <c r="F622" s="134" t="str">
        <f>IF(C622="","",'05 Stocks'!V125)</f>
        <v/>
      </c>
      <c r="G622" s="135" t="str">
        <f>IF(C622="","",'05 Stocks'!E125)</f>
        <v/>
      </c>
      <c r="H622" s="136" t="str">
        <f>IF(C622="","",'05 Stocks'!H125)</f>
        <v/>
      </c>
      <c r="I622" s="137" t="str">
        <f>IF(C622="","",'05 Stocks'!J125)</f>
        <v/>
      </c>
      <c r="J622" s="138" t="str">
        <f>IF(C622="","",'05 Stocks'!K125)</f>
        <v/>
      </c>
      <c r="K622" s="138" t="str">
        <f>IF(C622="","",'05 Stocks'!Q125)</f>
        <v/>
      </c>
      <c r="L622" s="135" t="str">
        <f>IF(C622="","",'05 Stocks'!R125)</f>
        <v/>
      </c>
      <c r="M622" s="138" t="str">
        <f>IF(C622="","",'05 Stocks'!T125)</f>
        <v/>
      </c>
      <c r="N622" s="139" t="str">
        <f>IF(C622="","",IF($J$3&gt;0,J622/$J$3,0))</f>
        <v/>
      </c>
      <c r="O622" s="134" t="str">
        <f>IF(C622="","",'05 Stocks'!I125)</f>
        <v/>
      </c>
      <c r="P622" s="140" t="str">
        <f>IF(C622="","",IF(N(J622)&gt;0,J622+ROW()/1E9,""))</f>
        <v/>
      </c>
      <c r="Q622" s="140" t="str">
        <f>IF(C622="","",IF(N(M622)&gt;0,M622+ROW()/1E9,""))</f>
        <v/>
      </c>
    </row>
    <row r="623">
      <c r="A623" s="141" t="str">
        <f>IF(C623="","","Stocks")</f>
        <v/>
      </c>
      <c r="B623" s="141" t="str">
        <f>IF(C623="","","Exterior")</f>
        <v/>
      </c>
      <c r="C623" s="141" t="str">
        <f>IF('05 Stocks'!A126="","",'05 Stocks'!A126&amp;"")</f>
        <v/>
      </c>
      <c r="D623" s="141" t="str">
        <f>IF(C623="","",'05 Stocks'!B126&amp;"")</f>
        <v/>
      </c>
      <c r="E623" s="141" t="str">
        <f>IF(C623="","",'05 Stocks'!C126&amp;"")</f>
        <v/>
      </c>
      <c r="F623" s="141" t="str">
        <f>IF(C623="","",'05 Stocks'!V126)</f>
        <v/>
      </c>
      <c r="G623" s="142" t="str">
        <f>IF(C623="","",'05 Stocks'!E126)</f>
        <v/>
      </c>
      <c r="H623" s="143" t="str">
        <f>IF(C623="","",'05 Stocks'!H126)</f>
        <v/>
      </c>
      <c r="I623" s="144" t="str">
        <f>IF(C623="","",'05 Stocks'!J126)</f>
        <v/>
      </c>
      <c r="J623" s="145" t="str">
        <f>IF(C623="","",'05 Stocks'!K126)</f>
        <v/>
      </c>
      <c r="K623" s="145" t="str">
        <f>IF(C623="","",'05 Stocks'!Q126)</f>
        <v/>
      </c>
      <c r="L623" s="142" t="str">
        <f>IF(C623="","",'05 Stocks'!R126)</f>
        <v/>
      </c>
      <c r="M623" s="145" t="str">
        <f>IF(C623="","",'05 Stocks'!T126)</f>
        <v/>
      </c>
      <c r="N623" s="146" t="str">
        <f>IF(C623="","",IF($J$3&gt;0,J623/$J$3,0))</f>
        <v/>
      </c>
      <c r="O623" s="141" t="str">
        <f>IF(C623="","",'05 Stocks'!I126)</f>
        <v/>
      </c>
      <c r="P623" s="147" t="str">
        <f>IF(C623="","",IF(N(J623)&gt;0,J623+ROW()/1E9,""))</f>
        <v/>
      </c>
      <c r="Q623" s="147" t="str">
        <f>IF(C623="","",IF(N(M623)&gt;0,M623+ROW()/1E9,""))</f>
        <v/>
      </c>
    </row>
    <row r="624">
      <c r="A624" s="134" t="str">
        <f>IF(C624="","","Stocks")</f>
        <v/>
      </c>
      <c r="B624" s="134" t="str">
        <f>IF(C624="","","Exterior")</f>
        <v/>
      </c>
      <c r="C624" s="134" t="str">
        <f>IF('05 Stocks'!A127="","",'05 Stocks'!A127&amp;"")</f>
        <v/>
      </c>
      <c r="D624" s="134" t="str">
        <f>IF(C624="","",'05 Stocks'!B127&amp;"")</f>
        <v/>
      </c>
      <c r="E624" s="134" t="str">
        <f>IF(C624="","",'05 Stocks'!C127&amp;"")</f>
        <v/>
      </c>
      <c r="F624" s="134" t="str">
        <f>IF(C624="","",'05 Stocks'!V127)</f>
        <v/>
      </c>
      <c r="G624" s="135" t="str">
        <f>IF(C624="","",'05 Stocks'!E127)</f>
        <v/>
      </c>
      <c r="H624" s="136" t="str">
        <f>IF(C624="","",'05 Stocks'!H127)</f>
        <v/>
      </c>
      <c r="I624" s="137" t="str">
        <f>IF(C624="","",'05 Stocks'!J127)</f>
        <v/>
      </c>
      <c r="J624" s="138" t="str">
        <f>IF(C624="","",'05 Stocks'!K127)</f>
        <v/>
      </c>
      <c r="K624" s="138" t="str">
        <f>IF(C624="","",'05 Stocks'!Q127)</f>
        <v/>
      </c>
      <c r="L624" s="135" t="str">
        <f>IF(C624="","",'05 Stocks'!R127)</f>
        <v/>
      </c>
      <c r="M624" s="138" t="str">
        <f>IF(C624="","",'05 Stocks'!T127)</f>
        <v/>
      </c>
      <c r="N624" s="139" t="str">
        <f>IF(C624="","",IF($J$3&gt;0,J624/$J$3,0))</f>
        <v/>
      </c>
      <c r="O624" s="134" t="str">
        <f>IF(C624="","",'05 Stocks'!I127)</f>
        <v/>
      </c>
      <c r="P624" s="140" t="str">
        <f>IF(C624="","",IF(N(J624)&gt;0,J624+ROW()/1E9,""))</f>
        <v/>
      </c>
      <c r="Q624" s="140" t="str">
        <f>IF(C624="","",IF(N(M624)&gt;0,M624+ROW()/1E9,""))</f>
        <v/>
      </c>
    </row>
    <row r="625">
      <c r="A625" s="141" t="str">
        <f>IF(C625="","","Stocks")</f>
        <v/>
      </c>
      <c r="B625" s="141" t="str">
        <f>IF(C625="","","Exterior")</f>
        <v/>
      </c>
      <c r="C625" s="141" t="str">
        <f>IF('05 Stocks'!A128="","",'05 Stocks'!A128&amp;"")</f>
        <v/>
      </c>
      <c r="D625" s="141" t="str">
        <f>IF(C625="","",'05 Stocks'!B128&amp;"")</f>
        <v/>
      </c>
      <c r="E625" s="141" t="str">
        <f>IF(C625="","",'05 Stocks'!C128&amp;"")</f>
        <v/>
      </c>
      <c r="F625" s="141" t="str">
        <f>IF(C625="","",'05 Stocks'!V128)</f>
        <v/>
      </c>
      <c r="G625" s="142" t="str">
        <f>IF(C625="","",'05 Stocks'!E128)</f>
        <v/>
      </c>
      <c r="H625" s="143" t="str">
        <f>IF(C625="","",'05 Stocks'!H128)</f>
        <v/>
      </c>
      <c r="I625" s="144" t="str">
        <f>IF(C625="","",'05 Stocks'!J128)</f>
        <v/>
      </c>
      <c r="J625" s="145" t="str">
        <f>IF(C625="","",'05 Stocks'!K128)</f>
        <v/>
      </c>
      <c r="K625" s="145" t="str">
        <f>IF(C625="","",'05 Stocks'!Q128)</f>
        <v/>
      </c>
      <c r="L625" s="142" t="str">
        <f>IF(C625="","",'05 Stocks'!R128)</f>
        <v/>
      </c>
      <c r="M625" s="145" t="str">
        <f>IF(C625="","",'05 Stocks'!T128)</f>
        <v/>
      </c>
      <c r="N625" s="146" t="str">
        <f>IF(C625="","",IF($J$3&gt;0,J625/$J$3,0))</f>
        <v/>
      </c>
      <c r="O625" s="141" t="str">
        <f>IF(C625="","",'05 Stocks'!I128)</f>
        <v/>
      </c>
      <c r="P625" s="147" t="str">
        <f>IF(C625="","",IF(N(J625)&gt;0,J625+ROW()/1E9,""))</f>
        <v/>
      </c>
      <c r="Q625" s="147" t="str">
        <f>IF(C625="","",IF(N(M625)&gt;0,M625+ROW()/1E9,""))</f>
        <v/>
      </c>
    </row>
    <row r="626">
      <c r="A626" s="134" t="str">
        <f>IF(C626="","","Stocks")</f>
        <v/>
      </c>
      <c r="B626" s="134" t="str">
        <f>IF(C626="","","Exterior")</f>
        <v/>
      </c>
      <c r="C626" s="134" t="str">
        <f>IF('05 Stocks'!A129="","",'05 Stocks'!A129&amp;"")</f>
        <v/>
      </c>
      <c r="D626" s="134" t="str">
        <f>IF(C626="","",'05 Stocks'!B129&amp;"")</f>
        <v/>
      </c>
      <c r="E626" s="134" t="str">
        <f>IF(C626="","",'05 Stocks'!C129&amp;"")</f>
        <v/>
      </c>
      <c r="F626" s="134" t="str">
        <f>IF(C626="","",'05 Stocks'!V129)</f>
        <v/>
      </c>
      <c r="G626" s="135" t="str">
        <f>IF(C626="","",'05 Stocks'!E129)</f>
        <v/>
      </c>
      <c r="H626" s="136" t="str">
        <f>IF(C626="","",'05 Stocks'!H129)</f>
        <v/>
      </c>
      <c r="I626" s="137" t="str">
        <f>IF(C626="","",'05 Stocks'!J129)</f>
        <v/>
      </c>
      <c r="J626" s="138" t="str">
        <f>IF(C626="","",'05 Stocks'!K129)</f>
        <v/>
      </c>
      <c r="K626" s="138" t="str">
        <f>IF(C626="","",'05 Stocks'!Q129)</f>
        <v/>
      </c>
      <c r="L626" s="135" t="str">
        <f>IF(C626="","",'05 Stocks'!R129)</f>
        <v/>
      </c>
      <c r="M626" s="138" t="str">
        <f>IF(C626="","",'05 Stocks'!T129)</f>
        <v/>
      </c>
      <c r="N626" s="139" t="str">
        <f>IF(C626="","",IF($J$3&gt;0,J626/$J$3,0))</f>
        <v/>
      </c>
      <c r="O626" s="134" t="str">
        <f>IF(C626="","",'05 Stocks'!I129)</f>
        <v/>
      </c>
      <c r="P626" s="140" t="str">
        <f>IF(C626="","",IF(N(J626)&gt;0,J626+ROW()/1E9,""))</f>
        <v/>
      </c>
      <c r="Q626" s="140" t="str">
        <f>IF(C626="","",IF(N(M626)&gt;0,M626+ROW()/1E9,""))</f>
        <v/>
      </c>
    </row>
    <row r="627">
      <c r="A627" s="141" t="str">
        <f>IF(C627="","","Stocks")</f>
        <v/>
      </c>
      <c r="B627" s="141" t="str">
        <f>IF(C627="","","Exterior")</f>
        <v/>
      </c>
      <c r="C627" s="141" t="str">
        <f>IF('05 Stocks'!A130="","",'05 Stocks'!A130&amp;"")</f>
        <v/>
      </c>
      <c r="D627" s="141" t="str">
        <f>IF(C627="","",'05 Stocks'!B130&amp;"")</f>
        <v/>
      </c>
      <c r="E627" s="141" t="str">
        <f>IF(C627="","",'05 Stocks'!C130&amp;"")</f>
        <v/>
      </c>
      <c r="F627" s="141" t="str">
        <f>IF(C627="","",'05 Stocks'!V130)</f>
        <v/>
      </c>
      <c r="G627" s="142" t="str">
        <f>IF(C627="","",'05 Stocks'!E130)</f>
        <v/>
      </c>
      <c r="H627" s="143" t="str">
        <f>IF(C627="","",'05 Stocks'!H130)</f>
        <v/>
      </c>
      <c r="I627" s="144" t="str">
        <f>IF(C627="","",'05 Stocks'!J130)</f>
        <v/>
      </c>
      <c r="J627" s="145" t="str">
        <f>IF(C627="","",'05 Stocks'!K130)</f>
        <v/>
      </c>
      <c r="K627" s="145" t="str">
        <f>IF(C627="","",'05 Stocks'!Q130)</f>
        <v/>
      </c>
      <c r="L627" s="142" t="str">
        <f>IF(C627="","",'05 Stocks'!R130)</f>
        <v/>
      </c>
      <c r="M627" s="145" t="str">
        <f>IF(C627="","",'05 Stocks'!T130)</f>
        <v/>
      </c>
      <c r="N627" s="146" t="str">
        <f>IF(C627="","",IF($J$3&gt;0,J627/$J$3,0))</f>
        <v/>
      </c>
      <c r="O627" s="141" t="str">
        <f>IF(C627="","",'05 Stocks'!I130)</f>
        <v/>
      </c>
      <c r="P627" s="147" t="str">
        <f>IF(C627="","",IF(N(J627)&gt;0,J627+ROW()/1E9,""))</f>
        <v/>
      </c>
      <c r="Q627" s="147" t="str">
        <f>IF(C627="","",IF(N(M627)&gt;0,M627+ROW()/1E9,""))</f>
        <v/>
      </c>
    </row>
    <row r="628">
      <c r="A628" s="134" t="str">
        <f>IF(C628="","","Stocks")</f>
        <v/>
      </c>
      <c r="B628" s="134" t="str">
        <f>IF(C628="","","Exterior")</f>
        <v/>
      </c>
      <c r="C628" s="134" t="str">
        <f>IF('05 Stocks'!A131="","",'05 Stocks'!A131&amp;"")</f>
        <v/>
      </c>
      <c r="D628" s="134" t="str">
        <f>IF(C628="","",'05 Stocks'!B131&amp;"")</f>
        <v/>
      </c>
      <c r="E628" s="134" t="str">
        <f>IF(C628="","",'05 Stocks'!C131&amp;"")</f>
        <v/>
      </c>
      <c r="F628" s="134" t="str">
        <f>IF(C628="","",'05 Stocks'!V131)</f>
        <v/>
      </c>
      <c r="G628" s="135" t="str">
        <f>IF(C628="","",'05 Stocks'!E131)</f>
        <v/>
      </c>
      <c r="H628" s="136" t="str">
        <f>IF(C628="","",'05 Stocks'!H131)</f>
        <v/>
      </c>
      <c r="I628" s="137" t="str">
        <f>IF(C628="","",'05 Stocks'!J131)</f>
        <v/>
      </c>
      <c r="J628" s="138" t="str">
        <f>IF(C628="","",'05 Stocks'!K131)</f>
        <v/>
      </c>
      <c r="K628" s="138" t="str">
        <f>IF(C628="","",'05 Stocks'!Q131)</f>
        <v/>
      </c>
      <c r="L628" s="135" t="str">
        <f>IF(C628="","",'05 Stocks'!R131)</f>
        <v/>
      </c>
      <c r="M628" s="138" t="str">
        <f>IF(C628="","",'05 Stocks'!T131)</f>
        <v/>
      </c>
      <c r="N628" s="139" t="str">
        <f>IF(C628="","",IF($J$3&gt;0,J628/$J$3,0))</f>
        <v/>
      </c>
      <c r="O628" s="134" t="str">
        <f>IF(C628="","",'05 Stocks'!I131)</f>
        <v/>
      </c>
      <c r="P628" s="140" t="str">
        <f>IF(C628="","",IF(N(J628)&gt;0,J628+ROW()/1E9,""))</f>
        <v/>
      </c>
      <c r="Q628" s="140" t="str">
        <f>IF(C628="","",IF(N(M628)&gt;0,M628+ROW()/1E9,""))</f>
        <v/>
      </c>
    </row>
    <row r="629">
      <c r="A629" s="141" t="str">
        <f>IF(C629="","","Stocks")</f>
        <v/>
      </c>
      <c r="B629" s="141" t="str">
        <f>IF(C629="","","Exterior")</f>
        <v/>
      </c>
      <c r="C629" s="141" t="str">
        <f>IF('05 Stocks'!A132="","",'05 Stocks'!A132&amp;"")</f>
        <v/>
      </c>
      <c r="D629" s="141" t="str">
        <f>IF(C629="","",'05 Stocks'!B132&amp;"")</f>
        <v/>
      </c>
      <c r="E629" s="141" t="str">
        <f>IF(C629="","",'05 Stocks'!C132&amp;"")</f>
        <v/>
      </c>
      <c r="F629" s="141" t="str">
        <f>IF(C629="","",'05 Stocks'!V132)</f>
        <v/>
      </c>
      <c r="G629" s="142" t="str">
        <f>IF(C629="","",'05 Stocks'!E132)</f>
        <v/>
      </c>
      <c r="H629" s="143" t="str">
        <f>IF(C629="","",'05 Stocks'!H132)</f>
        <v/>
      </c>
      <c r="I629" s="144" t="str">
        <f>IF(C629="","",'05 Stocks'!J132)</f>
        <v/>
      </c>
      <c r="J629" s="145" t="str">
        <f>IF(C629="","",'05 Stocks'!K132)</f>
        <v/>
      </c>
      <c r="K629" s="145" t="str">
        <f>IF(C629="","",'05 Stocks'!Q132)</f>
        <v/>
      </c>
      <c r="L629" s="142" t="str">
        <f>IF(C629="","",'05 Stocks'!R132)</f>
        <v/>
      </c>
      <c r="M629" s="145" t="str">
        <f>IF(C629="","",'05 Stocks'!T132)</f>
        <v/>
      </c>
      <c r="N629" s="146" t="str">
        <f>IF(C629="","",IF($J$3&gt;0,J629/$J$3,0))</f>
        <v/>
      </c>
      <c r="O629" s="141" t="str">
        <f>IF(C629="","",'05 Stocks'!I132)</f>
        <v/>
      </c>
      <c r="P629" s="147" t="str">
        <f>IF(C629="","",IF(N(J629)&gt;0,J629+ROW()/1E9,""))</f>
        <v/>
      </c>
      <c r="Q629" s="147" t="str">
        <f>IF(C629="","",IF(N(M629)&gt;0,M629+ROW()/1E9,""))</f>
        <v/>
      </c>
    </row>
    <row r="630">
      <c r="A630" s="134" t="str">
        <f>IF(C630="","","Stocks")</f>
        <v/>
      </c>
      <c r="B630" s="134" t="str">
        <f>IF(C630="","","Exterior")</f>
        <v/>
      </c>
      <c r="C630" s="134" t="str">
        <f>IF('05 Stocks'!A133="","",'05 Stocks'!A133&amp;"")</f>
        <v/>
      </c>
      <c r="D630" s="134" t="str">
        <f>IF(C630="","",'05 Stocks'!B133&amp;"")</f>
        <v/>
      </c>
      <c r="E630" s="134" t="str">
        <f>IF(C630="","",'05 Stocks'!C133&amp;"")</f>
        <v/>
      </c>
      <c r="F630" s="134" t="str">
        <f>IF(C630="","",'05 Stocks'!V133)</f>
        <v/>
      </c>
      <c r="G630" s="135" t="str">
        <f>IF(C630="","",'05 Stocks'!E133)</f>
        <v/>
      </c>
      <c r="H630" s="136" t="str">
        <f>IF(C630="","",'05 Stocks'!H133)</f>
        <v/>
      </c>
      <c r="I630" s="137" t="str">
        <f>IF(C630="","",'05 Stocks'!J133)</f>
        <v/>
      </c>
      <c r="J630" s="138" t="str">
        <f>IF(C630="","",'05 Stocks'!K133)</f>
        <v/>
      </c>
      <c r="K630" s="138" t="str">
        <f>IF(C630="","",'05 Stocks'!Q133)</f>
        <v/>
      </c>
      <c r="L630" s="135" t="str">
        <f>IF(C630="","",'05 Stocks'!R133)</f>
        <v/>
      </c>
      <c r="M630" s="138" t="str">
        <f>IF(C630="","",'05 Stocks'!T133)</f>
        <v/>
      </c>
      <c r="N630" s="139" t="str">
        <f>IF(C630="","",IF($J$3&gt;0,J630/$J$3,0))</f>
        <v/>
      </c>
      <c r="O630" s="134" t="str">
        <f>IF(C630="","",'05 Stocks'!I133)</f>
        <v/>
      </c>
      <c r="P630" s="140" t="str">
        <f>IF(C630="","",IF(N(J630)&gt;0,J630+ROW()/1E9,""))</f>
        <v/>
      </c>
      <c r="Q630" s="140" t="str">
        <f>IF(C630="","",IF(N(M630)&gt;0,M630+ROW()/1E9,""))</f>
        <v/>
      </c>
    </row>
    <row r="631">
      <c r="A631" s="141" t="str">
        <f>IF(C631="","","Stocks")</f>
        <v/>
      </c>
      <c r="B631" s="141" t="str">
        <f>IF(C631="","","Exterior")</f>
        <v/>
      </c>
      <c r="C631" s="141" t="str">
        <f>IF('05 Stocks'!A134="","",'05 Stocks'!A134&amp;"")</f>
        <v/>
      </c>
      <c r="D631" s="141" t="str">
        <f>IF(C631="","",'05 Stocks'!B134&amp;"")</f>
        <v/>
      </c>
      <c r="E631" s="141" t="str">
        <f>IF(C631="","",'05 Stocks'!C134&amp;"")</f>
        <v/>
      </c>
      <c r="F631" s="141" t="str">
        <f>IF(C631="","",'05 Stocks'!V134)</f>
        <v/>
      </c>
      <c r="G631" s="142" t="str">
        <f>IF(C631="","",'05 Stocks'!E134)</f>
        <v/>
      </c>
      <c r="H631" s="143" t="str">
        <f>IF(C631="","",'05 Stocks'!H134)</f>
        <v/>
      </c>
      <c r="I631" s="144" t="str">
        <f>IF(C631="","",'05 Stocks'!J134)</f>
        <v/>
      </c>
      <c r="J631" s="145" t="str">
        <f>IF(C631="","",'05 Stocks'!K134)</f>
        <v/>
      </c>
      <c r="K631" s="145" t="str">
        <f>IF(C631="","",'05 Stocks'!Q134)</f>
        <v/>
      </c>
      <c r="L631" s="142" t="str">
        <f>IF(C631="","",'05 Stocks'!R134)</f>
        <v/>
      </c>
      <c r="M631" s="145" t="str">
        <f>IF(C631="","",'05 Stocks'!T134)</f>
        <v/>
      </c>
      <c r="N631" s="146" t="str">
        <f>IF(C631="","",IF($J$3&gt;0,J631/$J$3,0))</f>
        <v/>
      </c>
      <c r="O631" s="141" t="str">
        <f>IF(C631="","",'05 Stocks'!I134)</f>
        <v/>
      </c>
      <c r="P631" s="147" t="str">
        <f>IF(C631="","",IF(N(J631)&gt;0,J631+ROW()/1E9,""))</f>
        <v/>
      </c>
      <c r="Q631" s="147" t="str">
        <f>IF(C631="","",IF(N(M631)&gt;0,M631+ROW()/1E9,""))</f>
        <v/>
      </c>
    </row>
    <row r="632">
      <c r="A632" s="134" t="str">
        <f>IF(C632="","","Stocks")</f>
        <v/>
      </c>
      <c r="B632" s="134" t="str">
        <f>IF(C632="","","Exterior")</f>
        <v/>
      </c>
      <c r="C632" s="134" t="str">
        <f>IF('05 Stocks'!A135="","",'05 Stocks'!A135&amp;"")</f>
        <v/>
      </c>
      <c r="D632" s="134" t="str">
        <f>IF(C632="","",'05 Stocks'!B135&amp;"")</f>
        <v/>
      </c>
      <c r="E632" s="134" t="str">
        <f>IF(C632="","",'05 Stocks'!C135&amp;"")</f>
        <v/>
      </c>
      <c r="F632" s="134" t="str">
        <f>IF(C632="","",'05 Stocks'!V135)</f>
        <v/>
      </c>
      <c r="G632" s="135" t="str">
        <f>IF(C632="","",'05 Stocks'!E135)</f>
        <v/>
      </c>
      <c r="H632" s="136" t="str">
        <f>IF(C632="","",'05 Stocks'!H135)</f>
        <v/>
      </c>
      <c r="I632" s="137" t="str">
        <f>IF(C632="","",'05 Stocks'!J135)</f>
        <v/>
      </c>
      <c r="J632" s="138" t="str">
        <f>IF(C632="","",'05 Stocks'!K135)</f>
        <v/>
      </c>
      <c r="K632" s="138" t="str">
        <f>IF(C632="","",'05 Stocks'!Q135)</f>
        <v/>
      </c>
      <c r="L632" s="135" t="str">
        <f>IF(C632="","",'05 Stocks'!R135)</f>
        <v/>
      </c>
      <c r="M632" s="138" t="str">
        <f>IF(C632="","",'05 Stocks'!T135)</f>
        <v/>
      </c>
      <c r="N632" s="139" t="str">
        <f>IF(C632="","",IF($J$3&gt;0,J632/$J$3,0))</f>
        <v/>
      </c>
      <c r="O632" s="134" t="str">
        <f>IF(C632="","",'05 Stocks'!I135)</f>
        <v/>
      </c>
      <c r="P632" s="140" t="str">
        <f>IF(C632="","",IF(N(J632)&gt;0,J632+ROW()/1E9,""))</f>
        <v/>
      </c>
      <c r="Q632" s="140" t="str">
        <f>IF(C632="","",IF(N(M632)&gt;0,M632+ROW()/1E9,""))</f>
        <v/>
      </c>
    </row>
    <row r="633">
      <c r="A633" s="141" t="str">
        <f>IF(C633="","","Stocks")</f>
        <v/>
      </c>
      <c r="B633" s="141" t="str">
        <f>IF(C633="","","Exterior")</f>
        <v/>
      </c>
      <c r="C633" s="141" t="str">
        <f>IF('05 Stocks'!A136="","",'05 Stocks'!A136&amp;"")</f>
        <v/>
      </c>
      <c r="D633" s="141" t="str">
        <f>IF(C633="","",'05 Stocks'!B136&amp;"")</f>
        <v/>
      </c>
      <c r="E633" s="141" t="str">
        <f>IF(C633="","",'05 Stocks'!C136&amp;"")</f>
        <v/>
      </c>
      <c r="F633" s="141" t="str">
        <f>IF(C633="","",'05 Stocks'!V136)</f>
        <v/>
      </c>
      <c r="G633" s="142" t="str">
        <f>IF(C633="","",'05 Stocks'!E136)</f>
        <v/>
      </c>
      <c r="H633" s="143" t="str">
        <f>IF(C633="","",'05 Stocks'!H136)</f>
        <v/>
      </c>
      <c r="I633" s="144" t="str">
        <f>IF(C633="","",'05 Stocks'!J136)</f>
        <v/>
      </c>
      <c r="J633" s="145" t="str">
        <f>IF(C633="","",'05 Stocks'!K136)</f>
        <v/>
      </c>
      <c r="K633" s="145" t="str">
        <f>IF(C633="","",'05 Stocks'!Q136)</f>
        <v/>
      </c>
      <c r="L633" s="142" t="str">
        <f>IF(C633="","",'05 Stocks'!R136)</f>
        <v/>
      </c>
      <c r="M633" s="145" t="str">
        <f>IF(C633="","",'05 Stocks'!T136)</f>
        <v/>
      </c>
      <c r="N633" s="146" t="str">
        <f>IF(C633="","",IF($J$3&gt;0,J633/$J$3,0))</f>
        <v/>
      </c>
      <c r="O633" s="141" t="str">
        <f>IF(C633="","",'05 Stocks'!I136)</f>
        <v/>
      </c>
      <c r="P633" s="147" t="str">
        <f>IF(C633="","",IF(N(J633)&gt;0,J633+ROW()/1E9,""))</f>
        <v/>
      </c>
      <c r="Q633" s="147" t="str">
        <f>IF(C633="","",IF(N(M633)&gt;0,M633+ROW()/1E9,""))</f>
        <v/>
      </c>
    </row>
    <row r="634">
      <c r="A634" s="134" t="str">
        <f>IF(C634="","","Stocks")</f>
        <v/>
      </c>
      <c r="B634" s="134" t="str">
        <f>IF(C634="","","Exterior")</f>
        <v/>
      </c>
      <c r="C634" s="134" t="str">
        <f>IF('05 Stocks'!A137="","",'05 Stocks'!A137&amp;"")</f>
        <v/>
      </c>
      <c r="D634" s="134" t="str">
        <f>IF(C634="","",'05 Stocks'!B137&amp;"")</f>
        <v/>
      </c>
      <c r="E634" s="134" t="str">
        <f>IF(C634="","",'05 Stocks'!C137&amp;"")</f>
        <v/>
      </c>
      <c r="F634" s="134" t="str">
        <f>IF(C634="","",'05 Stocks'!V137)</f>
        <v/>
      </c>
      <c r="G634" s="135" t="str">
        <f>IF(C634="","",'05 Stocks'!E137)</f>
        <v/>
      </c>
      <c r="H634" s="136" t="str">
        <f>IF(C634="","",'05 Stocks'!H137)</f>
        <v/>
      </c>
      <c r="I634" s="137" t="str">
        <f>IF(C634="","",'05 Stocks'!J137)</f>
        <v/>
      </c>
      <c r="J634" s="138" t="str">
        <f>IF(C634="","",'05 Stocks'!K137)</f>
        <v/>
      </c>
      <c r="K634" s="138" t="str">
        <f>IF(C634="","",'05 Stocks'!Q137)</f>
        <v/>
      </c>
      <c r="L634" s="135" t="str">
        <f>IF(C634="","",'05 Stocks'!R137)</f>
        <v/>
      </c>
      <c r="M634" s="138" t="str">
        <f>IF(C634="","",'05 Stocks'!T137)</f>
        <v/>
      </c>
      <c r="N634" s="139" t="str">
        <f>IF(C634="","",IF($J$3&gt;0,J634/$J$3,0))</f>
        <v/>
      </c>
      <c r="O634" s="134" t="str">
        <f>IF(C634="","",'05 Stocks'!I137)</f>
        <v/>
      </c>
      <c r="P634" s="140" t="str">
        <f>IF(C634="","",IF(N(J634)&gt;0,J634+ROW()/1E9,""))</f>
        <v/>
      </c>
      <c r="Q634" s="140" t="str">
        <f>IF(C634="","",IF(N(M634)&gt;0,M634+ROW()/1E9,""))</f>
        <v/>
      </c>
    </row>
    <row r="635">
      <c r="A635" s="141" t="str">
        <f>IF(C635="","","Stocks")</f>
        <v/>
      </c>
      <c r="B635" s="141" t="str">
        <f>IF(C635="","","Exterior")</f>
        <v/>
      </c>
      <c r="C635" s="141" t="str">
        <f>IF('05 Stocks'!A138="","",'05 Stocks'!A138&amp;"")</f>
        <v/>
      </c>
      <c r="D635" s="141" t="str">
        <f>IF(C635="","",'05 Stocks'!B138&amp;"")</f>
        <v/>
      </c>
      <c r="E635" s="141" t="str">
        <f>IF(C635="","",'05 Stocks'!C138&amp;"")</f>
        <v/>
      </c>
      <c r="F635" s="141" t="str">
        <f>IF(C635="","",'05 Stocks'!V138)</f>
        <v/>
      </c>
      <c r="G635" s="142" t="str">
        <f>IF(C635="","",'05 Stocks'!E138)</f>
        <v/>
      </c>
      <c r="H635" s="143" t="str">
        <f>IF(C635="","",'05 Stocks'!H138)</f>
        <v/>
      </c>
      <c r="I635" s="144" t="str">
        <f>IF(C635="","",'05 Stocks'!J138)</f>
        <v/>
      </c>
      <c r="J635" s="145" t="str">
        <f>IF(C635="","",'05 Stocks'!K138)</f>
        <v/>
      </c>
      <c r="K635" s="145" t="str">
        <f>IF(C635="","",'05 Stocks'!Q138)</f>
        <v/>
      </c>
      <c r="L635" s="142" t="str">
        <f>IF(C635="","",'05 Stocks'!R138)</f>
        <v/>
      </c>
      <c r="M635" s="145" t="str">
        <f>IF(C635="","",'05 Stocks'!T138)</f>
        <v/>
      </c>
      <c r="N635" s="146" t="str">
        <f>IF(C635="","",IF($J$3&gt;0,J635/$J$3,0))</f>
        <v/>
      </c>
      <c r="O635" s="141" t="str">
        <f>IF(C635="","",'05 Stocks'!I138)</f>
        <v/>
      </c>
      <c r="P635" s="147" t="str">
        <f>IF(C635="","",IF(N(J635)&gt;0,J635+ROW()/1E9,""))</f>
        <v/>
      </c>
      <c r="Q635" s="147" t="str">
        <f>IF(C635="","",IF(N(M635)&gt;0,M635+ROW()/1E9,""))</f>
        <v/>
      </c>
    </row>
    <row r="636">
      <c r="A636" s="134" t="str">
        <f>IF(C636="","","Stocks")</f>
        <v/>
      </c>
      <c r="B636" s="134" t="str">
        <f>IF(C636="","","Exterior")</f>
        <v/>
      </c>
      <c r="C636" s="134" t="str">
        <f>IF('05 Stocks'!A139="","",'05 Stocks'!A139&amp;"")</f>
        <v/>
      </c>
      <c r="D636" s="134" t="str">
        <f>IF(C636="","",'05 Stocks'!B139&amp;"")</f>
        <v/>
      </c>
      <c r="E636" s="134" t="str">
        <f>IF(C636="","",'05 Stocks'!C139&amp;"")</f>
        <v/>
      </c>
      <c r="F636" s="134" t="str">
        <f>IF(C636="","",'05 Stocks'!V139)</f>
        <v/>
      </c>
      <c r="G636" s="135" t="str">
        <f>IF(C636="","",'05 Stocks'!E139)</f>
        <v/>
      </c>
      <c r="H636" s="136" t="str">
        <f>IF(C636="","",'05 Stocks'!H139)</f>
        <v/>
      </c>
      <c r="I636" s="137" t="str">
        <f>IF(C636="","",'05 Stocks'!J139)</f>
        <v/>
      </c>
      <c r="J636" s="138" t="str">
        <f>IF(C636="","",'05 Stocks'!K139)</f>
        <v/>
      </c>
      <c r="K636" s="138" t="str">
        <f>IF(C636="","",'05 Stocks'!Q139)</f>
        <v/>
      </c>
      <c r="L636" s="135" t="str">
        <f>IF(C636="","",'05 Stocks'!R139)</f>
        <v/>
      </c>
      <c r="M636" s="138" t="str">
        <f>IF(C636="","",'05 Stocks'!T139)</f>
        <v/>
      </c>
      <c r="N636" s="139" t="str">
        <f>IF(C636="","",IF($J$3&gt;0,J636/$J$3,0))</f>
        <v/>
      </c>
      <c r="O636" s="134" t="str">
        <f>IF(C636="","",'05 Stocks'!I139)</f>
        <v/>
      </c>
      <c r="P636" s="140" t="str">
        <f>IF(C636="","",IF(N(J636)&gt;0,J636+ROW()/1E9,""))</f>
        <v/>
      </c>
      <c r="Q636" s="140" t="str">
        <f>IF(C636="","",IF(N(M636)&gt;0,M636+ROW()/1E9,""))</f>
        <v/>
      </c>
    </row>
    <row r="637">
      <c r="A637" s="141" t="str">
        <f>IF(C637="","","Stocks")</f>
        <v/>
      </c>
      <c r="B637" s="141" t="str">
        <f>IF(C637="","","Exterior")</f>
        <v/>
      </c>
      <c r="C637" s="141" t="str">
        <f>IF('05 Stocks'!A140="","",'05 Stocks'!A140&amp;"")</f>
        <v/>
      </c>
      <c r="D637" s="141" t="str">
        <f>IF(C637="","",'05 Stocks'!B140&amp;"")</f>
        <v/>
      </c>
      <c r="E637" s="141" t="str">
        <f>IF(C637="","",'05 Stocks'!C140&amp;"")</f>
        <v/>
      </c>
      <c r="F637" s="141" t="str">
        <f>IF(C637="","",'05 Stocks'!V140)</f>
        <v/>
      </c>
      <c r="G637" s="142" t="str">
        <f>IF(C637="","",'05 Stocks'!E140)</f>
        <v/>
      </c>
      <c r="H637" s="143" t="str">
        <f>IF(C637="","",'05 Stocks'!H140)</f>
        <v/>
      </c>
      <c r="I637" s="144" t="str">
        <f>IF(C637="","",'05 Stocks'!J140)</f>
        <v/>
      </c>
      <c r="J637" s="145" t="str">
        <f>IF(C637="","",'05 Stocks'!K140)</f>
        <v/>
      </c>
      <c r="K637" s="145" t="str">
        <f>IF(C637="","",'05 Stocks'!Q140)</f>
        <v/>
      </c>
      <c r="L637" s="142" t="str">
        <f>IF(C637="","",'05 Stocks'!R140)</f>
        <v/>
      </c>
      <c r="M637" s="145" t="str">
        <f>IF(C637="","",'05 Stocks'!T140)</f>
        <v/>
      </c>
      <c r="N637" s="146" t="str">
        <f>IF(C637="","",IF($J$3&gt;0,J637/$J$3,0))</f>
        <v/>
      </c>
      <c r="O637" s="141" t="str">
        <f>IF(C637="","",'05 Stocks'!I140)</f>
        <v/>
      </c>
      <c r="P637" s="147" t="str">
        <f>IF(C637="","",IF(N(J637)&gt;0,J637+ROW()/1E9,""))</f>
        <v/>
      </c>
      <c r="Q637" s="147" t="str">
        <f>IF(C637="","",IF(N(M637)&gt;0,M637+ROW()/1E9,""))</f>
        <v/>
      </c>
    </row>
    <row r="638">
      <c r="A638" s="134" t="str">
        <f>IF(C638="","","Stocks")</f>
        <v/>
      </c>
      <c r="B638" s="134" t="str">
        <f>IF(C638="","","Exterior")</f>
        <v/>
      </c>
      <c r="C638" s="134" t="str">
        <f>IF('05 Stocks'!A141="","",'05 Stocks'!A141&amp;"")</f>
        <v/>
      </c>
      <c r="D638" s="134" t="str">
        <f>IF(C638="","",'05 Stocks'!B141&amp;"")</f>
        <v/>
      </c>
      <c r="E638" s="134" t="str">
        <f>IF(C638="","",'05 Stocks'!C141&amp;"")</f>
        <v/>
      </c>
      <c r="F638" s="134" t="str">
        <f>IF(C638="","",'05 Stocks'!V141)</f>
        <v/>
      </c>
      <c r="G638" s="135" t="str">
        <f>IF(C638="","",'05 Stocks'!E141)</f>
        <v/>
      </c>
      <c r="H638" s="136" t="str">
        <f>IF(C638="","",'05 Stocks'!H141)</f>
        <v/>
      </c>
      <c r="I638" s="137" t="str">
        <f>IF(C638="","",'05 Stocks'!J141)</f>
        <v/>
      </c>
      <c r="J638" s="138" t="str">
        <f>IF(C638="","",'05 Stocks'!K141)</f>
        <v/>
      </c>
      <c r="K638" s="138" t="str">
        <f>IF(C638="","",'05 Stocks'!Q141)</f>
        <v/>
      </c>
      <c r="L638" s="135" t="str">
        <f>IF(C638="","",'05 Stocks'!R141)</f>
        <v/>
      </c>
      <c r="M638" s="138" t="str">
        <f>IF(C638="","",'05 Stocks'!T141)</f>
        <v/>
      </c>
      <c r="N638" s="139" t="str">
        <f>IF(C638="","",IF($J$3&gt;0,J638/$J$3,0))</f>
        <v/>
      </c>
      <c r="O638" s="134" t="str">
        <f>IF(C638="","",'05 Stocks'!I141)</f>
        <v/>
      </c>
      <c r="P638" s="140" t="str">
        <f>IF(C638="","",IF(N(J638)&gt;0,J638+ROW()/1E9,""))</f>
        <v/>
      </c>
      <c r="Q638" s="140" t="str">
        <f>IF(C638="","",IF(N(M638)&gt;0,M638+ROW()/1E9,""))</f>
        <v/>
      </c>
    </row>
    <row r="639">
      <c r="A639" s="141" t="str">
        <f>IF(C639="","","Stocks")</f>
        <v/>
      </c>
      <c r="B639" s="141" t="str">
        <f>IF(C639="","","Exterior")</f>
        <v/>
      </c>
      <c r="C639" s="141" t="str">
        <f>IF('05 Stocks'!A142="","",'05 Stocks'!A142&amp;"")</f>
        <v/>
      </c>
      <c r="D639" s="141" t="str">
        <f>IF(C639="","",'05 Stocks'!B142&amp;"")</f>
        <v/>
      </c>
      <c r="E639" s="141" t="str">
        <f>IF(C639="","",'05 Stocks'!C142&amp;"")</f>
        <v/>
      </c>
      <c r="F639" s="141" t="str">
        <f>IF(C639="","",'05 Stocks'!V142)</f>
        <v/>
      </c>
      <c r="G639" s="142" t="str">
        <f>IF(C639="","",'05 Stocks'!E142)</f>
        <v/>
      </c>
      <c r="H639" s="143" t="str">
        <f>IF(C639="","",'05 Stocks'!H142)</f>
        <v/>
      </c>
      <c r="I639" s="144" t="str">
        <f>IF(C639="","",'05 Stocks'!J142)</f>
        <v/>
      </c>
      <c r="J639" s="145" t="str">
        <f>IF(C639="","",'05 Stocks'!K142)</f>
        <v/>
      </c>
      <c r="K639" s="145" t="str">
        <f>IF(C639="","",'05 Stocks'!Q142)</f>
        <v/>
      </c>
      <c r="L639" s="142" t="str">
        <f>IF(C639="","",'05 Stocks'!R142)</f>
        <v/>
      </c>
      <c r="M639" s="145" t="str">
        <f>IF(C639="","",'05 Stocks'!T142)</f>
        <v/>
      </c>
      <c r="N639" s="146" t="str">
        <f>IF(C639="","",IF($J$3&gt;0,J639/$J$3,0))</f>
        <v/>
      </c>
      <c r="O639" s="141" t="str">
        <f>IF(C639="","",'05 Stocks'!I142)</f>
        <v/>
      </c>
      <c r="P639" s="147" t="str">
        <f>IF(C639="","",IF(N(J639)&gt;0,J639+ROW()/1E9,""))</f>
        <v/>
      </c>
      <c r="Q639" s="147" t="str">
        <f>IF(C639="","",IF(N(M639)&gt;0,M639+ROW()/1E9,""))</f>
        <v/>
      </c>
    </row>
    <row r="640">
      <c r="A640" s="134" t="str">
        <f>IF(C640="","","Stocks")</f>
        <v/>
      </c>
      <c r="B640" s="134" t="str">
        <f>IF(C640="","","Exterior")</f>
        <v/>
      </c>
      <c r="C640" s="134" t="str">
        <f>IF('05 Stocks'!A143="","",'05 Stocks'!A143&amp;"")</f>
        <v/>
      </c>
      <c r="D640" s="134" t="str">
        <f>IF(C640="","",'05 Stocks'!B143&amp;"")</f>
        <v/>
      </c>
      <c r="E640" s="134" t="str">
        <f>IF(C640="","",'05 Stocks'!C143&amp;"")</f>
        <v/>
      </c>
      <c r="F640" s="134" t="str">
        <f>IF(C640="","",'05 Stocks'!V143)</f>
        <v/>
      </c>
      <c r="G640" s="135" t="str">
        <f>IF(C640="","",'05 Stocks'!E143)</f>
        <v/>
      </c>
      <c r="H640" s="136" t="str">
        <f>IF(C640="","",'05 Stocks'!H143)</f>
        <v/>
      </c>
      <c r="I640" s="137" t="str">
        <f>IF(C640="","",'05 Stocks'!J143)</f>
        <v/>
      </c>
      <c r="J640" s="138" t="str">
        <f>IF(C640="","",'05 Stocks'!K143)</f>
        <v/>
      </c>
      <c r="K640" s="138" t="str">
        <f>IF(C640="","",'05 Stocks'!Q143)</f>
        <v/>
      </c>
      <c r="L640" s="135" t="str">
        <f>IF(C640="","",'05 Stocks'!R143)</f>
        <v/>
      </c>
      <c r="M640" s="138" t="str">
        <f>IF(C640="","",'05 Stocks'!T143)</f>
        <v/>
      </c>
      <c r="N640" s="139" t="str">
        <f>IF(C640="","",IF($J$3&gt;0,J640/$J$3,0))</f>
        <v/>
      </c>
      <c r="O640" s="134" t="str">
        <f>IF(C640="","",'05 Stocks'!I143)</f>
        <v/>
      </c>
      <c r="P640" s="140" t="str">
        <f>IF(C640="","",IF(N(J640)&gt;0,J640+ROW()/1E9,""))</f>
        <v/>
      </c>
      <c r="Q640" s="140" t="str">
        <f>IF(C640="","",IF(N(M640)&gt;0,M640+ROW()/1E9,""))</f>
        <v/>
      </c>
    </row>
    <row r="641">
      <c r="A641" s="141" t="str">
        <f>IF(C641="","","Stocks")</f>
        <v/>
      </c>
      <c r="B641" s="141" t="str">
        <f>IF(C641="","","Exterior")</f>
        <v/>
      </c>
      <c r="C641" s="141" t="str">
        <f>IF('05 Stocks'!A144="","",'05 Stocks'!A144&amp;"")</f>
        <v/>
      </c>
      <c r="D641" s="141" t="str">
        <f>IF(C641="","",'05 Stocks'!B144&amp;"")</f>
        <v/>
      </c>
      <c r="E641" s="141" t="str">
        <f>IF(C641="","",'05 Stocks'!C144&amp;"")</f>
        <v/>
      </c>
      <c r="F641" s="141" t="str">
        <f>IF(C641="","",'05 Stocks'!V144)</f>
        <v/>
      </c>
      <c r="G641" s="142" t="str">
        <f>IF(C641="","",'05 Stocks'!E144)</f>
        <v/>
      </c>
      <c r="H641" s="143" t="str">
        <f>IF(C641="","",'05 Stocks'!H144)</f>
        <v/>
      </c>
      <c r="I641" s="144" t="str">
        <f>IF(C641="","",'05 Stocks'!J144)</f>
        <v/>
      </c>
      <c r="J641" s="145" t="str">
        <f>IF(C641="","",'05 Stocks'!K144)</f>
        <v/>
      </c>
      <c r="K641" s="145" t="str">
        <f>IF(C641="","",'05 Stocks'!Q144)</f>
        <v/>
      </c>
      <c r="L641" s="142" t="str">
        <f>IF(C641="","",'05 Stocks'!R144)</f>
        <v/>
      </c>
      <c r="M641" s="145" t="str">
        <f>IF(C641="","",'05 Stocks'!T144)</f>
        <v/>
      </c>
      <c r="N641" s="146" t="str">
        <f>IF(C641="","",IF($J$3&gt;0,J641/$J$3,0))</f>
        <v/>
      </c>
      <c r="O641" s="141" t="str">
        <f>IF(C641="","",'05 Stocks'!I144)</f>
        <v/>
      </c>
      <c r="P641" s="147" t="str">
        <f>IF(C641="","",IF(N(J641)&gt;0,J641+ROW()/1E9,""))</f>
        <v/>
      </c>
      <c r="Q641" s="147" t="str">
        <f>IF(C641="","",IF(N(M641)&gt;0,M641+ROW()/1E9,""))</f>
        <v/>
      </c>
    </row>
    <row r="642">
      <c r="A642" s="134" t="str">
        <f>IF(C642="","","Stocks")</f>
        <v/>
      </c>
      <c r="B642" s="134" t="str">
        <f>IF(C642="","","Exterior")</f>
        <v/>
      </c>
      <c r="C642" s="134" t="str">
        <f>IF('05 Stocks'!A145="","",'05 Stocks'!A145&amp;"")</f>
        <v/>
      </c>
      <c r="D642" s="134" t="str">
        <f>IF(C642="","",'05 Stocks'!B145&amp;"")</f>
        <v/>
      </c>
      <c r="E642" s="134" t="str">
        <f>IF(C642="","",'05 Stocks'!C145&amp;"")</f>
        <v/>
      </c>
      <c r="F642" s="134" t="str">
        <f>IF(C642="","",'05 Stocks'!V145)</f>
        <v/>
      </c>
      <c r="G642" s="135" t="str">
        <f>IF(C642="","",'05 Stocks'!E145)</f>
        <v/>
      </c>
      <c r="H642" s="136" t="str">
        <f>IF(C642="","",'05 Stocks'!H145)</f>
        <v/>
      </c>
      <c r="I642" s="137" t="str">
        <f>IF(C642="","",'05 Stocks'!J145)</f>
        <v/>
      </c>
      <c r="J642" s="138" t="str">
        <f>IF(C642="","",'05 Stocks'!K145)</f>
        <v/>
      </c>
      <c r="K642" s="138" t="str">
        <f>IF(C642="","",'05 Stocks'!Q145)</f>
        <v/>
      </c>
      <c r="L642" s="135" t="str">
        <f>IF(C642="","",'05 Stocks'!R145)</f>
        <v/>
      </c>
      <c r="M642" s="138" t="str">
        <f>IF(C642="","",'05 Stocks'!T145)</f>
        <v/>
      </c>
      <c r="N642" s="139" t="str">
        <f>IF(C642="","",IF($J$3&gt;0,J642/$J$3,0))</f>
        <v/>
      </c>
      <c r="O642" s="134" t="str">
        <f>IF(C642="","",'05 Stocks'!I145)</f>
        <v/>
      </c>
      <c r="P642" s="140" t="str">
        <f>IF(C642="","",IF(N(J642)&gt;0,J642+ROW()/1E9,""))</f>
        <v/>
      </c>
      <c r="Q642" s="140" t="str">
        <f>IF(C642="","",IF(N(M642)&gt;0,M642+ROW()/1E9,""))</f>
        <v/>
      </c>
    </row>
    <row r="643">
      <c r="A643" s="141" t="str">
        <f>IF(C643="","","Stocks")</f>
        <v/>
      </c>
      <c r="B643" s="141" t="str">
        <f>IF(C643="","","Exterior")</f>
        <v/>
      </c>
      <c r="C643" s="141" t="str">
        <f>IF('05 Stocks'!A146="","",'05 Stocks'!A146&amp;"")</f>
        <v/>
      </c>
      <c r="D643" s="141" t="str">
        <f>IF(C643="","",'05 Stocks'!B146&amp;"")</f>
        <v/>
      </c>
      <c r="E643" s="141" t="str">
        <f>IF(C643="","",'05 Stocks'!C146&amp;"")</f>
        <v/>
      </c>
      <c r="F643" s="141" t="str">
        <f>IF(C643="","",'05 Stocks'!V146)</f>
        <v/>
      </c>
      <c r="G643" s="142" t="str">
        <f>IF(C643="","",'05 Stocks'!E146)</f>
        <v/>
      </c>
      <c r="H643" s="143" t="str">
        <f>IF(C643="","",'05 Stocks'!H146)</f>
        <v/>
      </c>
      <c r="I643" s="144" t="str">
        <f>IF(C643="","",'05 Stocks'!J146)</f>
        <v/>
      </c>
      <c r="J643" s="145" t="str">
        <f>IF(C643="","",'05 Stocks'!K146)</f>
        <v/>
      </c>
      <c r="K643" s="145" t="str">
        <f>IF(C643="","",'05 Stocks'!Q146)</f>
        <v/>
      </c>
      <c r="L643" s="142" t="str">
        <f>IF(C643="","",'05 Stocks'!R146)</f>
        <v/>
      </c>
      <c r="M643" s="145" t="str">
        <f>IF(C643="","",'05 Stocks'!T146)</f>
        <v/>
      </c>
      <c r="N643" s="146" t="str">
        <f>IF(C643="","",IF($J$3&gt;0,J643/$J$3,0))</f>
        <v/>
      </c>
      <c r="O643" s="141" t="str">
        <f>IF(C643="","",'05 Stocks'!I146)</f>
        <v/>
      </c>
      <c r="P643" s="147" t="str">
        <f>IF(C643="","",IF(N(J643)&gt;0,J643+ROW()/1E9,""))</f>
        <v/>
      </c>
      <c r="Q643" s="147" t="str">
        <f>IF(C643="","",IF(N(M643)&gt;0,M643+ROW()/1E9,""))</f>
        <v/>
      </c>
    </row>
    <row r="644">
      <c r="A644" s="134" t="str">
        <f>IF(C644="","","Stocks")</f>
        <v/>
      </c>
      <c r="B644" s="134" t="str">
        <f>IF(C644="","","Exterior")</f>
        <v/>
      </c>
      <c r="C644" s="134" t="str">
        <f>IF('05 Stocks'!A147="","",'05 Stocks'!A147&amp;"")</f>
        <v/>
      </c>
      <c r="D644" s="134" t="str">
        <f>IF(C644="","",'05 Stocks'!B147&amp;"")</f>
        <v/>
      </c>
      <c r="E644" s="134" t="str">
        <f>IF(C644="","",'05 Stocks'!C147&amp;"")</f>
        <v/>
      </c>
      <c r="F644" s="134" t="str">
        <f>IF(C644="","",'05 Stocks'!V147)</f>
        <v/>
      </c>
      <c r="G644" s="135" t="str">
        <f>IF(C644="","",'05 Stocks'!E147)</f>
        <v/>
      </c>
      <c r="H644" s="136" t="str">
        <f>IF(C644="","",'05 Stocks'!H147)</f>
        <v/>
      </c>
      <c r="I644" s="137" t="str">
        <f>IF(C644="","",'05 Stocks'!J147)</f>
        <v/>
      </c>
      <c r="J644" s="138" t="str">
        <f>IF(C644="","",'05 Stocks'!K147)</f>
        <v/>
      </c>
      <c r="K644" s="138" t="str">
        <f>IF(C644="","",'05 Stocks'!Q147)</f>
        <v/>
      </c>
      <c r="L644" s="135" t="str">
        <f>IF(C644="","",'05 Stocks'!R147)</f>
        <v/>
      </c>
      <c r="M644" s="138" t="str">
        <f>IF(C644="","",'05 Stocks'!T147)</f>
        <v/>
      </c>
      <c r="N644" s="139" t="str">
        <f>IF(C644="","",IF($J$3&gt;0,J644/$J$3,0))</f>
        <v/>
      </c>
      <c r="O644" s="134" t="str">
        <f>IF(C644="","",'05 Stocks'!I147)</f>
        <v/>
      </c>
      <c r="P644" s="140" t="str">
        <f>IF(C644="","",IF(N(J644)&gt;0,J644+ROW()/1E9,""))</f>
        <v/>
      </c>
      <c r="Q644" s="140" t="str">
        <f>IF(C644="","",IF(N(M644)&gt;0,M644+ROW()/1E9,""))</f>
        <v/>
      </c>
    </row>
    <row r="645">
      <c r="A645" s="141" t="str">
        <f>IF(C645="","","Stocks")</f>
        <v/>
      </c>
      <c r="B645" s="141" t="str">
        <f>IF(C645="","","Exterior")</f>
        <v/>
      </c>
      <c r="C645" s="141" t="str">
        <f>IF('05 Stocks'!A148="","",'05 Stocks'!A148&amp;"")</f>
        <v/>
      </c>
      <c r="D645" s="141" t="str">
        <f>IF(C645="","",'05 Stocks'!B148&amp;"")</f>
        <v/>
      </c>
      <c r="E645" s="141" t="str">
        <f>IF(C645="","",'05 Stocks'!C148&amp;"")</f>
        <v/>
      </c>
      <c r="F645" s="141" t="str">
        <f>IF(C645="","",'05 Stocks'!V148)</f>
        <v/>
      </c>
      <c r="G645" s="142" t="str">
        <f>IF(C645="","",'05 Stocks'!E148)</f>
        <v/>
      </c>
      <c r="H645" s="143" t="str">
        <f>IF(C645="","",'05 Stocks'!H148)</f>
        <v/>
      </c>
      <c r="I645" s="144" t="str">
        <f>IF(C645="","",'05 Stocks'!J148)</f>
        <v/>
      </c>
      <c r="J645" s="145" t="str">
        <f>IF(C645="","",'05 Stocks'!K148)</f>
        <v/>
      </c>
      <c r="K645" s="145" t="str">
        <f>IF(C645="","",'05 Stocks'!Q148)</f>
        <v/>
      </c>
      <c r="L645" s="142" t="str">
        <f>IF(C645="","",'05 Stocks'!R148)</f>
        <v/>
      </c>
      <c r="M645" s="145" t="str">
        <f>IF(C645="","",'05 Stocks'!T148)</f>
        <v/>
      </c>
      <c r="N645" s="146" t="str">
        <f>IF(C645="","",IF($J$3&gt;0,J645/$J$3,0))</f>
        <v/>
      </c>
      <c r="O645" s="141" t="str">
        <f>IF(C645="","",'05 Stocks'!I148)</f>
        <v/>
      </c>
      <c r="P645" s="147" t="str">
        <f>IF(C645="","",IF(N(J645)&gt;0,J645+ROW()/1E9,""))</f>
        <v/>
      </c>
      <c r="Q645" s="147" t="str">
        <f>IF(C645="","",IF(N(M645)&gt;0,M645+ROW()/1E9,""))</f>
        <v/>
      </c>
    </row>
    <row r="646">
      <c r="A646" s="134" t="str">
        <f>IF(C646="","","Stocks")</f>
        <v/>
      </c>
      <c r="B646" s="134" t="str">
        <f>IF(C646="","","Exterior")</f>
        <v/>
      </c>
      <c r="C646" s="134" t="str">
        <f>IF('05 Stocks'!A149="","",'05 Stocks'!A149&amp;"")</f>
        <v/>
      </c>
      <c r="D646" s="134" t="str">
        <f>IF(C646="","",'05 Stocks'!B149&amp;"")</f>
        <v/>
      </c>
      <c r="E646" s="134" t="str">
        <f>IF(C646="","",'05 Stocks'!C149&amp;"")</f>
        <v/>
      </c>
      <c r="F646" s="134" t="str">
        <f>IF(C646="","",'05 Stocks'!V149)</f>
        <v/>
      </c>
      <c r="G646" s="135" t="str">
        <f>IF(C646="","",'05 Stocks'!E149)</f>
        <v/>
      </c>
      <c r="H646" s="136" t="str">
        <f>IF(C646="","",'05 Stocks'!H149)</f>
        <v/>
      </c>
      <c r="I646" s="137" t="str">
        <f>IF(C646="","",'05 Stocks'!J149)</f>
        <v/>
      </c>
      <c r="J646" s="138" t="str">
        <f>IF(C646="","",'05 Stocks'!K149)</f>
        <v/>
      </c>
      <c r="K646" s="138" t="str">
        <f>IF(C646="","",'05 Stocks'!Q149)</f>
        <v/>
      </c>
      <c r="L646" s="135" t="str">
        <f>IF(C646="","",'05 Stocks'!R149)</f>
        <v/>
      </c>
      <c r="M646" s="138" t="str">
        <f>IF(C646="","",'05 Stocks'!T149)</f>
        <v/>
      </c>
      <c r="N646" s="139" t="str">
        <f>IF(C646="","",IF($J$3&gt;0,J646/$J$3,0))</f>
        <v/>
      </c>
      <c r="O646" s="134" t="str">
        <f>IF(C646="","",'05 Stocks'!I149)</f>
        <v/>
      </c>
      <c r="P646" s="140" t="str">
        <f>IF(C646="","",IF(N(J646)&gt;0,J646+ROW()/1E9,""))</f>
        <v/>
      </c>
      <c r="Q646" s="140" t="str">
        <f>IF(C646="","",IF(N(M646)&gt;0,M646+ROW()/1E9,""))</f>
        <v/>
      </c>
    </row>
    <row r="647">
      <c r="A647" s="141" t="str">
        <f>IF(C647="","","Stocks")</f>
        <v/>
      </c>
      <c r="B647" s="141" t="str">
        <f>IF(C647="","","Exterior")</f>
        <v/>
      </c>
      <c r="C647" s="141" t="str">
        <f>IF('05 Stocks'!A150="","",'05 Stocks'!A150&amp;"")</f>
        <v/>
      </c>
      <c r="D647" s="141" t="str">
        <f>IF(C647="","",'05 Stocks'!B150&amp;"")</f>
        <v/>
      </c>
      <c r="E647" s="141" t="str">
        <f>IF(C647="","",'05 Stocks'!C150&amp;"")</f>
        <v/>
      </c>
      <c r="F647" s="141" t="str">
        <f>IF(C647="","",'05 Stocks'!V150)</f>
        <v/>
      </c>
      <c r="G647" s="142" t="str">
        <f>IF(C647="","",'05 Stocks'!E150)</f>
        <v/>
      </c>
      <c r="H647" s="143" t="str">
        <f>IF(C647="","",'05 Stocks'!H150)</f>
        <v/>
      </c>
      <c r="I647" s="144" t="str">
        <f>IF(C647="","",'05 Stocks'!J150)</f>
        <v/>
      </c>
      <c r="J647" s="145" t="str">
        <f>IF(C647="","",'05 Stocks'!K150)</f>
        <v/>
      </c>
      <c r="K647" s="145" t="str">
        <f>IF(C647="","",'05 Stocks'!Q150)</f>
        <v/>
      </c>
      <c r="L647" s="142" t="str">
        <f>IF(C647="","",'05 Stocks'!R150)</f>
        <v/>
      </c>
      <c r="M647" s="145" t="str">
        <f>IF(C647="","",'05 Stocks'!T150)</f>
        <v/>
      </c>
      <c r="N647" s="146" t="str">
        <f>IF(C647="","",IF($J$3&gt;0,J647/$J$3,0))</f>
        <v/>
      </c>
      <c r="O647" s="141" t="str">
        <f>IF(C647="","",'05 Stocks'!I150)</f>
        <v/>
      </c>
      <c r="P647" s="147" t="str">
        <f>IF(C647="","",IF(N(J647)&gt;0,J647+ROW()/1E9,""))</f>
        <v/>
      </c>
      <c r="Q647" s="147" t="str">
        <f>IF(C647="","",IF(N(M647)&gt;0,M647+ROW()/1E9,""))</f>
        <v/>
      </c>
    </row>
    <row r="648">
      <c r="A648" s="134" t="str">
        <f>IF(C648="","","Stocks")</f>
        <v/>
      </c>
      <c r="B648" s="134" t="str">
        <f>IF(C648="","","Exterior")</f>
        <v/>
      </c>
      <c r="C648" s="134" t="str">
        <f>IF('05 Stocks'!A151="","",'05 Stocks'!A151&amp;"")</f>
        <v/>
      </c>
      <c r="D648" s="134" t="str">
        <f>IF(C648="","",'05 Stocks'!B151&amp;"")</f>
        <v/>
      </c>
      <c r="E648" s="134" t="str">
        <f>IF(C648="","",'05 Stocks'!C151&amp;"")</f>
        <v/>
      </c>
      <c r="F648" s="134" t="str">
        <f>IF(C648="","",'05 Stocks'!V151)</f>
        <v/>
      </c>
      <c r="G648" s="135" t="str">
        <f>IF(C648="","",'05 Stocks'!E151)</f>
        <v/>
      </c>
      <c r="H648" s="136" t="str">
        <f>IF(C648="","",'05 Stocks'!H151)</f>
        <v/>
      </c>
      <c r="I648" s="137" t="str">
        <f>IF(C648="","",'05 Stocks'!J151)</f>
        <v/>
      </c>
      <c r="J648" s="138" t="str">
        <f>IF(C648="","",'05 Stocks'!K151)</f>
        <v/>
      </c>
      <c r="K648" s="138" t="str">
        <f>IF(C648="","",'05 Stocks'!Q151)</f>
        <v/>
      </c>
      <c r="L648" s="135" t="str">
        <f>IF(C648="","",'05 Stocks'!R151)</f>
        <v/>
      </c>
      <c r="M648" s="138" t="str">
        <f>IF(C648="","",'05 Stocks'!T151)</f>
        <v/>
      </c>
      <c r="N648" s="139" t="str">
        <f>IF(C648="","",IF($J$3&gt;0,J648/$J$3,0))</f>
        <v/>
      </c>
      <c r="O648" s="134" t="str">
        <f>IF(C648="","",'05 Stocks'!I151)</f>
        <v/>
      </c>
      <c r="P648" s="140" t="str">
        <f>IF(C648="","",IF(N(J648)&gt;0,J648+ROW()/1E9,""))</f>
        <v/>
      </c>
      <c r="Q648" s="140" t="str">
        <f>IF(C648="","",IF(N(M648)&gt;0,M648+ROW()/1E9,""))</f>
        <v/>
      </c>
    </row>
    <row r="649">
      <c r="A649" s="141" t="str">
        <f>IF(C649="","","Stocks")</f>
        <v/>
      </c>
      <c r="B649" s="141" t="str">
        <f>IF(C649="","","Exterior")</f>
        <v/>
      </c>
      <c r="C649" s="141" t="str">
        <f>IF('05 Stocks'!A152="","",'05 Stocks'!A152&amp;"")</f>
        <v/>
      </c>
      <c r="D649" s="141" t="str">
        <f>IF(C649="","",'05 Stocks'!B152&amp;"")</f>
        <v/>
      </c>
      <c r="E649" s="141" t="str">
        <f>IF(C649="","",'05 Stocks'!C152&amp;"")</f>
        <v/>
      </c>
      <c r="F649" s="141" t="str">
        <f>IF(C649="","",'05 Stocks'!V152)</f>
        <v/>
      </c>
      <c r="G649" s="142" t="str">
        <f>IF(C649="","",'05 Stocks'!E152)</f>
        <v/>
      </c>
      <c r="H649" s="143" t="str">
        <f>IF(C649="","",'05 Stocks'!H152)</f>
        <v/>
      </c>
      <c r="I649" s="144" t="str">
        <f>IF(C649="","",'05 Stocks'!J152)</f>
        <v/>
      </c>
      <c r="J649" s="145" t="str">
        <f>IF(C649="","",'05 Stocks'!K152)</f>
        <v/>
      </c>
      <c r="K649" s="145" t="str">
        <f>IF(C649="","",'05 Stocks'!Q152)</f>
        <v/>
      </c>
      <c r="L649" s="142" t="str">
        <f>IF(C649="","",'05 Stocks'!R152)</f>
        <v/>
      </c>
      <c r="M649" s="145" t="str">
        <f>IF(C649="","",'05 Stocks'!T152)</f>
        <v/>
      </c>
      <c r="N649" s="146" t="str">
        <f>IF(C649="","",IF($J$3&gt;0,J649/$J$3,0))</f>
        <v/>
      </c>
      <c r="O649" s="141" t="str">
        <f>IF(C649="","",'05 Stocks'!I152)</f>
        <v/>
      </c>
      <c r="P649" s="147" t="str">
        <f>IF(C649="","",IF(N(J649)&gt;0,J649+ROW()/1E9,""))</f>
        <v/>
      </c>
      <c r="Q649" s="147" t="str">
        <f>IF(C649="","",IF(N(M649)&gt;0,M649+ROW()/1E9,""))</f>
        <v/>
      </c>
    </row>
    <row r="650">
      <c r="A650" s="134" t="str">
        <f>IF(C650="","","Stocks")</f>
        <v/>
      </c>
      <c r="B650" s="134" t="str">
        <f>IF(C650="","","Exterior")</f>
        <v/>
      </c>
      <c r="C650" s="134" t="str">
        <f>IF('05 Stocks'!A153="","",'05 Stocks'!A153&amp;"")</f>
        <v/>
      </c>
      <c r="D650" s="134" t="str">
        <f>IF(C650="","",'05 Stocks'!B153&amp;"")</f>
        <v/>
      </c>
      <c r="E650" s="134" t="str">
        <f>IF(C650="","",'05 Stocks'!C153&amp;"")</f>
        <v/>
      </c>
      <c r="F650" s="134" t="str">
        <f>IF(C650="","",'05 Stocks'!V153)</f>
        <v/>
      </c>
      <c r="G650" s="135" t="str">
        <f>IF(C650="","",'05 Stocks'!E153)</f>
        <v/>
      </c>
      <c r="H650" s="136" t="str">
        <f>IF(C650="","",'05 Stocks'!H153)</f>
        <v/>
      </c>
      <c r="I650" s="137" t="str">
        <f>IF(C650="","",'05 Stocks'!J153)</f>
        <v/>
      </c>
      <c r="J650" s="138" t="str">
        <f>IF(C650="","",'05 Stocks'!K153)</f>
        <v/>
      </c>
      <c r="K650" s="138" t="str">
        <f>IF(C650="","",'05 Stocks'!Q153)</f>
        <v/>
      </c>
      <c r="L650" s="135" t="str">
        <f>IF(C650="","",'05 Stocks'!R153)</f>
        <v/>
      </c>
      <c r="M650" s="138" t="str">
        <f>IF(C650="","",'05 Stocks'!T153)</f>
        <v/>
      </c>
      <c r="N650" s="139" t="str">
        <f>IF(C650="","",IF($J$3&gt;0,J650/$J$3,0))</f>
        <v/>
      </c>
      <c r="O650" s="134" t="str">
        <f>IF(C650="","",'05 Stocks'!I153)</f>
        <v/>
      </c>
      <c r="P650" s="140" t="str">
        <f>IF(C650="","",IF(N(J650)&gt;0,J650+ROW()/1E9,""))</f>
        <v/>
      </c>
      <c r="Q650" s="140" t="str">
        <f>IF(C650="","",IF(N(M650)&gt;0,M650+ROW()/1E9,""))</f>
        <v/>
      </c>
    </row>
    <row r="651">
      <c r="A651" s="141" t="str">
        <f>IF(C651="","","Stocks")</f>
        <v/>
      </c>
      <c r="B651" s="141" t="str">
        <f>IF(C651="","","Exterior")</f>
        <v/>
      </c>
      <c r="C651" s="141" t="str">
        <f>IF('05 Stocks'!A154="","",'05 Stocks'!A154&amp;"")</f>
        <v/>
      </c>
      <c r="D651" s="141" t="str">
        <f>IF(C651="","",'05 Stocks'!B154&amp;"")</f>
        <v/>
      </c>
      <c r="E651" s="141" t="str">
        <f>IF(C651="","",'05 Stocks'!C154&amp;"")</f>
        <v/>
      </c>
      <c r="F651" s="141" t="str">
        <f>IF(C651="","",'05 Stocks'!V154)</f>
        <v/>
      </c>
      <c r="G651" s="142" t="str">
        <f>IF(C651="","",'05 Stocks'!E154)</f>
        <v/>
      </c>
      <c r="H651" s="143" t="str">
        <f>IF(C651="","",'05 Stocks'!H154)</f>
        <v/>
      </c>
      <c r="I651" s="144" t="str">
        <f>IF(C651="","",'05 Stocks'!J154)</f>
        <v/>
      </c>
      <c r="J651" s="145" t="str">
        <f>IF(C651="","",'05 Stocks'!K154)</f>
        <v/>
      </c>
      <c r="K651" s="145" t="str">
        <f>IF(C651="","",'05 Stocks'!Q154)</f>
        <v/>
      </c>
      <c r="L651" s="142" t="str">
        <f>IF(C651="","",'05 Stocks'!R154)</f>
        <v/>
      </c>
      <c r="M651" s="145" t="str">
        <f>IF(C651="","",'05 Stocks'!T154)</f>
        <v/>
      </c>
      <c r="N651" s="146" t="str">
        <f>IF(C651="","",IF($J$3&gt;0,J651/$J$3,0))</f>
        <v/>
      </c>
      <c r="O651" s="141" t="str">
        <f>IF(C651="","",'05 Stocks'!I154)</f>
        <v/>
      </c>
      <c r="P651" s="147" t="str">
        <f>IF(C651="","",IF(N(J651)&gt;0,J651+ROW()/1E9,""))</f>
        <v/>
      </c>
      <c r="Q651" s="147" t="str">
        <f>IF(C651="","",IF(N(M651)&gt;0,M651+ROW()/1E9,""))</f>
        <v/>
      </c>
    </row>
    <row r="652">
      <c r="A652" s="134" t="str">
        <f>IF(C652="","","Stocks")</f>
        <v/>
      </c>
      <c r="B652" s="134" t="str">
        <f>IF(C652="","","Exterior")</f>
        <v/>
      </c>
      <c r="C652" s="134" t="str">
        <f>IF('05 Stocks'!A155="","",'05 Stocks'!A155&amp;"")</f>
        <v/>
      </c>
      <c r="D652" s="134" t="str">
        <f>IF(C652="","",'05 Stocks'!B155&amp;"")</f>
        <v/>
      </c>
      <c r="E652" s="134" t="str">
        <f>IF(C652="","",'05 Stocks'!C155&amp;"")</f>
        <v/>
      </c>
      <c r="F652" s="134" t="str">
        <f>IF(C652="","",'05 Stocks'!V155)</f>
        <v/>
      </c>
      <c r="G652" s="135" t="str">
        <f>IF(C652="","",'05 Stocks'!E155)</f>
        <v/>
      </c>
      <c r="H652" s="136" t="str">
        <f>IF(C652="","",'05 Stocks'!H155)</f>
        <v/>
      </c>
      <c r="I652" s="137" t="str">
        <f>IF(C652="","",'05 Stocks'!J155)</f>
        <v/>
      </c>
      <c r="J652" s="138" t="str">
        <f>IF(C652="","",'05 Stocks'!K155)</f>
        <v/>
      </c>
      <c r="K652" s="138" t="str">
        <f>IF(C652="","",'05 Stocks'!Q155)</f>
        <v/>
      </c>
      <c r="L652" s="135" t="str">
        <f>IF(C652="","",'05 Stocks'!R155)</f>
        <v/>
      </c>
      <c r="M652" s="138" t="str">
        <f>IF(C652="","",'05 Stocks'!T155)</f>
        <v/>
      </c>
      <c r="N652" s="139" t="str">
        <f>IF(C652="","",IF($J$3&gt;0,J652/$J$3,0))</f>
        <v/>
      </c>
      <c r="O652" s="134" t="str">
        <f>IF(C652="","",'05 Stocks'!I155)</f>
        <v/>
      </c>
      <c r="P652" s="140" t="str">
        <f>IF(C652="","",IF(N(J652)&gt;0,J652+ROW()/1E9,""))</f>
        <v/>
      </c>
      <c r="Q652" s="140" t="str">
        <f>IF(C652="","",IF(N(M652)&gt;0,M652+ROW()/1E9,""))</f>
        <v/>
      </c>
    </row>
    <row r="653">
      <c r="A653" s="141" t="str">
        <f>IF(C653="","","Stocks")</f>
        <v/>
      </c>
      <c r="B653" s="141" t="str">
        <f>IF(C653="","","Exterior")</f>
        <v/>
      </c>
      <c r="C653" s="141" t="str">
        <f>IF('05 Stocks'!A156="","",'05 Stocks'!A156&amp;"")</f>
        <v/>
      </c>
      <c r="D653" s="141" t="str">
        <f>IF(C653="","",'05 Stocks'!B156&amp;"")</f>
        <v/>
      </c>
      <c r="E653" s="141" t="str">
        <f>IF(C653="","",'05 Stocks'!C156&amp;"")</f>
        <v/>
      </c>
      <c r="F653" s="141" t="str">
        <f>IF(C653="","",'05 Stocks'!V156)</f>
        <v/>
      </c>
      <c r="G653" s="142" t="str">
        <f>IF(C653="","",'05 Stocks'!E156)</f>
        <v/>
      </c>
      <c r="H653" s="143" t="str">
        <f>IF(C653="","",'05 Stocks'!H156)</f>
        <v/>
      </c>
      <c r="I653" s="144" t="str">
        <f>IF(C653="","",'05 Stocks'!J156)</f>
        <v/>
      </c>
      <c r="J653" s="145" t="str">
        <f>IF(C653="","",'05 Stocks'!K156)</f>
        <v/>
      </c>
      <c r="K653" s="145" t="str">
        <f>IF(C653="","",'05 Stocks'!Q156)</f>
        <v/>
      </c>
      <c r="L653" s="142" t="str">
        <f>IF(C653="","",'05 Stocks'!R156)</f>
        <v/>
      </c>
      <c r="M653" s="145" t="str">
        <f>IF(C653="","",'05 Stocks'!T156)</f>
        <v/>
      </c>
      <c r="N653" s="146" t="str">
        <f>IF(C653="","",IF($J$3&gt;0,J653/$J$3,0))</f>
        <v/>
      </c>
      <c r="O653" s="141" t="str">
        <f>IF(C653="","",'05 Stocks'!I156)</f>
        <v/>
      </c>
      <c r="P653" s="147" t="str">
        <f>IF(C653="","",IF(N(J653)&gt;0,J653+ROW()/1E9,""))</f>
        <v/>
      </c>
      <c r="Q653" s="147" t="str">
        <f>IF(C653="","",IF(N(M653)&gt;0,M653+ROW()/1E9,""))</f>
        <v/>
      </c>
    </row>
    <row r="654">
      <c r="A654" s="134" t="str">
        <f>IF(C654="","","Stocks")</f>
        <v/>
      </c>
      <c r="B654" s="134" t="str">
        <f>IF(C654="","","Exterior")</f>
        <v/>
      </c>
      <c r="C654" s="134" t="str">
        <f>IF('05 Stocks'!A157="","",'05 Stocks'!A157&amp;"")</f>
        <v/>
      </c>
      <c r="D654" s="134" t="str">
        <f>IF(C654="","",'05 Stocks'!B157&amp;"")</f>
        <v/>
      </c>
      <c r="E654" s="134" t="str">
        <f>IF(C654="","",'05 Stocks'!C157&amp;"")</f>
        <v/>
      </c>
      <c r="F654" s="134" t="str">
        <f>IF(C654="","",'05 Stocks'!V157)</f>
        <v/>
      </c>
      <c r="G654" s="135" t="str">
        <f>IF(C654="","",'05 Stocks'!E157)</f>
        <v/>
      </c>
      <c r="H654" s="136" t="str">
        <f>IF(C654="","",'05 Stocks'!H157)</f>
        <v/>
      </c>
      <c r="I654" s="137" t="str">
        <f>IF(C654="","",'05 Stocks'!J157)</f>
        <v/>
      </c>
      <c r="J654" s="138" t="str">
        <f>IF(C654="","",'05 Stocks'!K157)</f>
        <v/>
      </c>
      <c r="K654" s="138" t="str">
        <f>IF(C654="","",'05 Stocks'!Q157)</f>
        <v/>
      </c>
      <c r="L654" s="135" t="str">
        <f>IF(C654="","",'05 Stocks'!R157)</f>
        <v/>
      </c>
      <c r="M654" s="138" t="str">
        <f>IF(C654="","",'05 Stocks'!T157)</f>
        <v/>
      </c>
      <c r="N654" s="139" t="str">
        <f>IF(C654="","",IF($J$3&gt;0,J654/$J$3,0))</f>
        <v/>
      </c>
      <c r="O654" s="134" t="str">
        <f>IF(C654="","",'05 Stocks'!I157)</f>
        <v/>
      </c>
      <c r="P654" s="140" t="str">
        <f>IF(C654="","",IF(N(J654)&gt;0,J654+ROW()/1E9,""))</f>
        <v/>
      </c>
      <c r="Q654" s="140" t="str">
        <f>IF(C654="","",IF(N(M654)&gt;0,M654+ROW()/1E9,""))</f>
        <v/>
      </c>
    </row>
    <row r="655">
      <c r="A655" s="141" t="str">
        <f>IF(C655="","","Stocks")</f>
        <v/>
      </c>
      <c r="B655" s="141" t="str">
        <f>IF(C655="","","Exterior")</f>
        <v/>
      </c>
      <c r="C655" s="141" t="str">
        <f>IF('05 Stocks'!A158="","",'05 Stocks'!A158&amp;"")</f>
        <v/>
      </c>
      <c r="D655" s="141" t="str">
        <f>IF(C655="","",'05 Stocks'!B158&amp;"")</f>
        <v/>
      </c>
      <c r="E655" s="141" t="str">
        <f>IF(C655="","",'05 Stocks'!C158&amp;"")</f>
        <v/>
      </c>
      <c r="F655" s="141" t="str">
        <f>IF(C655="","",'05 Stocks'!V158)</f>
        <v/>
      </c>
      <c r="G655" s="142" t="str">
        <f>IF(C655="","",'05 Stocks'!E158)</f>
        <v/>
      </c>
      <c r="H655" s="143" t="str">
        <f>IF(C655="","",'05 Stocks'!H158)</f>
        <v/>
      </c>
      <c r="I655" s="144" t="str">
        <f>IF(C655="","",'05 Stocks'!J158)</f>
        <v/>
      </c>
      <c r="J655" s="145" t="str">
        <f>IF(C655="","",'05 Stocks'!K158)</f>
        <v/>
      </c>
      <c r="K655" s="145" t="str">
        <f>IF(C655="","",'05 Stocks'!Q158)</f>
        <v/>
      </c>
      <c r="L655" s="142" t="str">
        <f>IF(C655="","",'05 Stocks'!R158)</f>
        <v/>
      </c>
      <c r="M655" s="145" t="str">
        <f>IF(C655="","",'05 Stocks'!T158)</f>
        <v/>
      </c>
      <c r="N655" s="146" t="str">
        <f>IF(C655="","",IF($J$3&gt;0,J655/$J$3,0))</f>
        <v/>
      </c>
      <c r="O655" s="141" t="str">
        <f>IF(C655="","",'05 Stocks'!I158)</f>
        <v/>
      </c>
      <c r="P655" s="147" t="str">
        <f>IF(C655="","",IF(N(J655)&gt;0,J655+ROW()/1E9,""))</f>
        <v/>
      </c>
      <c r="Q655" s="147" t="str">
        <f>IF(C655="","",IF(N(M655)&gt;0,M655+ROW()/1E9,""))</f>
        <v/>
      </c>
    </row>
    <row r="656">
      <c r="A656" s="134" t="str">
        <f>IF(C656="","","Stocks")</f>
        <v/>
      </c>
      <c r="B656" s="134" t="str">
        <f>IF(C656="","","Exterior")</f>
        <v/>
      </c>
      <c r="C656" s="134" t="str">
        <f>IF('05 Stocks'!A159="","",'05 Stocks'!A159&amp;"")</f>
        <v/>
      </c>
      <c r="D656" s="134" t="str">
        <f>IF(C656="","",'05 Stocks'!B159&amp;"")</f>
        <v/>
      </c>
      <c r="E656" s="134" t="str">
        <f>IF(C656="","",'05 Stocks'!C159&amp;"")</f>
        <v/>
      </c>
      <c r="F656" s="134" t="str">
        <f>IF(C656="","",'05 Stocks'!V159)</f>
        <v/>
      </c>
      <c r="G656" s="135" t="str">
        <f>IF(C656="","",'05 Stocks'!E159)</f>
        <v/>
      </c>
      <c r="H656" s="136" t="str">
        <f>IF(C656="","",'05 Stocks'!H159)</f>
        <v/>
      </c>
      <c r="I656" s="137" t="str">
        <f>IF(C656="","",'05 Stocks'!J159)</f>
        <v/>
      </c>
      <c r="J656" s="138" t="str">
        <f>IF(C656="","",'05 Stocks'!K159)</f>
        <v/>
      </c>
      <c r="K656" s="138" t="str">
        <f>IF(C656="","",'05 Stocks'!Q159)</f>
        <v/>
      </c>
      <c r="L656" s="135" t="str">
        <f>IF(C656="","",'05 Stocks'!R159)</f>
        <v/>
      </c>
      <c r="M656" s="138" t="str">
        <f>IF(C656="","",'05 Stocks'!T159)</f>
        <v/>
      </c>
      <c r="N656" s="139" t="str">
        <f>IF(C656="","",IF($J$3&gt;0,J656/$J$3,0))</f>
        <v/>
      </c>
      <c r="O656" s="134" t="str">
        <f>IF(C656="","",'05 Stocks'!I159)</f>
        <v/>
      </c>
      <c r="P656" s="140" t="str">
        <f>IF(C656="","",IF(N(J656)&gt;0,J656+ROW()/1E9,""))</f>
        <v/>
      </c>
      <c r="Q656" s="140" t="str">
        <f>IF(C656="","",IF(N(M656)&gt;0,M656+ROW()/1E9,""))</f>
        <v/>
      </c>
    </row>
    <row r="657">
      <c r="A657" s="141" t="str">
        <f>IF(C657="","","Stocks")</f>
        <v/>
      </c>
      <c r="B657" s="141" t="str">
        <f>IF(C657="","","Exterior")</f>
        <v/>
      </c>
      <c r="C657" s="141" t="str">
        <f>IF('05 Stocks'!A160="","",'05 Stocks'!A160&amp;"")</f>
        <v/>
      </c>
      <c r="D657" s="141" t="str">
        <f>IF(C657="","",'05 Stocks'!B160&amp;"")</f>
        <v/>
      </c>
      <c r="E657" s="141" t="str">
        <f>IF(C657="","",'05 Stocks'!C160&amp;"")</f>
        <v/>
      </c>
      <c r="F657" s="141" t="str">
        <f>IF(C657="","",'05 Stocks'!V160)</f>
        <v/>
      </c>
      <c r="G657" s="142" t="str">
        <f>IF(C657="","",'05 Stocks'!E160)</f>
        <v/>
      </c>
      <c r="H657" s="143" t="str">
        <f>IF(C657="","",'05 Stocks'!H160)</f>
        <v/>
      </c>
      <c r="I657" s="144" t="str">
        <f>IF(C657="","",'05 Stocks'!J160)</f>
        <v/>
      </c>
      <c r="J657" s="145" t="str">
        <f>IF(C657="","",'05 Stocks'!K160)</f>
        <v/>
      </c>
      <c r="K657" s="145" t="str">
        <f>IF(C657="","",'05 Stocks'!Q160)</f>
        <v/>
      </c>
      <c r="L657" s="142" t="str">
        <f>IF(C657="","",'05 Stocks'!R160)</f>
        <v/>
      </c>
      <c r="M657" s="145" t="str">
        <f>IF(C657="","",'05 Stocks'!T160)</f>
        <v/>
      </c>
      <c r="N657" s="146" t="str">
        <f>IF(C657="","",IF($J$3&gt;0,J657/$J$3,0))</f>
        <v/>
      </c>
      <c r="O657" s="141" t="str">
        <f>IF(C657="","",'05 Stocks'!I160)</f>
        <v/>
      </c>
      <c r="P657" s="147" t="str">
        <f>IF(C657="","",IF(N(J657)&gt;0,J657+ROW()/1E9,""))</f>
        <v/>
      </c>
      <c r="Q657" s="147" t="str">
        <f>IF(C657="","",IF(N(M657)&gt;0,M657+ROW()/1E9,""))</f>
        <v/>
      </c>
    </row>
    <row r="658">
      <c r="A658" s="134" t="str">
        <f>IF(C658="","","Stocks")</f>
        <v/>
      </c>
      <c r="B658" s="134" t="str">
        <f>IF(C658="","","Exterior")</f>
        <v/>
      </c>
      <c r="C658" s="134" t="str">
        <f>IF('05 Stocks'!A161="","",'05 Stocks'!A161&amp;"")</f>
        <v/>
      </c>
      <c r="D658" s="134" t="str">
        <f>IF(C658="","",'05 Stocks'!B161&amp;"")</f>
        <v/>
      </c>
      <c r="E658" s="134" t="str">
        <f>IF(C658="","",'05 Stocks'!C161&amp;"")</f>
        <v/>
      </c>
      <c r="F658" s="134" t="str">
        <f>IF(C658="","",'05 Stocks'!V161)</f>
        <v/>
      </c>
      <c r="G658" s="135" t="str">
        <f>IF(C658="","",'05 Stocks'!E161)</f>
        <v/>
      </c>
      <c r="H658" s="136" t="str">
        <f>IF(C658="","",'05 Stocks'!H161)</f>
        <v/>
      </c>
      <c r="I658" s="137" t="str">
        <f>IF(C658="","",'05 Stocks'!J161)</f>
        <v/>
      </c>
      <c r="J658" s="138" t="str">
        <f>IF(C658="","",'05 Stocks'!K161)</f>
        <v/>
      </c>
      <c r="K658" s="138" t="str">
        <f>IF(C658="","",'05 Stocks'!Q161)</f>
        <v/>
      </c>
      <c r="L658" s="135" t="str">
        <f>IF(C658="","",'05 Stocks'!R161)</f>
        <v/>
      </c>
      <c r="M658" s="138" t="str">
        <f>IF(C658="","",'05 Stocks'!T161)</f>
        <v/>
      </c>
      <c r="N658" s="139" t="str">
        <f>IF(C658="","",IF($J$3&gt;0,J658/$J$3,0))</f>
        <v/>
      </c>
      <c r="O658" s="134" t="str">
        <f>IF(C658="","",'05 Stocks'!I161)</f>
        <v/>
      </c>
      <c r="P658" s="140" t="str">
        <f>IF(C658="","",IF(N(J658)&gt;0,J658+ROW()/1E9,""))</f>
        <v/>
      </c>
      <c r="Q658" s="140" t="str">
        <f>IF(C658="","",IF(N(M658)&gt;0,M658+ROW()/1E9,""))</f>
        <v/>
      </c>
    </row>
    <row r="659">
      <c r="A659" s="141" t="str">
        <f>IF(C659="","","Stocks")</f>
        <v/>
      </c>
      <c r="B659" s="141" t="str">
        <f>IF(C659="","","Exterior")</f>
        <v/>
      </c>
      <c r="C659" s="141" t="str">
        <f>IF('05 Stocks'!A162="","",'05 Stocks'!A162&amp;"")</f>
        <v/>
      </c>
      <c r="D659" s="141" t="str">
        <f>IF(C659="","",'05 Stocks'!B162&amp;"")</f>
        <v/>
      </c>
      <c r="E659" s="141" t="str">
        <f>IF(C659="","",'05 Stocks'!C162&amp;"")</f>
        <v/>
      </c>
      <c r="F659" s="141" t="str">
        <f>IF(C659="","",'05 Stocks'!V162)</f>
        <v/>
      </c>
      <c r="G659" s="142" t="str">
        <f>IF(C659="","",'05 Stocks'!E162)</f>
        <v/>
      </c>
      <c r="H659" s="143" t="str">
        <f>IF(C659="","",'05 Stocks'!H162)</f>
        <v/>
      </c>
      <c r="I659" s="144" t="str">
        <f>IF(C659="","",'05 Stocks'!J162)</f>
        <v/>
      </c>
      <c r="J659" s="145" t="str">
        <f>IF(C659="","",'05 Stocks'!K162)</f>
        <v/>
      </c>
      <c r="K659" s="145" t="str">
        <f>IF(C659="","",'05 Stocks'!Q162)</f>
        <v/>
      </c>
      <c r="L659" s="142" t="str">
        <f>IF(C659="","",'05 Stocks'!R162)</f>
        <v/>
      </c>
      <c r="M659" s="145" t="str">
        <f>IF(C659="","",'05 Stocks'!T162)</f>
        <v/>
      </c>
      <c r="N659" s="146" t="str">
        <f>IF(C659="","",IF($J$3&gt;0,J659/$J$3,0))</f>
        <v/>
      </c>
      <c r="O659" s="141" t="str">
        <f>IF(C659="","",'05 Stocks'!I162)</f>
        <v/>
      </c>
      <c r="P659" s="147" t="str">
        <f>IF(C659="","",IF(N(J659)&gt;0,J659+ROW()/1E9,""))</f>
        <v/>
      </c>
      <c r="Q659" s="147" t="str">
        <f>IF(C659="","",IF(N(M659)&gt;0,M659+ROW()/1E9,""))</f>
        <v/>
      </c>
    </row>
    <row r="660">
      <c r="A660" s="134" t="str">
        <f>IF(C660="","","Stocks")</f>
        <v/>
      </c>
      <c r="B660" s="134" t="str">
        <f>IF(C660="","","Exterior")</f>
        <v/>
      </c>
      <c r="C660" s="134" t="str">
        <f>IF('05 Stocks'!A163="","",'05 Stocks'!A163&amp;"")</f>
        <v/>
      </c>
      <c r="D660" s="134" t="str">
        <f>IF(C660="","",'05 Stocks'!B163&amp;"")</f>
        <v/>
      </c>
      <c r="E660" s="134" t="str">
        <f>IF(C660="","",'05 Stocks'!C163&amp;"")</f>
        <v/>
      </c>
      <c r="F660" s="134" t="str">
        <f>IF(C660="","",'05 Stocks'!V163)</f>
        <v/>
      </c>
      <c r="G660" s="135" t="str">
        <f>IF(C660="","",'05 Stocks'!E163)</f>
        <v/>
      </c>
      <c r="H660" s="136" t="str">
        <f>IF(C660="","",'05 Stocks'!H163)</f>
        <v/>
      </c>
      <c r="I660" s="137" t="str">
        <f>IF(C660="","",'05 Stocks'!J163)</f>
        <v/>
      </c>
      <c r="J660" s="138" t="str">
        <f>IF(C660="","",'05 Stocks'!K163)</f>
        <v/>
      </c>
      <c r="K660" s="138" t="str">
        <f>IF(C660="","",'05 Stocks'!Q163)</f>
        <v/>
      </c>
      <c r="L660" s="135" t="str">
        <f>IF(C660="","",'05 Stocks'!R163)</f>
        <v/>
      </c>
      <c r="M660" s="138" t="str">
        <f>IF(C660="","",'05 Stocks'!T163)</f>
        <v/>
      </c>
      <c r="N660" s="139" t="str">
        <f>IF(C660="","",IF($J$3&gt;0,J660/$J$3,0))</f>
        <v/>
      </c>
      <c r="O660" s="134" t="str">
        <f>IF(C660="","",'05 Stocks'!I163)</f>
        <v/>
      </c>
      <c r="P660" s="140" t="str">
        <f>IF(C660="","",IF(N(J660)&gt;0,J660+ROW()/1E9,""))</f>
        <v/>
      </c>
      <c r="Q660" s="140" t="str">
        <f>IF(C660="","",IF(N(M660)&gt;0,M660+ROW()/1E9,""))</f>
        <v/>
      </c>
    </row>
    <row r="661">
      <c r="A661" s="141" t="str">
        <f>IF(C661="","","Stocks")</f>
        <v/>
      </c>
      <c r="B661" s="141" t="str">
        <f>IF(C661="","","Exterior")</f>
        <v/>
      </c>
      <c r="C661" s="141" t="str">
        <f>IF('05 Stocks'!A164="","",'05 Stocks'!A164&amp;"")</f>
        <v/>
      </c>
      <c r="D661" s="141" t="str">
        <f>IF(C661="","",'05 Stocks'!B164&amp;"")</f>
        <v/>
      </c>
      <c r="E661" s="141" t="str">
        <f>IF(C661="","",'05 Stocks'!C164&amp;"")</f>
        <v/>
      </c>
      <c r="F661" s="141" t="str">
        <f>IF(C661="","",'05 Stocks'!V164)</f>
        <v/>
      </c>
      <c r="G661" s="142" t="str">
        <f>IF(C661="","",'05 Stocks'!E164)</f>
        <v/>
      </c>
      <c r="H661" s="143" t="str">
        <f>IF(C661="","",'05 Stocks'!H164)</f>
        <v/>
      </c>
      <c r="I661" s="144" t="str">
        <f>IF(C661="","",'05 Stocks'!J164)</f>
        <v/>
      </c>
      <c r="J661" s="145" t="str">
        <f>IF(C661="","",'05 Stocks'!K164)</f>
        <v/>
      </c>
      <c r="K661" s="145" t="str">
        <f>IF(C661="","",'05 Stocks'!Q164)</f>
        <v/>
      </c>
      <c r="L661" s="142" t="str">
        <f>IF(C661="","",'05 Stocks'!R164)</f>
        <v/>
      </c>
      <c r="M661" s="145" t="str">
        <f>IF(C661="","",'05 Stocks'!T164)</f>
        <v/>
      </c>
      <c r="N661" s="146" t="str">
        <f>IF(C661="","",IF($J$3&gt;0,J661/$J$3,0))</f>
        <v/>
      </c>
      <c r="O661" s="141" t="str">
        <f>IF(C661="","",'05 Stocks'!I164)</f>
        <v/>
      </c>
      <c r="P661" s="147" t="str">
        <f>IF(C661="","",IF(N(J661)&gt;0,J661+ROW()/1E9,""))</f>
        <v/>
      </c>
      <c r="Q661" s="147" t="str">
        <f>IF(C661="","",IF(N(M661)&gt;0,M661+ROW()/1E9,""))</f>
        <v/>
      </c>
    </row>
    <row r="662">
      <c r="A662" s="134" t="str">
        <f>IF(C662="","","Stocks")</f>
        <v/>
      </c>
      <c r="B662" s="134" t="str">
        <f>IF(C662="","","Exterior")</f>
        <v/>
      </c>
      <c r="C662" s="134" t="str">
        <f>IF('05 Stocks'!A165="","",'05 Stocks'!A165&amp;"")</f>
        <v/>
      </c>
      <c r="D662" s="134" t="str">
        <f>IF(C662="","",'05 Stocks'!B165&amp;"")</f>
        <v/>
      </c>
      <c r="E662" s="134" t="str">
        <f>IF(C662="","",'05 Stocks'!C165&amp;"")</f>
        <v/>
      </c>
      <c r="F662" s="134" t="str">
        <f>IF(C662="","",'05 Stocks'!V165)</f>
        <v/>
      </c>
      <c r="G662" s="135" t="str">
        <f>IF(C662="","",'05 Stocks'!E165)</f>
        <v/>
      </c>
      <c r="H662" s="136" t="str">
        <f>IF(C662="","",'05 Stocks'!H165)</f>
        <v/>
      </c>
      <c r="I662" s="137" t="str">
        <f>IF(C662="","",'05 Stocks'!J165)</f>
        <v/>
      </c>
      <c r="J662" s="138" t="str">
        <f>IF(C662="","",'05 Stocks'!K165)</f>
        <v/>
      </c>
      <c r="K662" s="138" t="str">
        <f>IF(C662="","",'05 Stocks'!Q165)</f>
        <v/>
      </c>
      <c r="L662" s="135" t="str">
        <f>IF(C662="","",'05 Stocks'!R165)</f>
        <v/>
      </c>
      <c r="M662" s="138" t="str">
        <f>IF(C662="","",'05 Stocks'!T165)</f>
        <v/>
      </c>
      <c r="N662" s="139" t="str">
        <f>IF(C662="","",IF($J$3&gt;0,J662/$J$3,0))</f>
        <v/>
      </c>
      <c r="O662" s="134" t="str">
        <f>IF(C662="","",'05 Stocks'!I165)</f>
        <v/>
      </c>
      <c r="P662" s="140" t="str">
        <f>IF(C662="","",IF(N(J662)&gt;0,J662+ROW()/1E9,""))</f>
        <v/>
      </c>
      <c r="Q662" s="140" t="str">
        <f>IF(C662="","",IF(N(M662)&gt;0,M662+ROW()/1E9,""))</f>
        <v/>
      </c>
    </row>
    <row r="663">
      <c r="A663" s="141" t="str">
        <f>IF(C663="","","Stocks")</f>
        <v/>
      </c>
      <c r="B663" s="141" t="str">
        <f>IF(C663="","","Exterior")</f>
        <v/>
      </c>
      <c r="C663" s="141" t="str">
        <f>IF('05 Stocks'!A166="","",'05 Stocks'!A166&amp;"")</f>
        <v/>
      </c>
      <c r="D663" s="141" t="str">
        <f>IF(C663="","",'05 Stocks'!B166&amp;"")</f>
        <v/>
      </c>
      <c r="E663" s="141" t="str">
        <f>IF(C663="","",'05 Stocks'!C166&amp;"")</f>
        <v/>
      </c>
      <c r="F663" s="141" t="str">
        <f>IF(C663="","",'05 Stocks'!V166)</f>
        <v/>
      </c>
      <c r="G663" s="142" t="str">
        <f>IF(C663="","",'05 Stocks'!E166)</f>
        <v/>
      </c>
      <c r="H663" s="143" t="str">
        <f>IF(C663="","",'05 Stocks'!H166)</f>
        <v/>
      </c>
      <c r="I663" s="144" t="str">
        <f>IF(C663="","",'05 Stocks'!J166)</f>
        <v/>
      </c>
      <c r="J663" s="145" t="str">
        <f>IF(C663="","",'05 Stocks'!K166)</f>
        <v/>
      </c>
      <c r="K663" s="145" t="str">
        <f>IF(C663="","",'05 Stocks'!Q166)</f>
        <v/>
      </c>
      <c r="L663" s="142" t="str">
        <f>IF(C663="","",'05 Stocks'!R166)</f>
        <v/>
      </c>
      <c r="M663" s="145" t="str">
        <f>IF(C663="","",'05 Stocks'!T166)</f>
        <v/>
      </c>
      <c r="N663" s="146" t="str">
        <f>IF(C663="","",IF($J$3&gt;0,J663/$J$3,0))</f>
        <v/>
      </c>
      <c r="O663" s="141" t="str">
        <f>IF(C663="","",'05 Stocks'!I166)</f>
        <v/>
      </c>
      <c r="P663" s="147" t="str">
        <f>IF(C663="","",IF(N(J663)&gt;0,J663+ROW()/1E9,""))</f>
        <v/>
      </c>
      <c r="Q663" s="147" t="str">
        <f>IF(C663="","",IF(N(M663)&gt;0,M663+ROW()/1E9,""))</f>
        <v/>
      </c>
    </row>
    <row r="664">
      <c r="A664" s="134" t="str">
        <f>IF(C664="","","Stocks")</f>
        <v/>
      </c>
      <c r="B664" s="134" t="str">
        <f>IF(C664="","","Exterior")</f>
        <v/>
      </c>
      <c r="C664" s="134" t="str">
        <f>IF('05 Stocks'!A167="","",'05 Stocks'!A167&amp;"")</f>
        <v/>
      </c>
      <c r="D664" s="134" t="str">
        <f>IF(C664="","",'05 Stocks'!B167&amp;"")</f>
        <v/>
      </c>
      <c r="E664" s="134" t="str">
        <f>IF(C664="","",'05 Stocks'!C167&amp;"")</f>
        <v/>
      </c>
      <c r="F664" s="134" t="str">
        <f>IF(C664="","",'05 Stocks'!V167)</f>
        <v/>
      </c>
      <c r="G664" s="135" t="str">
        <f>IF(C664="","",'05 Stocks'!E167)</f>
        <v/>
      </c>
      <c r="H664" s="136" t="str">
        <f>IF(C664="","",'05 Stocks'!H167)</f>
        <v/>
      </c>
      <c r="I664" s="137" t="str">
        <f>IF(C664="","",'05 Stocks'!J167)</f>
        <v/>
      </c>
      <c r="J664" s="138" t="str">
        <f>IF(C664="","",'05 Stocks'!K167)</f>
        <v/>
      </c>
      <c r="K664" s="138" t="str">
        <f>IF(C664="","",'05 Stocks'!Q167)</f>
        <v/>
      </c>
      <c r="L664" s="135" t="str">
        <f>IF(C664="","",'05 Stocks'!R167)</f>
        <v/>
      </c>
      <c r="M664" s="138" t="str">
        <f>IF(C664="","",'05 Stocks'!T167)</f>
        <v/>
      </c>
      <c r="N664" s="139" t="str">
        <f>IF(C664="","",IF($J$3&gt;0,J664/$J$3,0))</f>
        <v/>
      </c>
      <c r="O664" s="134" t="str">
        <f>IF(C664="","",'05 Stocks'!I167)</f>
        <v/>
      </c>
      <c r="P664" s="140" t="str">
        <f>IF(C664="","",IF(N(J664)&gt;0,J664+ROW()/1E9,""))</f>
        <v/>
      </c>
      <c r="Q664" s="140" t="str">
        <f>IF(C664="","",IF(N(M664)&gt;0,M664+ROW()/1E9,""))</f>
        <v/>
      </c>
    </row>
    <row r="665">
      <c r="A665" s="141" t="str">
        <f>IF(C665="","","Stocks")</f>
        <v/>
      </c>
      <c r="B665" s="141" t="str">
        <f>IF(C665="","","Exterior")</f>
        <v/>
      </c>
      <c r="C665" s="141" t="str">
        <f>IF('05 Stocks'!A168="","",'05 Stocks'!A168&amp;"")</f>
        <v/>
      </c>
      <c r="D665" s="141" t="str">
        <f>IF(C665="","",'05 Stocks'!B168&amp;"")</f>
        <v/>
      </c>
      <c r="E665" s="141" t="str">
        <f>IF(C665="","",'05 Stocks'!C168&amp;"")</f>
        <v/>
      </c>
      <c r="F665" s="141" t="str">
        <f>IF(C665="","",'05 Stocks'!V168)</f>
        <v/>
      </c>
      <c r="G665" s="142" t="str">
        <f>IF(C665="","",'05 Stocks'!E168)</f>
        <v/>
      </c>
      <c r="H665" s="143" t="str">
        <f>IF(C665="","",'05 Stocks'!H168)</f>
        <v/>
      </c>
      <c r="I665" s="144" t="str">
        <f>IF(C665="","",'05 Stocks'!J168)</f>
        <v/>
      </c>
      <c r="J665" s="145" t="str">
        <f>IF(C665="","",'05 Stocks'!K168)</f>
        <v/>
      </c>
      <c r="K665" s="145" t="str">
        <f>IF(C665="","",'05 Stocks'!Q168)</f>
        <v/>
      </c>
      <c r="L665" s="142" t="str">
        <f>IF(C665="","",'05 Stocks'!R168)</f>
        <v/>
      </c>
      <c r="M665" s="145" t="str">
        <f>IF(C665="","",'05 Stocks'!T168)</f>
        <v/>
      </c>
      <c r="N665" s="146" t="str">
        <f>IF(C665="","",IF($J$3&gt;0,J665/$J$3,0))</f>
        <v/>
      </c>
      <c r="O665" s="141" t="str">
        <f>IF(C665="","",'05 Stocks'!I168)</f>
        <v/>
      </c>
      <c r="P665" s="147" t="str">
        <f>IF(C665="","",IF(N(J665)&gt;0,J665+ROW()/1E9,""))</f>
        <v/>
      </c>
      <c r="Q665" s="147" t="str">
        <f>IF(C665="","",IF(N(M665)&gt;0,M665+ROW()/1E9,""))</f>
        <v/>
      </c>
    </row>
    <row r="666">
      <c r="A666" s="134" t="str">
        <f>IF(C666="","","Stocks")</f>
        <v/>
      </c>
      <c r="B666" s="134" t="str">
        <f>IF(C666="","","Exterior")</f>
        <v/>
      </c>
      <c r="C666" s="134" t="str">
        <f>IF('05 Stocks'!A169="","",'05 Stocks'!A169&amp;"")</f>
        <v/>
      </c>
      <c r="D666" s="134" t="str">
        <f>IF(C666="","",'05 Stocks'!B169&amp;"")</f>
        <v/>
      </c>
      <c r="E666" s="134" t="str">
        <f>IF(C666="","",'05 Stocks'!C169&amp;"")</f>
        <v/>
      </c>
      <c r="F666" s="134" t="str">
        <f>IF(C666="","",'05 Stocks'!V169)</f>
        <v/>
      </c>
      <c r="G666" s="135" t="str">
        <f>IF(C666="","",'05 Stocks'!E169)</f>
        <v/>
      </c>
      <c r="H666" s="136" t="str">
        <f>IF(C666="","",'05 Stocks'!H169)</f>
        <v/>
      </c>
      <c r="I666" s="137" t="str">
        <f>IF(C666="","",'05 Stocks'!J169)</f>
        <v/>
      </c>
      <c r="J666" s="138" t="str">
        <f>IF(C666="","",'05 Stocks'!K169)</f>
        <v/>
      </c>
      <c r="K666" s="138" t="str">
        <f>IF(C666="","",'05 Stocks'!Q169)</f>
        <v/>
      </c>
      <c r="L666" s="135" t="str">
        <f>IF(C666="","",'05 Stocks'!R169)</f>
        <v/>
      </c>
      <c r="M666" s="138" t="str">
        <f>IF(C666="","",'05 Stocks'!T169)</f>
        <v/>
      </c>
      <c r="N666" s="139" t="str">
        <f>IF(C666="","",IF($J$3&gt;0,J666/$J$3,0))</f>
        <v/>
      </c>
      <c r="O666" s="134" t="str">
        <f>IF(C666="","",'05 Stocks'!I169)</f>
        <v/>
      </c>
      <c r="P666" s="140" t="str">
        <f>IF(C666="","",IF(N(J666)&gt;0,J666+ROW()/1E9,""))</f>
        <v/>
      </c>
      <c r="Q666" s="140" t="str">
        <f>IF(C666="","",IF(N(M666)&gt;0,M666+ROW()/1E9,""))</f>
        <v/>
      </c>
    </row>
    <row r="667">
      <c r="A667" s="141" t="str">
        <f>IF(C667="","","Stocks")</f>
        <v/>
      </c>
      <c r="B667" s="141" t="str">
        <f>IF(C667="","","Exterior")</f>
        <v/>
      </c>
      <c r="C667" s="141" t="str">
        <f>IF('05 Stocks'!A170="","",'05 Stocks'!A170&amp;"")</f>
        <v/>
      </c>
      <c r="D667" s="141" t="str">
        <f>IF(C667="","",'05 Stocks'!B170&amp;"")</f>
        <v/>
      </c>
      <c r="E667" s="141" t="str">
        <f>IF(C667="","",'05 Stocks'!C170&amp;"")</f>
        <v/>
      </c>
      <c r="F667" s="141" t="str">
        <f>IF(C667="","",'05 Stocks'!V170)</f>
        <v/>
      </c>
      <c r="G667" s="142" t="str">
        <f>IF(C667="","",'05 Stocks'!E170)</f>
        <v/>
      </c>
      <c r="H667" s="143" t="str">
        <f>IF(C667="","",'05 Stocks'!H170)</f>
        <v/>
      </c>
      <c r="I667" s="144" t="str">
        <f>IF(C667="","",'05 Stocks'!J170)</f>
        <v/>
      </c>
      <c r="J667" s="145" t="str">
        <f>IF(C667="","",'05 Stocks'!K170)</f>
        <v/>
      </c>
      <c r="K667" s="145" t="str">
        <f>IF(C667="","",'05 Stocks'!Q170)</f>
        <v/>
      </c>
      <c r="L667" s="142" t="str">
        <f>IF(C667="","",'05 Stocks'!R170)</f>
        <v/>
      </c>
      <c r="M667" s="145" t="str">
        <f>IF(C667="","",'05 Stocks'!T170)</f>
        <v/>
      </c>
      <c r="N667" s="146" t="str">
        <f>IF(C667="","",IF($J$3&gt;0,J667/$J$3,0))</f>
        <v/>
      </c>
      <c r="O667" s="141" t="str">
        <f>IF(C667="","",'05 Stocks'!I170)</f>
        <v/>
      </c>
      <c r="P667" s="147" t="str">
        <f>IF(C667="","",IF(N(J667)&gt;0,J667+ROW()/1E9,""))</f>
        <v/>
      </c>
      <c r="Q667" s="147" t="str">
        <f>IF(C667="","",IF(N(M667)&gt;0,M667+ROW()/1E9,""))</f>
        <v/>
      </c>
    </row>
    <row r="668">
      <c r="A668" s="134" t="str">
        <f>IF(C668="","","Stocks")</f>
        <v/>
      </c>
      <c r="B668" s="134" t="str">
        <f>IF(C668="","","Exterior")</f>
        <v/>
      </c>
      <c r="C668" s="134" t="str">
        <f>IF('05 Stocks'!A171="","",'05 Stocks'!A171&amp;"")</f>
        <v/>
      </c>
      <c r="D668" s="134" t="str">
        <f>IF(C668="","",'05 Stocks'!B171&amp;"")</f>
        <v/>
      </c>
      <c r="E668" s="134" t="str">
        <f>IF(C668="","",'05 Stocks'!C171&amp;"")</f>
        <v/>
      </c>
      <c r="F668" s="134" t="str">
        <f>IF(C668="","",'05 Stocks'!V171)</f>
        <v/>
      </c>
      <c r="G668" s="135" t="str">
        <f>IF(C668="","",'05 Stocks'!E171)</f>
        <v/>
      </c>
      <c r="H668" s="136" t="str">
        <f>IF(C668="","",'05 Stocks'!H171)</f>
        <v/>
      </c>
      <c r="I668" s="137" t="str">
        <f>IF(C668="","",'05 Stocks'!J171)</f>
        <v/>
      </c>
      <c r="J668" s="138" t="str">
        <f>IF(C668="","",'05 Stocks'!K171)</f>
        <v/>
      </c>
      <c r="K668" s="138" t="str">
        <f>IF(C668="","",'05 Stocks'!Q171)</f>
        <v/>
      </c>
      <c r="L668" s="135" t="str">
        <f>IF(C668="","",'05 Stocks'!R171)</f>
        <v/>
      </c>
      <c r="M668" s="138" t="str">
        <f>IF(C668="","",'05 Stocks'!T171)</f>
        <v/>
      </c>
      <c r="N668" s="139" t="str">
        <f>IF(C668="","",IF($J$3&gt;0,J668/$J$3,0))</f>
        <v/>
      </c>
      <c r="O668" s="134" t="str">
        <f>IF(C668="","",'05 Stocks'!I171)</f>
        <v/>
      </c>
      <c r="P668" s="140" t="str">
        <f>IF(C668="","",IF(N(J668)&gt;0,J668+ROW()/1E9,""))</f>
        <v/>
      </c>
      <c r="Q668" s="140" t="str">
        <f>IF(C668="","",IF(N(M668)&gt;0,M668+ROW()/1E9,""))</f>
        <v/>
      </c>
    </row>
    <row r="669">
      <c r="A669" s="141" t="str">
        <f>IF(C669="","","Stocks")</f>
        <v/>
      </c>
      <c r="B669" s="141" t="str">
        <f>IF(C669="","","Exterior")</f>
        <v/>
      </c>
      <c r="C669" s="141" t="str">
        <f>IF('05 Stocks'!A172="","",'05 Stocks'!A172&amp;"")</f>
        <v/>
      </c>
      <c r="D669" s="141" t="str">
        <f>IF(C669="","",'05 Stocks'!B172&amp;"")</f>
        <v/>
      </c>
      <c r="E669" s="141" t="str">
        <f>IF(C669="","",'05 Stocks'!C172&amp;"")</f>
        <v/>
      </c>
      <c r="F669" s="141" t="str">
        <f>IF(C669="","",'05 Stocks'!V172)</f>
        <v/>
      </c>
      <c r="G669" s="142" t="str">
        <f>IF(C669="","",'05 Stocks'!E172)</f>
        <v/>
      </c>
      <c r="H669" s="143" t="str">
        <f>IF(C669="","",'05 Stocks'!H172)</f>
        <v/>
      </c>
      <c r="I669" s="144" t="str">
        <f>IF(C669="","",'05 Stocks'!J172)</f>
        <v/>
      </c>
      <c r="J669" s="145" t="str">
        <f>IF(C669="","",'05 Stocks'!K172)</f>
        <v/>
      </c>
      <c r="K669" s="145" t="str">
        <f>IF(C669="","",'05 Stocks'!Q172)</f>
        <v/>
      </c>
      <c r="L669" s="142" t="str">
        <f>IF(C669="","",'05 Stocks'!R172)</f>
        <v/>
      </c>
      <c r="M669" s="145" t="str">
        <f>IF(C669="","",'05 Stocks'!T172)</f>
        <v/>
      </c>
      <c r="N669" s="146" t="str">
        <f>IF(C669="","",IF($J$3&gt;0,J669/$J$3,0))</f>
        <v/>
      </c>
      <c r="O669" s="141" t="str">
        <f>IF(C669="","",'05 Stocks'!I172)</f>
        <v/>
      </c>
      <c r="P669" s="147" t="str">
        <f>IF(C669="","",IF(N(J669)&gt;0,J669+ROW()/1E9,""))</f>
        <v/>
      </c>
      <c r="Q669" s="147" t="str">
        <f>IF(C669="","",IF(N(M669)&gt;0,M669+ROW()/1E9,""))</f>
        <v/>
      </c>
    </row>
    <row r="670">
      <c r="A670" s="134" t="str">
        <f>IF(C670="","","Stocks")</f>
        <v/>
      </c>
      <c r="B670" s="134" t="str">
        <f>IF(C670="","","Exterior")</f>
        <v/>
      </c>
      <c r="C670" s="134" t="str">
        <f>IF('05 Stocks'!A173="","",'05 Stocks'!A173&amp;"")</f>
        <v/>
      </c>
      <c r="D670" s="134" t="str">
        <f>IF(C670="","",'05 Stocks'!B173&amp;"")</f>
        <v/>
      </c>
      <c r="E670" s="134" t="str">
        <f>IF(C670="","",'05 Stocks'!C173&amp;"")</f>
        <v/>
      </c>
      <c r="F670" s="134" t="str">
        <f>IF(C670="","",'05 Stocks'!V173)</f>
        <v/>
      </c>
      <c r="G670" s="135" t="str">
        <f>IF(C670="","",'05 Stocks'!E173)</f>
        <v/>
      </c>
      <c r="H670" s="136" t="str">
        <f>IF(C670="","",'05 Stocks'!H173)</f>
        <v/>
      </c>
      <c r="I670" s="137" t="str">
        <f>IF(C670="","",'05 Stocks'!J173)</f>
        <v/>
      </c>
      <c r="J670" s="138" t="str">
        <f>IF(C670="","",'05 Stocks'!K173)</f>
        <v/>
      </c>
      <c r="K670" s="138" t="str">
        <f>IF(C670="","",'05 Stocks'!Q173)</f>
        <v/>
      </c>
      <c r="L670" s="135" t="str">
        <f>IF(C670="","",'05 Stocks'!R173)</f>
        <v/>
      </c>
      <c r="M670" s="138" t="str">
        <f>IF(C670="","",'05 Stocks'!T173)</f>
        <v/>
      </c>
      <c r="N670" s="139" t="str">
        <f>IF(C670="","",IF($J$3&gt;0,J670/$J$3,0))</f>
        <v/>
      </c>
      <c r="O670" s="134" t="str">
        <f>IF(C670="","",'05 Stocks'!I173)</f>
        <v/>
      </c>
      <c r="P670" s="140" t="str">
        <f>IF(C670="","",IF(N(J670)&gt;0,J670+ROW()/1E9,""))</f>
        <v/>
      </c>
      <c r="Q670" s="140" t="str">
        <f>IF(C670="","",IF(N(M670)&gt;0,M670+ROW()/1E9,""))</f>
        <v/>
      </c>
    </row>
    <row r="671">
      <c r="A671" s="141" t="str">
        <f>IF(C671="","","Stocks")</f>
        <v/>
      </c>
      <c r="B671" s="141" t="str">
        <f>IF(C671="","","Exterior")</f>
        <v/>
      </c>
      <c r="C671" s="141" t="str">
        <f>IF('05 Stocks'!A174="","",'05 Stocks'!A174&amp;"")</f>
        <v/>
      </c>
      <c r="D671" s="141" t="str">
        <f>IF(C671="","",'05 Stocks'!B174&amp;"")</f>
        <v/>
      </c>
      <c r="E671" s="141" t="str">
        <f>IF(C671="","",'05 Stocks'!C174&amp;"")</f>
        <v/>
      </c>
      <c r="F671" s="141" t="str">
        <f>IF(C671="","",'05 Stocks'!V174)</f>
        <v/>
      </c>
      <c r="G671" s="142" t="str">
        <f>IF(C671="","",'05 Stocks'!E174)</f>
        <v/>
      </c>
      <c r="H671" s="143" t="str">
        <f>IF(C671="","",'05 Stocks'!H174)</f>
        <v/>
      </c>
      <c r="I671" s="144" t="str">
        <f>IF(C671="","",'05 Stocks'!J174)</f>
        <v/>
      </c>
      <c r="J671" s="145" t="str">
        <f>IF(C671="","",'05 Stocks'!K174)</f>
        <v/>
      </c>
      <c r="K671" s="145" t="str">
        <f>IF(C671="","",'05 Stocks'!Q174)</f>
        <v/>
      </c>
      <c r="L671" s="142" t="str">
        <f>IF(C671="","",'05 Stocks'!R174)</f>
        <v/>
      </c>
      <c r="M671" s="145" t="str">
        <f>IF(C671="","",'05 Stocks'!T174)</f>
        <v/>
      </c>
      <c r="N671" s="146" t="str">
        <f>IF(C671="","",IF($J$3&gt;0,J671/$J$3,0))</f>
        <v/>
      </c>
      <c r="O671" s="141" t="str">
        <f>IF(C671="","",'05 Stocks'!I174)</f>
        <v/>
      </c>
      <c r="P671" s="147" t="str">
        <f>IF(C671="","",IF(N(J671)&gt;0,J671+ROW()/1E9,""))</f>
        <v/>
      </c>
      <c r="Q671" s="147" t="str">
        <f>IF(C671="","",IF(N(M671)&gt;0,M671+ROW()/1E9,""))</f>
        <v/>
      </c>
    </row>
    <row r="672">
      <c r="A672" s="134" t="str">
        <f>IF(C672="","","Stocks")</f>
        <v/>
      </c>
      <c r="B672" s="134" t="str">
        <f>IF(C672="","","Exterior")</f>
        <v/>
      </c>
      <c r="C672" s="134" t="str">
        <f>IF('05 Stocks'!A175="","",'05 Stocks'!A175&amp;"")</f>
        <v/>
      </c>
      <c r="D672" s="134" t="str">
        <f>IF(C672="","",'05 Stocks'!B175&amp;"")</f>
        <v/>
      </c>
      <c r="E672" s="134" t="str">
        <f>IF(C672="","",'05 Stocks'!C175&amp;"")</f>
        <v/>
      </c>
      <c r="F672" s="134" t="str">
        <f>IF(C672="","",'05 Stocks'!V175)</f>
        <v/>
      </c>
      <c r="G672" s="135" t="str">
        <f>IF(C672="","",'05 Stocks'!E175)</f>
        <v/>
      </c>
      <c r="H672" s="136" t="str">
        <f>IF(C672="","",'05 Stocks'!H175)</f>
        <v/>
      </c>
      <c r="I672" s="137" t="str">
        <f>IF(C672="","",'05 Stocks'!J175)</f>
        <v/>
      </c>
      <c r="J672" s="138" t="str">
        <f>IF(C672="","",'05 Stocks'!K175)</f>
        <v/>
      </c>
      <c r="K672" s="138" t="str">
        <f>IF(C672="","",'05 Stocks'!Q175)</f>
        <v/>
      </c>
      <c r="L672" s="135" t="str">
        <f>IF(C672="","",'05 Stocks'!R175)</f>
        <v/>
      </c>
      <c r="M672" s="138" t="str">
        <f>IF(C672="","",'05 Stocks'!T175)</f>
        <v/>
      </c>
      <c r="N672" s="139" t="str">
        <f>IF(C672="","",IF($J$3&gt;0,J672/$J$3,0))</f>
        <v/>
      </c>
      <c r="O672" s="134" t="str">
        <f>IF(C672="","",'05 Stocks'!I175)</f>
        <v/>
      </c>
      <c r="P672" s="140" t="str">
        <f>IF(C672="","",IF(N(J672)&gt;0,J672+ROW()/1E9,""))</f>
        <v/>
      </c>
      <c r="Q672" s="140" t="str">
        <f>IF(C672="","",IF(N(M672)&gt;0,M672+ROW()/1E9,""))</f>
        <v/>
      </c>
    </row>
    <row r="673">
      <c r="A673" s="141" t="str">
        <f>IF(C673="","","Stocks")</f>
        <v/>
      </c>
      <c r="B673" s="141" t="str">
        <f>IF(C673="","","Exterior")</f>
        <v/>
      </c>
      <c r="C673" s="141" t="str">
        <f>IF('05 Stocks'!A176="","",'05 Stocks'!A176&amp;"")</f>
        <v/>
      </c>
      <c r="D673" s="141" t="str">
        <f>IF(C673="","",'05 Stocks'!B176&amp;"")</f>
        <v/>
      </c>
      <c r="E673" s="141" t="str">
        <f>IF(C673="","",'05 Stocks'!C176&amp;"")</f>
        <v/>
      </c>
      <c r="F673" s="141" t="str">
        <f>IF(C673="","",'05 Stocks'!V176)</f>
        <v/>
      </c>
      <c r="G673" s="142" t="str">
        <f>IF(C673="","",'05 Stocks'!E176)</f>
        <v/>
      </c>
      <c r="H673" s="143" t="str">
        <f>IF(C673="","",'05 Stocks'!H176)</f>
        <v/>
      </c>
      <c r="I673" s="144" t="str">
        <f>IF(C673="","",'05 Stocks'!J176)</f>
        <v/>
      </c>
      <c r="J673" s="145" t="str">
        <f>IF(C673="","",'05 Stocks'!K176)</f>
        <v/>
      </c>
      <c r="K673" s="145" t="str">
        <f>IF(C673="","",'05 Stocks'!Q176)</f>
        <v/>
      </c>
      <c r="L673" s="142" t="str">
        <f>IF(C673="","",'05 Stocks'!R176)</f>
        <v/>
      </c>
      <c r="M673" s="145" t="str">
        <f>IF(C673="","",'05 Stocks'!T176)</f>
        <v/>
      </c>
      <c r="N673" s="146" t="str">
        <f>IF(C673="","",IF($J$3&gt;0,J673/$J$3,0))</f>
        <v/>
      </c>
      <c r="O673" s="141" t="str">
        <f>IF(C673="","",'05 Stocks'!I176)</f>
        <v/>
      </c>
      <c r="P673" s="147" t="str">
        <f>IF(C673="","",IF(N(J673)&gt;0,J673+ROW()/1E9,""))</f>
        <v/>
      </c>
      <c r="Q673" s="147" t="str">
        <f>IF(C673="","",IF(N(M673)&gt;0,M673+ROW()/1E9,""))</f>
        <v/>
      </c>
    </row>
    <row r="674">
      <c r="A674" s="134" t="str">
        <f>IF(C674="","","Stocks")</f>
        <v/>
      </c>
      <c r="B674" s="134" t="str">
        <f>IF(C674="","","Exterior")</f>
        <v/>
      </c>
      <c r="C674" s="134" t="str">
        <f>IF('05 Stocks'!A177="","",'05 Stocks'!A177&amp;"")</f>
        <v/>
      </c>
      <c r="D674" s="134" t="str">
        <f>IF(C674="","",'05 Stocks'!B177&amp;"")</f>
        <v/>
      </c>
      <c r="E674" s="134" t="str">
        <f>IF(C674="","",'05 Stocks'!C177&amp;"")</f>
        <v/>
      </c>
      <c r="F674" s="134" t="str">
        <f>IF(C674="","",'05 Stocks'!V177)</f>
        <v/>
      </c>
      <c r="G674" s="135" t="str">
        <f>IF(C674="","",'05 Stocks'!E177)</f>
        <v/>
      </c>
      <c r="H674" s="136" t="str">
        <f>IF(C674="","",'05 Stocks'!H177)</f>
        <v/>
      </c>
      <c r="I674" s="137" t="str">
        <f>IF(C674="","",'05 Stocks'!J177)</f>
        <v/>
      </c>
      <c r="J674" s="138" t="str">
        <f>IF(C674="","",'05 Stocks'!K177)</f>
        <v/>
      </c>
      <c r="K674" s="138" t="str">
        <f>IF(C674="","",'05 Stocks'!Q177)</f>
        <v/>
      </c>
      <c r="L674" s="135" t="str">
        <f>IF(C674="","",'05 Stocks'!R177)</f>
        <v/>
      </c>
      <c r="M674" s="138" t="str">
        <f>IF(C674="","",'05 Stocks'!T177)</f>
        <v/>
      </c>
      <c r="N674" s="139" t="str">
        <f>IF(C674="","",IF($J$3&gt;0,J674/$J$3,0))</f>
        <v/>
      </c>
      <c r="O674" s="134" t="str">
        <f>IF(C674="","",'05 Stocks'!I177)</f>
        <v/>
      </c>
      <c r="P674" s="140" t="str">
        <f>IF(C674="","",IF(N(J674)&gt;0,J674+ROW()/1E9,""))</f>
        <v/>
      </c>
      <c r="Q674" s="140" t="str">
        <f>IF(C674="","",IF(N(M674)&gt;0,M674+ROW()/1E9,""))</f>
        <v/>
      </c>
    </row>
    <row r="675">
      <c r="A675" s="141" t="str">
        <f>IF(C675="","","Stocks")</f>
        <v/>
      </c>
      <c r="B675" s="141" t="str">
        <f>IF(C675="","","Exterior")</f>
        <v/>
      </c>
      <c r="C675" s="141" t="str">
        <f>IF('05 Stocks'!A178="","",'05 Stocks'!A178&amp;"")</f>
        <v/>
      </c>
      <c r="D675" s="141" t="str">
        <f>IF(C675="","",'05 Stocks'!B178&amp;"")</f>
        <v/>
      </c>
      <c r="E675" s="141" t="str">
        <f>IF(C675="","",'05 Stocks'!C178&amp;"")</f>
        <v/>
      </c>
      <c r="F675" s="141" t="str">
        <f>IF(C675="","",'05 Stocks'!V178)</f>
        <v/>
      </c>
      <c r="G675" s="142" t="str">
        <f>IF(C675="","",'05 Stocks'!E178)</f>
        <v/>
      </c>
      <c r="H675" s="143" t="str">
        <f>IF(C675="","",'05 Stocks'!H178)</f>
        <v/>
      </c>
      <c r="I675" s="144" t="str">
        <f>IF(C675="","",'05 Stocks'!J178)</f>
        <v/>
      </c>
      <c r="J675" s="145" t="str">
        <f>IF(C675="","",'05 Stocks'!K178)</f>
        <v/>
      </c>
      <c r="K675" s="145" t="str">
        <f>IF(C675="","",'05 Stocks'!Q178)</f>
        <v/>
      </c>
      <c r="L675" s="142" t="str">
        <f>IF(C675="","",'05 Stocks'!R178)</f>
        <v/>
      </c>
      <c r="M675" s="145" t="str">
        <f>IF(C675="","",'05 Stocks'!T178)</f>
        <v/>
      </c>
      <c r="N675" s="146" t="str">
        <f>IF(C675="","",IF($J$3&gt;0,J675/$J$3,0))</f>
        <v/>
      </c>
      <c r="O675" s="141" t="str">
        <f>IF(C675="","",'05 Stocks'!I178)</f>
        <v/>
      </c>
      <c r="P675" s="147" t="str">
        <f>IF(C675="","",IF(N(J675)&gt;0,J675+ROW()/1E9,""))</f>
        <v/>
      </c>
      <c r="Q675" s="147" t="str">
        <f>IF(C675="","",IF(N(M675)&gt;0,M675+ROW()/1E9,""))</f>
        <v/>
      </c>
    </row>
    <row r="676">
      <c r="A676" s="134" t="str">
        <f>IF(C676="","","Stocks")</f>
        <v/>
      </c>
      <c r="B676" s="134" t="str">
        <f>IF(C676="","","Exterior")</f>
        <v/>
      </c>
      <c r="C676" s="134" t="str">
        <f>IF('05 Stocks'!A179="","",'05 Stocks'!A179&amp;"")</f>
        <v/>
      </c>
      <c r="D676" s="134" t="str">
        <f>IF(C676="","",'05 Stocks'!B179&amp;"")</f>
        <v/>
      </c>
      <c r="E676" s="134" t="str">
        <f>IF(C676="","",'05 Stocks'!C179&amp;"")</f>
        <v/>
      </c>
      <c r="F676" s="134" t="str">
        <f>IF(C676="","",'05 Stocks'!V179)</f>
        <v/>
      </c>
      <c r="G676" s="135" t="str">
        <f>IF(C676="","",'05 Stocks'!E179)</f>
        <v/>
      </c>
      <c r="H676" s="136" t="str">
        <f>IF(C676="","",'05 Stocks'!H179)</f>
        <v/>
      </c>
      <c r="I676" s="137" t="str">
        <f>IF(C676="","",'05 Stocks'!J179)</f>
        <v/>
      </c>
      <c r="J676" s="138" t="str">
        <f>IF(C676="","",'05 Stocks'!K179)</f>
        <v/>
      </c>
      <c r="K676" s="138" t="str">
        <f>IF(C676="","",'05 Stocks'!Q179)</f>
        <v/>
      </c>
      <c r="L676" s="135" t="str">
        <f>IF(C676="","",'05 Stocks'!R179)</f>
        <v/>
      </c>
      <c r="M676" s="138" t="str">
        <f>IF(C676="","",'05 Stocks'!T179)</f>
        <v/>
      </c>
      <c r="N676" s="139" t="str">
        <f>IF(C676="","",IF($J$3&gt;0,J676/$J$3,0))</f>
        <v/>
      </c>
      <c r="O676" s="134" t="str">
        <f>IF(C676="","",'05 Stocks'!I179)</f>
        <v/>
      </c>
      <c r="P676" s="140" t="str">
        <f>IF(C676="","",IF(N(J676)&gt;0,J676+ROW()/1E9,""))</f>
        <v/>
      </c>
      <c r="Q676" s="140" t="str">
        <f>IF(C676="","",IF(N(M676)&gt;0,M676+ROW()/1E9,""))</f>
        <v/>
      </c>
    </row>
    <row r="677">
      <c r="A677" s="141" t="str">
        <f>IF(C677="","","Stocks")</f>
        <v/>
      </c>
      <c r="B677" s="141" t="str">
        <f>IF(C677="","","Exterior")</f>
        <v/>
      </c>
      <c r="C677" s="141" t="str">
        <f>IF('05 Stocks'!A180="","",'05 Stocks'!A180&amp;"")</f>
        <v/>
      </c>
      <c r="D677" s="141" t="str">
        <f>IF(C677="","",'05 Stocks'!B180&amp;"")</f>
        <v/>
      </c>
      <c r="E677" s="141" t="str">
        <f>IF(C677="","",'05 Stocks'!C180&amp;"")</f>
        <v/>
      </c>
      <c r="F677" s="141" t="str">
        <f>IF(C677="","",'05 Stocks'!V180)</f>
        <v/>
      </c>
      <c r="G677" s="142" t="str">
        <f>IF(C677="","",'05 Stocks'!E180)</f>
        <v/>
      </c>
      <c r="H677" s="143" t="str">
        <f>IF(C677="","",'05 Stocks'!H180)</f>
        <v/>
      </c>
      <c r="I677" s="144" t="str">
        <f>IF(C677="","",'05 Stocks'!J180)</f>
        <v/>
      </c>
      <c r="J677" s="145" t="str">
        <f>IF(C677="","",'05 Stocks'!K180)</f>
        <v/>
      </c>
      <c r="K677" s="145" t="str">
        <f>IF(C677="","",'05 Stocks'!Q180)</f>
        <v/>
      </c>
      <c r="L677" s="142" t="str">
        <f>IF(C677="","",'05 Stocks'!R180)</f>
        <v/>
      </c>
      <c r="M677" s="145" t="str">
        <f>IF(C677="","",'05 Stocks'!T180)</f>
        <v/>
      </c>
      <c r="N677" s="146" t="str">
        <f>IF(C677="","",IF($J$3&gt;0,J677/$J$3,0))</f>
        <v/>
      </c>
      <c r="O677" s="141" t="str">
        <f>IF(C677="","",'05 Stocks'!I180)</f>
        <v/>
      </c>
      <c r="P677" s="147" t="str">
        <f>IF(C677="","",IF(N(J677)&gt;0,J677+ROW()/1E9,""))</f>
        <v/>
      </c>
      <c r="Q677" s="147" t="str">
        <f>IF(C677="","",IF(N(M677)&gt;0,M677+ROW()/1E9,""))</f>
        <v/>
      </c>
    </row>
    <row r="678">
      <c r="A678" s="134" t="str">
        <f>IF(C678="","","Stocks")</f>
        <v/>
      </c>
      <c r="B678" s="134" t="str">
        <f>IF(C678="","","Exterior")</f>
        <v/>
      </c>
      <c r="C678" s="134" t="str">
        <f>IF('05 Stocks'!A181="","",'05 Stocks'!A181&amp;"")</f>
        <v/>
      </c>
      <c r="D678" s="134" t="str">
        <f>IF(C678="","",'05 Stocks'!B181&amp;"")</f>
        <v/>
      </c>
      <c r="E678" s="134" t="str">
        <f>IF(C678="","",'05 Stocks'!C181&amp;"")</f>
        <v/>
      </c>
      <c r="F678" s="134" t="str">
        <f>IF(C678="","",'05 Stocks'!V181)</f>
        <v/>
      </c>
      <c r="G678" s="135" t="str">
        <f>IF(C678="","",'05 Stocks'!E181)</f>
        <v/>
      </c>
      <c r="H678" s="136" t="str">
        <f>IF(C678="","",'05 Stocks'!H181)</f>
        <v/>
      </c>
      <c r="I678" s="137" t="str">
        <f>IF(C678="","",'05 Stocks'!J181)</f>
        <v/>
      </c>
      <c r="J678" s="138" t="str">
        <f>IF(C678="","",'05 Stocks'!K181)</f>
        <v/>
      </c>
      <c r="K678" s="138" t="str">
        <f>IF(C678="","",'05 Stocks'!Q181)</f>
        <v/>
      </c>
      <c r="L678" s="135" t="str">
        <f>IF(C678="","",'05 Stocks'!R181)</f>
        <v/>
      </c>
      <c r="M678" s="138" t="str">
        <f>IF(C678="","",'05 Stocks'!T181)</f>
        <v/>
      </c>
      <c r="N678" s="139" t="str">
        <f>IF(C678="","",IF($J$3&gt;0,J678/$J$3,0))</f>
        <v/>
      </c>
      <c r="O678" s="134" t="str">
        <f>IF(C678="","",'05 Stocks'!I181)</f>
        <v/>
      </c>
      <c r="P678" s="140" t="str">
        <f>IF(C678="","",IF(N(J678)&gt;0,J678+ROW()/1E9,""))</f>
        <v/>
      </c>
      <c r="Q678" s="140" t="str">
        <f>IF(C678="","",IF(N(M678)&gt;0,M678+ROW()/1E9,""))</f>
        <v/>
      </c>
    </row>
    <row r="679">
      <c r="A679" s="141" t="str">
        <f>IF(C679="","","Stocks")</f>
        <v/>
      </c>
      <c r="B679" s="141" t="str">
        <f>IF(C679="","","Exterior")</f>
        <v/>
      </c>
      <c r="C679" s="141" t="str">
        <f>IF('05 Stocks'!A182="","",'05 Stocks'!A182&amp;"")</f>
        <v/>
      </c>
      <c r="D679" s="141" t="str">
        <f>IF(C679="","",'05 Stocks'!B182&amp;"")</f>
        <v/>
      </c>
      <c r="E679" s="141" t="str">
        <f>IF(C679="","",'05 Stocks'!C182&amp;"")</f>
        <v/>
      </c>
      <c r="F679" s="141" t="str">
        <f>IF(C679="","",'05 Stocks'!V182)</f>
        <v/>
      </c>
      <c r="G679" s="142" t="str">
        <f>IF(C679="","",'05 Stocks'!E182)</f>
        <v/>
      </c>
      <c r="H679" s="143" t="str">
        <f>IF(C679="","",'05 Stocks'!H182)</f>
        <v/>
      </c>
      <c r="I679" s="144" t="str">
        <f>IF(C679="","",'05 Stocks'!J182)</f>
        <v/>
      </c>
      <c r="J679" s="145" t="str">
        <f>IF(C679="","",'05 Stocks'!K182)</f>
        <v/>
      </c>
      <c r="K679" s="145" t="str">
        <f>IF(C679="","",'05 Stocks'!Q182)</f>
        <v/>
      </c>
      <c r="L679" s="142" t="str">
        <f>IF(C679="","",'05 Stocks'!R182)</f>
        <v/>
      </c>
      <c r="M679" s="145" t="str">
        <f>IF(C679="","",'05 Stocks'!T182)</f>
        <v/>
      </c>
      <c r="N679" s="146" t="str">
        <f>IF(C679="","",IF($J$3&gt;0,J679/$J$3,0))</f>
        <v/>
      </c>
      <c r="O679" s="141" t="str">
        <f>IF(C679="","",'05 Stocks'!I182)</f>
        <v/>
      </c>
      <c r="P679" s="147" t="str">
        <f>IF(C679="","",IF(N(J679)&gt;0,J679+ROW()/1E9,""))</f>
        <v/>
      </c>
      <c r="Q679" s="147" t="str">
        <f>IF(C679="","",IF(N(M679)&gt;0,M679+ROW()/1E9,""))</f>
        <v/>
      </c>
    </row>
    <row r="680">
      <c r="A680" s="134" t="str">
        <f>IF(C680="","","Stocks")</f>
        <v/>
      </c>
      <c r="B680" s="134" t="str">
        <f>IF(C680="","","Exterior")</f>
        <v/>
      </c>
      <c r="C680" s="134" t="str">
        <f>IF('05 Stocks'!A183="","",'05 Stocks'!A183&amp;"")</f>
        <v/>
      </c>
      <c r="D680" s="134" t="str">
        <f>IF(C680="","",'05 Stocks'!B183&amp;"")</f>
        <v/>
      </c>
      <c r="E680" s="134" t="str">
        <f>IF(C680="","",'05 Stocks'!C183&amp;"")</f>
        <v/>
      </c>
      <c r="F680" s="134" t="str">
        <f>IF(C680="","",'05 Stocks'!V183)</f>
        <v/>
      </c>
      <c r="G680" s="135" t="str">
        <f>IF(C680="","",'05 Stocks'!E183)</f>
        <v/>
      </c>
      <c r="H680" s="136" t="str">
        <f>IF(C680="","",'05 Stocks'!H183)</f>
        <v/>
      </c>
      <c r="I680" s="137" t="str">
        <f>IF(C680="","",'05 Stocks'!J183)</f>
        <v/>
      </c>
      <c r="J680" s="138" t="str">
        <f>IF(C680="","",'05 Stocks'!K183)</f>
        <v/>
      </c>
      <c r="K680" s="138" t="str">
        <f>IF(C680="","",'05 Stocks'!Q183)</f>
        <v/>
      </c>
      <c r="L680" s="135" t="str">
        <f>IF(C680="","",'05 Stocks'!R183)</f>
        <v/>
      </c>
      <c r="M680" s="138" t="str">
        <f>IF(C680="","",'05 Stocks'!T183)</f>
        <v/>
      </c>
      <c r="N680" s="139" t="str">
        <f>IF(C680="","",IF($J$3&gt;0,J680/$J$3,0))</f>
        <v/>
      </c>
      <c r="O680" s="134" t="str">
        <f>IF(C680="","",'05 Stocks'!I183)</f>
        <v/>
      </c>
      <c r="P680" s="140" t="str">
        <f>IF(C680="","",IF(N(J680)&gt;0,J680+ROW()/1E9,""))</f>
        <v/>
      </c>
      <c r="Q680" s="140" t="str">
        <f>IF(C680="","",IF(N(M680)&gt;0,M680+ROW()/1E9,""))</f>
        <v/>
      </c>
    </row>
    <row r="681">
      <c r="A681" s="141" t="str">
        <f>IF(C681="","","Stocks")</f>
        <v/>
      </c>
      <c r="B681" s="141" t="str">
        <f>IF(C681="","","Exterior")</f>
        <v/>
      </c>
      <c r="C681" s="141" t="str">
        <f>IF('05 Stocks'!A184="","",'05 Stocks'!A184&amp;"")</f>
        <v/>
      </c>
      <c r="D681" s="141" t="str">
        <f>IF(C681="","",'05 Stocks'!B184&amp;"")</f>
        <v/>
      </c>
      <c r="E681" s="141" t="str">
        <f>IF(C681="","",'05 Stocks'!C184&amp;"")</f>
        <v/>
      </c>
      <c r="F681" s="141" t="str">
        <f>IF(C681="","",'05 Stocks'!V184)</f>
        <v/>
      </c>
      <c r="G681" s="142" t="str">
        <f>IF(C681="","",'05 Stocks'!E184)</f>
        <v/>
      </c>
      <c r="H681" s="143" t="str">
        <f>IF(C681="","",'05 Stocks'!H184)</f>
        <v/>
      </c>
      <c r="I681" s="144" t="str">
        <f>IF(C681="","",'05 Stocks'!J184)</f>
        <v/>
      </c>
      <c r="J681" s="145" t="str">
        <f>IF(C681="","",'05 Stocks'!K184)</f>
        <v/>
      </c>
      <c r="K681" s="145" t="str">
        <f>IF(C681="","",'05 Stocks'!Q184)</f>
        <v/>
      </c>
      <c r="L681" s="142" t="str">
        <f>IF(C681="","",'05 Stocks'!R184)</f>
        <v/>
      </c>
      <c r="M681" s="145" t="str">
        <f>IF(C681="","",'05 Stocks'!T184)</f>
        <v/>
      </c>
      <c r="N681" s="146" t="str">
        <f>IF(C681="","",IF($J$3&gt;0,J681/$J$3,0))</f>
        <v/>
      </c>
      <c r="O681" s="141" t="str">
        <f>IF(C681="","",'05 Stocks'!I184)</f>
        <v/>
      </c>
      <c r="P681" s="147" t="str">
        <f>IF(C681="","",IF(N(J681)&gt;0,J681+ROW()/1E9,""))</f>
        <v/>
      </c>
      <c r="Q681" s="147" t="str">
        <f>IF(C681="","",IF(N(M681)&gt;0,M681+ROW()/1E9,""))</f>
        <v/>
      </c>
    </row>
    <row r="682">
      <c r="A682" s="134" t="str">
        <f>IF(C682="","","Stocks")</f>
        <v/>
      </c>
      <c r="B682" s="134" t="str">
        <f>IF(C682="","","Exterior")</f>
        <v/>
      </c>
      <c r="C682" s="134" t="str">
        <f>IF('05 Stocks'!A185="","",'05 Stocks'!A185&amp;"")</f>
        <v/>
      </c>
      <c r="D682" s="134" t="str">
        <f>IF(C682="","",'05 Stocks'!B185&amp;"")</f>
        <v/>
      </c>
      <c r="E682" s="134" t="str">
        <f>IF(C682="","",'05 Stocks'!C185&amp;"")</f>
        <v/>
      </c>
      <c r="F682" s="134" t="str">
        <f>IF(C682="","",'05 Stocks'!V185)</f>
        <v/>
      </c>
      <c r="G682" s="135" t="str">
        <f>IF(C682="","",'05 Stocks'!E185)</f>
        <v/>
      </c>
      <c r="H682" s="136" t="str">
        <f>IF(C682="","",'05 Stocks'!H185)</f>
        <v/>
      </c>
      <c r="I682" s="137" t="str">
        <f>IF(C682="","",'05 Stocks'!J185)</f>
        <v/>
      </c>
      <c r="J682" s="138" t="str">
        <f>IF(C682="","",'05 Stocks'!K185)</f>
        <v/>
      </c>
      <c r="K682" s="138" t="str">
        <f>IF(C682="","",'05 Stocks'!Q185)</f>
        <v/>
      </c>
      <c r="L682" s="135" t="str">
        <f>IF(C682="","",'05 Stocks'!R185)</f>
        <v/>
      </c>
      <c r="M682" s="138" t="str">
        <f>IF(C682="","",'05 Stocks'!T185)</f>
        <v/>
      </c>
      <c r="N682" s="139" t="str">
        <f>IF(C682="","",IF($J$3&gt;0,J682/$J$3,0))</f>
        <v/>
      </c>
      <c r="O682" s="134" t="str">
        <f>IF(C682="","",'05 Stocks'!I185)</f>
        <v/>
      </c>
      <c r="P682" s="140" t="str">
        <f>IF(C682="","",IF(N(J682)&gt;0,J682+ROW()/1E9,""))</f>
        <v/>
      </c>
      <c r="Q682" s="140" t="str">
        <f>IF(C682="","",IF(N(M682)&gt;0,M682+ROW()/1E9,""))</f>
        <v/>
      </c>
    </row>
    <row r="683">
      <c r="A683" s="141" t="str">
        <f>IF(C683="","","Stocks")</f>
        <v/>
      </c>
      <c r="B683" s="141" t="str">
        <f>IF(C683="","","Exterior")</f>
        <v/>
      </c>
      <c r="C683" s="141" t="str">
        <f>IF('05 Stocks'!A186="","",'05 Stocks'!A186&amp;"")</f>
        <v/>
      </c>
      <c r="D683" s="141" t="str">
        <f>IF(C683="","",'05 Stocks'!B186&amp;"")</f>
        <v/>
      </c>
      <c r="E683" s="141" t="str">
        <f>IF(C683="","",'05 Stocks'!C186&amp;"")</f>
        <v/>
      </c>
      <c r="F683" s="141" t="str">
        <f>IF(C683="","",'05 Stocks'!V186)</f>
        <v/>
      </c>
      <c r="G683" s="142" t="str">
        <f>IF(C683="","",'05 Stocks'!E186)</f>
        <v/>
      </c>
      <c r="H683" s="143" t="str">
        <f>IF(C683="","",'05 Stocks'!H186)</f>
        <v/>
      </c>
      <c r="I683" s="144" t="str">
        <f>IF(C683="","",'05 Stocks'!J186)</f>
        <v/>
      </c>
      <c r="J683" s="145" t="str">
        <f>IF(C683="","",'05 Stocks'!K186)</f>
        <v/>
      </c>
      <c r="K683" s="145" t="str">
        <f>IF(C683="","",'05 Stocks'!Q186)</f>
        <v/>
      </c>
      <c r="L683" s="142" t="str">
        <f>IF(C683="","",'05 Stocks'!R186)</f>
        <v/>
      </c>
      <c r="M683" s="145" t="str">
        <f>IF(C683="","",'05 Stocks'!T186)</f>
        <v/>
      </c>
      <c r="N683" s="146" t="str">
        <f>IF(C683="","",IF($J$3&gt;0,J683/$J$3,0))</f>
        <v/>
      </c>
      <c r="O683" s="141" t="str">
        <f>IF(C683="","",'05 Stocks'!I186)</f>
        <v/>
      </c>
      <c r="P683" s="147" t="str">
        <f>IF(C683="","",IF(N(J683)&gt;0,J683+ROW()/1E9,""))</f>
        <v/>
      </c>
      <c r="Q683" s="147" t="str">
        <f>IF(C683="","",IF(N(M683)&gt;0,M683+ROW()/1E9,""))</f>
        <v/>
      </c>
    </row>
    <row r="684">
      <c r="A684" s="134" t="str">
        <f>IF(C684="","","Stocks")</f>
        <v/>
      </c>
      <c r="B684" s="134" t="str">
        <f>IF(C684="","","Exterior")</f>
        <v/>
      </c>
      <c r="C684" s="134" t="str">
        <f>IF('05 Stocks'!A187="","",'05 Stocks'!A187&amp;"")</f>
        <v/>
      </c>
      <c r="D684" s="134" t="str">
        <f>IF(C684="","",'05 Stocks'!B187&amp;"")</f>
        <v/>
      </c>
      <c r="E684" s="134" t="str">
        <f>IF(C684="","",'05 Stocks'!C187&amp;"")</f>
        <v/>
      </c>
      <c r="F684" s="134" t="str">
        <f>IF(C684="","",'05 Stocks'!V187)</f>
        <v/>
      </c>
      <c r="G684" s="135" t="str">
        <f>IF(C684="","",'05 Stocks'!E187)</f>
        <v/>
      </c>
      <c r="H684" s="136" t="str">
        <f>IF(C684="","",'05 Stocks'!H187)</f>
        <v/>
      </c>
      <c r="I684" s="137" t="str">
        <f>IF(C684="","",'05 Stocks'!J187)</f>
        <v/>
      </c>
      <c r="J684" s="138" t="str">
        <f>IF(C684="","",'05 Stocks'!K187)</f>
        <v/>
      </c>
      <c r="K684" s="138" t="str">
        <f>IF(C684="","",'05 Stocks'!Q187)</f>
        <v/>
      </c>
      <c r="L684" s="135" t="str">
        <f>IF(C684="","",'05 Stocks'!R187)</f>
        <v/>
      </c>
      <c r="M684" s="138" t="str">
        <f>IF(C684="","",'05 Stocks'!T187)</f>
        <v/>
      </c>
      <c r="N684" s="139" t="str">
        <f>IF(C684="","",IF($J$3&gt;0,J684/$J$3,0))</f>
        <v/>
      </c>
      <c r="O684" s="134" t="str">
        <f>IF(C684="","",'05 Stocks'!I187)</f>
        <v/>
      </c>
      <c r="P684" s="140" t="str">
        <f>IF(C684="","",IF(N(J684)&gt;0,J684+ROW()/1E9,""))</f>
        <v/>
      </c>
      <c r="Q684" s="140" t="str">
        <f>IF(C684="","",IF(N(M684)&gt;0,M684+ROW()/1E9,""))</f>
        <v/>
      </c>
    </row>
    <row r="685">
      <c r="A685" s="141" t="str">
        <f>IF(C685="","","Stocks")</f>
        <v/>
      </c>
      <c r="B685" s="141" t="str">
        <f>IF(C685="","","Exterior")</f>
        <v/>
      </c>
      <c r="C685" s="141" t="str">
        <f>IF('05 Stocks'!A188="","",'05 Stocks'!A188&amp;"")</f>
        <v/>
      </c>
      <c r="D685" s="141" t="str">
        <f>IF(C685="","",'05 Stocks'!B188&amp;"")</f>
        <v/>
      </c>
      <c r="E685" s="141" t="str">
        <f>IF(C685="","",'05 Stocks'!C188&amp;"")</f>
        <v/>
      </c>
      <c r="F685" s="141" t="str">
        <f>IF(C685="","",'05 Stocks'!V188)</f>
        <v/>
      </c>
      <c r="G685" s="142" t="str">
        <f>IF(C685="","",'05 Stocks'!E188)</f>
        <v/>
      </c>
      <c r="H685" s="143" t="str">
        <f>IF(C685="","",'05 Stocks'!H188)</f>
        <v/>
      </c>
      <c r="I685" s="144" t="str">
        <f>IF(C685="","",'05 Stocks'!J188)</f>
        <v/>
      </c>
      <c r="J685" s="145" t="str">
        <f>IF(C685="","",'05 Stocks'!K188)</f>
        <v/>
      </c>
      <c r="K685" s="145" t="str">
        <f>IF(C685="","",'05 Stocks'!Q188)</f>
        <v/>
      </c>
      <c r="L685" s="142" t="str">
        <f>IF(C685="","",'05 Stocks'!R188)</f>
        <v/>
      </c>
      <c r="M685" s="145" t="str">
        <f>IF(C685="","",'05 Stocks'!T188)</f>
        <v/>
      </c>
      <c r="N685" s="146" t="str">
        <f>IF(C685="","",IF($J$3&gt;0,J685/$J$3,0))</f>
        <v/>
      </c>
      <c r="O685" s="141" t="str">
        <f>IF(C685="","",'05 Stocks'!I188)</f>
        <v/>
      </c>
      <c r="P685" s="147" t="str">
        <f>IF(C685="","",IF(N(J685)&gt;0,J685+ROW()/1E9,""))</f>
        <v/>
      </c>
      <c r="Q685" s="147" t="str">
        <f>IF(C685="","",IF(N(M685)&gt;0,M685+ROW()/1E9,""))</f>
        <v/>
      </c>
    </row>
    <row r="686">
      <c r="A686" s="134" t="str">
        <f>IF(C686="","","Stocks")</f>
        <v/>
      </c>
      <c r="B686" s="134" t="str">
        <f>IF(C686="","","Exterior")</f>
        <v/>
      </c>
      <c r="C686" s="134" t="str">
        <f>IF('05 Stocks'!A189="","",'05 Stocks'!A189&amp;"")</f>
        <v/>
      </c>
      <c r="D686" s="134" t="str">
        <f>IF(C686="","",'05 Stocks'!B189&amp;"")</f>
        <v/>
      </c>
      <c r="E686" s="134" t="str">
        <f>IF(C686="","",'05 Stocks'!C189&amp;"")</f>
        <v/>
      </c>
      <c r="F686" s="134" t="str">
        <f>IF(C686="","",'05 Stocks'!V189)</f>
        <v/>
      </c>
      <c r="G686" s="135" t="str">
        <f>IF(C686="","",'05 Stocks'!E189)</f>
        <v/>
      </c>
      <c r="H686" s="136" t="str">
        <f>IF(C686="","",'05 Stocks'!H189)</f>
        <v/>
      </c>
      <c r="I686" s="137" t="str">
        <f>IF(C686="","",'05 Stocks'!J189)</f>
        <v/>
      </c>
      <c r="J686" s="138" t="str">
        <f>IF(C686="","",'05 Stocks'!K189)</f>
        <v/>
      </c>
      <c r="K686" s="138" t="str">
        <f>IF(C686="","",'05 Stocks'!Q189)</f>
        <v/>
      </c>
      <c r="L686" s="135" t="str">
        <f>IF(C686="","",'05 Stocks'!R189)</f>
        <v/>
      </c>
      <c r="M686" s="138" t="str">
        <f>IF(C686="","",'05 Stocks'!T189)</f>
        <v/>
      </c>
      <c r="N686" s="139" t="str">
        <f>IF(C686="","",IF($J$3&gt;0,J686/$J$3,0))</f>
        <v/>
      </c>
      <c r="O686" s="134" t="str">
        <f>IF(C686="","",'05 Stocks'!I189)</f>
        <v/>
      </c>
      <c r="P686" s="140" t="str">
        <f>IF(C686="","",IF(N(J686)&gt;0,J686+ROW()/1E9,""))</f>
        <v/>
      </c>
      <c r="Q686" s="140" t="str">
        <f>IF(C686="","",IF(N(M686)&gt;0,M686+ROW()/1E9,""))</f>
        <v/>
      </c>
    </row>
    <row r="687">
      <c r="A687" s="141" t="str">
        <f>IF(C687="","","Stocks")</f>
        <v/>
      </c>
      <c r="B687" s="141" t="str">
        <f>IF(C687="","","Exterior")</f>
        <v/>
      </c>
      <c r="C687" s="141" t="str">
        <f>IF('05 Stocks'!A190="","",'05 Stocks'!A190&amp;"")</f>
        <v/>
      </c>
      <c r="D687" s="141" t="str">
        <f>IF(C687="","",'05 Stocks'!B190&amp;"")</f>
        <v/>
      </c>
      <c r="E687" s="141" t="str">
        <f>IF(C687="","",'05 Stocks'!C190&amp;"")</f>
        <v/>
      </c>
      <c r="F687" s="141" t="str">
        <f>IF(C687="","",'05 Stocks'!V190)</f>
        <v/>
      </c>
      <c r="G687" s="142" t="str">
        <f>IF(C687="","",'05 Stocks'!E190)</f>
        <v/>
      </c>
      <c r="H687" s="143" t="str">
        <f>IF(C687="","",'05 Stocks'!H190)</f>
        <v/>
      </c>
      <c r="I687" s="144" t="str">
        <f>IF(C687="","",'05 Stocks'!J190)</f>
        <v/>
      </c>
      <c r="J687" s="145" t="str">
        <f>IF(C687="","",'05 Stocks'!K190)</f>
        <v/>
      </c>
      <c r="K687" s="145" t="str">
        <f>IF(C687="","",'05 Stocks'!Q190)</f>
        <v/>
      </c>
      <c r="L687" s="142" t="str">
        <f>IF(C687="","",'05 Stocks'!R190)</f>
        <v/>
      </c>
      <c r="M687" s="145" t="str">
        <f>IF(C687="","",'05 Stocks'!T190)</f>
        <v/>
      </c>
      <c r="N687" s="146" t="str">
        <f>IF(C687="","",IF($J$3&gt;0,J687/$J$3,0))</f>
        <v/>
      </c>
      <c r="O687" s="141" t="str">
        <f>IF(C687="","",'05 Stocks'!I190)</f>
        <v/>
      </c>
      <c r="P687" s="147" t="str">
        <f>IF(C687="","",IF(N(J687)&gt;0,J687+ROW()/1E9,""))</f>
        <v/>
      </c>
      <c r="Q687" s="147" t="str">
        <f>IF(C687="","",IF(N(M687)&gt;0,M687+ROW()/1E9,""))</f>
        <v/>
      </c>
    </row>
    <row r="688">
      <c r="A688" s="134" t="str">
        <f>IF(C688="","","Stocks")</f>
        <v/>
      </c>
      <c r="B688" s="134" t="str">
        <f>IF(C688="","","Exterior")</f>
        <v/>
      </c>
      <c r="C688" s="134" t="str">
        <f>IF('05 Stocks'!A191="","",'05 Stocks'!A191&amp;"")</f>
        <v/>
      </c>
      <c r="D688" s="134" t="str">
        <f>IF(C688="","",'05 Stocks'!B191&amp;"")</f>
        <v/>
      </c>
      <c r="E688" s="134" t="str">
        <f>IF(C688="","",'05 Stocks'!C191&amp;"")</f>
        <v/>
      </c>
      <c r="F688" s="134" t="str">
        <f>IF(C688="","",'05 Stocks'!V191)</f>
        <v/>
      </c>
      <c r="G688" s="135" t="str">
        <f>IF(C688="","",'05 Stocks'!E191)</f>
        <v/>
      </c>
      <c r="H688" s="136" t="str">
        <f>IF(C688="","",'05 Stocks'!H191)</f>
        <v/>
      </c>
      <c r="I688" s="137" t="str">
        <f>IF(C688="","",'05 Stocks'!J191)</f>
        <v/>
      </c>
      <c r="J688" s="138" t="str">
        <f>IF(C688="","",'05 Stocks'!K191)</f>
        <v/>
      </c>
      <c r="K688" s="138" t="str">
        <f>IF(C688="","",'05 Stocks'!Q191)</f>
        <v/>
      </c>
      <c r="L688" s="135" t="str">
        <f>IF(C688="","",'05 Stocks'!R191)</f>
        <v/>
      </c>
      <c r="M688" s="138" t="str">
        <f>IF(C688="","",'05 Stocks'!T191)</f>
        <v/>
      </c>
      <c r="N688" s="139" t="str">
        <f>IF(C688="","",IF($J$3&gt;0,J688/$J$3,0))</f>
        <v/>
      </c>
      <c r="O688" s="134" t="str">
        <f>IF(C688="","",'05 Stocks'!I191)</f>
        <v/>
      </c>
      <c r="P688" s="140" t="str">
        <f>IF(C688="","",IF(N(J688)&gt;0,J688+ROW()/1E9,""))</f>
        <v/>
      </c>
      <c r="Q688" s="140" t="str">
        <f>IF(C688="","",IF(N(M688)&gt;0,M688+ROW()/1E9,""))</f>
        <v/>
      </c>
    </row>
    <row r="689">
      <c r="A689" s="141" t="str">
        <f>IF(C689="","","Stocks")</f>
        <v/>
      </c>
      <c r="B689" s="141" t="str">
        <f>IF(C689="","","Exterior")</f>
        <v/>
      </c>
      <c r="C689" s="141" t="str">
        <f>IF('05 Stocks'!A192="","",'05 Stocks'!A192&amp;"")</f>
        <v/>
      </c>
      <c r="D689" s="141" t="str">
        <f>IF(C689="","",'05 Stocks'!B192&amp;"")</f>
        <v/>
      </c>
      <c r="E689" s="141" t="str">
        <f>IF(C689="","",'05 Stocks'!C192&amp;"")</f>
        <v/>
      </c>
      <c r="F689" s="141" t="str">
        <f>IF(C689="","",'05 Stocks'!V192)</f>
        <v/>
      </c>
      <c r="G689" s="142" t="str">
        <f>IF(C689="","",'05 Stocks'!E192)</f>
        <v/>
      </c>
      <c r="H689" s="143" t="str">
        <f>IF(C689="","",'05 Stocks'!H192)</f>
        <v/>
      </c>
      <c r="I689" s="144" t="str">
        <f>IF(C689="","",'05 Stocks'!J192)</f>
        <v/>
      </c>
      <c r="J689" s="145" t="str">
        <f>IF(C689="","",'05 Stocks'!K192)</f>
        <v/>
      </c>
      <c r="K689" s="145" t="str">
        <f>IF(C689="","",'05 Stocks'!Q192)</f>
        <v/>
      </c>
      <c r="L689" s="142" t="str">
        <f>IF(C689="","",'05 Stocks'!R192)</f>
        <v/>
      </c>
      <c r="M689" s="145" t="str">
        <f>IF(C689="","",'05 Stocks'!T192)</f>
        <v/>
      </c>
      <c r="N689" s="146" t="str">
        <f>IF(C689="","",IF($J$3&gt;0,J689/$J$3,0))</f>
        <v/>
      </c>
      <c r="O689" s="141" t="str">
        <f>IF(C689="","",'05 Stocks'!I192)</f>
        <v/>
      </c>
      <c r="P689" s="147" t="str">
        <f>IF(C689="","",IF(N(J689)&gt;0,J689+ROW()/1E9,""))</f>
        <v/>
      </c>
      <c r="Q689" s="147" t="str">
        <f>IF(C689="","",IF(N(M689)&gt;0,M689+ROW()/1E9,""))</f>
        <v/>
      </c>
    </row>
    <row r="690">
      <c r="A690" s="134" t="str">
        <f>IF(C690="","","Stocks")</f>
        <v/>
      </c>
      <c r="B690" s="134" t="str">
        <f>IF(C690="","","Exterior")</f>
        <v/>
      </c>
      <c r="C690" s="134" t="str">
        <f>IF('05 Stocks'!A193="","",'05 Stocks'!A193&amp;"")</f>
        <v/>
      </c>
      <c r="D690" s="134" t="str">
        <f>IF(C690="","",'05 Stocks'!B193&amp;"")</f>
        <v/>
      </c>
      <c r="E690" s="134" t="str">
        <f>IF(C690="","",'05 Stocks'!C193&amp;"")</f>
        <v/>
      </c>
      <c r="F690" s="134" t="str">
        <f>IF(C690="","",'05 Stocks'!V193)</f>
        <v/>
      </c>
      <c r="G690" s="135" t="str">
        <f>IF(C690="","",'05 Stocks'!E193)</f>
        <v/>
      </c>
      <c r="H690" s="136" t="str">
        <f>IF(C690="","",'05 Stocks'!H193)</f>
        <v/>
      </c>
      <c r="I690" s="137" t="str">
        <f>IF(C690="","",'05 Stocks'!J193)</f>
        <v/>
      </c>
      <c r="J690" s="138" t="str">
        <f>IF(C690="","",'05 Stocks'!K193)</f>
        <v/>
      </c>
      <c r="K690" s="138" t="str">
        <f>IF(C690="","",'05 Stocks'!Q193)</f>
        <v/>
      </c>
      <c r="L690" s="135" t="str">
        <f>IF(C690="","",'05 Stocks'!R193)</f>
        <v/>
      </c>
      <c r="M690" s="138" t="str">
        <f>IF(C690="","",'05 Stocks'!T193)</f>
        <v/>
      </c>
      <c r="N690" s="139" t="str">
        <f>IF(C690="","",IF($J$3&gt;0,J690/$J$3,0))</f>
        <v/>
      </c>
      <c r="O690" s="134" t="str">
        <f>IF(C690="","",'05 Stocks'!I193)</f>
        <v/>
      </c>
      <c r="P690" s="140" t="str">
        <f>IF(C690="","",IF(N(J690)&gt;0,J690+ROW()/1E9,""))</f>
        <v/>
      </c>
      <c r="Q690" s="140" t="str">
        <f>IF(C690="","",IF(N(M690)&gt;0,M690+ROW()/1E9,""))</f>
        <v/>
      </c>
    </row>
    <row r="691">
      <c r="A691" s="141" t="str">
        <f>IF(C691="","","Stocks")</f>
        <v/>
      </c>
      <c r="B691" s="141" t="str">
        <f>IF(C691="","","Exterior")</f>
        <v/>
      </c>
      <c r="C691" s="141" t="str">
        <f>IF('05 Stocks'!A194="","",'05 Stocks'!A194&amp;"")</f>
        <v/>
      </c>
      <c r="D691" s="141" t="str">
        <f>IF(C691="","",'05 Stocks'!B194&amp;"")</f>
        <v/>
      </c>
      <c r="E691" s="141" t="str">
        <f>IF(C691="","",'05 Stocks'!C194&amp;"")</f>
        <v/>
      </c>
      <c r="F691" s="141" t="str">
        <f>IF(C691="","",'05 Stocks'!V194)</f>
        <v/>
      </c>
      <c r="G691" s="142" t="str">
        <f>IF(C691="","",'05 Stocks'!E194)</f>
        <v/>
      </c>
      <c r="H691" s="143" t="str">
        <f>IF(C691="","",'05 Stocks'!H194)</f>
        <v/>
      </c>
      <c r="I691" s="144" t="str">
        <f>IF(C691="","",'05 Stocks'!J194)</f>
        <v/>
      </c>
      <c r="J691" s="145" t="str">
        <f>IF(C691="","",'05 Stocks'!K194)</f>
        <v/>
      </c>
      <c r="K691" s="145" t="str">
        <f>IF(C691="","",'05 Stocks'!Q194)</f>
        <v/>
      </c>
      <c r="L691" s="142" t="str">
        <f>IF(C691="","",'05 Stocks'!R194)</f>
        <v/>
      </c>
      <c r="M691" s="145" t="str">
        <f>IF(C691="","",'05 Stocks'!T194)</f>
        <v/>
      </c>
      <c r="N691" s="146" t="str">
        <f>IF(C691="","",IF($J$3&gt;0,J691/$J$3,0))</f>
        <v/>
      </c>
      <c r="O691" s="141" t="str">
        <f>IF(C691="","",'05 Stocks'!I194)</f>
        <v/>
      </c>
      <c r="P691" s="147" t="str">
        <f>IF(C691="","",IF(N(J691)&gt;0,J691+ROW()/1E9,""))</f>
        <v/>
      </c>
      <c r="Q691" s="147" t="str">
        <f>IF(C691="","",IF(N(M691)&gt;0,M691+ROW()/1E9,""))</f>
        <v/>
      </c>
    </row>
    <row r="692">
      <c r="A692" s="134" t="str">
        <f>IF(C692="","","Stocks")</f>
        <v/>
      </c>
      <c r="B692" s="134" t="str">
        <f>IF(C692="","","Exterior")</f>
        <v/>
      </c>
      <c r="C692" s="134" t="str">
        <f>IF('05 Stocks'!A195="","",'05 Stocks'!A195&amp;"")</f>
        <v/>
      </c>
      <c r="D692" s="134" t="str">
        <f>IF(C692="","",'05 Stocks'!B195&amp;"")</f>
        <v/>
      </c>
      <c r="E692" s="134" t="str">
        <f>IF(C692="","",'05 Stocks'!C195&amp;"")</f>
        <v/>
      </c>
      <c r="F692" s="134" t="str">
        <f>IF(C692="","",'05 Stocks'!V195)</f>
        <v/>
      </c>
      <c r="G692" s="135" t="str">
        <f>IF(C692="","",'05 Stocks'!E195)</f>
        <v/>
      </c>
      <c r="H692" s="136" t="str">
        <f>IF(C692="","",'05 Stocks'!H195)</f>
        <v/>
      </c>
      <c r="I692" s="137" t="str">
        <f>IF(C692="","",'05 Stocks'!J195)</f>
        <v/>
      </c>
      <c r="J692" s="138" t="str">
        <f>IF(C692="","",'05 Stocks'!K195)</f>
        <v/>
      </c>
      <c r="K692" s="138" t="str">
        <f>IF(C692="","",'05 Stocks'!Q195)</f>
        <v/>
      </c>
      <c r="L692" s="135" t="str">
        <f>IF(C692="","",'05 Stocks'!R195)</f>
        <v/>
      </c>
      <c r="M692" s="138" t="str">
        <f>IF(C692="","",'05 Stocks'!T195)</f>
        <v/>
      </c>
      <c r="N692" s="139" t="str">
        <f>IF(C692="","",IF($J$3&gt;0,J692/$J$3,0))</f>
        <v/>
      </c>
      <c r="O692" s="134" t="str">
        <f>IF(C692="","",'05 Stocks'!I195)</f>
        <v/>
      </c>
      <c r="P692" s="140" t="str">
        <f>IF(C692="","",IF(N(J692)&gt;0,J692+ROW()/1E9,""))</f>
        <v/>
      </c>
      <c r="Q692" s="140" t="str">
        <f>IF(C692="","",IF(N(M692)&gt;0,M692+ROW()/1E9,""))</f>
        <v/>
      </c>
    </row>
    <row r="693">
      <c r="A693" s="141" t="str">
        <f>IF(C693="","","Stocks")</f>
        <v/>
      </c>
      <c r="B693" s="141" t="str">
        <f>IF(C693="","","Exterior")</f>
        <v/>
      </c>
      <c r="C693" s="141" t="str">
        <f>IF('05 Stocks'!A196="","",'05 Stocks'!A196&amp;"")</f>
        <v/>
      </c>
      <c r="D693" s="141" t="str">
        <f>IF(C693="","",'05 Stocks'!B196&amp;"")</f>
        <v/>
      </c>
      <c r="E693" s="141" t="str">
        <f>IF(C693="","",'05 Stocks'!C196&amp;"")</f>
        <v/>
      </c>
      <c r="F693" s="141" t="str">
        <f>IF(C693="","",'05 Stocks'!V196)</f>
        <v/>
      </c>
      <c r="G693" s="142" t="str">
        <f>IF(C693="","",'05 Stocks'!E196)</f>
        <v/>
      </c>
      <c r="H693" s="143" t="str">
        <f>IF(C693="","",'05 Stocks'!H196)</f>
        <v/>
      </c>
      <c r="I693" s="144" t="str">
        <f>IF(C693="","",'05 Stocks'!J196)</f>
        <v/>
      </c>
      <c r="J693" s="145" t="str">
        <f>IF(C693="","",'05 Stocks'!K196)</f>
        <v/>
      </c>
      <c r="K693" s="145" t="str">
        <f>IF(C693="","",'05 Stocks'!Q196)</f>
        <v/>
      </c>
      <c r="L693" s="142" t="str">
        <f>IF(C693="","",'05 Stocks'!R196)</f>
        <v/>
      </c>
      <c r="M693" s="145" t="str">
        <f>IF(C693="","",'05 Stocks'!T196)</f>
        <v/>
      </c>
      <c r="N693" s="146" t="str">
        <f>IF(C693="","",IF($J$3&gt;0,J693/$J$3,0))</f>
        <v/>
      </c>
      <c r="O693" s="141" t="str">
        <f>IF(C693="","",'05 Stocks'!I196)</f>
        <v/>
      </c>
      <c r="P693" s="147" t="str">
        <f>IF(C693="","",IF(N(J693)&gt;0,J693+ROW()/1E9,""))</f>
        <v/>
      </c>
      <c r="Q693" s="147" t="str">
        <f>IF(C693="","",IF(N(M693)&gt;0,M693+ROW()/1E9,""))</f>
        <v/>
      </c>
    </row>
    <row r="694">
      <c r="A694" s="134" t="str">
        <f>IF(C694="","","Stocks")</f>
        <v/>
      </c>
      <c r="B694" s="134" t="str">
        <f>IF(C694="","","Exterior")</f>
        <v/>
      </c>
      <c r="C694" s="134" t="str">
        <f>IF('05 Stocks'!A197="","",'05 Stocks'!A197&amp;"")</f>
        <v/>
      </c>
      <c r="D694" s="134" t="str">
        <f>IF(C694="","",'05 Stocks'!B197&amp;"")</f>
        <v/>
      </c>
      <c r="E694" s="134" t="str">
        <f>IF(C694="","",'05 Stocks'!C197&amp;"")</f>
        <v/>
      </c>
      <c r="F694" s="134" t="str">
        <f>IF(C694="","",'05 Stocks'!V197)</f>
        <v/>
      </c>
      <c r="G694" s="135" t="str">
        <f>IF(C694="","",'05 Stocks'!E197)</f>
        <v/>
      </c>
      <c r="H694" s="136" t="str">
        <f>IF(C694="","",'05 Stocks'!H197)</f>
        <v/>
      </c>
      <c r="I694" s="137" t="str">
        <f>IF(C694="","",'05 Stocks'!J197)</f>
        <v/>
      </c>
      <c r="J694" s="138" t="str">
        <f>IF(C694="","",'05 Stocks'!K197)</f>
        <v/>
      </c>
      <c r="K694" s="138" t="str">
        <f>IF(C694="","",'05 Stocks'!Q197)</f>
        <v/>
      </c>
      <c r="L694" s="135" t="str">
        <f>IF(C694="","",'05 Stocks'!R197)</f>
        <v/>
      </c>
      <c r="M694" s="138" t="str">
        <f>IF(C694="","",'05 Stocks'!T197)</f>
        <v/>
      </c>
      <c r="N694" s="139" t="str">
        <f>IF(C694="","",IF($J$3&gt;0,J694/$J$3,0))</f>
        <v/>
      </c>
      <c r="O694" s="134" t="str">
        <f>IF(C694="","",'05 Stocks'!I197)</f>
        <v/>
      </c>
      <c r="P694" s="140" t="str">
        <f>IF(C694="","",IF(N(J694)&gt;0,J694+ROW()/1E9,""))</f>
        <v/>
      </c>
      <c r="Q694" s="140" t="str">
        <f>IF(C694="","",IF(N(M694)&gt;0,M694+ROW()/1E9,""))</f>
        <v/>
      </c>
    </row>
    <row r="695">
      <c r="A695" s="141" t="str">
        <f>IF(C695="","","Stocks")</f>
        <v/>
      </c>
      <c r="B695" s="141" t="str">
        <f>IF(C695="","","Exterior")</f>
        <v/>
      </c>
      <c r="C695" s="141" t="str">
        <f>IF('05 Stocks'!A198="","",'05 Stocks'!A198&amp;"")</f>
        <v/>
      </c>
      <c r="D695" s="141" t="str">
        <f>IF(C695="","",'05 Stocks'!B198&amp;"")</f>
        <v/>
      </c>
      <c r="E695" s="141" t="str">
        <f>IF(C695="","",'05 Stocks'!C198&amp;"")</f>
        <v/>
      </c>
      <c r="F695" s="141" t="str">
        <f>IF(C695="","",'05 Stocks'!V198)</f>
        <v/>
      </c>
      <c r="G695" s="142" t="str">
        <f>IF(C695="","",'05 Stocks'!E198)</f>
        <v/>
      </c>
      <c r="H695" s="143" t="str">
        <f>IF(C695="","",'05 Stocks'!H198)</f>
        <v/>
      </c>
      <c r="I695" s="144" t="str">
        <f>IF(C695="","",'05 Stocks'!J198)</f>
        <v/>
      </c>
      <c r="J695" s="145" t="str">
        <f>IF(C695="","",'05 Stocks'!K198)</f>
        <v/>
      </c>
      <c r="K695" s="145" t="str">
        <f>IF(C695="","",'05 Stocks'!Q198)</f>
        <v/>
      </c>
      <c r="L695" s="142" t="str">
        <f>IF(C695="","",'05 Stocks'!R198)</f>
        <v/>
      </c>
      <c r="M695" s="145" t="str">
        <f>IF(C695="","",'05 Stocks'!T198)</f>
        <v/>
      </c>
      <c r="N695" s="146" t="str">
        <f>IF(C695="","",IF($J$3&gt;0,J695/$J$3,0))</f>
        <v/>
      </c>
      <c r="O695" s="141" t="str">
        <f>IF(C695="","",'05 Stocks'!I198)</f>
        <v/>
      </c>
      <c r="P695" s="147" t="str">
        <f>IF(C695="","",IF(N(J695)&gt;0,J695+ROW()/1E9,""))</f>
        <v/>
      </c>
      <c r="Q695" s="147" t="str">
        <f>IF(C695="","",IF(N(M695)&gt;0,M695+ROW()/1E9,""))</f>
        <v/>
      </c>
    </row>
    <row r="696">
      <c r="A696" s="134" t="str">
        <f>IF(C696="","","Stocks")</f>
        <v/>
      </c>
      <c r="B696" s="134" t="str">
        <f>IF(C696="","","Exterior")</f>
        <v/>
      </c>
      <c r="C696" s="134" t="str">
        <f>IF('05 Stocks'!A199="","",'05 Stocks'!A199&amp;"")</f>
        <v/>
      </c>
      <c r="D696" s="134" t="str">
        <f>IF(C696="","",'05 Stocks'!B199&amp;"")</f>
        <v/>
      </c>
      <c r="E696" s="134" t="str">
        <f>IF(C696="","",'05 Stocks'!C199&amp;"")</f>
        <v/>
      </c>
      <c r="F696" s="134" t="str">
        <f>IF(C696="","",'05 Stocks'!V199)</f>
        <v/>
      </c>
      <c r="G696" s="135" t="str">
        <f>IF(C696="","",'05 Stocks'!E199)</f>
        <v/>
      </c>
      <c r="H696" s="136" t="str">
        <f>IF(C696="","",'05 Stocks'!H199)</f>
        <v/>
      </c>
      <c r="I696" s="137" t="str">
        <f>IF(C696="","",'05 Stocks'!J199)</f>
        <v/>
      </c>
      <c r="J696" s="138" t="str">
        <f>IF(C696="","",'05 Stocks'!K199)</f>
        <v/>
      </c>
      <c r="K696" s="138" t="str">
        <f>IF(C696="","",'05 Stocks'!Q199)</f>
        <v/>
      </c>
      <c r="L696" s="135" t="str">
        <f>IF(C696="","",'05 Stocks'!R199)</f>
        <v/>
      </c>
      <c r="M696" s="138" t="str">
        <f>IF(C696="","",'05 Stocks'!T199)</f>
        <v/>
      </c>
      <c r="N696" s="139" t="str">
        <f>IF(C696="","",IF($J$3&gt;0,J696/$J$3,0))</f>
        <v/>
      </c>
      <c r="O696" s="134" t="str">
        <f>IF(C696="","",'05 Stocks'!I199)</f>
        <v/>
      </c>
      <c r="P696" s="140" t="str">
        <f>IF(C696="","",IF(N(J696)&gt;0,J696+ROW()/1E9,""))</f>
        <v/>
      </c>
      <c r="Q696" s="140" t="str">
        <f>IF(C696="","",IF(N(M696)&gt;0,M696+ROW()/1E9,""))</f>
        <v/>
      </c>
    </row>
    <row r="697">
      <c r="A697" s="141" t="str">
        <f>IF(C697="","","Stocks")</f>
        <v/>
      </c>
      <c r="B697" s="141" t="str">
        <f>IF(C697="","","Exterior")</f>
        <v/>
      </c>
      <c r="C697" s="141" t="str">
        <f>IF('05 Stocks'!A200="","",'05 Stocks'!A200&amp;"")</f>
        <v/>
      </c>
      <c r="D697" s="141" t="str">
        <f>IF(C697="","",'05 Stocks'!B200&amp;"")</f>
        <v/>
      </c>
      <c r="E697" s="141" t="str">
        <f>IF(C697="","",'05 Stocks'!C200&amp;"")</f>
        <v/>
      </c>
      <c r="F697" s="141" t="str">
        <f>IF(C697="","",'05 Stocks'!V200)</f>
        <v/>
      </c>
      <c r="G697" s="142" t="str">
        <f>IF(C697="","",'05 Stocks'!E200)</f>
        <v/>
      </c>
      <c r="H697" s="143" t="str">
        <f>IF(C697="","",'05 Stocks'!H200)</f>
        <v/>
      </c>
      <c r="I697" s="144" t="str">
        <f>IF(C697="","",'05 Stocks'!J200)</f>
        <v/>
      </c>
      <c r="J697" s="145" t="str">
        <f>IF(C697="","",'05 Stocks'!K200)</f>
        <v/>
      </c>
      <c r="K697" s="145" t="str">
        <f>IF(C697="","",'05 Stocks'!Q200)</f>
        <v/>
      </c>
      <c r="L697" s="142" t="str">
        <f>IF(C697="","",'05 Stocks'!R200)</f>
        <v/>
      </c>
      <c r="M697" s="145" t="str">
        <f>IF(C697="","",'05 Stocks'!T200)</f>
        <v/>
      </c>
      <c r="N697" s="146" t="str">
        <f>IF(C697="","",IF($J$3&gt;0,J697/$J$3,0))</f>
        <v/>
      </c>
      <c r="O697" s="141" t="str">
        <f>IF(C697="","",'05 Stocks'!I200)</f>
        <v/>
      </c>
      <c r="P697" s="147" t="str">
        <f>IF(C697="","",IF(N(J697)&gt;0,J697+ROW()/1E9,""))</f>
        <v/>
      </c>
      <c r="Q697" s="147" t="str">
        <f>IF(C697="","",IF(N(M697)&gt;0,M697+ROW()/1E9,""))</f>
        <v/>
      </c>
    </row>
    <row r="698">
      <c r="A698" s="134" t="str">
        <f>IF(C698="","","Stocks")</f>
        <v/>
      </c>
      <c r="B698" s="134" t="str">
        <f>IF(C698="","","Exterior")</f>
        <v/>
      </c>
      <c r="C698" s="134" t="str">
        <f>IF('05 Stocks'!A201="","",'05 Stocks'!A201&amp;"")</f>
        <v/>
      </c>
      <c r="D698" s="134" t="str">
        <f>IF(C698="","",'05 Stocks'!B201&amp;"")</f>
        <v/>
      </c>
      <c r="E698" s="134" t="str">
        <f>IF(C698="","",'05 Stocks'!C201&amp;"")</f>
        <v/>
      </c>
      <c r="F698" s="134" t="str">
        <f>IF(C698="","",'05 Stocks'!V201)</f>
        <v/>
      </c>
      <c r="G698" s="135" t="str">
        <f>IF(C698="","",'05 Stocks'!E201)</f>
        <v/>
      </c>
      <c r="H698" s="136" t="str">
        <f>IF(C698="","",'05 Stocks'!H201)</f>
        <v/>
      </c>
      <c r="I698" s="137" t="str">
        <f>IF(C698="","",'05 Stocks'!J201)</f>
        <v/>
      </c>
      <c r="J698" s="138" t="str">
        <f>IF(C698="","",'05 Stocks'!K201)</f>
        <v/>
      </c>
      <c r="K698" s="138" t="str">
        <f>IF(C698="","",'05 Stocks'!Q201)</f>
        <v/>
      </c>
      <c r="L698" s="135" t="str">
        <f>IF(C698="","",'05 Stocks'!R201)</f>
        <v/>
      </c>
      <c r="M698" s="138" t="str">
        <f>IF(C698="","",'05 Stocks'!T201)</f>
        <v/>
      </c>
      <c r="N698" s="139" t="str">
        <f>IF(C698="","",IF($J$3&gt;0,J698/$J$3,0))</f>
        <v/>
      </c>
      <c r="O698" s="134" t="str">
        <f>IF(C698="","",'05 Stocks'!I201)</f>
        <v/>
      </c>
      <c r="P698" s="140" t="str">
        <f>IF(C698="","",IF(N(J698)&gt;0,J698+ROW()/1E9,""))</f>
        <v/>
      </c>
      <c r="Q698" s="140" t="str">
        <f>IF(C698="","",IF(N(M698)&gt;0,M698+ROW()/1E9,""))</f>
        <v/>
      </c>
    </row>
    <row r="699">
      <c r="A699" s="141" t="str">
        <f>IF(C699="","","Stocks")</f>
        <v/>
      </c>
      <c r="B699" s="141" t="str">
        <f>IF(C699="","","Exterior")</f>
        <v/>
      </c>
      <c r="C699" s="141" t="str">
        <f>IF('05 Stocks'!A202="","",'05 Stocks'!A202&amp;"")</f>
        <v/>
      </c>
      <c r="D699" s="141" t="str">
        <f>IF(C699="","",'05 Stocks'!B202&amp;"")</f>
        <v/>
      </c>
      <c r="E699" s="141" t="str">
        <f>IF(C699="","",'05 Stocks'!C202&amp;"")</f>
        <v/>
      </c>
      <c r="F699" s="141" t="str">
        <f>IF(C699="","",'05 Stocks'!V202)</f>
        <v/>
      </c>
      <c r="G699" s="142" t="str">
        <f>IF(C699="","",'05 Stocks'!E202)</f>
        <v/>
      </c>
      <c r="H699" s="143" t="str">
        <f>IF(C699="","",'05 Stocks'!H202)</f>
        <v/>
      </c>
      <c r="I699" s="144" t="str">
        <f>IF(C699="","",'05 Stocks'!J202)</f>
        <v/>
      </c>
      <c r="J699" s="145" t="str">
        <f>IF(C699="","",'05 Stocks'!K202)</f>
        <v/>
      </c>
      <c r="K699" s="145" t="str">
        <f>IF(C699="","",'05 Stocks'!Q202)</f>
        <v/>
      </c>
      <c r="L699" s="142" t="str">
        <f>IF(C699="","",'05 Stocks'!R202)</f>
        <v/>
      </c>
      <c r="M699" s="145" t="str">
        <f>IF(C699="","",'05 Stocks'!T202)</f>
        <v/>
      </c>
      <c r="N699" s="146" t="str">
        <f>IF(C699="","",IF($J$3&gt;0,J699/$J$3,0))</f>
        <v/>
      </c>
      <c r="O699" s="141" t="str">
        <f>IF(C699="","",'05 Stocks'!I202)</f>
        <v/>
      </c>
      <c r="P699" s="147" t="str">
        <f>IF(C699="","",IF(N(J699)&gt;0,J699+ROW()/1E9,""))</f>
        <v/>
      </c>
      <c r="Q699" s="147" t="str">
        <f>IF(C699="","",IF(N(M699)&gt;0,M699+ROW()/1E9,""))</f>
        <v/>
      </c>
    </row>
    <row r="700">
      <c r="A700" s="134" t="str">
        <f>IF(C700="","","Stocks")</f>
        <v/>
      </c>
      <c r="B700" s="134" t="str">
        <f>IF(C700="","","Exterior")</f>
        <v/>
      </c>
      <c r="C700" s="134" t="str">
        <f>IF('05 Stocks'!A203="","",'05 Stocks'!A203&amp;"")</f>
        <v/>
      </c>
      <c r="D700" s="134" t="str">
        <f>IF(C700="","",'05 Stocks'!B203&amp;"")</f>
        <v/>
      </c>
      <c r="E700" s="134" t="str">
        <f>IF(C700="","",'05 Stocks'!C203&amp;"")</f>
        <v/>
      </c>
      <c r="F700" s="134" t="str">
        <f>IF(C700="","",'05 Stocks'!V203)</f>
        <v/>
      </c>
      <c r="G700" s="135" t="str">
        <f>IF(C700="","",'05 Stocks'!E203)</f>
        <v/>
      </c>
      <c r="H700" s="136" t="str">
        <f>IF(C700="","",'05 Stocks'!H203)</f>
        <v/>
      </c>
      <c r="I700" s="137" t="str">
        <f>IF(C700="","",'05 Stocks'!J203)</f>
        <v/>
      </c>
      <c r="J700" s="138" t="str">
        <f>IF(C700="","",'05 Stocks'!K203)</f>
        <v/>
      </c>
      <c r="K700" s="138" t="str">
        <f>IF(C700="","",'05 Stocks'!Q203)</f>
        <v/>
      </c>
      <c r="L700" s="135" t="str">
        <f>IF(C700="","",'05 Stocks'!R203)</f>
        <v/>
      </c>
      <c r="M700" s="138" t="str">
        <f>IF(C700="","",'05 Stocks'!T203)</f>
        <v/>
      </c>
      <c r="N700" s="139" t="str">
        <f>IF(C700="","",IF($J$3&gt;0,J700/$J$3,0))</f>
        <v/>
      </c>
      <c r="O700" s="134" t="str">
        <f>IF(C700="","",'05 Stocks'!I203)</f>
        <v/>
      </c>
      <c r="P700" s="140" t="str">
        <f>IF(C700="","",IF(N(J700)&gt;0,J700+ROW()/1E9,""))</f>
        <v/>
      </c>
      <c r="Q700" s="140" t="str">
        <f>IF(C700="","",IF(N(M700)&gt;0,M700+ROW()/1E9,""))</f>
        <v/>
      </c>
    </row>
    <row r="701">
      <c r="A701" s="141" t="str">
        <f>IF(C701="","","Stocks")</f>
        <v/>
      </c>
      <c r="B701" s="141" t="str">
        <f>IF(C701="","","Exterior")</f>
        <v/>
      </c>
      <c r="C701" s="141" t="str">
        <f>IF('05 Stocks'!A204="","",'05 Stocks'!A204&amp;"")</f>
        <v/>
      </c>
      <c r="D701" s="141" t="str">
        <f>IF(C701="","",'05 Stocks'!B204&amp;"")</f>
        <v/>
      </c>
      <c r="E701" s="141" t="str">
        <f>IF(C701="","",'05 Stocks'!C204&amp;"")</f>
        <v/>
      </c>
      <c r="F701" s="141" t="str">
        <f>IF(C701="","",'05 Stocks'!V204)</f>
        <v/>
      </c>
      <c r="G701" s="142" t="str">
        <f>IF(C701="","",'05 Stocks'!E204)</f>
        <v/>
      </c>
      <c r="H701" s="143" t="str">
        <f>IF(C701="","",'05 Stocks'!H204)</f>
        <v/>
      </c>
      <c r="I701" s="144" t="str">
        <f>IF(C701="","",'05 Stocks'!J204)</f>
        <v/>
      </c>
      <c r="J701" s="145" t="str">
        <f>IF(C701="","",'05 Stocks'!K204)</f>
        <v/>
      </c>
      <c r="K701" s="145" t="str">
        <f>IF(C701="","",'05 Stocks'!Q204)</f>
        <v/>
      </c>
      <c r="L701" s="142" t="str">
        <f>IF(C701="","",'05 Stocks'!R204)</f>
        <v/>
      </c>
      <c r="M701" s="145" t="str">
        <f>IF(C701="","",'05 Stocks'!T204)</f>
        <v/>
      </c>
      <c r="N701" s="146" t="str">
        <f>IF(C701="","",IF($J$3&gt;0,J701/$J$3,0))</f>
        <v/>
      </c>
      <c r="O701" s="141" t="str">
        <f>IF(C701="","",'05 Stocks'!I204)</f>
        <v/>
      </c>
      <c r="P701" s="147" t="str">
        <f>IF(C701="","",IF(N(J701)&gt;0,J701+ROW()/1E9,""))</f>
        <v/>
      </c>
      <c r="Q701" s="147" t="str">
        <f>IF(C701="","",IF(N(M701)&gt;0,M701+ROW()/1E9,""))</f>
        <v/>
      </c>
    </row>
    <row r="702">
      <c r="A702" s="134" t="str">
        <f>IF(C702="","","Stocks")</f>
        <v/>
      </c>
      <c r="B702" s="134" t="str">
        <f>IF(C702="","","Exterior")</f>
        <v/>
      </c>
      <c r="C702" s="134" t="str">
        <f>IF('05 Stocks'!A205="","",'05 Stocks'!A205&amp;"")</f>
        <v/>
      </c>
      <c r="D702" s="134" t="str">
        <f>IF(C702="","",'05 Stocks'!B205&amp;"")</f>
        <v/>
      </c>
      <c r="E702" s="134" t="str">
        <f>IF(C702="","",'05 Stocks'!C205&amp;"")</f>
        <v/>
      </c>
      <c r="F702" s="134" t="str">
        <f>IF(C702="","",'05 Stocks'!V205)</f>
        <v/>
      </c>
      <c r="G702" s="135" t="str">
        <f>IF(C702="","",'05 Stocks'!E205)</f>
        <v/>
      </c>
      <c r="H702" s="136" t="str">
        <f>IF(C702="","",'05 Stocks'!H205)</f>
        <v/>
      </c>
      <c r="I702" s="137" t="str">
        <f>IF(C702="","",'05 Stocks'!J205)</f>
        <v/>
      </c>
      <c r="J702" s="138" t="str">
        <f>IF(C702="","",'05 Stocks'!K205)</f>
        <v/>
      </c>
      <c r="K702" s="138" t="str">
        <f>IF(C702="","",'05 Stocks'!Q205)</f>
        <v/>
      </c>
      <c r="L702" s="135" t="str">
        <f>IF(C702="","",'05 Stocks'!R205)</f>
        <v/>
      </c>
      <c r="M702" s="138" t="str">
        <f>IF(C702="","",'05 Stocks'!T205)</f>
        <v/>
      </c>
      <c r="N702" s="139" t="str">
        <f>IF(C702="","",IF($J$3&gt;0,J702/$J$3,0))</f>
        <v/>
      </c>
      <c r="O702" s="134" t="str">
        <f>IF(C702="","",'05 Stocks'!I205)</f>
        <v/>
      </c>
      <c r="P702" s="140" t="str">
        <f>IF(C702="","",IF(N(J702)&gt;0,J702+ROW()/1E9,""))</f>
        <v/>
      </c>
      <c r="Q702" s="140" t="str">
        <f>IF(C702="","",IF(N(M702)&gt;0,M702+ROW()/1E9,""))</f>
        <v/>
      </c>
    </row>
    <row r="703">
      <c r="A703" s="141" t="str">
        <f>IF(C703="","","Stocks")</f>
        <v/>
      </c>
      <c r="B703" s="141" t="str">
        <f>IF(C703="","","Exterior")</f>
        <v/>
      </c>
      <c r="C703" s="141" t="str">
        <f>IF('05 Stocks'!A206="","",'05 Stocks'!A206&amp;"")</f>
        <v/>
      </c>
      <c r="D703" s="141" t="str">
        <f>IF(C703="","",'05 Stocks'!B206&amp;"")</f>
        <v/>
      </c>
      <c r="E703" s="141" t="str">
        <f>IF(C703="","",'05 Stocks'!C206&amp;"")</f>
        <v/>
      </c>
      <c r="F703" s="141" t="str">
        <f>IF(C703="","",'05 Stocks'!V206)</f>
        <v/>
      </c>
      <c r="G703" s="142" t="str">
        <f>IF(C703="","",'05 Stocks'!E206)</f>
        <v/>
      </c>
      <c r="H703" s="143" t="str">
        <f>IF(C703="","",'05 Stocks'!H206)</f>
        <v/>
      </c>
      <c r="I703" s="144" t="str">
        <f>IF(C703="","",'05 Stocks'!J206)</f>
        <v/>
      </c>
      <c r="J703" s="145" t="str">
        <f>IF(C703="","",'05 Stocks'!K206)</f>
        <v/>
      </c>
      <c r="K703" s="145" t="str">
        <f>IF(C703="","",'05 Stocks'!Q206)</f>
        <v/>
      </c>
      <c r="L703" s="142" t="str">
        <f>IF(C703="","",'05 Stocks'!R206)</f>
        <v/>
      </c>
      <c r="M703" s="145" t="str">
        <f>IF(C703="","",'05 Stocks'!T206)</f>
        <v/>
      </c>
      <c r="N703" s="146" t="str">
        <f>IF(C703="","",IF($J$3&gt;0,J703/$J$3,0))</f>
        <v/>
      </c>
      <c r="O703" s="141" t="str">
        <f>IF(C703="","",'05 Stocks'!I206)</f>
        <v/>
      </c>
      <c r="P703" s="147" t="str">
        <f>IF(C703="","",IF(N(J703)&gt;0,J703+ROW()/1E9,""))</f>
        <v/>
      </c>
      <c r="Q703" s="147" t="str">
        <f>IF(C703="","",IF(N(M703)&gt;0,M703+ROW()/1E9,""))</f>
        <v/>
      </c>
    </row>
    <row r="704">
      <c r="A704" s="134" t="str">
        <f>IF(C704="","","Stocks")</f>
        <v/>
      </c>
      <c r="B704" s="134" t="str">
        <f>IF(C704="","","Exterior")</f>
        <v/>
      </c>
      <c r="C704" s="134" t="str">
        <f>IF('05 Stocks'!A207="","",'05 Stocks'!A207&amp;"")</f>
        <v/>
      </c>
      <c r="D704" s="134" t="str">
        <f>IF(C704="","",'05 Stocks'!B207&amp;"")</f>
        <v/>
      </c>
      <c r="E704" s="134" t="str">
        <f>IF(C704="","",'05 Stocks'!C207&amp;"")</f>
        <v/>
      </c>
      <c r="F704" s="134" t="str">
        <f>IF(C704="","",'05 Stocks'!V207)</f>
        <v/>
      </c>
      <c r="G704" s="135" t="str">
        <f>IF(C704="","",'05 Stocks'!E207)</f>
        <v/>
      </c>
      <c r="H704" s="136" t="str">
        <f>IF(C704="","",'05 Stocks'!H207)</f>
        <v/>
      </c>
      <c r="I704" s="137" t="str">
        <f>IF(C704="","",'05 Stocks'!J207)</f>
        <v/>
      </c>
      <c r="J704" s="138" t="str">
        <f>IF(C704="","",'05 Stocks'!K207)</f>
        <v/>
      </c>
      <c r="K704" s="138" t="str">
        <f>IF(C704="","",'05 Stocks'!Q207)</f>
        <v/>
      </c>
      <c r="L704" s="135" t="str">
        <f>IF(C704="","",'05 Stocks'!R207)</f>
        <v/>
      </c>
      <c r="M704" s="138" t="str">
        <f>IF(C704="","",'05 Stocks'!T207)</f>
        <v/>
      </c>
      <c r="N704" s="139" t="str">
        <f>IF(C704="","",IF($J$3&gt;0,J704/$J$3,0))</f>
        <v/>
      </c>
      <c r="O704" s="134" t="str">
        <f>IF(C704="","",'05 Stocks'!I207)</f>
        <v/>
      </c>
      <c r="P704" s="140" t="str">
        <f>IF(C704="","",IF(N(J704)&gt;0,J704+ROW()/1E9,""))</f>
        <v/>
      </c>
      <c r="Q704" s="140" t="str">
        <f>IF(C704="","",IF(N(M704)&gt;0,M704+ROW()/1E9,""))</f>
        <v/>
      </c>
    </row>
    <row r="705">
      <c r="A705" s="141" t="str">
        <f>IF(C705="","","Stocks")</f>
        <v/>
      </c>
      <c r="B705" s="141" t="str">
        <f>IF(C705="","","Exterior")</f>
        <v/>
      </c>
      <c r="C705" s="141" t="str">
        <f>IF('05 Stocks'!A208="","",'05 Stocks'!A208&amp;"")</f>
        <v/>
      </c>
      <c r="D705" s="141" t="str">
        <f>IF(C705="","",'05 Stocks'!B208&amp;"")</f>
        <v/>
      </c>
      <c r="E705" s="141" t="str">
        <f>IF(C705="","",'05 Stocks'!C208&amp;"")</f>
        <v/>
      </c>
      <c r="F705" s="141" t="str">
        <f>IF(C705="","",'05 Stocks'!V208)</f>
        <v/>
      </c>
      <c r="G705" s="142" t="str">
        <f>IF(C705="","",'05 Stocks'!E208)</f>
        <v/>
      </c>
      <c r="H705" s="143" t="str">
        <f>IF(C705="","",'05 Stocks'!H208)</f>
        <v/>
      </c>
      <c r="I705" s="144" t="str">
        <f>IF(C705="","",'05 Stocks'!J208)</f>
        <v/>
      </c>
      <c r="J705" s="145" t="str">
        <f>IF(C705="","",'05 Stocks'!K208)</f>
        <v/>
      </c>
      <c r="K705" s="145" t="str">
        <f>IF(C705="","",'05 Stocks'!Q208)</f>
        <v/>
      </c>
      <c r="L705" s="142" t="str">
        <f>IF(C705="","",'05 Stocks'!R208)</f>
        <v/>
      </c>
      <c r="M705" s="145" t="str">
        <f>IF(C705="","",'05 Stocks'!T208)</f>
        <v/>
      </c>
      <c r="N705" s="146" t="str">
        <f>IF(C705="","",IF($J$3&gt;0,J705/$J$3,0))</f>
        <v/>
      </c>
      <c r="O705" s="141" t="str">
        <f>IF(C705="","",'05 Stocks'!I208)</f>
        <v/>
      </c>
      <c r="P705" s="147" t="str">
        <f>IF(C705="","",IF(N(J705)&gt;0,J705+ROW()/1E9,""))</f>
        <v/>
      </c>
      <c r="Q705" s="147" t="str">
        <f>IF(C705="","",IF(N(M705)&gt;0,M705+ROW()/1E9,""))</f>
        <v/>
      </c>
    </row>
    <row r="706">
      <c r="A706" s="134" t="str">
        <f>IF(C706="","","REITs")</f>
        <v/>
      </c>
      <c r="B706" s="134" t="str">
        <f>IF(C706="","","Exterior")</f>
        <v/>
      </c>
      <c r="C706" s="134" t="str">
        <f>IF('06 REITs'!A9="","",'06 REITs'!A9&amp;"")</f>
        <v/>
      </c>
      <c r="D706" s="134" t="str">
        <f>IF(C706="","",'06 REITs'!B9&amp;"")</f>
        <v/>
      </c>
      <c r="E706" s="134" t="str">
        <f>IF(C706="","",'06 REITs'!C9&amp;"")</f>
        <v/>
      </c>
      <c r="F706" s="134" t="str">
        <f>IF(C706="","",'06 REITs'!V9)</f>
        <v/>
      </c>
      <c r="G706" s="135" t="str">
        <f>IF(C706="","",'06 REITs'!E9)</f>
        <v/>
      </c>
      <c r="H706" s="136" t="str">
        <f>IF(C706="","",'06 REITs'!H9)</f>
        <v/>
      </c>
      <c r="I706" s="137" t="str">
        <f>IF(C706="","",'06 REITs'!J9)</f>
        <v/>
      </c>
      <c r="J706" s="138" t="str">
        <f>IF(C706="","",'06 REITs'!K9)</f>
        <v/>
      </c>
      <c r="K706" s="138" t="str">
        <f>IF(C706="","",'06 REITs'!Q9)</f>
        <v/>
      </c>
      <c r="L706" s="135" t="str">
        <f>IF(C706="","",'06 REITs'!R9)</f>
        <v/>
      </c>
      <c r="M706" s="138" t="str">
        <f>IF(C706="","",'06 REITs'!T9)</f>
        <v/>
      </c>
      <c r="N706" s="139" t="str">
        <f>IF(C706="","",IF($J$3&gt;0,J706/$J$3,0))</f>
        <v/>
      </c>
      <c r="O706" s="134" t="str">
        <f>IF(C706="","",'06 REITs'!I9)</f>
        <v/>
      </c>
      <c r="P706" s="140" t="str">
        <f>IF(C706="","",IF(N(J706)&gt;0,J706+ROW()/1E9,""))</f>
        <v/>
      </c>
      <c r="Q706" s="140" t="str">
        <f>IF(C706="","",IF(N(M706)&gt;0,M706+ROW()/1E9,""))</f>
        <v/>
      </c>
    </row>
    <row r="707">
      <c r="A707" s="141" t="str">
        <f>IF(C707="","","REITs")</f>
        <v/>
      </c>
      <c r="B707" s="141" t="str">
        <f>IF(C707="","","Exterior")</f>
        <v/>
      </c>
      <c r="C707" s="141" t="str">
        <f>IF('06 REITs'!A10="","",'06 REITs'!A10&amp;"")</f>
        <v/>
      </c>
      <c r="D707" s="141" t="str">
        <f>IF(C707="","",'06 REITs'!B10&amp;"")</f>
        <v/>
      </c>
      <c r="E707" s="141" t="str">
        <f>IF(C707="","",'06 REITs'!C10&amp;"")</f>
        <v/>
      </c>
      <c r="F707" s="141" t="str">
        <f>IF(C707="","",'06 REITs'!V10)</f>
        <v/>
      </c>
      <c r="G707" s="142" t="str">
        <f>IF(C707="","",'06 REITs'!E10)</f>
        <v/>
      </c>
      <c r="H707" s="143" t="str">
        <f>IF(C707="","",'06 REITs'!H10)</f>
        <v/>
      </c>
      <c r="I707" s="144" t="str">
        <f>IF(C707="","",'06 REITs'!J10)</f>
        <v/>
      </c>
      <c r="J707" s="145" t="str">
        <f>IF(C707="","",'06 REITs'!K10)</f>
        <v/>
      </c>
      <c r="K707" s="145" t="str">
        <f>IF(C707="","",'06 REITs'!Q10)</f>
        <v/>
      </c>
      <c r="L707" s="142" t="str">
        <f>IF(C707="","",'06 REITs'!R10)</f>
        <v/>
      </c>
      <c r="M707" s="145" t="str">
        <f>IF(C707="","",'06 REITs'!T10)</f>
        <v/>
      </c>
      <c r="N707" s="146" t="str">
        <f>IF(C707="","",IF($J$3&gt;0,J707/$J$3,0))</f>
        <v/>
      </c>
      <c r="O707" s="141" t="str">
        <f>IF(C707="","",'06 REITs'!I10)</f>
        <v/>
      </c>
      <c r="P707" s="147" t="str">
        <f>IF(C707="","",IF(N(J707)&gt;0,J707+ROW()/1E9,""))</f>
        <v/>
      </c>
      <c r="Q707" s="147" t="str">
        <f>IF(C707="","",IF(N(M707)&gt;0,M707+ROW()/1E9,""))</f>
        <v/>
      </c>
    </row>
    <row r="708">
      <c r="A708" s="134" t="str">
        <f>IF(C708="","","REITs")</f>
        <v/>
      </c>
      <c r="B708" s="134" t="str">
        <f>IF(C708="","","Exterior")</f>
        <v/>
      </c>
      <c r="C708" s="134" t="str">
        <f>IF('06 REITs'!A11="","",'06 REITs'!A11&amp;"")</f>
        <v/>
      </c>
      <c r="D708" s="134" t="str">
        <f>IF(C708="","",'06 REITs'!B11&amp;"")</f>
        <v/>
      </c>
      <c r="E708" s="134" t="str">
        <f>IF(C708="","",'06 REITs'!C11&amp;"")</f>
        <v/>
      </c>
      <c r="F708" s="134" t="str">
        <f>IF(C708="","",'06 REITs'!V11)</f>
        <v/>
      </c>
      <c r="G708" s="135" t="str">
        <f>IF(C708="","",'06 REITs'!E11)</f>
        <v/>
      </c>
      <c r="H708" s="136" t="str">
        <f>IF(C708="","",'06 REITs'!H11)</f>
        <v/>
      </c>
      <c r="I708" s="137" t="str">
        <f>IF(C708="","",'06 REITs'!J11)</f>
        <v/>
      </c>
      <c r="J708" s="138" t="str">
        <f>IF(C708="","",'06 REITs'!K11)</f>
        <v/>
      </c>
      <c r="K708" s="138" t="str">
        <f>IF(C708="","",'06 REITs'!Q11)</f>
        <v/>
      </c>
      <c r="L708" s="135" t="str">
        <f>IF(C708="","",'06 REITs'!R11)</f>
        <v/>
      </c>
      <c r="M708" s="138" t="str">
        <f>IF(C708="","",'06 REITs'!T11)</f>
        <v/>
      </c>
      <c r="N708" s="139" t="str">
        <f>IF(C708="","",IF($J$3&gt;0,J708/$J$3,0))</f>
        <v/>
      </c>
      <c r="O708" s="134" t="str">
        <f>IF(C708="","",'06 REITs'!I11)</f>
        <v/>
      </c>
      <c r="P708" s="140" t="str">
        <f>IF(C708="","",IF(N(J708)&gt;0,J708+ROW()/1E9,""))</f>
        <v/>
      </c>
      <c r="Q708" s="140" t="str">
        <f>IF(C708="","",IF(N(M708)&gt;0,M708+ROW()/1E9,""))</f>
        <v/>
      </c>
    </row>
    <row r="709">
      <c r="A709" s="141" t="str">
        <f>IF(C709="","","REITs")</f>
        <v/>
      </c>
      <c r="B709" s="141" t="str">
        <f>IF(C709="","","Exterior")</f>
        <v/>
      </c>
      <c r="C709" s="141" t="str">
        <f>IF('06 REITs'!A12="","",'06 REITs'!A12&amp;"")</f>
        <v/>
      </c>
      <c r="D709" s="141" t="str">
        <f>IF(C709="","",'06 REITs'!B12&amp;"")</f>
        <v/>
      </c>
      <c r="E709" s="141" t="str">
        <f>IF(C709="","",'06 REITs'!C12&amp;"")</f>
        <v/>
      </c>
      <c r="F709" s="141" t="str">
        <f>IF(C709="","",'06 REITs'!V12)</f>
        <v/>
      </c>
      <c r="G709" s="142" t="str">
        <f>IF(C709="","",'06 REITs'!E12)</f>
        <v/>
      </c>
      <c r="H709" s="143" t="str">
        <f>IF(C709="","",'06 REITs'!H12)</f>
        <v/>
      </c>
      <c r="I709" s="144" t="str">
        <f>IF(C709="","",'06 REITs'!J12)</f>
        <v/>
      </c>
      <c r="J709" s="145" t="str">
        <f>IF(C709="","",'06 REITs'!K12)</f>
        <v/>
      </c>
      <c r="K709" s="145" t="str">
        <f>IF(C709="","",'06 REITs'!Q12)</f>
        <v/>
      </c>
      <c r="L709" s="142" t="str">
        <f>IF(C709="","",'06 REITs'!R12)</f>
        <v/>
      </c>
      <c r="M709" s="145" t="str">
        <f>IF(C709="","",'06 REITs'!T12)</f>
        <v/>
      </c>
      <c r="N709" s="146" t="str">
        <f>IF(C709="","",IF($J$3&gt;0,J709/$J$3,0))</f>
        <v/>
      </c>
      <c r="O709" s="141" t="str">
        <f>IF(C709="","",'06 REITs'!I12)</f>
        <v/>
      </c>
      <c r="P709" s="147" t="str">
        <f>IF(C709="","",IF(N(J709)&gt;0,J709+ROW()/1E9,""))</f>
        <v/>
      </c>
      <c r="Q709" s="147" t="str">
        <f>IF(C709="","",IF(N(M709)&gt;0,M709+ROW()/1E9,""))</f>
        <v/>
      </c>
    </row>
    <row r="710">
      <c r="A710" s="134" t="str">
        <f>IF(C710="","","REITs")</f>
        <v/>
      </c>
      <c r="B710" s="134" t="str">
        <f>IF(C710="","","Exterior")</f>
        <v/>
      </c>
      <c r="C710" s="134" t="str">
        <f>IF('06 REITs'!A13="","",'06 REITs'!A13&amp;"")</f>
        <v/>
      </c>
      <c r="D710" s="134" t="str">
        <f>IF(C710="","",'06 REITs'!B13&amp;"")</f>
        <v/>
      </c>
      <c r="E710" s="134" t="str">
        <f>IF(C710="","",'06 REITs'!C13&amp;"")</f>
        <v/>
      </c>
      <c r="F710" s="134" t="str">
        <f>IF(C710="","",'06 REITs'!V13)</f>
        <v/>
      </c>
      <c r="G710" s="135" t="str">
        <f>IF(C710="","",'06 REITs'!E13)</f>
        <v/>
      </c>
      <c r="H710" s="136" t="str">
        <f>IF(C710="","",'06 REITs'!H13)</f>
        <v/>
      </c>
      <c r="I710" s="137" t="str">
        <f>IF(C710="","",'06 REITs'!J13)</f>
        <v/>
      </c>
      <c r="J710" s="138" t="str">
        <f>IF(C710="","",'06 REITs'!K13)</f>
        <v/>
      </c>
      <c r="K710" s="138" t="str">
        <f>IF(C710="","",'06 REITs'!Q13)</f>
        <v/>
      </c>
      <c r="L710" s="135" t="str">
        <f>IF(C710="","",'06 REITs'!R13)</f>
        <v/>
      </c>
      <c r="M710" s="138" t="str">
        <f>IF(C710="","",'06 REITs'!T13)</f>
        <v/>
      </c>
      <c r="N710" s="139" t="str">
        <f>IF(C710="","",IF($J$3&gt;0,J710/$J$3,0))</f>
        <v/>
      </c>
      <c r="O710" s="134" t="str">
        <f>IF(C710="","",'06 REITs'!I13)</f>
        <v/>
      </c>
      <c r="P710" s="140" t="str">
        <f>IF(C710="","",IF(N(J710)&gt;0,J710+ROW()/1E9,""))</f>
        <v/>
      </c>
      <c r="Q710" s="140" t="str">
        <f>IF(C710="","",IF(N(M710)&gt;0,M710+ROW()/1E9,""))</f>
        <v/>
      </c>
    </row>
    <row r="711">
      <c r="A711" s="141" t="str">
        <f>IF(C711="","","REITs")</f>
        <v/>
      </c>
      <c r="B711" s="141" t="str">
        <f>IF(C711="","","Exterior")</f>
        <v/>
      </c>
      <c r="C711" s="141" t="str">
        <f>IF('06 REITs'!A14="","",'06 REITs'!A14&amp;"")</f>
        <v/>
      </c>
      <c r="D711" s="141" t="str">
        <f>IF(C711="","",'06 REITs'!B14&amp;"")</f>
        <v/>
      </c>
      <c r="E711" s="141" t="str">
        <f>IF(C711="","",'06 REITs'!C14&amp;"")</f>
        <v/>
      </c>
      <c r="F711" s="141" t="str">
        <f>IF(C711="","",'06 REITs'!V14)</f>
        <v/>
      </c>
      <c r="G711" s="142" t="str">
        <f>IF(C711="","",'06 REITs'!E14)</f>
        <v/>
      </c>
      <c r="H711" s="143" t="str">
        <f>IF(C711="","",'06 REITs'!H14)</f>
        <v/>
      </c>
      <c r="I711" s="144" t="str">
        <f>IF(C711="","",'06 REITs'!J14)</f>
        <v/>
      </c>
      <c r="J711" s="145" t="str">
        <f>IF(C711="","",'06 REITs'!K14)</f>
        <v/>
      </c>
      <c r="K711" s="145" t="str">
        <f>IF(C711="","",'06 REITs'!Q14)</f>
        <v/>
      </c>
      <c r="L711" s="142" t="str">
        <f>IF(C711="","",'06 REITs'!R14)</f>
        <v/>
      </c>
      <c r="M711" s="145" t="str">
        <f>IF(C711="","",'06 REITs'!T14)</f>
        <v/>
      </c>
      <c r="N711" s="146" t="str">
        <f>IF(C711="","",IF($J$3&gt;0,J711/$J$3,0))</f>
        <v/>
      </c>
      <c r="O711" s="141" t="str">
        <f>IF(C711="","",'06 REITs'!I14)</f>
        <v/>
      </c>
      <c r="P711" s="147" t="str">
        <f>IF(C711="","",IF(N(J711)&gt;0,J711+ROW()/1E9,""))</f>
        <v/>
      </c>
      <c r="Q711" s="147" t="str">
        <f>IF(C711="","",IF(N(M711)&gt;0,M711+ROW()/1E9,""))</f>
        <v/>
      </c>
    </row>
    <row r="712">
      <c r="A712" s="134" t="str">
        <f>IF(C712="","","REITs")</f>
        <v/>
      </c>
      <c r="B712" s="134" t="str">
        <f>IF(C712="","","Exterior")</f>
        <v/>
      </c>
      <c r="C712" s="134" t="str">
        <f>IF('06 REITs'!A15="","",'06 REITs'!A15&amp;"")</f>
        <v/>
      </c>
      <c r="D712" s="134" t="str">
        <f>IF(C712="","",'06 REITs'!B15&amp;"")</f>
        <v/>
      </c>
      <c r="E712" s="134" t="str">
        <f>IF(C712="","",'06 REITs'!C15&amp;"")</f>
        <v/>
      </c>
      <c r="F712" s="134" t="str">
        <f>IF(C712="","",'06 REITs'!V15)</f>
        <v/>
      </c>
      <c r="G712" s="135" t="str">
        <f>IF(C712="","",'06 REITs'!E15)</f>
        <v/>
      </c>
      <c r="H712" s="136" t="str">
        <f>IF(C712="","",'06 REITs'!H15)</f>
        <v/>
      </c>
      <c r="I712" s="137" t="str">
        <f>IF(C712="","",'06 REITs'!J15)</f>
        <v/>
      </c>
      <c r="J712" s="138" t="str">
        <f>IF(C712="","",'06 REITs'!K15)</f>
        <v/>
      </c>
      <c r="K712" s="138" t="str">
        <f>IF(C712="","",'06 REITs'!Q15)</f>
        <v/>
      </c>
      <c r="L712" s="135" t="str">
        <f>IF(C712="","",'06 REITs'!R15)</f>
        <v/>
      </c>
      <c r="M712" s="138" t="str">
        <f>IF(C712="","",'06 REITs'!T15)</f>
        <v/>
      </c>
      <c r="N712" s="139" t="str">
        <f>IF(C712="","",IF($J$3&gt;0,J712/$J$3,0))</f>
        <v/>
      </c>
      <c r="O712" s="134" t="str">
        <f>IF(C712="","",'06 REITs'!I15)</f>
        <v/>
      </c>
      <c r="P712" s="140" t="str">
        <f>IF(C712="","",IF(N(J712)&gt;0,J712+ROW()/1E9,""))</f>
        <v/>
      </c>
      <c r="Q712" s="140" t="str">
        <f>IF(C712="","",IF(N(M712)&gt;0,M712+ROW()/1E9,""))</f>
        <v/>
      </c>
    </row>
    <row r="713">
      <c r="A713" s="141" t="str">
        <f>IF(C713="","","REITs")</f>
        <v/>
      </c>
      <c r="B713" s="141" t="str">
        <f>IF(C713="","","Exterior")</f>
        <v/>
      </c>
      <c r="C713" s="141" t="str">
        <f>IF('06 REITs'!A16="","",'06 REITs'!A16&amp;"")</f>
        <v/>
      </c>
      <c r="D713" s="141" t="str">
        <f>IF(C713="","",'06 REITs'!B16&amp;"")</f>
        <v/>
      </c>
      <c r="E713" s="141" t="str">
        <f>IF(C713="","",'06 REITs'!C16&amp;"")</f>
        <v/>
      </c>
      <c r="F713" s="141" t="str">
        <f>IF(C713="","",'06 REITs'!V16)</f>
        <v/>
      </c>
      <c r="G713" s="142" t="str">
        <f>IF(C713="","",'06 REITs'!E16)</f>
        <v/>
      </c>
      <c r="H713" s="143" t="str">
        <f>IF(C713="","",'06 REITs'!H16)</f>
        <v/>
      </c>
      <c r="I713" s="144" t="str">
        <f>IF(C713="","",'06 REITs'!J16)</f>
        <v/>
      </c>
      <c r="J713" s="145" t="str">
        <f>IF(C713="","",'06 REITs'!K16)</f>
        <v/>
      </c>
      <c r="K713" s="145" t="str">
        <f>IF(C713="","",'06 REITs'!Q16)</f>
        <v/>
      </c>
      <c r="L713" s="142" t="str">
        <f>IF(C713="","",'06 REITs'!R16)</f>
        <v/>
      </c>
      <c r="M713" s="145" t="str">
        <f>IF(C713="","",'06 REITs'!T16)</f>
        <v/>
      </c>
      <c r="N713" s="146" t="str">
        <f>IF(C713="","",IF($J$3&gt;0,J713/$J$3,0))</f>
        <v/>
      </c>
      <c r="O713" s="141" t="str">
        <f>IF(C713="","",'06 REITs'!I16)</f>
        <v/>
      </c>
      <c r="P713" s="147" t="str">
        <f>IF(C713="","",IF(N(J713)&gt;0,J713+ROW()/1E9,""))</f>
        <v/>
      </c>
      <c r="Q713" s="147" t="str">
        <f>IF(C713="","",IF(N(M713)&gt;0,M713+ROW()/1E9,""))</f>
        <v/>
      </c>
    </row>
    <row r="714">
      <c r="A714" s="134" t="str">
        <f>IF(C714="","","REITs")</f>
        <v/>
      </c>
      <c r="B714" s="134" t="str">
        <f>IF(C714="","","Exterior")</f>
        <v/>
      </c>
      <c r="C714" s="134" t="str">
        <f>IF('06 REITs'!A17="","",'06 REITs'!A17&amp;"")</f>
        <v/>
      </c>
      <c r="D714" s="134" t="str">
        <f>IF(C714="","",'06 REITs'!B17&amp;"")</f>
        <v/>
      </c>
      <c r="E714" s="134" t="str">
        <f>IF(C714="","",'06 REITs'!C17&amp;"")</f>
        <v/>
      </c>
      <c r="F714" s="134" t="str">
        <f>IF(C714="","",'06 REITs'!V17)</f>
        <v/>
      </c>
      <c r="G714" s="135" t="str">
        <f>IF(C714="","",'06 REITs'!E17)</f>
        <v/>
      </c>
      <c r="H714" s="136" t="str">
        <f>IF(C714="","",'06 REITs'!H17)</f>
        <v/>
      </c>
      <c r="I714" s="137" t="str">
        <f>IF(C714="","",'06 REITs'!J17)</f>
        <v/>
      </c>
      <c r="J714" s="138" t="str">
        <f>IF(C714="","",'06 REITs'!K17)</f>
        <v/>
      </c>
      <c r="K714" s="138" t="str">
        <f>IF(C714="","",'06 REITs'!Q17)</f>
        <v/>
      </c>
      <c r="L714" s="135" t="str">
        <f>IF(C714="","",'06 REITs'!R17)</f>
        <v/>
      </c>
      <c r="M714" s="138" t="str">
        <f>IF(C714="","",'06 REITs'!T17)</f>
        <v/>
      </c>
      <c r="N714" s="139" t="str">
        <f>IF(C714="","",IF($J$3&gt;0,J714/$J$3,0))</f>
        <v/>
      </c>
      <c r="O714" s="134" t="str">
        <f>IF(C714="","",'06 REITs'!I17)</f>
        <v/>
      </c>
      <c r="P714" s="140" t="str">
        <f>IF(C714="","",IF(N(J714)&gt;0,J714+ROW()/1E9,""))</f>
        <v/>
      </c>
      <c r="Q714" s="140" t="str">
        <f>IF(C714="","",IF(N(M714)&gt;0,M714+ROW()/1E9,""))</f>
        <v/>
      </c>
    </row>
    <row r="715">
      <c r="A715" s="141" t="str">
        <f>IF(C715="","","REITs")</f>
        <v/>
      </c>
      <c r="B715" s="141" t="str">
        <f>IF(C715="","","Exterior")</f>
        <v/>
      </c>
      <c r="C715" s="141" t="str">
        <f>IF('06 REITs'!A18="","",'06 REITs'!A18&amp;"")</f>
        <v/>
      </c>
      <c r="D715" s="141" t="str">
        <f>IF(C715="","",'06 REITs'!B18&amp;"")</f>
        <v/>
      </c>
      <c r="E715" s="141" t="str">
        <f>IF(C715="","",'06 REITs'!C18&amp;"")</f>
        <v/>
      </c>
      <c r="F715" s="141" t="str">
        <f>IF(C715="","",'06 REITs'!V18)</f>
        <v/>
      </c>
      <c r="G715" s="142" t="str">
        <f>IF(C715="","",'06 REITs'!E18)</f>
        <v/>
      </c>
      <c r="H715" s="143" t="str">
        <f>IF(C715="","",'06 REITs'!H18)</f>
        <v/>
      </c>
      <c r="I715" s="144" t="str">
        <f>IF(C715="","",'06 REITs'!J18)</f>
        <v/>
      </c>
      <c r="J715" s="145" t="str">
        <f>IF(C715="","",'06 REITs'!K18)</f>
        <v/>
      </c>
      <c r="K715" s="145" t="str">
        <f>IF(C715="","",'06 REITs'!Q18)</f>
        <v/>
      </c>
      <c r="L715" s="142" t="str">
        <f>IF(C715="","",'06 REITs'!R18)</f>
        <v/>
      </c>
      <c r="M715" s="145" t="str">
        <f>IF(C715="","",'06 REITs'!T18)</f>
        <v/>
      </c>
      <c r="N715" s="146" t="str">
        <f>IF(C715="","",IF($J$3&gt;0,J715/$J$3,0))</f>
        <v/>
      </c>
      <c r="O715" s="141" t="str">
        <f>IF(C715="","",'06 REITs'!I18)</f>
        <v/>
      </c>
      <c r="P715" s="147" t="str">
        <f>IF(C715="","",IF(N(J715)&gt;0,J715+ROW()/1E9,""))</f>
        <v/>
      </c>
      <c r="Q715" s="147" t="str">
        <f>IF(C715="","",IF(N(M715)&gt;0,M715+ROW()/1E9,""))</f>
        <v/>
      </c>
    </row>
    <row r="716">
      <c r="A716" s="134" t="str">
        <f>IF(C716="","","REITs")</f>
        <v/>
      </c>
      <c r="B716" s="134" t="str">
        <f>IF(C716="","","Exterior")</f>
        <v/>
      </c>
      <c r="C716" s="134" t="str">
        <f>IF('06 REITs'!A19="","",'06 REITs'!A19&amp;"")</f>
        <v/>
      </c>
      <c r="D716" s="134" t="str">
        <f>IF(C716="","",'06 REITs'!B19&amp;"")</f>
        <v/>
      </c>
      <c r="E716" s="134" t="str">
        <f>IF(C716="","",'06 REITs'!C19&amp;"")</f>
        <v/>
      </c>
      <c r="F716" s="134" t="str">
        <f>IF(C716="","",'06 REITs'!V19)</f>
        <v/>
      </c>
      <c r="G716" s="135" t="str">
        <f>IF(C716="","",'06 REITs'!E19)</f>
        <v/>
      </c>
      <c r="H716" s="136" t="str">
        <f>IF(C716="","",'06 REITs'!H19)</f>
        <v/>
      </c>
      <c r="I716" s="137" t="str">
        <f>IF(C716="","",'06 REITs'!J19)</f>
        <v/>
      </c>
      <c r="J716" s="138" t="str">
        <f>IF(C716="","",'06 REITs'!K19)</f>
        <v/>
      </c>
      <c r="K716" s="138" t="str">
        <f>IF(C716="","",'06 REITs'!Q19)</f>
        <v/>
      </c>
      <c r="L716" s="135" t="str">
        <f>IF(C716="","",'06 REITs'!R19)</f>
        <v/>
      </c>
      <c r="M716" s="138" t="str">
        <f>IF(C716="","",'06 REITs'!T19)</f>
        <v/>
      </c>
      <c r="N716" s="139" t="str">
        <f>IF(C716="","",IF($J$3&gt;0,J716/$J$3,0))</f>
        <v/>
      </c>
      <c r="O716" s="134" t="str">
        <f>IF(C716="","",'06 REITs'!I19)</f>
        <v/>
      </c>
      <c r="P716" s="140" t="str">
        <f>IF(C716="","",IF(N(J716)&gt;0,J716+ROW()/1E9,""))</f>
        <v/>
      </c>
      <c r="Q716" s="140" t="str">
        <f>IF(C716="","",IF(N(M716)&gt;0,M716+ROW()/1E9,""))</f>
        <v/>
      </c>
    </row>
    <row r="717">
      <c r="A717" s="141" t="str">
        <f>IF(C717="","","REITs")</f>
        <v/>
      </c>
      <c r="B717" s="141" t="str">
        <f>IF(C717="","","Exterior")</f>
        <v/>
      </c>
      <c r="C717" s="141" t="str">
        <f>IF('06 REITs'!A20="","",'06 REITs'!A20&amp;"")</f>
        <v/>
      </c>
      <c r="D717" s="141" t="str">
        <f>IF(C717="","",'06 REITs'!B20&amp;"")</f>
        <v/>
      </c>
      <c r="E717" s="141" t="str">
        <f>IF(C717="","",'06 REITs'!C20&amp;"")</f>
        <v/>
      </c>
      <c r="F717" s="141" t="str">
        <f>IF(C717="","",'06 REITs'!V20)</f>
        <v/>
      </c>
      <c r="G717" s="142" t="str">
        <f>IF(C717="","",'06 REITs'!E20)</f>
        <v/>
      </c>
      <c r="H717" s="143" t="str">
        <f>IF(C717="","",'06 REITs'!H20)</f>
        <v/>
      </c>
      <c r="I717" s="144" t="str">
        <f>IF(C717="","",'06 REITs'!J20)</f>
        <v/>
      </c>
      <c r="J717" s="145" t="str">
        <f>IF(C717="","",'06 REITs'!K20)</f>
        <v/>
      </c>
      <c r="K717" s="145" t="str">
        <f>IF(C717="","",'06 REITs'!Q20)</f>
        <v/>
      </c>
      <c r="L717" s="142" t="str">
        <f>IF(C717="","",'06 REITs'!R20)</f>
        <v/>
      </c>
      <c r="M717" s="145" t="str">
        <f>IF(C717="","",'06 REITs'!T20)</f>
        <v/>
      </c>
      <c r="N717" s="146" t="str">
        <f>IF(C717="","",IF($J$3&gt;0,J717/$J$3,0))</f>
        <v/>
      </c>
      <c r="O717" s="141" t="str">
        <f>IF(C717="","",'06 REITs'!I20)</f>
        <v/>
      </c>
      <c r="P717" s="147" t="str">
        <f>IF(C717="","",IF(N(J717)&gt;0,J717+ROW()/1E9,""))</f>
        <v/>
      </c>
      <c r="Q717" s="147" t="str">
        <f>IF(C717="","",IF(N(M717)&gt;0,M717+ROW()/1E9,""))</f>
        <v/>
      </c>
    </row>
    <row r="718">
      <c r="A718" s="134" t="str">
        <f>IF(C718="","","REITs")</f>
        <v/>
      </c>
      <c r="B718" s="134" t="str">
        <f>IF(C718="","","Exterior")</f>
        <v/>
      </c>
      <c r="C718" s="134" t="str">
        <f>IF('06 REITs'!A21="","",'06 REITs'!A21&amp;"")</f>
        <v/>
      </c>
      <c r="D718" s="134" t="str">
        <f>IF(C718="","",'06 REITs'!B21&amp;"")</f>
        <v/>
      </c>
      <c r="E718" s="134" t="str">
        <f>IF(C718="","",'06 REITs'!C21&amp;"")</f>
        <v/>
      </c>
      <c r="F718" s="134" t="str">
        <f>IF(C718="","",'06 REITs'!V21)</f>
        <v/>
      </c>
      <c r="G718" s="135" t="str">
        <f>IF(C718="","",'06 REITs'!E21)</f>
        <v/>
      </c>
      <c r="H718" s="136" t="str">
        <f>IF(C718="","",'06 REITs'!H21)</f>
        <v/>
      </c>
      <c r="I718" s="137" t="str">
        <f>IF(C718="","",'06 REITs'!J21)</f>
        <v/>
      </c>
      <c r="J718" s="138" t="str">
        <f>IF(C718="","",'06 REITs'!K21)</f>
        <v/>
      </c>
      <c r="K718" s="138" t="str">
        <f>IF(C718="","",'06 REITs'!Q21)</f>
        <v/>
      </c>
      <c r="L718" s="135" t="str">
        <f>IF(C718="","",'06 REITs'!R21)</f>
        <v/>
      </c>
      <c r="M718" s="138" t="str">
        <f>IF(C718="","",'06 REITs'!T21)</f>
        <v/>
      </c>
      <c r="N718" s="139" t="str">
        <f>IF(C718="","",IF($J$3&gt;0,J718/$J$3,0))</f>
        <v/>
      </c>
      <c r="O718" s="134" t="str">
        <f>IF(C718="","",'06 REITs'!I21)</f>
        <v/>
      </c>
      <c r="P718" s="140" t="str">
        <f>IF(C718="","",IF(N(J718)&gt;0,J718+ROW()/1E9,""))</f>
        <v/>
      </c>
      <c r="Q718" s="140" t="str">
        <f>IF(C718="","",IF(N(M718)&gt;0,M718+ROW()/1E9,""))</f>
        <v/>
      </c>
    </row>
    <row r="719">
      <c r="A719" s="141" t="str">
        <f>IF(C719="","","REITs")</f>
        <v/>
      </c>
      <c r="B719" s="141" t="str">
        <f>IF(C719="","","Exterior")</f>
        <v/>
      </c>
      <c r="C719" s="141" t="str">
        <f>IF('06 REITs'!A22="","",'06 REITs'!A22&amp;"")</f>
        <v/>
      </c>
      <c r="D719" s="141" t="str">
        <f>IF(C719="","",'06 REITs'!B22&amp;"")</f>
        <v/>
      </c>
      <c r="E719" s="141" t="str">
        <f>IF(C719="","",'06 REITs'!C22&amp;"")</f>
        <v/>
      </c>
      <c r="F719" s="141" t="str">
        <f>IF(C719="","",'06 REITs'!V22)</f>
        <v/>
      </c>
      <c r="G719" s="142" t="str">
        <f>IF(C719="","",'06 REITs'!E22)</f>
        <v/>
      </c>
      <c r="H719" s="143" t="str">
        <f>IF(C719="","",'06 REITs'!H22)</f>
        <v/>
      </c>
      <c r="I719" s="144" t="str">
        <f>IF(C719="","",'06 REITs'!J22)</f>
        <v/>
      </c>
      <c r="J719" s="145" t="str">
        <f>IF(C719="","",'06 REITs'!K22)</f>
        <v/>
      </c>
      <c r="K719" s="145" t="str">
        <f>IF(C719="","",'06 REITs'!Q22)</f>
        <v/>
      </c>
      <c r="L719" s="142" t="str">
        <f>IF(C719="","",'06 REITs'!R22)</f>
        <v/>
      </c>
      <c r="M719" s="145" t="str">
        <f>IF(C719="","",'06 REITs'!T22)</f>
        <v/>
      </c>
      <c r="N719" s="146" t="str">
        <f>IF(C719="","",IF($J$3&gt;0,J719/$J$3,0))</f>
        <v/>
      </c>
      <c r="O719" s="141" t="str">
        <f>IF(C719="","",'06 REITs'!I22)</f>
        <v/>
      </c>
      <c r="P719" s="147" t="str">
        <f>IF(C719="","",IF(N(J719)&gt;0,J719+ROW()/1E9,""))</f>
        <v/>
      </c>
      <c r="Q719" s="147" t="str">
        <f>IF(C719="","",IF(N(M719)&gt;0,M719+ROW()/1E9,""))</f>
        <v/>
      </c>
    </row>
    <row r="720">
      <c r="A720" s="134" t="str">
        <f>IF(C720="","","REITs")</f>
        <v/>
      </c>
      <c r="B720" s="134" t="str">
        <f>IF(C720="","","Exterior")</f>
        <v/>
      </c>
      <c r="C720" s="134" t="str">
        <f>IF('06 REITs'!A23="","",'06 REITs'!A23&amp;"")</f>
        <v/>
      </c>
      <c r="D720" s="134" t="str">
        <f>IF(C720="","",'06 REITs'!B23&amp;"")</f>
        <v/>
      </c>
      <c r="E720" s="134" t="str">
        <f>IF(C720="","",'06 REITs'!C23&amp;"")</f>
        <v/>
      </c>
      <c r="F720" s="134" t="str">
        <f>IF(C720="","",'06 REITs'!V23)</f>
        <v/>
      </c>
      <c r="G720" s="135" t="str">
        <f>IF(C720="","",'06 REITs'!E23)</f>
        <v/>
      </c>
      <c r="H720" s="136" t="str">
        <f>IF(C720="","",'06 REITs'!H23)</f>
        <v/>
      </c>
      <c r="I720" s="137" t="str">
        <f>IF(C720="","",'06 REITs'!J23)</f>
        <v/>
      </c>
      <c r="J720" s="138" t="str">
        <f>IF(C720="","",'06 REITs'!K23)</f>
        <v/>
      </c>
      <c r="K720" s="138" t="str">
        <f>IF(C720="","",'06 REITs'!Q23)</f>
        <v/>
      </c>
      <c r="L720" s="135" t="str">
        <f>IF(C720="","",'06 REITs'!R23)</f>
        <v/>
      </c>
      <c r="M720" s="138" t="str">
        <f>IF(C720="","",'06 REITs'!T23)</f>
        <v/>
      </c>
      <c r="N720" s="139" t="str">
        <f>IF(C720="","",IF($J$3&gt;0,J720/$J$3,0))</f>
        <v/>
      </c>
      <c r="O720" s="134" t="str">
        <f>IF(C720="","",'06 REITs'!I23)</f>
        <v/>
      </c>
      <c r="P720" s="140" t="str">
        <f>IF(C720="","",IF(N(J720)&gt;0,J720+ROW()/1E9,""))</f>
        <v/>
      </c>
      <c r="Q720" s="140" t="str">
        <f>IF(C720="","",IF(N(M720)&gt;0,M720+ROW()/1E9,""))</f>
        <v/>
      </c>
    </row>
    <row r="721">
      <c r="A721" s="141" t="str">
        <f>IF(C721="","","REITs")</f>
        <v/>
      </c>
      <c r="B721" s="141" t="str">
        <f>IF(C721="","","Exterior")</f>
        <v/>
      </c>
      <c r="C721" s="141" t="str">
        <f>IF('06 REITs'!A24="","",'06 REITs'!A24&amp;"")</f>
        <v/>
      </c>
      <c r="D721" s="141" t="str">
        <f>IF(C721="","",'06 REITs'!B24&amp;"")</f>
        <v/>
      </c>
      <c r="E721" s="141" t="str">
        <f>IF(C721="","",'06 REITs'!C24&amp;"")</f>
        <v/>
      </c>
      <c r="F721" s="141" t="str">
        <f>IF(C721="","",'06 REITs'!V24)</f>
        <v/>
      </c>
      <c r="G721" s="142" t="str">
        <f>IF(C721="","",'06 REITs'!E24)</f>
        <v/>
      </c>
      <c r="H721" s="143" t="str">
        <f>IF(C721="","",'06 REITs'!H24)</f>
        <v/>
      </c>
      <c r="I721" s="144" t="str">
        <f>IF(C721="","",'06 REITs'!J24)</f>
        <v/>
      </c>
      <c r="J721" s="145" t="str">
        <f>IF(C721="","",'06 REITs'!K24)</f>
        <v/>
      </c>
      <c r="K721" s="145" t="str">
        <f>IF(C721="","",'06 REITs'!Q24)</f>
        <v/>
      </c>
      <c r="L721" s="142" t="str">
        <f>IF(C721="","",'06 REITs'!R24)</f>
        <v/>
      </c>
      <c r="M721" s="145" t="str">
        <f>IF(C721="","",'06 REITs'!T24)</f>
        <v/>
      </c>
      <c r="N721" s="146" t="str">
        <f>IF(C721="","",IF($J$3&gt;0,J721/$J$3,0))</f>
        <v/>
      </c>
      <c r="O721" s="141" t="str">
        <f>IF(C721="","",'06 REITs'!I24)</f>
        <v/>
      </c>
      <c r="P721" s="147" t="str">
        <f>IF(C721="","",IF(N(J721)&gt;0,J721+ROW()/1E9,""))</f>
        <v/>
      </c>
      <c r="Q721" s="147" t="str">
        <f>IF(C721="","",IF(N(M721)&gt;0,M721+ROW()/1E9,""))</f>
        <v/>
      </c>
    </row>
    <row r="722">
      <c r="A722" s="134" t="str">
        <f>IF(C722="","","REITs")</f>
        <v/>
      </c>
      <c r="B722" s="134" t="str">
        <f>IF(C722="","","Exterior")</f>
        <v/>
      </c>
      <c r="C722" s="134" t="str">
        <f>IF('06 REITs'!A25="","",'06 REITs'!A25&amp;"")</f>
        <v/>
      </c>
      <c r="D722" s="134" t="str">
        <f>IF(C722="","",'06 REITs'!B25&amp;"")</f>
        <v/>
      </c>
      <c r="E722" s="134" t="str">
        <f>IF(C722="","",'06 REITs'!C25&amp;"")</f>
        <v/>
      </c>
      <c r="F722" s="134" t="str">
        <f>IF(C722="","",'06 REITs'!V25)</f>
        <v/>
      </c>
      <c r="G722" s="135" t="str">
        <f>IF(C722="","",'06 REITs'!E25)</f>
        <v/>
      </c>
      <c r="H722" s="136" t="str">
        <f>IF(C722="","",'06 REITs'!H25)</f>
        <v/>
      </c>
      <c r="I722" s="137" t="str">
        <f>IF(C722="","",'06 REITs'!J25)</f>
        <v/>
      </c>
      <c r="J722" s="138" t="str">
        <f>IF(C722="","",'06 REITs'!K25)</f>
        <v/>
      </c>
      <c r="K722" s="138" t="str">
        <f>IF(C722="","",'06 REITs'!Q25)</f>
        <v/>
      </c>
      <c r="L722" s="135" t="str">
        <f>IF(C722="","",'06 REITs'!R25)</f>
        <v/>
      </c>
      <c r="M722" s="138" t="str">
        <f>IF(C722="","",'06 REITs'!T25)</f>
        <v/>
      </c>
      <c r="N722" s="139" t="str">
        <f>IF(C722="","",IF($J$3&gt;0,J722/$J$3,0))</f>
        <v/>
      </c>
      <c r="O722" s="134" t="str">
        <f>IF(C722="","",'06 REITs'!I25)</f>
        <v/>
      </c>
      <c r="P722" s="140" t="str">
        <f>IF(C722="","",IF(N(J722)&gt;0,J722+ROW()/1E9,""))</f>
        <v/>
      </c>
      <c r="Q722" s="140" t="str">
        <f>IF(C722="","",IF(N(M722)&gt;0,M722+ROW()/1E9,""))</f>
        <v/>
      </c>
    </row>
    <row r="723">
      <c r="A723" s="141" t="str">
        <f>IF(C723="","","REITs")</f>
        <v/>
      </c>
      <c r="B723" s="141" t="str">
        <f>IF(C723="","","Exterior")</f>
        <v/>
      </c>
      <c r="C723" s="141" t="str">
        <f>IF('06 REITs'!A26="","",'06 REITs'!A26&amp;"")</f>
        <v/>
      </c>
      <c r="D723" s="141" t="str">
        <f>IF(C723="","",'06 REITs'!B26&amp;"")</f>
        <v/>
      </c>
      <c r="E723" s="141" t="str">
        <f>IF(C723="","",'06 REITs'!C26&amp;"")</f>
        <v/>
      </c>
      <c r="F723" s="141" t="str">
        <f>IF(C723="","",'06 REITs'!V26)</f>
        <v/>
      </c>
      <c r="G723" s="142" t="str">
        <f>IF(C723="","",'06 REITs'!E26)</f>
        <v/>
      </c>
      <c r="H723" s="143" t="str">
        <f>IF(C723="","",'06 REITs'!H26)</f>
        <v/>
      </c>
      <c r="I723" s="144" t="str">
        <f>IF(C723="","",'06 REITs'!J26)</f>
        <v/>
      </c>
      <c r="J723" s="145" t="str">
        <f>IF(C723="","",'06 REITs'!K26)</f>
        <v/>
      </c>
      <c r="K723" s="145" t="str">
        <f>IF(C723="","",'06 REITs'!Q26)</f>
        <v/>
      </c>
      <c r="L723" s="142" t="str">
        <f>IF(C723="","",'06 REITs'!R26)</f>
        <v/>
      </c>
      <c r="M723" s="145" t="str">
        <f>IF(C723="","",'06 REITs'!T26)</f>
        <v/>
      </c>
      <c r="N723" s="146" t="str">
        <f>IF(C723="","",IF($J$3&gt;0,J723/$J$3,0))</f>
        <v/>
      </c>
      <c r="O723" s="141" t="str">
        <f>IF(C723="","",'06 REITs'!I26)</f>
        <v/>
      </c>
      <c r="P723" s="147" t="str">
        <f>IF(C723="","",IF(N(J723)&gt;0,J723+ROW()/1E9,""))</f>
        <v/>
      </c>
      <c r="Q723" s="147" t="str">
        <f>IF(C723="","",IF(N(M723)&gt;0,M723+ROW()/1E9,""))</f>
        <v/>
      </c>
    </row>
    <row r="724">
      <c r="A724" s="134" t="str">
        <f>IF(C724="","","REITs")</f>
        <v/>
      </c>
      <c r="B724" s="134" t="str">
        <f>IF(C724="","","Exterior")</f>
        <v/>
      </c>
      <c r="C724" s="134" t="str">
        <f>IF('06 REITs'!A27="","",'06 REITs'!A27&amp;"")</f>
        <v/>
      </c>
      <c r="D724" s="134" t="str">
        <f>IF(C724="","",'06 REITs'!B27&amp;"")</f>
        <v/>
      </c>
      <c r="E724" s="134" t="str">
        <f>IF(C724="","",'06 REITs'!C27&amp;"")</f>
        <v/>
      </c>
      <c r="F724" s="134" t="str">
        <f>IF(C724="","",'06 REITs'!V27)</f>
        <v/>
      </c>
      <c r="G724" s="135" t="str">
        <f>IF(C724="","",'06 REITs'!E27)</f>
        <v/>
      </c>
      <c r="H724" s="136" t="str">
        <f>IF(C724="","",'06 REITs'!H27)</f>
        <v/>
      </c>
      <c r="I724" s="137" t="str">
        <f>IF(C724="","",'06 REITs'!J27)</f>
        <v/>
      </c>
      <c r="J724" s="138" t="str">
        <f>IF(C724="","",'06 REITs'!K27)</f>
        <v/>
      </c>
      <c r="K724" s="138" t="str">
        <f>IF(C724="","",'06 REITs'!Q27)</f>
        <v/>
      </c>
      <c r="L724" s="135" t="str">
        <f>IF(C724="","",'06 REITs'!R27)</f>
        <v/>
      </c>
      <c r="M724" s="138" t="str">
        <f>IF(C724="","",'06 REITs'!T27)</f>
        <v/>
      </c>
      <c r="N724" s="139" t="str">
        <f>IF(C724="","",IF($J$3&gt;0,J724/$J$3,0))</f>
        <v/>
      </c>
      <c r="O724" s="134" t="str">
        <f>IF(C724="","",'06 REITs'!I27)</f>
        <v/>
      </c>
      <c r="P724" s="140" t="str">
        <f>IF(C724="","",IF(N(J724)&gt;0,J724+ROW()/1E9,""))</f>
        <v/>
      </c>
      <c r="Q724" s="140" t="str">
        <f>IF(C724="","",IF(N(M724)&gt;0,M724+ROW()/1E9,""))</f>
        <v/>
      </c>
    </row>
    <row r="725">
      <c r="A725" s="141" t="str">
        <f>IF(C725="","","REITs")</f>
        <v/>
      </c>
      <c r="B725" s="141" t="str">
        <f>IF(C725="","","Exterior")</f>
        <v/>
      </c>
      <c r="C725" s="141" t="str">
        <f>IF('06 REITs'!A28="","",'06 REITs'!A28&amp;"")</f>
        <v/>
      </c>
      <c r="D725" s="141" t="str">
        <f>IF(C725="","",'06 REITs'!B28&amp;"")</f>
        <v/>
      </c>
      <c r="E725" s="141" t="str">
        <f>IF(C725="","",'06 REITs'!C28&amp;"")</f>
        <v/>
      </c>
      <c r="F725" s="141" t="str">
        <f>IF(C725="","",'06 REITs'!V28)</f>
        <v/>
      </c>
      <c r="G725" s="142" t="str">
        <f>IF(C725="","",'06 REITs'!E28)</f>
        <v/>
      </c>
      <c r="H725" s="143" t="str">
        <f>IF(C725="","",'06 REITs'!H28)</f>
        <v/>
      </c>
      <c r="I725" s="144" t="str">
        <f>IF(C725="","",'06 REITs'!J28)</f>
        <v/>
      </c>
      <c r="J725" s="145" t="str">
        <f>IF(C725="","",'06 REITs'!K28)</f>
        <v/>
      </c>
      <c r="K725" s="145" t="str">
        <f>IF(C725="","",'06 REITs'!Q28)</f>
        <v/>
      </c>
      <c r="L725" s="142" t="str">
        <f>IF(C725="","",'06 REITs'!R28)</f>
        <v/>
      </c>
      <c r="M725" s="145" t="str">
        <f>IF(C725="","",'06 REITs'!T28)</f>
        <v/>
      </c>
      <c r="N725" s="146" t="str">
        <f>IF(C725="","",IF($J$3&gt;0,J725/$J$3,0))</f>
        <v/>
      </c>
      <c r="O725" s="141" t="str">
        <f>IF(C725="","",'06 REITs'!I28)</f>
        <v/>
      </c>
      <c r="P725" s="147" t="str">
        <f>IF(C725="","",IF(N(J725)&gt;0,J725+ROW()/1E9,""))</f>
        <v/>
      </c>
      <c r="Q725" s="147" t="str">
        <f>IF(C725="","",IF(N(M725)&gt;0,M725+ROW()/1E9,""))</f>
        <v/>
      </c>
    </row>
    <row r="726">
      <c r="A726" s="134" t="str">
        <f>IF(C726="","","REITs")</f>
        <v/>
      </c>
      <c r="B726" s="134" t="str">
        <f>IF(C726="","","Exterior")</f>
        <v/>
      </c>
      <c r="C726" s="134" t="str">
        <f>IF('06 REITs'!A29="","",'06 REITs'!A29&amp;"")</f>
        <v/>
      </c>
      <c r="D726" s="134" t="str">
        <f>IF(C726="","",'06 REITs'!B29&amp;"")</f>
        <v/>
      </c>
      <c r="E726" s="134" t="str">
        <f>IF(C726="","",'06 REITs'!C29&amp;"")</f>
        <v/>
      </c>
      <c r="F726" s="134" t="str">
        <f>IF(C726="","",'06 REITs'!V29)</f>
        <v/>
      </c>
      <c r="G726" s="135" t="str">
        <f>IF(C726="","",'06 REITs'!E29)</f>
        <v/>
      </c>
      <c r="H726" s="136" t="str">
        <f>IF(C726="","",'06 REITs'!H29)</f>
        <v/>
      </c>
      <c r="I726" s="137" t="str">
        <f>IF(C726="","",'06 REITs'!J29)</f>
        <v/>
      </c>
      <c r="J726" s="138" t="str">
        <f>IF(C726="","",'06 REITs'!K29)</f>
        <v/>
      </c>
      <c r="K726" s="138" t="str">
        <f>IF(C726="","",'06 REITs'!Q29)</f>
        <v/>
      </c>
      <c r="L726" s="135" t="str">
        <f>IF(C726="","",'06 REITs'!R29)</f>
        <v/>
      </c>
      <c r="M726" s="138" t="str">
        <f>IF(C726="","",'06 REITs'!T29)</f>
        <v/>
      </c>
      <c r="N726" s="139" t="str">
        <f>IF(C726="","",IF($J$3&gt;0,J726/$J$3,0))</f>
        <v/>
      </c>
      <c r="O726" s="134" t="str">
        <f>IF(C726="","",'06 REITs'!I29)</f>
        <v/>
      </c>
      <c r="P726" s="140" t="str">
        <f>IF(C726="","",IF(N(J726)&gt;0,J726+ROW()/1E9,""))</f>
        <v/>
      </c>
      <c r="Q726" s="140" t="str">
        <f>IF(C726="","",IF(N(M726)&gt;0,M726+ROW()/1E9,""))</f>
        <v/>
      </c>
    </row>
    <row r="727">
      <c r="A727" s="141" t="str">
        <f>IF(C727="","","REITs")</f>
        <v/>
      </c>
      <c r="B727" s="141" t="str">
        <f>IF(C727="","","Exterior")</f>
        <v/>
      </c>
      <c r="C727" s="141" t="str">
        <f>IF('06 REITs'!A30="","",'06 REITs'!A30&amp;"")</f>
        <v/>
      </c>
      <c r="D727" s="141" t="str">
        <f>IF(C727="","",'06 REITs'!B30&amp;"")</f>
        <v/>
      </c>
      <c r="E727" s="141" t="str">
        <f>IF(C727="","",'06 REITs'!C30&amp;"")</f>
        <v/>
      </c>
      <c r="F727" s="141" t="str">
        <f>IF(C727="","",'06 REITs'!V30)</f>
        <v/>
      </c>
      <c r="G727" s="142" t="str">
        <f>IF(C727="","",'06 REITs'!E30)</f>
        <v/>
      </c>
      <c r="H727" s="143" t="str">
        <f>IF(C727="","",'06 REITs'!H30)</f>
        <v/>
      </c>
      <c r="I727" s="144" t="str">
        <f>IF(C727="","",'06 REITs'!J30)</f>
        <v/>
      </c>
      <c r="J727" s="145" t="str">
        <f>IF(C727="","",'06 REITs'!K30)</f>
        <v/>
      </c>
      <c r="K727" s="145" t="str">
        <f>IF(C727="","",'06 REITs'!Q30)</f>
        <v/>
      </c>
      <c r="L727" s="142" t="str">
        <f>IF(C727="","",'06 REITs'!R30)</f>
        <v/>
      </c>
      <c r="M727" s="145" t="str">
        <f>IF(C727="","",'06 REITs'!T30)</f>
        <v/>
      </c>
      <c r="N727" s="146" t="str">
        <f>IF(C727="","",IF($J$3&gt;0,J727/$J$3,0))</f>
        <v/>
      </c>
      <c r="O727" s="141" t="str">
        <f>IF(C727="","",'06 REITs'!I30)</f>
        <v/>
      </c>
      <c r="P727" s="147" t="str">
        <f>IF(C727="","",IF(N(J727)&gt;0,J727+ROW()/1E9,""))</f>
        <v/>
      </c>
      <c r="Q727" s="147" t="str">
        <f>IF(C727="","",IF(N(M727)&gt;0,M727+ROW()/1E9,""))</f>
        <v/>
      </c>
    </row>
    <row r="728">
      <c r="A728" s="134" t="str">
        <f>IF(C728="","","REITs")</f>
        <v/>
      </c>
      <c r="B728" s="134" t="str">
        <f>IF(C728="","","Exterior")</f>
        <v/>
      </c>
      <c r="C728" s="134" t="str">
        <f>IF('06 REITs'!A31="","",'06 REITs'!A31&amp;"")</f>
        <v/>
      </c>
      <c r="D728" s="134" t="str">
        <f>IF(C728="","",'06 REITs'!B31&amp;"")</f>
        <v/>
      </c>
      <c r="E728" s="134" t="str">
        <f>IF(C728="","",'06 REITs'!C31&amp;"")</f>
        <v/>
      </c>
      <c r="F728" s="134" t="str">
        <f>IF(C728="","",'06 REITs'!V31)</f>
        <v/>
      </c>
      <c r="G728" s="135" t="str">
        <f>IF(C728="","",'06 REITs'!E31)</f>
        <v/>
      </c>
      <c r="H728" s="136" t="str">
        <f>IF(C728="","",'06 REITs'!H31)</f>
        <v/>
      </c>
      <c r="I728" s="137" t="str">
        <f>IF(C728="","",'06 REITs'!J31)</f>
        <v/>
      </c>
      <c r="J728" s="138" t="str">
        <f>IF(C728="","",'06 REITs'!K31)</f>
        <v/>
      </c>
      <c r="K728" s="138" t="str">
        <f>IF(C728="","",'06 REITs'!Q31)</f>
        <v/>
      </c>
      <c r="L728" s="135" t="str">
        <f>IF(C728="","",'06 REITs'!R31)</f>
        <v/>
      </c>
      <c r="M728" s="138" t="str">
        <f>IF(C728="","",'06 REITs'!T31)</f>
        <v/>
      </c>
      <c r="N728" s="139" t="str">
        <f>IF(C728="","",IF($J$3&gt;0,J728/$J$3,0))</f>
        <v/>
      </c>
      <c r="O728" s="134" t="str">
        <f>IF(C728="","",'06 REITs'!I31)</f>
        <v/>
      </c>
      <c r="P728" s="140" t="str">
        <f>IF(C728="","",IF(N(J728)&gt;0,J728+ROW()/1E9,""))</f>
        <v/>
      </c>
      <c r="Q728" s="140" t="str">
        <f>IF(C728="","",IF(N(M728)&gt;0,M728+ROW()/1E9,""))</f>
        <v/>
      </c>
    </row>
    <row r="729">
      <c r="A729" s="141" t="str">
        <f>IF(C729="","","REITs")</f>
        <v/>
      </c>
      <c r="B729" s="141" t="str">
        <f>IF(C729="","","Exterior")</f>
        <v/>
      </c>
      <c r="C729" s="141" t="str">
        <f>IF('06 REITs'!A32="","",'06 REITs'!A32&amp;"")</f>
        <v/>
      </c>
      <c r="D729" s="141" t="str">
        <f>IF(C729="","",'06 REITs'!B32&amp;"")</f>
        <v/>
      </c>
      <c r="E729" s="141" t="str">
        <f>IF(C729="","",'06 REITs'!C32&amp;"")</f>
        <v/>
      </c>
      <c r="F729" s="141" t="str">
        <f>IF(C729="","",'06 REITs'!V32)</f>
        <v/>
      </c>
      <c r="G729" s="142" t="str">
        <f>IF(C729="","",'06 REITs'!E32)</f>
        <v/>
      </c>
      <c r="H729" s="143" t="str">
        <f>IF(C729="","",'06 REITs'!H32)</f>
        <v/>
      </c>
      <c r="I729" s="144" t="str">
        <f>IF(C729="","",'06 REITs'!J32)</f>
        <v/>
      </c>
      <c r="J729" s="145" t="str">
        <f>IF(C729="","",'06 REITs'!K32)</f>
        <v/>
      </c>
      <c r="K729" s="145" t="str">
        <f>IF(C729="","",'06 REITs'!Q32)</f>
        <v/>
      </c>
      <c r="L729" s="142" t="str">
        <f>IF(C729="","",'06 REITs'!R32)</f>
        <v/>
      </c>
      <c r="M729" s="145" t="str">
        <f>IF(C729="","",'06 REITs'!T32)</f>
        <v/>
      </c>
      <c r="N729" s="146" t="str">
        <f>IF(C729="","",IF($J$3&gt;0,J729/$J$3,0))</f>
        <v/>
      </c>
      <c r="O729" s="141" t="str">
        <f>IF(C729="","",'06 REITs'!I32)</f>
        <v/>
      </c>
      <c r="P729" s="147" t="str">
        <f>IF(C729="","",IF(N(J729)&gt;0,J729+ROW()/1E9,""))</f>
        <v/>
      </c>
      <c r="Q729" s="147" t="str">
        <f>IF(C729="","",IF(N(M729)&gt;0,M729+ROW()/1E9,""))</f>
        <v/>
      </c>
    </row>
    <row r="730">
      <c r="A730" s="134" t="str">
        <f>IF(C730="","","REITs")</f>
        <v/>
      </c>
      <c r="B730" s="134" t="str">
        <f>IF(C730="","","Exterior")</f>
        <v/>
      </c>
      <c r="C730" s="134" t="str">
        <f>IF('06 REITs'!A33="","",'06 REITs'!A33&amp;"")</f>
        <v/>
      </c>
      <c r="D730" s="134" t="str">
        <f>IF(C730="","",'06 REITs'!B33&amp;"")</f>
        <v/>
      </c>
      <c r="E730" s="134" t="str">
        <f>IF(C730="","",'06 REITs'!C33&amp;"")</f>
        <v/>
      </c>
      <c r="F730" s="134" t="str">
        <f>IF(C730="","",'06 REITs'!V33)</f>
        <v/>
      </c>
      <c r="G730" s="135" t="str">
        <f>IF(C730="","",'06 REITs'!E33)</f>
        <v/>
      </c>
      <c r="H730" s="136" t="str">
        <f>IF(C730="","",'06 REITs'!H33)</f>
        <v/>
      </c>
      <c r="I730" s="137" t="str">
        <f>IF(C730="","",'06 REITs'!J33)</f>
        <v/>
      </c>
      <c r="J730" s="138" t="str">
        <f>IF(C730="","",'06 REITs'!K33)</f>
        <v/>
      </c>
      <c r="K730" s="138" t="str">
        <f>IF(C730="","",'06 REITs'!Q33)</f>
        <v/>
      </c>
      <c r="L730" s="135" t="str">
        <f>IF(C730="","",'06 REITs'!R33)</f>
        <v/>
      </c>
      <c r="M730" s="138" t="str">
        <f>IF(C730="","",'06 REITs'!T33)</f>
        <v/>
      </c>
      <c r="N730" s="139" t="str">
        <f>IF(C730="","",IF($J$3&gt;0,J730/$J$3,0))</f>
        <v/>
      </c>
      <c r="O730" s="134" t="str">
        <f>IF(C730="","",'06 REITs'!I33)</f>
        <v/>
      </c>
      <c r="P730" s="140" t="str">
        <f>IF(C730="","",IF(N(J730)&gt;0,J730+ROW()/1E9,""))</f>
        <v/>
      </c>
      <c r="Q730" s="140" t="str">
        <f>IF(C730="","",IF(N(M730)&gt;0,M730+ROW()/1E9,""))</f>
        <v/>
      </c>
    </row>
    <row r="731">
      <c r="A731" s="141" t="str">
        <f>IF(C731="","","REITs")</f>
        <v/>
      </c>
      <c r="B731" s="141" t="str">
        <f>IF(C731="","","Exterior")</f>
        <v/>
      </c>
      <c r="C731" s="141" t="str">
        <f>IF('06 REITs'!A34="","",'06 REITs'!A34&amp;"")</f>
        <v/>
      </c>
      <c r="D731" s="141" t="str">
        <f>IF(C731="","",'06 REITs'!B34&amp;"")</f>
        <v/>
      </c>
      <c r="E731" s="141" t="str">
        <f>IF(C731="","",'06 REITs'!C34&amp;"")</f>
        <v/>
      </c>
      <c r="F731" s="141" t="str">
        <f>IF(C731="","",'06 REITs'!V34)</f>
        <v/>
      </c>
      <c r="G731" s="142" t="str">
        <f>IF(C731="","",'06 REITs'!E34)</f>
        <v/>
      </c>
      <c r="H731" s="143" t="str">
        <f>IF(C731="","",'06 REITs'!H34)</f>
        <v/>
      </c>
      <c r="I731" s="144" t="str">
        <f>IF(C731="","",'06 REITs'!J34)</f>
        <v/>
      </c>
      <c r="J731" s="145" t="str">
        <f>IF(C731="","",'06 REITs'!K34)</f>
        <v/>
      </c>
      <c r="K731" s="145" t="str">
        <f>IF(C731="","",'06 REITs'!Q34)</f>
        <v/>
      </c>
      <c r="L731" s="142" t="str">
        <f>IF(C731="","",'06 REITs'!R34)</f>
        <v/>
      </c>
      <c r="M731" s="145" t="str">
        <f>IF(C731="","",'06 REITs'!T34)</f>
        <v/>
      </c>
      <c r="N731" s="146" t="str">
        <f>IF(C731="","",IF($J$3&gt;0,J731/$J$3,0))</f>
        <v/>
      </c>
      <c r="O731" s="141" t="str">
        <f>IF(C731="","",'06 REITs'!I34)</f>
        <v/>
      </c>
      <c r="P731" s="147" t="str">
        <f>IF(C731="","",IF(N(J731)&gt;0,J731+ROW()/1E9,""))</f>
        <v/>
      </c>
      <c r="Q731" s="147" t="str">
        <f>IF(C731="","",IF(N(M731)&gt;0,M731+ROW()/1E9,""))</f>
        <v/>
      </c>
    </row>
    <row r="732">
      <c r="A732" s="134" t="str">
        <f>IF(C732="","","REITs")</f>
        <v/>
      </c>
      <c r="B732" s="134" t="str">
        <f>IF(C732="","","Exterior")</f>
        <v/>
      </c>
      <c r="C732" s="134" t="str">
        <f>IF('06 REITs'!A35="","",'06 REITs'!A35&amp;"")</f>
        <v/>
      </c>
      <c r="D732" s="134" t="str">
        <f>IF(C732="","",'06 REITs'!B35&amp;"")</f>
        <v/>
      </c>
      <c r="E732" s="134" t="str">
        <f>IF(C732="","",'06 REITs'!C35&amp;"")</f>
        <v/>
      </c>
      <c r="F732" s="134" t="str">
        <f>IF(C732="","",'06 REITs'!V35)</f>
        <v/>
      </c>
      <c r="G732" s="135" t="str">
        <f>IF(C732="","",'06 REITs'!E35)</f>
        <v/>
      </c>
      <c r="H732" s="136" t="str">
        <f>IF(C732="","",'06 REITs'!H35)</f>
        <v/>
      </c>
      <c r="I732" s="137" t="str">
        <f>IF(C732="","",'06 REITs'!J35)</f>
        <v/>
      </c>
      <c r="J732" s="138" t="str">
        <f>IF(C732="","",'06 REITs'!K35)</f>
        <v/>
      </c>
      <c r="K732" s="138" t="str">
        <f>IF(C732="","",'06 REITs'!Q35)</f>
        <v/>
      </c>
      <c r="L732" s="135" t="str">
        <f>IF(C732="","",'06 REITs'!R35)</f>
        <v/>
      </c>
      <c r="M732" s="138" t="str">
        <f>IF(C732="","",'06 REITs'!T35)</f>
        <v/>
      </c>
      <c r="N732" s="139" t="str">
        <f>IF(C732="","",IF($J$3&gt;0,J732/$J$3,0))</f>
        <v/>
      </c>
      <c r="O732" s="134" t="str">
        <f>IF(C732="","",'06 REITs'!I35)</f>
        <v/>
      </c>
      <c r="P732" s="140" t="str">
        <f>IF(C732="","",IF(N(J732)&gt;0,J732+ROW()/1E9,""))</f>
        <v/>
      </c>
      <c r="Q732" s="140" t="str">
        <f>IF(C732="","",IF(N(M732)&gt;0,M732+ROW()/1E9,""))</f>
        <v/>
      </c>
    </row>
    <row r="733">
      <c r="A733" s="141" t="str">
        <f>IF(C733="","","REITs")</f>
        <v/>
      </c>
      <c r="B733" s="141" t="str">
        <f>IF(C733="","","Exterior")</f>
        <v/>
      </c>
      <c r="C733" s="141" t="str">
        <f>IF('06 REITs'!A36="","",'06 REITs'!A36&amp;"")</f>
        <v/>
      </c>
      <c r="D733" s="141" t="str">
        <f>IF(C733="","",'06 REITs'!B36&amp;"")</f>
        <v/>
      </c>
      <c r="E733" s="141" t="str">
        <f>IF(C733="","",'06 REITs'!C36&amp;"")</f>
        <v/>
      </c>
      <c r="F733" s="141" t="str">
        <f>IF(C733="","",'06 REITs'!V36)</f>
        <v/>
      </c>
      <c r="G733" s="142" t="str">
        <f>IF(C733="","",'06 REITs'!E36)</f>
        <v/>
      </c>
      <c r="H733" s="143" t="str">
        <f>IF(C733="","",'06 REITs'!H36)</f>
        <v/>
      </c>
      <c r="I733" s="144" t="str">
        <f>IF(C733="","",'06 REITs'!J36)</f>
        <v/>
      </c>
      <c r="J733" s="145" t="str">
        <f>IF(C733="","",'06 REITs'!K36)</f>
        <v/>
      </c>
      <c r="K733" s="145" t="str">
        <f>IF(C733="","",'06 REITs'!Q36)</f>
        <v/>
      </c>
      <c r="L733" s="142" t="str">
        <f>IF(C733="","",'06 REITs'!R36)</f>
        <v/>
      </c>
      <c r="M733" s="145" t="str">
        <f>IF(C733="","",'06 REITs'!T36)</f>
        <v/>
      </c>
      <c r="N733" s="146" t="str">
        <f>IF(C733="","",IF($J$3&gt;0,J733/$J$3,0))</f>
        <v/>
      </c>
      <c r="O733" s="141" t="str">
        <f>IF(C733="","",'06 REITs'!I36)</f>
        <v/>
      </c>
      <c r="P733" s="147" t="str">
        <f>IF(C733="","",IF(N(J733)&gt;0,J733+ROW()/1E9,""))</f>
        <v/>
      </c>
      <c r="Q733" s="147" t="str">
        <f>IF(C733="","",IF(N(M733)&gt;0,M733+ROW()/1E9,""))</f>
        <v/>
      </c>
    </row>
    <row r="734">
      <c r="A734" s="134" t="str">
        <f>IF(C734="","","REITs")</f>
        <v/>
      </c>
      <c r="B734" s="134" t="str">
        <f>IF(C734="","","Exterior")</f>
        <v/>
      </c>
      <c r="C734" s="134" t="str">
        <f>IF('06 REITs'!A37="","",'06 REITs'!A37&amp;"")</f>
        <v/>
      </c>
      <c r="D734" s="134" t="str">
        <f>IF(C734="","",'06 REITs'!B37&amp;"")</f>
        <v/>
      </c>
      <c r="E734" s="134" t="str">
        <f>IF(C734="","",'06 REITs'!C37&amp;"")</f>
        <v/>
      </c>
      <c r="F734" s="134" t="str">
        <f>IF(C734="","",'06 REITs'!V37)</f>
        <v/>
      </c>
      <c r="G734" s="135" t="str">
        <f>IF(C734="","",'06 REITs'!E37)</f>
        <v/>
      </c>
      <c r="H734" s="136" t="str">
        <f>IF(C734="","",'06 REITs'!H37)</f>
        <v/>
      </c>
      <c r="I734" s="137" t="str">
        <f>IF(C734="","",'06 REITs'!J37)</f>
        <v/>
      </c>
      <c r="J734" s="138" t="str">
        <f>IF(C734="","",'06 REITs'!K37)</f>
        <v/>
      </c>
      <c r="K734" s="138" t="str">
        <f>IF(C734="","",'06 REITs'!Q37)</f>
        <v/>
      </c>
      <c r="L734" s="135" t="str">
        <f>IF(C734="","",'06 REITs'!R37)</f>
        <v/>
      </c>
      <c r="M734" s="138" t="str">
        <f>IF(C734="","",'06 REITs'!T37)</f>
        <v/>
      </c>
      <c r="N734" s="139" t="str">
        <f>IF(C734="","",IF($J$3&gt;0,J734/$J$3,0))</f>
        <v/>
      </c>
      <c r="O734" s="134" t="str">
        <f>IF(C734="","",'06 REITs'!I37)</f>
        <v/>
      </c>
      <c r="P734" s="140" t="str">
        <f>IF(C734="","",IF(N(J734)&gt;0,J734+ROW()/1E9,""))</f>
        <v/>
      </c>
      <c r="Q734" s="140" t="str">
        <f>IF(C734="","",IF(N(M734)&gt;0,M734+ROW()/1E9,""))</f>
        <v/>
      </c>
    </row>
    <row r="735">
      <c r="A735" s="141" t="str">
        <f>IF(C735="","","REITs")</f>
        <v/>
      </c>
      <c r="B735" s="141" t="str">
        <f>IF(C735="","","Exterior")</f>
        <v/>
      </c>
      <c r="C735" s="141" t="str">
        <f>IF('06 REITs'!A38="","",'06 REITs'!A38&amp;"")</f>
        <v/>
      </c>
      <c r="D735" s="141" t="str">
        <f>IF(C735="","",'06 REITs'!B38&amp;"")</f>
        <v/>
      </c>
      <c r="E735" s="141" t="str">
        <f>IF(C735="","",'06 REITs'!C38&amp;"")</f>
        <v/>
      </c>
      <c r="F735" s="141" t="str">
        <f>IF(C735="","",'06 REITs'!V38)</f>
        <v/>
      </c>
      <c r="G735" s="142" t="str">
        <f>IF(C735="","",'06 REITs'!E38)</f>
        <v/>
      </c>
      <c r="H735" s="143" t="str">
        <f>IF(C735="","",'06 REITs'!H38)</f>
        <v/>
      </c>
      <c r="I735" s="144" t="str">
        <f>IF(C735="","",'06 REITs'!J38)</f>
        <v/>
      </c>
      <c r="J735" s="145" t="str">
        <f>IF(C735="","",'06 REITs'!K38)</f>
        <v/>
      </c>
      <c r="K735" s="145" t="str">
        <f>IF(C735="","",'06 REITs'!Q38)</f>
        <v/>
      </c>
      <c r="L735" s="142" t="str">
        <f>IF(C735="","",'06 REITs'!R38)</f>
        <v/>
      </c>
      <c r="M735" s="145" t="str">
        <f>IF(C735="","",'06 REITs'!T38)</f>
        <v/>
      </c>
      <c r="N735" s="146" t="str">
        <f>IF(C735="","",IF($J$3&gt;0,J735/$J$3,0))</f>
        <v/>
      </c>
      <c r="O735" s="141" t="str">
        <f>IF(C735="","",'06 REITs'!I38)</f>
        <v/>
      </c>
      <c r="P735" s="147" t="str">
        <f>IF(C735="","",IF(N(J735)&gt;0,J735+ROW()/1E9,""))</f>
        <v/>
      </c>
      <c r="Q735" s="147" t="str">
        <f>IF(C735="","",IF(N(M735)&gt;0,M735+ROW()/1E9,""))</f>
        <v/>
      </c>
    </row>
    <row r="736">
      <c r="A736" s="134" t="str">
        <f>IF(C736="","","REITs")</f>
        <v/>
      </c>
      <c r="B736" s="134" t="str">
        <f>IF(C736="","","Exterior")</f>
        <v/>
      </c>
      <c r="C736" s="134" t="str">
        <f>IF('06 REITs'!A39="","",'06 REITs'!A39&amp;"")</f>
        <v/>
      </c>
      <c r="D736" s="134" t="str">
        <f>IF(C736="","",'06 REITs'!B39&amp;"")</f>
        <v/>
      </c>
      <c r="E736" s="134" t="str">
        <f>IF(C736="","",'06 REITs'!C39&amp;"")</f>
        <v/>
      </c>
      <c r="F736" s="134" t="str">
        <f>IF(C736="","",'06 REITs'!V39)</f>
        <v/>
      </c>
      <c r="G736" s="135" t="str">
        <f>IF(C736="","",'06 REITs'!E39)</f>
        <v/>
      </c>
      <c r="H736" s="136" t="str">
        <f>IF(C736="","",'06 REITs'!H39)</f>
        <v/>
      </c>
      <c r="I736" s="137" t="str">
        <f>IF(C736="","",'06 REITs'!J39)</f>
        <v/>
      </c>
      <c r="J736" s="138" t="str">
        <f>IF(C736="","",'06 REITs'!K39)</f>
        <v/>
      </c>
      <c r="K736" s="138" t="str">
        <f>IF(C736="","",'06 REITs'!Q39)</f>
        <v/>
      </c>
      <c r="L736" s="135" t="str">
        <f>IF(C736="","",'06 REITs'!R39)</f>
        <v/>
      </c>
      <c r="M736" s="138" t="str">
        <f>IF(C736="","",'06 REITs'!T39)</f>
        <v/>
      </c>
      <c r="N736" s="139" t="str">
        <f>IF(C736="","",IF($J$3&gt;0,J736/$J$3,0))</f>
        <v/>
      </c>
      <c r="O736" s="134" t="str">
        <f>IF(C736="","",'06 REITs'!I39)</f>
        <v/>
      </c>
      <c r="P736" s="140" t="str">
        <f>IF(C736="","",IF(N(J736)&gt;0,J736+ROW()/1E9,""))</f>
        <v/>
      </c>
      <c r="Q736" s="140" t="str">
        <f>IF(C736="","",IF(N(M736)&gt;0,M736+ROW()/1E9,""))</f>
        <v/>
      </c>
    </row>
    <row r="737">
      <c r="A737" s="141" t="str">
        <f>IF(C737="","","REITs")</f>
        <v/>
      </c>
      <c r="B737" s="141" t="str">
        <f>IF(C737="","","Exterior")</f>
        <v/>
      </c>
      <c r="C737" s="141" t="str">
        <f>IF('06 REITs'!A40="","",'06 REITs'!A40&amp;"")</f>
        <v/>
      </c>
      <c r="D737" s="141" t="str">
        <f>IF(C737="","",'06 REITs'!B40&amp;"")</f>
        <v/>
      </c>
      <c r="E737" s="141" t="str">
        <f>IF(C737="","",'06 REITs'!C40&amp;"")</f>
        <v/>
      </c>
      <c r="F737" s="141" t="str">
        <f>IF(C737="","",'06 REITs'!V40)</f>
        <v/>
      </c>
      <c r="G737" s="142" t="str">
        <f>IF(C737="","",'06 REITs'!E40)</f>
        <v/>
      </c>
      <c r="H737" s="143" t="str">
        <f>IF(C737="","",'06 REITs'!H40)</f>
        <v/>
      </c>
      <c r="I737" s="144" t="str">
        <f>IF(C737="","",'06 REITs'!J40)</f>
        <v/>
      </c>
      <c r="J737" s="145" t="str">
        <f>IF(C737="","",'06 REITs'!K40)</f>
        <v/>
      </c>
      <c r="K737" s="145" t="str">
        <f>IF(C737="","",'06 REITs'!Q40)</f>
        <v/>
      </c>
      <c r="L737" s="142" t="str">
        <f>IF(C737="","",'06 REITs'!R40)</f>
        <v/>
      </c>
      <c r="M737" s="145" t="str">
        <f>IF(C737="","",'06 REITs'!T40)</f>
        <v/>
      </c>
      <c r="N737" s="146" t="str">
        <f>IF(C737="","",IF($J$3&gt;0,J737/$J$3,0))</f>
        <v/>
      </c>
      <c r="O737" s="141" t="str">
        <f>IF(C737="","",'06 REITs'!I40)</f>
        <v/>
      </c>
      <c r="P737" s="147" t="str">
        <f>IF(C737="","",IF(N(J737)&gt;0,J737+ROW()/1E9,""))</f>
        <v/>
      </c>
      <c r="Q737" s="147" t="str">
        <f>IF(C737="","",IF(N(M737)&gt;0,M737+ROW()/1E9,""))</f>
        <v/>
      </c>
    </row>
    <row r="738">
      <c r="A738" s="134" t="str">
        <f>IF(C738="","","REITs")</f>
        <v/>
      </c>
      <c r="B738" s="134" t="str">
        <f>IF(C738="","","Exterior")</f>
        <v/>
      </c>
      <c r="C738" s="134" t="str">
        <f>IF('06 REITs'!A41="","",'06 REITs'!A41&amp;"")</f>
        <v/>
      </c>
      <c r="D738" s="134" t="str">
        <f>IF(C738="","",'06 REITs'!B41&amp;"")</f>
        <v/>
      </c>
      <c r="E738" s="134" t="str">
        <f>IF(C738="","",'06 REITs'!C41&amp;"")</f>
        <v/>
      </c>
      <c r="F738" s="134" t="str">
        <f>IF(C738="","",'06 REITs'!V41)</f>
        <v/>
      </c>
      <c r="G738" s="135" t="str">
        <f>IF(C738="","",'06 REITs'!E41)</f>
        <v/>
      </c>
      <c r="H738" s="136" t="str">
        <f>IF(C738="","",'06 REITs'!H41)</f>
        <v/>
      </c>
      <c r="I738" s="137" t="str">
        <f>IF(C738="","",'06 REITs'!J41)</f>
        <v/>
      </c>
      <c r="J738" s="138" t="str">
        <f>IF(C738="","",'06 REITs'!K41)</f>
        <v/>
      </c>
      <c r="K738" s="138" t="str">
        <f>IF(C738="","",'06 REITs'!Q41)</f>
        <v/>
      </c>
      <c r="L738" s="135" t="str">
        <f>IF(C738="","",'06 REITs'!R41)</f>
        <v/>
      </c>
      <c r="M738" s="138" t="str">
        <f>IF(C738="","",'06 REITs'!T41)</f>
        <v/>
      </c>
      <c r="N738" s="139" t="str">
        <f>IF(C738="","",IF($J$3&gt;0,J738/$J$3,0))</f>
        <v/>
      </c>
      <c r="O738" s="134" t="str">
        <f>IF(C738="","",'06 REITs'!I41)</f>
        <v/>
      </c>
      <c r="P738" s="140" t="str">
        <f>IF(C738="","",IF(N(J738)&gt;0,J738+ROW()/1E9,""))</f>
        <v/>
      </c>
      <c r="Q738" s="140" t="str">
        <f>IF(C738="","",IF(N(M738)&gt;0,M738+ROW()/1E9,""))</f>
        <v/>
      </c>
    </row>
    <row r="739">
      <c r="A739" s="141" t="str">
        <f>IF(C739="","","REITs")</f>
        <v/>
      </c>
      <c r="B739" s="141" t="str">
        <f>IF(C739="","","Exterior")</f>
        <v/>
      </c>
      <c r="C739" s="141" t="str">
        <f>IF('06 REITs'!A42="","",'06 REITs'!A42&amp;"")</f>
        <v/>
      </c>
      <c r="D739" s="141" t="str">
        <f>IF(C739="","",'06 REITs'!B42&amp;"")</f>
        <v/>
      </c>
      <c r="E739" s="141" t="str">
        <f>IF(C739="","",'06 REITs'!C42&amp;"")</f>
        <v/>
      </c>
      <c r="F739" s="141" t="str">
        <f>IF(C739="","",'06 REITs'!V42)</f>
        <v/>
      </c>
      <c r="G739" s="142" t="str">
        <f>IF(C739="","",'06 REITs'!E42)</f>
        <v/>
      </c>
      <c r="H739" s="143" t="str">
        <f>IF(C739="","",'06 REITs'!H42)</f>
        <v/>
      </c>
      <c r="I739" s="144" t="str">
        <f>IF(C739="","",'06 REITs'!J42)</f>
        <v/>
      </c>
      <c r="J739" s="145" t="str">
        <f>IF(C739="","",'06 REITs'!K42)</f>
        <v/>
      </c>
      <c r="K739" s="145" t="str">
        <f>IF(C739="","",'06 REITs'!Q42)</f>
        <v/>
      </c>
      <c r="L739" s="142" t="str">
        <f>IF(C739="","",'06 REITs'!R42)</f>
        <v/>
      </c>
      <c r="M739" s="145" t="str">
        <f>IF(C739="","",'06 REITs'!T42)</f>
        <v/>
      </c>
      <c r="N739" s="146" t="str">
        <f>IF(C739="","",IF($J$3&gt;0,J739/$J$3,0))</f>
        <v/>
      </c>
      <c r="O739" s="141" t="str">
        <f>IF(C739="","",'06 REITs'!I42)</f>
        <v/>
      </c>
      <c r="P739" s="147" t="str">
        <f>IF(C739="","",IF(N(J739)&gt;0,J739+ROW()/1E9,""))</f>
        <v/>
      </c>
      <c r="Q739" s="147" t="str">
        <f>IF(C739="","",IF(N(M739)&gt;0,M739+ROW()/1E9,""))</f>
        <v/>
      </c>
    </row>
    <row r="740">
      <c r="A740" s="134" t="str">
        <f>IF(C740="","","REITs")</f>
        <v/>
      </c>
      <c r="B740" s="134" t="str">
        <f>IF(C740="","","Exterior")</f>
        <v/>
      </c>
      <c r="C740" s="134" t="str">
        <f>IF('06 REITs'!A43="","",'06 REITs'!A43&amp;"")</f>
        <v/>
      </c>
      <c r="D740" s="134" t="str">
        <f>IF(C740="","",'06 REITs'!B43&amp;"")</f>
        <v/>
      </c>
      <c r="E740" s="134" t="str">
        <f>IF(C740="","",'06 REITs'!C43&amp;"")</f>
        <v/>
      </c>
      <c r="F740" s="134" t="str">
        <f>IF(C740="","",'06 REITs'!V43)</f>
        <v/>
      </c>
      <c r="G740" s="135" t="str">
        <f>IF(C740="","",'06 REITs'!E43)</f>
        <v/>
      </c>
      <c r="H740" s="136" t="str">
        <f>IF(C740="","",'06 REITs'!H43)</f>
        <v/>
      </c>
      <c r="I740" s="137" t="str">
        <f>IF(C740="","",'06 REITs'!J43)</f>
        <v/>
      </c>
      <c r="J740" s="138" t="str">
        <f>IF(C740="","",'06 REITs'!K43)</f>
        <v/>
      </c>
      <c r="K740" s="138" t="str">
        <f>IF(C740="","",'06 REITs'!Q43)</f>
        <v/>
      </c>
      <c r="L740" s="135" t="str">
        <f>IF(C740="","",'06 REITs'!R43)</f>
        <v/>
      </c>
      <c r="M740" s="138" t="str">
        <f>IF(C740="","",'06 REITs'!T43)</f>
        <v/>
      </c>
      <c r="N740" s="139" t="str">
        <f>IF(C740="","",IF($J$3&gt;0,J740/$J$3,0))</f>
        <v/>
      </c>
      <c r="O740" s="134" t="str">
        <f>IF(C740="","",'06 REITs'!I43)</f>
        <v/>
      </c>
      <c r="P740" s="140" t="str">
        <f>IF(C740="","",IF(N(J740)&gt;0,J740+ROW()/1E9,""))</f>
        <v/>
      </c>
      <c r="Q740" s="140" t="str">
        <f>IF(C740="","",IF(N(M740)&gt;0,M740+ROW()/1E9,""))</f>
        <v/>
      </c>
    </row>
    <row r="741">
      <c r="A741" s="141" t="str">
        <f>IF(C741="","","REITs")</f>
        <v/>
      </c>
      <c r="B741" s="141" t="str">
        <f>IF(C741="","","Exterior")</f>
        <v/>
      </c>
      <c r="C741" s="141" t="str">
        <f>IF('06 REITs'!A44="","",'06 REITs'!A44&amp;"")</f>
        <v/>
      </c>
      <c r="D741" s="141" t="str">
        <f>IF(C741="","",'06 REITs'!B44&amp;"")</f>
        <v/>
      </c>
      <c r="E741" s="141" t="str">
        <f>IF(C741="","",'06 REITs'!C44&amp;"")</f>
        <v/>
      </c>
      <c r="F741" s="141" t="str">
        <f>IF(C741="","",'06 REITs'!V44)</f>
        <v/>
      </c>
      <c r="G741" s="142" t="str">
        <f>IF(C741="","",'06 REITs'!E44)</f>
        <v/>
      </c>
      <c r="H741" s="143" t="str">
        <f>IF(C741="","",'06 REITs'!H44)</f>
        <v/>
      </c>
      <c r="I741" s="144" t="str">
        <f>IF(C741="","",'06 REITs'!J44)</f>
        <v/>
      </c>
      <c r="J741" s="145" t="str">
        <f>IF(C741="","",'06 REITs'!K44)</f>
        <v/>
      </c>
      <c r="K741" s="145" t="str">
        <f>IF(C741="","",'06 REITs'!Q44)</f>
        <v/>
      </c>
      <c r="L741" s="142" t="str">
        <f>IF(C741="","",'06 REITs'!R44)</f>
        <v/>
      </c>
      <c r="M741" s="145" t="str">
        <f>IF(C741="","",'06 REITs'!T44)</f>
        <v/>
      </c>
      <c r="N741" s="146" t="str">
        <f>IF(C741="","",IF($J$3&gt;0,J741/$J$3,0))</f>
        <v/>
      </c>
      <c r="O741" s="141" t="str">
        <f>IF(C741="","",'06 REITs'!I44)</f>
        <v/>
      </c>
      <c r="P741" s="147" t="str">
        <f>IF(C741="","",IF(N(J741)&gt;0,J741+ROW()/1E9,""))</f>
        <v/>
      </c>
      <c r="Q741" s="147" t="str">
        <f>IF(C741="","",IF(N(M741)&gt;0,M741+ROW()/1E9,""))</f>
        <v/>
      </c>
    </row>
    <row r="742">
      <c r="A742" s="134" t="str">
        <f>IF(C742="","","REITs")</f>
        <v/>
      </c>
      <c r="B742" s="134" t="str">
        <f>IF(C742="","","Exterior")</f>
        <v/>
      </c>
      <c r="C742" s="134" t="str">
        <f>IF('06 REITs'!A45="","",'06 REITs'!A45&amp;"")</f>
        <v/>
      </c>
      <c r="D742" s="134" t="str">
        <f>IF(C742="","",'06 REITs'!B45&amp;"")</f>
        <v/>
      </c>
      <c r="E742" s="134" t="str">
        <f>IF(C742="","",'06 REITs'!C45&amp;"")</f>
        <v/>
      </c>
      <c r="F742" s="134" t="str">
        <f>IF(C742="","",'06 REITs'!V45)</f>
        <v/>
      </c>
      <c r="G742" s="135" t="str">
        <f>IF(C742="","",'06 REITs'!E45)</f>
        <v/>
      </c>
      <c r="H742" s="136" t="str">
        <f>IF(C742="","",'06 REITs'!H45)</f>
        <v/>
      </c>
      <c r="I742" s="137" t="str">
        <f>IF(C742="","",'06 REITs'!J45)</f>
        <v/>
      </c>
      <c r="J742" s="138" t="str">
        <f>IF(C742="","",'06 REITs'!K45)</f>
        <v/>
      </c>
      <c r="K742" s="138" t="str">
        <f>IF(C742="","",'06 REITs'!Q45)</f>
        <v/>
      </c>
      <c r="L742" s="135" t="str">
        <f>IF(C742="","",'06 REITs'!R45)</f>
        <v/>
      </c>
      <c r="M742" s="138" t="str">
        <f>IF(C742="","",'06 REITs'!T45)</f>
        <v/>
      </c>
      <c r="N742" s="139" t="str">
        <f>IF(C742="","",IF($J$3&gt;0,J742/$J$3,0))</f>
        <v/>
      </c>
      <c r="O742" s="134" t="str">
        <f>IF(C742="","",'06 REITs'!I45)</f>
        <v/>
      </c>
      <c r="P742" s="140" t="str">
        <f>IF(C742="","",IF(N(J742)&gt;0,J742+ROW()/1E9,""))</f>
        <v/>
      </c>
      <c r="Q742" s="140" t="str">
        <f>IF(C742="","",IF(N(M742)&gt;0,M742+ROW()/1E9,""))</f>
        <v/>
      </c>
    </row>
    <row r="743">
      <c r="A743" s="141" t="str">
        <f>IF(C743="","","REITs")</f>
        <v/>
      </c>
      <c r="B743" s="141" t="str">
        <f>IF(C743="","","Exterior")</f>
        <v/>
      </c>
      <c r="C743" s="141" t="str">
        <f>IF('06 REITs'!A46="","",'06 REITs'!A46&amp;"")</f>
        <v/>
      </c>
      <c r="D743" s="141" t="str">
        <f>IF(C743="","",'06 REITs'!B46&amp;"")</f>
        <v/>
      </c>
      <c r="E743" s="141" t="str">
        <f>IF(C743="","",'06 REITs'!C46&amp;"")</f>
        <v/>
      </c>
      <c r="F743" s="141" t="str">
        <f>IF(C743="","",'06 REITs'!V46)</f>
        <v/>
      </c>
      <c r="G743" s="142" t="str">
        <f>IF(C743="","",'06 REITs'!E46)</f>
        <v/>
      </c>
      <c r="H743" s="143" t="str">
        <f>IF(C743="","",'06 REITs'!H46)</f>
        <v/>
      </c>
      <c r="I743" s="144" t="str">
        <f>IF(C743="","",'06 REITs'!J46)</f>
        <v/>
      </c>
      <c r="J743" s="145" t="str">
        <f>IF(C743="","",'06 REITs'!K46)</f>
        <v/>
      </c>
      <c r="K743" s="145" t="str">
        <f>IF(C743="","",'06 REITs'!Q46)</f>
        <v/>
      </c>
      <c r="L743" s="142" t="str">
        <f>IF(C743="","",'06 REITs'!R46)</f>
        <v/>
      </c>
      <c r="M743" s="145" t="str">
        <f>IF(C743="","",'06 REITs'!T46)</f>
        <v/>
      </c>
      <c r="N743" s="146" t="str">
        <f>IF(C743="","",IF($J$3&gt;0,J743/$J$3,0))</f>
        <v/>
      </c>
      <c r="O743" s="141" t="str">
        <f>IF(C743="","",'06 REITs'!I46)</f>
        <v/>
      </c>
      <c r="P743" s="147" t="str">
        <f>IF(C743="","",IF(N(J743)&gt;0,J743+ROW()/1E9,""))</f>
        <v/>
      </c>
      <c r="Q743" s="147" t="str">
        <f>IF(C743="","",IF(N(M743)&gt;0,M743+ROW()/1E9,""))</f>
        <v/>
      </c>
    </row>
    <row r="744">
      <c r="A744" s="134" t="str">
        <f>IF(C744="","","REITs")</f>
        <v/>
      </c>
      <c r="B744" s="134" t="str">
        <f>IF(C744="","","Exterior")</f>
        <v/>
      </c>
      <c r="C744" s="134" t="str">
        <f>IF('06 REITs'!A47="","",'06 REITs'!A47&amp;"")</f>
        <v/>
      </c>
      <c r="D744" s="134" t="str">
        <f>IF(C744="","",'06 REITs'!B47&amp;"")</f>
        <v/>
      </c>
      <c r="E744" s="134" t="str">
        <f>IF(C744="","",'06 REITs'!C47&amp;"")</f>
        <v/>
      </c>
      <c r="F744" s="134" t="str">
        <f>IF(C744="","",'06 REITs'!V47)</f>
        <v/>
      </c>
      <c r="G744" s="135" t="str">
        <f>IF(C744="","",'06 REITs'!E47)</f>
        <v/>
      </c>
      <c r="H744" s="136" t="str">
        <f>IF(C744="","",'06 REITs'!H47)</f>
        <v/>
      </c>
      <c r="I744" s="137" t="str">
        <f>IF(C744="","",'06 REITs'!J47)</f>
        <v/>
      </c>
      <c r="J744" s="138" t="str">
        <f>IF(C744="","",'06 REITs'!K47)</f>
        <v/>
      </c>
      <c r="K744" s="138" t="str">
        <f>IF(C744="","",'06 REITs'!Q47)</f>
        <v/>
      </c>
      <c r="L744" s="135" t="str">
        <f>IF(C744="","",'06 REITs'!R47)</f>
        <v/>
      </c>
      <c r="M744" s="138" t="str">
        <f>IF(C744="","",'06 REITs'!T47)</f>
        <v/>
      </c>
      <c r="N744" s="139" t="str">
        <f>IF(C744="","",IF($J$3&gt;0,J744/$J$3,0))</f>
        <v/>
      </c>
      <c r="O744" s="134" t="str">
        <f>IF(C744="","",'06 REITs'!I47)</f>
        <v/>
      </c>
      <c r="P744" s="140" t="str">
        <f>IF(C744="","",IF(N(J744)&gt;0,J744+ROW()/1E9,""))</f>
        <v/>
      </c>
      <c r="Q744" s="140" t="str">
        <f>IF(C744="","",IF(N(M744)&gt;0,M744+ROW()/1E9,""))</f>
        <v/>
      </c>
    </row>
    <row r="745">
      <c r="A745" s="141" t="str">
        <f>IF(C745="","","REITs")</f>
        <v/>
      </c>
      <c r="B745" s="141" t="str">
        <f>IF(C745="","","Exterior")</f>
        <v/>
      </c>
      <c r="C745" s="141" t="str">
        <f>IF('06 REITs'!A48="","",'06 REITs'!A48&amp;"")</f>
        <v/>
      </c>
      <c r="D745" s="141" t="str">
        <f>IF(C745="","",'06 REITs'!B48&amp;"")</f>
        <v/>
      </c>
      <c r="E745" s="141" t="str">
        <f>IF(C745="","",'06 REITs'!C48&amp;"")</f>
        <v/>
      </c>
      <c r="F745" s="141" t="str">
        <f>IF(C745="","",'06 REITs'!V48)</f>
        <v/>
      </c>
      <c r="G745" s="142" t="str">
        <f>IF(C745="","",'06 REITs'!E48)</f>
        <v/>
      </c>
      <c r="H745" s="143" t="str">
        <f>IF(C745="","",'06 REITs'!H48)</f>
        <v/>
      </c>
      <c r="I745" s="144" t="str">
        <f>IF(C745="","",'06 REITs'!J48)</f>
        <v/>
      </c>
      <c r="J745" s="145" t="str">
        <f>IF(C745="","",'06 REITs'!K48)</f>
        <v/>
      </c>
      <c r="K745" s="145" t="str">
        <f>IF(C745="","",'06 REITs'!Q48)</f>
        <v/>
      </c>
      <c r="L745" s="142" t="str">
        <f>IF(C745="","",'06 REITs'!R48)</f>
        <v/>
      </c>
      <c r="M745" s="145" t="str">
        <f>IF(C745="","",'06 REITs'!T48)</f>
        <v/>
      </c>
      <c r="N745" s="146" t="str">
        <f>IF(C745="","",IF($J$3&gt;0,J745/$J$3,0))</f>
        <v/>
      </c>
      <c r="O745" s="141" t="str">
        <f>IF(C745="","",'06 REITs'!I48)</f>
        <v/>
      </c>
      <c r="P745" s="147" t="str">
        <f>IF(C745="","",IF(N(J745)&gt;0,J745+ROW()/1E9,""))</f>
        <v/>
      </c>
      <c r="Q745" s="147" t="str">
        <f>IF(C745="","",IF(N(M745)&gt;0,M745+ROW()/1E9,""))</f>
        <v/>
      </c>
    </row>
    <row r="746">
      <c r="A746" s="134" t="str">
        <f>IF(C746="","","REITs")</f>
        <v/>
      </c>
      <c r="B746" s="134" t="str">
        <f>IF(C746="","","Exterior")</f>
        <v/>
      </c>
      <c r="C746" s="134" t="str">
        <f>IF('06 REITs'!A49="","",'06 REITs'!A49&amp;"")</f>
        <v/>
      </c>
      <c r="D746" s="134" t="str">
        <f>IF(C746="","",'06 REITs'!B49&amp;"")</f>
        <v/>
      </c>
      <c r="E746" s="134" t="str">
        <f>IF(C746="","",'06 REITs'!C49&amp;"")</f>
        <v/>
      </c>
      <c r="F746" s="134" t="str">
        <f>IF(C746="","",'06 REITs'!V49)</f>
        <v/>
      </c>
      <c r="G746" s="135" t="str">
        <f>IF(C746="","",'06 REITs'!E49)</f>
        <v/>
      </c>
      <c r="H746" s="136" t="str">
        <f>IF(C746="","",'06 REITs'!H49)</f>
        <v/>
      </c>
      <c r="I746" s="137" t="str">
        <f>IF(C746="","",'06 REITs'!J49)</f>
        <v/>
      </c>
      <c r="J746" s="138" t="str">
        <f>IF(C746="","",'06 REITs'!K49)</f>
        <v/>
      </c>
      <c r="K746" s="138" t="str">
        <f>IF(C746="","",'06 REITs'!Q49)</f>
        <v/>
      </c>
      <c r="L746" s="135" t="str">
        <f>IF(C746="","",'06 REITs'!R49)</f>
        <v/>
      </c>
      <c r="M746" s="138" t="str">
        <f>IF(C746="","",'06 REITs'!T49)</f>
        <v/>
      </c>
      <c r="N746" s="139" t="str">
        <f>IF(C746="","",IF($J$3&gt;0,J746/$J$3,0))</f>
        <v/>
      </c>
      <c r="O746" s="134" t="str">
        <f>IF(C746="","",'06 REITs'!I49)</f>
        <v/>
      </c>
      <c r="P746" s="140" t="str">
        <f>IF(C746="","",IF(N(J746)&gt;0,J746+ROW()/1E9,""))</f>
        <v/>
      </c>
      <c r="Q746" s="140" t="str">
        <f>IF(C746="","",IF(N(M746)&gt;0,M746+ROW()/1E9,""))</f>
        <v/>
      </c>
    </row>
    <row r="747">
      <c r="A747" s="141" t="str">
        <f>IF(C747="","","REITs")</f>
        <v/>
      </c>
      <c r="B747" s="141" t="str">
        <f>IF(C747="","","Exterior")</f>
        <v/>
      </c>
      <c r="C747" s="141" t="str">
        <f>IF('06 REITs'!A50="","",'06 REITs'!A50&amp;"")</f>
        <v/>
      </c>
      <c r="D747" s="141" t="str">
        <f>IF(C747="","",'06 REITs'!B50&amp;"")</f>
        <v/>
      </c>
      <c r="E747" s="141" t="str">
        <f>IF(C747="","",'06 REITs'!C50&amp;"")</f>
        <v/>
      </c>
      <c r="F747" s="141" t="str">
        <f>IF(C747="","",'06 REITs'!V50)</f>
        <v/>
      </c>
      <c r="G747" s="142" t="str">
        <f>IF(C747="","",'06 REITs'!E50)</f>
        <v/>
      </c>
      <c r="H747" s="143" t="str">
        <f>IF(C747="","",'06 REITs'!H50)</f>
        <v/>
      </c>
      <c r="I747" s="144" t="str">
        <f>IF(C747="","",'06 REITs'!J50)</f>
        <v/>
      </c>
      <c r="J747" s="145" t="str">
        <f>IF(C747="","",'06 REITs'!K50)</f>
        <v/>
      </c>
      <c r="K747" s="145" t="str">
        <f>IF(C747="","",'06 REITs'!Q50)</f>
        <v/>
      </c>
      <c r="L747" s="142" t="str">
        <f>IF(C747="","",'06 REITs'!R50)</f>
        <v/>
      </c>
      <c r="M747" s="145" t="str">
        <f>IF(C747="","",'06 REITs'!T50)</f>
        <v/>
      </c>
      <c r="N747" s="146" t="str">
        <f>IF(C747="","",IF($J$3&gt;0,J747/$J$3,0))</f>
        <v/>
      </c>
      <c r="O747" s="141" t="str">
        <f>IF(C747="","",'06 REITs'!I50)</f>
        <v/>
      </c>
      <c r="P747" s="147" t="str">
        <f>IF(C747="","",IF(N(J747)&gt;0,J747+ROW()/1E9,""))</f>
        <v/>
      </c>
      <c r="Q747" s="147" t="str">
        <f>IF(C747="","",IF(N(M747)&gt;0,M747+ROW()/1E9,""))</f>
        <v/>
      </c>
    </row>
    <row r="748">
      <c r="A748" s="134" t="str">
        <f>IF(C748="","","REITs")</f>
        <v/>
      </c>
      <c r="B748" s="134" t="str">
        <f>IF(C748="","","Exterior")</f>
        <v/>
      </c>
      <c r="C748" s="134" t="str">
        <f>IF('06 REITs'!A51="","",'06 REITs'!A51&amp;"")</f>
        <v/>
      </c>
      <c r="D748" s="134" t="str">
        <f>IF(C748="","",'06 REITs'!B51&amp;"")</f>
        <v/>
      </c>
      <c r="E748" s="134" t="str">
        <f>IF(C748="","",'06 REITs'!C51&amp;"")</f>
        <v/>
      </c>
      <c r="F748" s="134" t="str">
        <f>IF(C748="","",'06 REITs'!V51)</f>
        <v/>
      </c>
      <c r="G748" s="135" t="str">
        <f>IF(C748="","",'06 REITs'!E51)</f>
        <v/>
      </c>
      <c r="H748" s="136" t="str">
        <f>IF(C748="","",'06 REITs'!H51)</f>
        <v/>
      </c>
      <c r="I748" s="137" t="str">
        <f>IF(C748="","",'06 REITs'!J51)</f>
        <v/>
      </c>
      <c r="J748" s="138" t="str">
        <f>IF(C748="","",'06 REITs'!K51)</f>
        <v/>
      </c>
      <c r="K748" s="138" t="str">
        <f>IF(C748="","",'06 REITs'!Q51)</f>
        <v/>
      </c>
      <c r="L748" s="135" t="str">
        <f>IF(C748="","",'06 REITs'!R51)</f>
        <v/>
      </c>
      <c r="M748" s="138" t="str">
        <f>IF(C748="","",'06 REITs'!T51)</f>
        <v/>
      </c>
      <c r="N748" s="139" t="str">
        <f>IF(C748="","",IF($J$3&gt;0,J748/$J$3,0))</f>
        <v/>
      </c>
      <c r="O748" s="134" t="str">
        <f>IF(C748="","",'06 REITs'!I51)</f>
        <v/>
      </c>
      <c r="P748" s="140" t="str">
        <f>IF(C748="","",IF(N(J748)&gt;0,J748+ROW()/1E9,""))</f>
        <v/>
      </c>
      <c r="Q748" s="140" t="str">
        <f>IF(C748="","",IF(N(M748)&gt;0,M748+ROW()/1E9,""))</f>
        <v/>
      </c>
    </row>
    <row r="749">
      <c r="A749" s="141" t="str">
        <f>IF(C749="","","REITs")</f>
        <v/>
      </c>
      <c r="B749" s="141" t="str">
        <f>IF(C749="","","Exterior")</f>
        <v/>
      </c>
      <c r="C749" s="141" t="str">
        <f>IF('06 REITs'!A52="","",'06 REITs'!A52&amp;"")</f>
        <v/>
      </c>
      <c r="D749" s="141" t="str">
        <f>IF(C749="","",'06 REITs'!B52&amp;"")</f>
        <v/>
      </c>
      <c r="E749" s="141" t="str">
        <f>IF(C749="","",'06 REITs'!C52&amp;"")</f>
        <v/>
      </c>
      <c r="F749" s="141" t="str">
        <f>IF(C749="","",'06 REITs'!V52)</f>
        <v/>
      </c>
      <c r="G749" s="142" t="str">
        <f>IF(C749="","",'06 REITs'!E52)</f>
        <v/>
      </c>
      <c r="H749" s="143" t="str">
        <f>IF(C749="","",'06 REITs'!H52)</f>
        <v/>
      </c>
      <c r="I749" s="144" t="str">
        <f>IF(C749="","",'06 REITs'!J52)</f>
        <v/>
      </c>
      <c r="J749" s="145" t="str">
        <f>IF(C749="","",'06 REITs'!K52)</f>
        <v/>
      </c>
      <c r="K749" s="145" t="str">
        <f>IF(C749="","",'06 REITs'!Q52)</f>
        <v/>
      </c>
      <c r="L749" s="142" t="str">
        <f>IF(C749="","",'06 REITs'!R52)</f>
        <v/>
      </c>
      <c r="M749" s="145" t="str">
        <f>IF(C749="","",'06 REITs'!T52)</f>
        <v/>
      </c>
      <c r="N749" s="146" t="str">
        <f>IF(C749="","",IF($J$3&gt;0,J749/$J$3,0))</f>
        <v/>
      </c>
      <c r="O749" s="141" t="str">
        <f>IF(C749="","",'06 REITs'!I52)</f>
        <v/>
      </c>
      <c r="P749" s="147" t="str">
        <f>IF(C749="","",IF(N(J749)&gt;0,J749+ROW()/1E9,""))</f>
        <v/>
      </c>
      <c r="Q749" s="147" t="str">
        <f>IF(C749="","",IF(N(M749)&gt;0,M749+ROW()/1E9,""))</f>
        <v/>
      </c>
    </row>
    <row r="750">
      <c r="A750" s="134" t="str">
        <f>IF(C750="","","REITs")</f>
        <v/>
      </c>
      <c r="B750" s="134" t="str">
        <f>IF(C750="","","Exterior")</f>
        <v/>
      </c>
      <c r="C750" s="134" t="str">
        <f>IF('06 REITs'!A53="","",'06 REITs'!A53&amp;"")</f>
        <v/>
      </c>
      <c r="D750" s="134" t="str">
        <f>IF(C750="","",'06 REITs'!B53&amp;"")</f>
        <v/>
      </c>
      <c r="E750" s="134" t="str">
        <f>IF(C750="","",'06 REITs'!C53&amp;"")</f>
        <v/>
      </c>
      <c r="F750" s="134" t="str">
        <f>IF(C750="","",'06 REITs'!V53)</f>
        <v/>
      </c>
      <c r="G750" s="135" t="str">
        <f>IF(C750="","",'06 REITs'!E53)</f>
        <v/>
      </c>
      <c r="H750" s="136" t="str">
        <f>IF(C750="","",'06 REITs'!H53)</f>
        <v/>
      </c>
      <c r="I750" s="137" t="str">
        <f>IF(C750="","",'06 REITs'!J53)</f>
        <v/>
      </c>
      <c r="J750" s="138" t="str">
        <f>IF(C750="","",'06 REITs'!K53)</f>
        <v/>
      </c>
      <c r="K750" s="138" t="str">
        <f>IF(C750="","",'06 REITs'!Q53)</f>
        <v/>
      </c>
      <c r="L750" s="135" t="str">
        <f>IF(C750="","",'06 REITs'!R53)</f>
        <v/>
      </c>
      <c r="M750" s="138" t="str">
        <f>IF(C750="","",'06 REITs'!T53)</f>
        <v/>
      </c>
      <c r="N750" s="139" t="str">
        <f>IF(C750="","",IF($J$3&gt;0,J750/$J$3,0))</f>
        <v/>
      </c>
      <c r="O750" s="134" t="str">
        <f>IF(C750="","",'06 REITs'!I53)</f>
        <v/>
      </c>
      <c r="P750" s="140" t="str">
        <f>IF(C750="","",IF(N(J750)&gt;0,J750+ROW()/1E9,""))</f>
        <v/>
      </c>
      <c r="Q750" s="140" t="str">
        <f>IF(C750="","",IF(N(M750)&gt;0,M750+ROW()/1E9,""))</f>
        <v/>
      </c>
    </row>
    <row r="751">
      <c r="A751" s="141" t="str">
        <f>IF(C751="","","REITs")</f>
        <v/>
      </c>
      <c r="B751" s="141" t="str">
        <f>IF(C751="","","Exterior")</f>
        <v/>
      </c>
      <c r="C751" s="141" t="str">
        <f>IF('06 REITs'!A54="","",'06 REITs'!A54&amp;"")</f>
        <v/>
      </c>
      <c r="D751" s="141" t="str">
        <f>IF(C751="","",'06 REITs'!B54&amp;"")</f>
        <v/>
      </c>
      <c r="E751" s="141" t="str">
        <f>IF(C751="","",'06 REITs'!C54&amp;"")</f>
        <v/>
      </c>
      <c r="F751" s="141" t="str">
        <f>IF(C751="","",'06 REITs'!V54)</f>
        <v/>
      </c>
      <c r="G751" s="142" t="str">
        <f>IF(C751="","",'06 REITs'!E54)</f>
        <v/>
      </c>
      <c r="H751" s="143" t="str">
        <f>IF(C751="","",'06 REITs'!H54)</f>
        <v/>
      </c>
      <c r="I751" s="144" t="str">
        <f>IF(C751="","",'06 REITs'!J54)</f>
        <v/>
      </c>
      <c r="J751" s="145" t="str">
        <f>IF(C751="","",'06 REITs'!K54)</f>
        <v/>
      </c>
      <c r="K751" s="145" t="str">
        <f>IF(C751="","",'06 REITs'!Q54)</f>
        <v/>
      </c>
      <c r="L751" s="142" t="str">
        <f>IF(C751="","",'06 REITs'!R54)</f>
        <v/>
      </c>
      <c r="M751" s="145" t="str">
        <f>IF(C751="","",'06 REITs'!T54)</f>
        <v/>
      </c>
      <c r="N751" s="146" t="str">
        <f>IF(C751="","",IF($J$3&gt;0,J751/$J$3,0))</f>
        <v/>
      </c>
      <c r="O751" s="141" t="str">
        <f>IF(C751="","",'06 REITs'!I54)</f>
        <v/>
      </c>
      <c r="P751" s="147" t="str">
        <f>IF(C751="","",IF(N(J751)&gt;0,J751+ROW()/1E9,""))</f>
        <v/>
      </c>
      <c r="Q751" s="147" t="str">
        <f>IF(C751="","",IF(N(M751)&gt;0,M751+ROW()/1E9,""))</f>
        <v/>
      </c>
    </row>
    <row r="752">
      <c r="A752" s="134" t="str">
        <f>IF(C752="","","REITs")</f>
        <v/>
      </c>
      <c r="B752" s="134" t="str">
        <f>IF(C752="","","Exterior")</f>
        <v/>
      </c>
      <c r="C752" s="134" t="str">
        <f>IF('06 REITs'!A55="","",'06 REITs'!A55&amp;"")</f>
        <v/>
      </c>
      <c r="D752" s="134" t="str">
        <f>IF(C752="","",'06 REITs'!B55&amp;"")</f>
        <v/>
      </c>
      <c r="E752" s="134" t="str">
        <f>IF(C752="","",'06 REITs'!C55&amp;"")</f>
        <v/>
      </c>
      <c r="F752" s="134" t="str">
        <f>IF(C752="","",'06 REITs'!V55)</f>
        <v/>
      </c>
      <c r="G752" s="135" t="str">
        <f>IF(C752="","",'06 REITs'!E55)</f>
        <v/>
      </c>
      <c r="H752" s="136" t="str">
        <f>IF(C752="","",'06 REITs'!H55)</f>
        <v/>
      </c>
      <c r="I752" s="137" t="str">
        <f>IF(C752="","",'06 REITs'!J55)</f>
        <v/>
      </c>
      <c r="J752" s="138" t="str">
        <f>IF(C752="","",'06 REITs'!K55)</f>
        <v/>
      </c>
      <c r="K752" s="138" t="str">
        <f>IF(C752="","",'06 REITs'!Q55)</f>
        <v/>
      </c>
      <c r="L752" s="135" t="str">
        <f>IF(C752="","",'06 REITs'!R55)</f>
        <v/>
      </c>
      <c r="M752" s="138" t="str">
        <f>IF(C752="","",'06 REITs'!T55)</f>
        <v/>
      </c>
      <c r="N752" s="139" t="str">
        <f>IF(C752="","",IF($J$3&gt;0,J752/$J$3,0))</f>
        <v/>
      </c>
      <c r="O752" s="134" t="str">
        <f>IF(C752="","",'06 REITs'!I55)</f>
        <v/>
      </c>
      <c r="P752" s="140" t="str">
        <f>IF(C752="","",IF(N(J752)&gt;0,J752+ROW()/1E9,""))</f>
        <v/>
      </c>
      <c r="Q752" s="140" t="str">
        <f>IF(C752="","",IF(N(M752)&gt;0,M752+ROW()/1E9,""))</f>
        <v/>
      </c>
    </row>
    <row r="753">
      <c r="A753" s="141" t="str">
        <f>IF(C753="","","REITs")</f>
        <v/>
      </c>
      <c r="B753" s="141" t="str">
        <f>IF(C753="","","Exterior")</f>
        <v/>
      </c>
      <c r="C753" s="141" t="str">
        <f>IF('06 REITs'!A56="","",'06 REITs'!A56&amp;"")</f>
        <v/>
      </c>
      <c r="D753" s="141" t="str">
        <f>IF(C753="","",'06 REITs'!B56&amp;"")</f>
        <v/>
      </c>
      <c r="E753" s="141" t="str">
        <f>IF(C753="","",'06 REITs'!C56&amp;"")</f>
        <v/>
      </c>
      <c r="F753" s="141" t="str">
        <f>IF(C753="","",'06 REITs'!V56)</f>
        <v/>
      </c>
      <c r="G753" s="142" t="str">
        <f>IF(C753="","",'06 REITs'!E56)</f>
        <v/>
      </c>
      <c r="H753" s="143" t="str">
        <f>IF(C753="","",'06 REITs'!H56)</f>
        <v/>
      </c>
      <c r="I753" s="144" t="str">
        <f>IF(C753="","",'06 REITs'!J56)</f>
        <v/>
      </c>
      <c r="J753" s="145" t="str">
        <f>IF(C753="","",'06 REITs'!K56)</f>
        <v/>
      </c>
      <c r="K753" s="145" t="str">
        <f>IF(C753="","",'06 REITs'!Q56)</f>
        <v/>
      </c>
      <c r="L753" s="142" t="str">
        <f>IF(C753="","",'06 REITs'!R56)</f>
        <v/>
      </c>
      <c r="M753" s="145" t="str">
        <f>IF(C753="","",'06 REITs'!T56)</f>
        <v/>
      </c>
      <c r="N753" s="146" t="str">
        <f>IF(C753="","",IF($J$3&gt;0,J753/$J$3,0))</f>
        <v/>
      </c>
      <c r="O753" s="141" t="str">
        <f>IF(C753="","",'06 REITs'!I56)</f>
        <v/>
      </c>
      <c r="P753" s="147" t="str">
        <f>IF(C753="","",IF(N(J753)&gt;0,J753+ROW()/1E9,""))</f>
        <v/>
      </c>
      <c r="Q753" s="147" t="str">
        <f>IF(C753="","",IF(N(M753)&gt;0,M753+ROW()/1E9,""))</f>
        <v/>
      </c>
    </row>
    <row r="754">
      <c r="A754" s="134" t="str">
        <f>IF(C754="","","REITs")</f>
        <v/>
      </c>
      <c r="B754" s="134" t="str">
        <f>IF(C754="","","Exterior")</f>
        <v/>
      </c>
      <c r="C754" s="134" t="str">
        <f>IF('06 REITs'!A57="","",'06 REITs'!A57&amp;"")</f>
        <v/>
      </c>
      <c r="D754" s="134" t="str">
        <f>IF(C754="","",'06 REITs'!B57&amp;"")</f>
        <v/>
      </c>
      <c r="E754" s="134" t="str">
        <f>IF(C754="","",'06 REITs'!C57&amp;"")</f>
        <v/>
      </c>
      <c r="F754" s="134" t="str">
        <f>IF(C754="","",'06 REITs'!V57)</f>
        <v/>
      </c>
      <c r="G754" s="135" t="str">
        <f>IF(C754="","",'06 REITs'!E57)</f>
        <v/>
      </c>
      <c r="H754" s="136" t="str">
        <f>IF(C754="","",'06 REITs'!H57)</f>
        <v/>
      </c>
      <c r="I754" s="137" t="str">
        <f>IF(C754="","",'06 REITs'!J57)</f>
        <v/>
      </c>
      <c r="J754" s="138" t="str">
        <f>IF(C754="","",'06 REITs'!K57)</f>
        <v/>
      </c>
      <c r="K754" s="138" t="str">
        <f>IF(C754="","",'06 REITs'!Q57)</f>
        <v/>
      </c>
      <c r="L754" s="135" t="str">
        <f>IF(C754="","",'06 REITs'!R57)</f>
        <v/>
      </c>
      <c r="M754" s="138" t="str">
        <f>IF(C754="","",'06 REITs'!T57)</f>
        <v/>
      </c>
      <c r="N754" s="139" t="str">
        <f>IF(C754="","",IF($J$3&gt;0,J754/$J$3,0))</f>
        <v/>
      </c>
      <c r="O754" s="134" t="str">
        <f>IF(C754="","",'06 REITs'!I57)</f>
        <v/>
      </c>
      <c r="P754" s="140" t="str">
        <f>IF(C754="","",IF(N(J754)&gt;0,J754+ROW()/1E9,""))</f>
        <v/>
      </c>
      <c r="Q754" s="140" t="str">
        <f>IF(C754="","",IF(N(M754)&gt;0,M754+ROW()/1E9,""))</f>
        <v/>
      </c>
    </row>
    <row r="755">
      <c r="A755" s="141" t="str">
        <f>IF(C755="","","REITs")</f>
        <v/>
      </c>
      <c r="B755" s="141" t="str">
        <f>IF(C755="","","Exterior")</f>
        <v/>
      </c>
      <c r="C755" s="141" t="str">
        <f>IF('06 REITs'!A58="","",'06 REITs'!A58&amp;"")</f>
        <v/>
      </c>
      <c r="D755" s="141" t="str">
        <f>IF(C755="","",'06 REITs'!B58&amp;"")</f>
        <v/>
      </c>
      <c r="E755" s="141" t="str">
        <f>IF(C755="","",'06 REITs'!C58&amp;"")</f>
        <v/>
      </c>
      <c r="F755" s="141" t="str">
        <f>IF(C755="","",'06 REITs'!V58)</f>
        <v/>
      </c>
      <c r="G755" s="142" t="str">
        <f>IF(C755="","",'06 REITs'!E58)</f>
        <v/>
      </c>
      <c r="H755" s="143" t="str">
        <f>IF(C755="","",'06 REITs'!H58)</f>
        <v/>
      </c>
      <c r="I755" s="144" t="str">
        <f>IF(C755="","",'06 REITs'!J58)</f>
        <v/>
      </c>
      <c r="J755" s="145" t="str">
        <f>IF(C755="","",'06 REITs'!K58)</f>
        <v/>
      </c>
      <c r="K755" s="145" t="str">
        <f>IF(C755="","",'06 REITs'!Q58)</f>
        <v/>
      </c>
      <c r="L755" s="142" t="str">
        <f>IF(C755="","",'06 REITs'!R58)</f>
        <v/>
      </c>
      <c r="M755" s="145" t="str">
        <f>IF(C755="","",'06 REITs'!T58)</f>
        <v/>
      </c>
      <c r="N755" s="146" t="str">
        <f>IF(C755="","",IF($J$3&gt;0,J755/$J$3,0))</f>
        <v/>
      </c>
      <c r="O755" s="141" t="str">
        <f>IF(C755="","",'06 REITs'!I58)</f>
        <v/>
      </c>
      <c r="P755" s="147" t="str">
        <f>IF(C755="","",IF(N(J755)&gt;0,J755+ROW()/1E9,""))</f>
        <v/>
      </c>
      <c r="Q755" s="147" t="str">
        <f>IF(C755="","",IF(N(M755)&gt;0,M755+ROW()/1E9,""))</f>
        <v/>
      </c>
    </row>
    <row r="756">
      <c r="A756" s="134" t="str">
        <f>IF(C756="","","REITs")</f>
        <v/>
      </c>
      <c r="B756" s="134" t="str">
        <f>IF(C756="","","Exterior")</f>
        <v/>
      </c>
      <c r="C756" s="134" t="str">
        <f>IF('06 REITs'!A59="","",'06 REITs'!A59&amp;"")</f>
        <v/>
      </c>
      <c r="D756" s="134" t="str">
        <f>IF(C756="","",'06 REITs'!B59&amp;"")</f>
        <v/>
      </c>
      <c r="E756" s="134" t="str">
        <f>IF(C756="","",'06 REITs'!C59&amp;"")</f>
        <v/>
      </c>
      <c r="F756" s="134" t="str">
        <f>IF(C756="","",'06 REITs'!V59)</f>
        <v/>
      </c>
      <c r="G756" s="135" t="str">
        <f>IF(C756="","",'06 REITs'!E59)</f>
        <v/>
      </c>
      <c r="H756" s="136" t="str">
        <f>IF(C756="","",'06 REITs'!H59)</f>
        <v/>
      </c>
      <c r="I756" s="137" t="str">
        <f>IF(C756="","",'06 REITs'!J59)</f>
        <v/>
      </c>
      <c r="J756" s="138" t="str">
        <f>IF(C756="","",'06 REITs'!K59)</f>
        <v/>
      </c>
      <c r="K756" s="138" t="str">
        <f>IF(C756="","",'06 REITs'!Q59)</f>
        <v/>
      </c>
      <c r="L756" s="135" t="str">
        <f>IF(C756="","",'06 REITs'!R59)</f>
        <v/>
      </c>
      <c r="M756" s="138" t="str">
        <f>IF(C756="","",'06 REITs'!T59)</f>
        <v/>
      </c>
      <c r="N756" s="139" t="str">
        <f>IF(C756="","",IF($J$3&gt;0,J756/$J$3,0))</f>
        <v/>
      </c>
      <c r="O756" s="134" t="str">
        <f>IF(C756="","",'06 REITs'!I59)</f>
        <v/>
      </c>
      <c r="P756" s="140" t="str">
        <f>IF(C756="","",IF(N(J756)&gt;0,J756+ROW()/1E9,""))</f>
        <v/>
      </c>
      <c r="Q756" s="140" t="str">
        <f>IF(C756="","",IF(N(M756)&gt;0,M756+ROW()/1E9,""))</f>
        <v/>
      </c>
    </row>
    <row r="757">
      <c r="A757" s="141" t="str">
        <f>IF(C757="","","REITs")</f>
        <v/>
      </c>
      <c r="B757" s="141" t="str">
        <f>IF(C757="","","Exterior")</f>
        <v/>
      </c>
      <c r="C757" s="141" t="str">
        <f>IF('06 REITs'!A60="","",'06 REITs'!A60&amp;"")</f>
        <v/>
      </c>
      <c r="D757" s="141" t="str">
        <f>IF(C757="","",'06 REITs'!B60&amp;"")</f>
        <v/>
      </c>
      <c r="E757" s="141" t="str">
        <f>IF(C757="","",'06 REITs'!C60&amp;"")</f>
        <v/>
      </c>
      <c r="F757" s="141" t="str">
        <f>IF(C757="","",'06 REITs'!V60)</f>
        <v/>
      </c>
      <c r="G757" s="142" t="str">
        <f>IF(C757="","",'06 REITs'!E60)</f>
        <v/>
      </c>
      <c r="H757" s="143" t="str">
        <f>IF(C757="","",'06 REITs'!H60)</f>
        <v/>
      </c>
      <c r="I757" s="144" t="str">
        <f>IF(C757="","",'06 REITs'!J60)</f>
        <v/>
      </c>
      <c r="J757" s="145" t="str">
        <f>IF(C757="","",'06 REITs'!K60)</f>
        <v/>
      </c>
      <c r="K757" s="145" t="str">
        <f>IF(C757="","",'06 REITs'!Q60)</f>
        <v/>
      </c>
      <c r="L757" s="142" t="str">
        <f>IF(C757="","",'06 REITs'!R60)</f>
        <v/>
      </c>
      <c r="M757" s="145" t="str">
        <f>IF(C757="","",'06 REITs'!T60)</f>
        <v/>
      </c>
      <c r="N757" s="146" t="str">
        <f>IF(C757="","",IF($J$3&gt;0,J757/$J$3,0))</f>
        <v/>
      </c>
      <c r="O757" s="141" t="str">
        <f>IF(C757="","",'06 REITs'!I60)</f>
        <v/>
      </c>
      <c r="P757" s="147" t="str">
        <f>IF(C757="","",IF(N(J757)&gt;0,J757+ROW()/1E9,""))</f>
        <v/>
      </c>
      <c r="Q757" s="147" t="str">
        <f>IF(C757="","",IF(N(M757)&gt;0,M757+ROW()/1E9,""))</f>
        <v/>
      </c>
    </row>
    <row r="758">
      <c r="A758" s="134" t="str">
        <f>IF(C758="","","REITs")</f>
        <v/>
      </c>
      <c r="B758" s="134" t="str">
        <f>IF(C758="","","Exterior")</f>
        <v/>
      </c>
      <c r="C758" s="134" t="str">
        <f>IF('06 REITs'!A61="","",'06 REITs'!A61&amp;"")</f>
        <v/>
      </c>
      <c r="D758" s="134" t="str">
        <f>IF(C758="","",'06 REITs'!B61&amp;"")</f>
        <v/>
      </c>
      <c r="E758" s="134" t="str">
        <f>IF(C758="","",'06 REITs'!C61&amp;"")</f>
        <v/>
      </c>
      <c r="F758" s="134" t="str">
        <f>IF(C758="","",'06 REITs'!V61)</f>
        <v/>
      </c>
      <c r="G758" s="135" t="str">
        <f>IF(C758="","",'06 REITs'!E61)</f>
        <v/>
      </c>
      <c r="H758" s="136" t="str">
        <f>IF(C758="","",'06 REITs'!H61)</f>
        <v/>
      </c>
      <c r="I758" s="137" t="str">
        <f>IF(C758="","",'06 REITs'!J61)</f>
        <v/>
      </c>
      <c r="J758" s="138" t="str">
        <f>IF(C758="","",'06 REITs'!K61)</f>
        <v/>
      </c>
      <c r="K758" s="138" t="str">
        <f>IF(C758="","",'06 REITs'!Q61)</f>
        <v/>
      </c>
      <c r="L758" s="135" t="str">
        <f>IF(C758="","",'06 REITs'!R61)</f>
        <v/>
      </c>
      <c r="M758" s="138" t="str">
        <f>IF(C758="","",'06 REITs'!T61)</f>
        <v/>
      </c>
      <c r="N758" s="139" t="str">
        <f>IF(C758="","",IF($J$3&gt;0,J758/$J$3,0))</f>
        <v/>
      </c>
      <c r="O758" s="134" t="str">
        <f>IF(C758="","",'06 REITs'!I61)</f>
        <v/>
      </c>
      <c r="P758" s="140" t="str">
        <f>IF(C758="","",IF(N(J758)&gt;0,J758+ROW()/1E9,""))</f>
        <v/>
      </c>
      <c r="Q758" s="140" t="str">
        <f>IF(C758="","",IF(N(M758)&gt;0,M758+ROW()/1E9,""))</f>
        <v/>
      </c>
    </row>
    <row r="759">
      <c r="A759" s="141" t="str">
        <f>IF(C759="","","REITs")</f>
        <v/>
      </c>
      <c r="B759" s="141" t="str">
        <f>IF(C759="","","Exterior")</f>
        <v/>
      </c>
      <c r="C759" s="141" t="str">
        <f>IF('06 REITs'!A62="","",'06 REITs'!A62&amp;"")</f>
        <v/>
      </c>
      <c r="D759" s="141" t="str">
        <f>IF(C759="","",'06 REITs'!B62&amp;"")</f>
        <v/>
      </c>
      <c r="E759" s="141" t="str">
        <f>IF(C759="","",'06 REITs'!C62&amp;"")</f>
        <v/>
      </c>
      <c r="F759" s="141" t="str">
        <f>IF(C759="","",'06 REITs'!V62)</f>
        <v/>
      </c>
      <c r="G759" s="142" t="str">
        <f>IF(C759="","",'06 REITs'!E62)</f>
        <v/>
      </c>
      <c r="H759" s="143" t="str">
        <f>IF(C759="","",'06 REITs'!H62)</f>
        <v/>
      </c>
      <c r="I759" s="144" t="str">
        <f>IF(C759="","",'06 REITs'!J62)</f>
        <v/>
      </c>
      <c r="J759" s="145" t="str">
        <f>IF(C759="","",'06 REITs'!K62)</f>
        <v/>
      </c>
      <c r="K759" s="145" t="str">
        <f>IF(C759="","",'06 REITs'!Q62)</f>
        <v/>
      </c>
      <c r="L759" s="142" t="str">
        <f>IF(C759="","",'06 REITs'!R62)</f>
        <v/>
      </c>
      <c r="M759" s="145" t="str">
        <f>IF(C759="","",'06 REITs'!T62)</f>
        <v/>
      </c>
      <c r="N759" s="146" t="str">
        <f>IF(C759="","",IF($J$3&gt;0,J759/$J$3,0))</f>
        <v/>
      </c>
      <c r="O759" s="141" t="str">
        <f>IF(C759="","",'06 REITs'!I62)</f>
        <v/>
      </c>
      <c r="P759" s="147" t="str">
        <f>IF(C759="","",IF(N(J759)&gt;0,J759+ROW()/1E9,""))</f>
        <v/>
      </c>
      <c r="Q759" s="147" t="str">
        <f>IF(C759="","",IF(N(M759)&gt;0,M759+ROW()/1E9,""))</f>
        <v/>
      </c>
    </row>
    <row r="760">
      <c r="A760" s="134" t="str">
        <f>IF(C760="","","REITs")</f>
        <v/>
      </c>
      <c r="B760" s="134" t="str">
        <f>IF(C760="","","Exterior")</f>
        <v/>
      </c>
      <c r="C760" s="134" t="str">
        <f>IF('06 REITs'!A63="","",'06 REITs'!A63&amp;"")</f>
        <v/>
      </c>
      <c r="D760" s="134" t="str">
        <f>IF(C760="","",'06 REITs'!B63&amp;"")</f>
        <v/>
      </c>
      <c r="E760" s="134" t="str">
        <f>IF(C760="","",'06 REITs'!C63&amp;"")</f>
        <v/>
      </c>
      <c r="F760" s="134" t="str">
        <f>IF(C760="","",'06 REITs'!V63)</f>
        <v/>
      </c>
      <c r="G760" s="135" t="str">
        <f>IF(C760="","",'06 REITs'!E63)</f>
        <v/>
      </c>
      <c r="H760" s="136" t="str">
        <f>IF(C760="","",'06 REITs'!H63)</f>
        <v/>
      </c>
      <c r="I760" s="137" t="str">
        <f>IF(C760="","",'06 REITs'!J63)</f>
        <v/>
      </c>
      <c r="J760" s="138" t="str">
        <f>IF(C760="","",'06 REITs'!K63)</f>
        <v/>
      </c>
      <c r="K760" s="138" t="str">
        <f>IF(C760="","",'06 REITs'!Q63)</f>
        <v/>
      </c>
      <c r="L760" s="135" t="str">
        <f>IF(C760="","",'06 REITs'!R63)</f>
        <v/>
      </c>
      <c r="M760" s="138" t="str">
        <f>IF(C760="","",'06 REITs'!T63)</f>
        <v/>
      </c>
      <c r="N760" s="139" t="str">
        <f>IF(C760="","",IF($J$3&gt;0,J760/$J$3,0))</f>
        <v/>
      </c>
      <c r="O760" s="134" t="str">
        <f>IF(C760="","",'06 REITs'!I63)</f>
        <v/>
      </c>
      <c r="P760" s="140" t="str">
        <f>IF(C760="","",IF(N(J760)&gt;0,J760+ROW()/1E9,""))</f>
        <v/>
      </c>
      <c r="Q760" s="140" t="str">
        <f>IF(C760="","",IF(N(M760)&gt;0,M760+ROW()/1E9,""))</f>
        <v/>
      </c>
    </row>
    <row r="761">
      <c r="A761" s="141" t="str">
        <f>IF(C761="","","REITs")</f>
        <v/>
      </c>
      <c r="B761" s="141" t="str">
        <f>IF(C761="","","Exterior")</f>
        <v/>
      </c>
      <c r="C761" s="141" t="str">
        <f>IF('06 REITs'!A64="","",'06 REITs'!A64&amp;"")</f>
        <v/>
      </c>
      <c r="D761" s="141" t="str">
        <f>IF(C761="","",'06 REITs'!B64&amp;"")</f>
        <v/>
      </c>
      <c r="E761" s="141" t="str">
        <f>IF(C761="","",'06 REITs'!C64&amp;"")</f>
        <v/>
      </c>
      <c r="F761" s="141" t="str">
        <f>IF(C761="","",'06 REITs'!V64)</f>
        <v/>
      </c>
      <c r="G761" s="142" t="str">
        <f>IF(C761="","",'06 REITs'!E64)</f>
        <v/>
      </c>
      <c r="H761" s="143" t="str">
        <f>IF(C761="","",'06 REITs'!H64)</f>
        <v/>
      </c>
      <c r="I761" s="144" t="str">
        <f>IF(C761="","",'06 REITs'!J64)</f>
        <v/>
      </c>
      <c r="J761" s="145" t="str">
        <f>IF(C761="","",'06 REITs'!K64)</f>
        <v/>
      </c>
      <c r="K761" s="145" t="str">
        <f>IF(C761="","",'06 REITs'!Q64)</f>
        <v/>
      </c>
      <c r="L761" s="142" t="str">
        <f>IF(C761="","",'06 REITs'!R64)</f>
        <v/>
      </c>
      <c r="M761" s="145" t="str">
        <f>IF(C761="","",'06 REITs'!T64)</f>
        <v/>
      </c>
      <c r="N761" s="146" t="str">
        <f>IF(C761="","",IF($J$3&gt;0,J761/$J$3,0))</f>
        <v/>
      </c>
      <c r="O761" s="141" t="str">
        <f>IF(C761="","",'06 REITs'!I64)</f>
        <v/>
      </c>
      <c r="P761" s="147" t="str">
        <f>IF(C761="","",IF(N(J761)&gt;0,J761+ROW()/1E9,""))</f>
        <v/>
      </c>
      <c r="Q761" s="147" t="str">
        <f>IF(C761="","",IF(N(M761)&gt;0,M761+ROW()/1E9,""))</f>
        <v/>
      </c>
    </row>
    <row r="762">
      <c r="A762" s="134" t="str">
        <f>IF(C762="","","REITs")</f>
        <v/>
      </c>
      <c r="B762" s="134" t="str">
        <f>IF(C762="","","Exterior")</f>
        <v/>
      </c>
      <c r="C762" s="134" t="str">
        <f>IF('06 REITs'!A65="","",'06 REITs'!A65&amp;"")</f>
        <v/>
      </c>
      <c r="D762" s="134" t="str">
        <f>IF(C762="","",'06 REITs'!B65&amp;"")</f>
        <v/>
      </c>
      <c r="E762" s="134" t="str">
        <f>IF(C762="","",'06 REITs'!C65&amp;"")</f>
        <v/>
      </c>
      <c r="F762" s="134" t="str">
        <f>IF(C762="","",'06 REITs'!V65)</f>
        <v/>
      </c>
      <c r="G762" s="135" t="str">
        <f>IF(C762="","",'06 REITs'!E65)</f>
        <v/>
      </c>
      <c r="H762" s="136" t="str">
        <f>IF(C762="","",'06 REITs'!H65)</f>
        <v/>
      </c>
      <c r="I762" s="137" t="str">
        <f>IF(C762="","",'06 REITs'!J65)</f>
        <v/>
      </c>
      <c r="J762" s="138" t="str">
        <f>IF(C762="","",'06 REITs'!K65)</f>
        <v/>
      </c>
      <c r="K762" s="138" t="str">
        <f>IF(C762="","",'06 REITs'!Q65)</f>
        <v/>
      </c>
      <c r="L762" s="135" t="str">
        <f>IF(C762="","",'06 REITs'!R65)</f>
        <v/>
      </c>
      <c r="M762" s="138" t="str">
        <f>IF(C762="","",'06 REITs'!T65)</f>
        <v/>
      </c>
      <c r="N762" s="139" t="str">
        <f>IF(C762="","",IF($J$3&gt;0,J762/$J$3,0))</f>
        <v/>
      </c>
      <c r="O762" s="134" t="str">
        <f>IF(C762="","",'06 REITs'!I65)</f>
        <v/>
      </c>
      <c r="P762" s="140" t="str">
        <f>IF(C762="","",IF(N(J762)&gt;0,J762+ROW()/1E9,""))</f>
        <v/>
      </c>
      <c r="Q762" s="140" t="str">
        <f>IF(C762="","",IF(N(M762)&gt;0,M762+ROW()/1E9,""))</f>
        <v/>
      </c>
    </row>
    <row r="763">
      <c r="A763" s="141" t="str">
        <f>IF(C763="","","REITs")</f>
        <v/>
      </c>
      <c r="B763" s="141" t="str">
        <f>IF(C763="","","Exterior")</f>
        <v/>
      </c>
      <c r="C763" s="141" t="str">
        <f>IF('06 REITs'!A66="","",'06 REITs'!A66&amp;"")</f>
        <v/>
      </c>
      <c r="D763" s="141" t="str">
        <f>IF(C763="","",'06 REITs'!B66&amp;"")</f>
        <v/>
      </c>
      <c r="E763" s="141" t="str">
        <f>IF(C763="","",'06 REITs'!C66&amp;"")</f>
        <v/>
      </c>
      <c r="F763" s="141" t="str">
        <f>IF(C763="","",'06 REITs'!V66)</f>
        <v/>
      </c>
      <c r="G763" s="142" t="str">
        <f>IF(C763="","",'06 REITs'!E66)</f>
        <v/>
      </c>
      <c r="H763" s="143" t="str">
        <f>IF(C763="","",'06 REITs'!H66)</f>
        <v/>
      </c>
      <c r="I763" s="144" t="str">
        <f>IF(C763="","",'06 REITs'!J66)</f>
        <v/>
      </c>
      <c r="J763" s="145" t="str">
        <f>IF(C763="","",'06 REITs'!K66)</f>
        <v/>
      </c>
      <c r="K763" s="145" t="str">
        <f>IF(C763="","",'06 REITs'!Q66)</f>
        <v/>
      </c>
      <c r="L763" s="142" t="str">
        <f>IF(C763="","",'06 REITs'!R66)</f>
        <v/>
      </c>
      <c r="M763" s="145" t="str">
        <f>IF(C763="","",'06 REITs'!T66)</f>
        <v/>
      </c>
      <c r="N763" s="146" t="str">
        <f>IF(C763="","",IF($J$3&gt;0,J763/$J$3,0))</f>
        <v/>
      </c>
      <c r="O763" s="141" t="str">
        <f>IF(C763="","",'06 REITs'!I66)</f>
        <v/>
      </c>
      <c r="P763" s="147" t="str">
        <f>IF(C763="","",IF(N(J763)&gt;0,J763+ROW()/1E9,""))</f>
        <v/>
      </c>
      <c r="Q763" s="147" t="str">
        <f>IF(C763="","",IF(N(M763)&gt;0,M763+ROW()/1E9,""))</f>
        <v/>
      </c>
    </row>
    <row r="764">
      <c r="A764" s="134" t="str">
        <f>IF(C764="","","REITs")</f>
        <v/>
      </c>
      <c r="B764" s="134" t="str">
        <f>IF(C764="","","Exterior")</f>
        <v/>
      </c>
      <c r="C764" s="134" t="str">
        <f>IF('06 REITs'!A67="","",'06 REITs'!A67&amp;"")</f>
        <v/>
      </c>
      <c r="D764" s="134" t="str">
        <f>IF(C764="","",'06 REITs'!B67&amp;"")</f>
        <v/>
      </c>
      <c r="E764" s="134" t="str">
        <f>IF(C764="","",'06 REITs'!C67&amp;"")</f>
        <v/>
      </c>
      <c r="F764" s="134" t="str">
        <f>IF(C764="","",'06 REITs'!V67)</f>
        <v/>
      </c>
      <c r="G764" s="135" t="str">
        <f>IF(C764="","",'06 REITs'!E67)</f>
        <v/>
      </c>
      <c r="H764" s="136" t="str">
        <f>IF(C764="","",'06 REITs'!H67)</f>
        <v/>
      </c>
      <c r="I764" s="137" t="str">
        <f>IF(C764="","",'06 REITs'!J67)</f>
        <v/>
      </c>
      <c r="J764" s="138" t="str">
        <f>IF(C764="","",'06 REITs'!K67)</f>
        <v/>
      </c>
      <c r="K764" s="138" t="str">
        <f>IF(C764="","",'06 REITs'!Q67)</f>
        <v/>
      </c>
      <c r="L764" s="135" t="str">
        <f>IF(C764="","",'06 REITs'!R67)</f>
        <v/>
      </c>
      <c r="M764" s="138" t="str">
        <f>IF(C764="","",'06 REITs'!T67)</f>
        <v/>
      </c>
      <c r="N764" s="139" t="str">
        <f>IF(C764="","",IF($J$3&gt;0,J764/$J$3,0))</f>
        <v/>
      </c>
      <c r="O764" s="134" t="str">
        <f>IF(C764="","",'06 REITs'!I67)</f>
        <v/>
      </c>
      <c r="P764" s="140" t="str">
        <f>IF(C764="","",IF(N(J764)&gt;0,J764+ROW()/1E9,""))</f>
        <v/>
      </c>
      <c r="Q764" s="140" t="str">
        <f>IF(C764="","",IF(N(M764)&gt;0,M764+ROW()/1E9,""))</f>
        <v/>
      </c>
    </row>
    <row r="765">
      <c r="A765" s="141" t="str">
        <f>IF(C765="","","REITs")</f>
        <v/>
      </c>
      <c r="B765" s="141" t="str">
        <f>IF(C765="","","Exterior")</f>
        <v/>
      </c>
      <c r="C765" s="141" t="str">
        <f>IF('06 REITs'!A68="","",'06 REITs'!A68&amp;"")</f>
        <v/>
      </c>
      <c r="D765" s="141" t="str">
        <f>IF(C765="","",'06 REITs'!B68&amp;"")</f>
        <v/>
      </c>
      <c r="E765" s="141" t="str">
        <f>IF(C765="","",'06 REITs'!C68&amp;"")</f>
        <v/>
      </c>
      <c r="F765" s="141" t="str">
        <f>IF(C765="","",'06 REITs'!V68)</f>
        <v/>
      </c>
      <c r="G765" s="142" t="str">
        <f>IF(C765="","",'06 REITs'!E68)</f>
        <v/>
      </c>
      <c r="H765" s="143" t="str">
        <f>IF(C765="","",'06 REITs'!H68)</f>
        <v/>
      </c>
      <c r="I765" s="144" t="str">
        <f>IF(C765="","",'06 REITs'!J68)</f>
        <v/>
      </c>
      <c r="J765" s="145" t="str">
        <f>IF(C765="","",'06 REITs'!K68)</f>
        <v/>
      </c>
      <c r="K765" s="145" t="str">
        <f>IF(C765="","",'06 REITs'!Q68)</f>
        <v/>
      </c>
      <c r="L765" s="142" t="str">
        <f>IF(C765="","",'06 REITs'!R68)</f>
        <v/>
      </c>
      <c r="M765" s="145" t="str">
        <f>IF(C765="","",'06 REITs'!T68)</f>
        <v/>
      </c>
      <c r="N765" s="146" t="str">
        <f>IF(C765="","",IF($J$3&gt;0,J765/$J$3,0))</f>
        <v/>
      </c>
      <c r="O765" s="141" t="str">
        <f>IF(C765="","",'06 REITs'!I68)</f>
        <v/>
      </c>
      <c r="P765" s="147" t="str">
        <f>IF(C765="","",IF(N(J765)&gt;0,J765+ROW()/1E9,""))</f>
        <v/>
      </c>
      <c r="Q765" s="147" t="str">
        <f>IF(C765="","",IF(N(M765)&gt;0,M765+ROW()/1E9,""))</f>
        <v/>
      </c>
    </row>
    <row r="766">
      <c r="A766" s="134" t="str">
        <f>IF(C766="","","REITs")</f>
        <v/>
      </c>
      <c r="B766" s="134" t="str">
        <f>IF(C766="","","Exterior")</f>
        <v/>
      </c>
      <c r="C766" s="134" t="str">
        <f>IF('06 REITs'!A69="","",'06 REITs'!A69&amp;"")</f>
        <v/>
      </c>
      <c r="D766" s="134" t="str">
        <f>IF(C766="","",'06 REITs'!B69&amp;"")</f>
        <v/>
      </c>
      <c r="E766" s="134" t="str">
        <f>IF(C766="","",'06 REITs'!C69&amp;"")</f>
        <v/>
      </c>
      <c r="F766" s="134" t="str">
        <f>IF(C766="","",'06 REITs'!V69)</f>
        <v/>
      </c>
      <c r="G766" s="135" t="str">
        <f>IF(C766="","",'06 REITs'!E69)</f>
        <v/>
      </c>
      <c r="H766" s="136" t="str">
        <f>IF(C766="","",'06 REITs'!H69)</f>
        <v/>
      </c>
      <c r="I766" s="137" t="str">
        <f>IF(C766="","",'06 REITs'!J69)</f>
        <v/>
      </c>
      <c r="J766" s="138" t="str">
        <f>IF(C766="","",'06 REITs'!K69)</f>
        <v/>
      </c>
      <c r="K766" s="138" t="str">
        <f>IF(C766="","",'06 REITs'!Q69)</f>
        <v/>
      </c>
      <c r="L766" s="135" t="str">
        <f>IF(C766="","",'06 REITs'!R69)</f>
        <v/>
      </c>
      <c r="M766" s="138" t="str">
        <f>IF(C766="","",'06 REITs'!T69)</f>
        <v/>
      </c>
      <c r="N766" s="139" t="str">
        <f>IF(C766="","",IF($J$3&gt;0,J766/$J$3,0))</f>
        <v/>
      </c>
      <c r="O766" s="134" t="str">
        <f>IF(C766="","",'06 REITs'!I69)</f>
        <v/>
      </c>
      <c r="P766" s="140" t="str">
        <f>IF(C766="","",IF(N(J766)&gt;0,J766+ROW()/1E9,""))</f>
        <v/>
      </c>
      <c r="Q766" s="140" t="str">
        <f>IF(C766="","",IF(N(M766)&gt;0,M766+ROW()/1E9,""))</f>
        <v/>
      </c>
    </row>
    <row r="767">
      <c r="A767" s="141" t="str">
        <f>IF(C767="","","REITs")</f>
        <v/>
      </c>
      <c r="B767" s="141" t="str">
        <f>IF(C767="","","Exterior")</f>
        <v/>
      </c>
      <c r="C767" s="141" t="str">
        <f>IF('06 REITs'!A70="","",'06 REITs'!A70&amp;"")</f>
        <v/>
      </c>
      <c r="D767" s="141" t="str">
        <f>IF(C767="","",'06 REITs'!B70&amp;"")</f>
        <v/>
      </c>
      <c r="E767" s="141" t="str">
        <f>IF(C767="","",'06 REITs'!C70&amp;"")</f>
        <v/>
      </c>
      <c r="F767" s="141" t="str">
        <f>IF(C767="","",'06 REITs'!V70)</f>
        <v/>
      </c>
      <c r="G767" s="142" t="str">
        <f>IF(C767="","",'06 REITs'!E70)</f>
        <v/>
      </c>
      <c r="H767" s="143" t="str">
        <f>IF(C767="","",'06 REITs'!H70)</f>
        <v/>
      </c>
      <c r="I767" s="144" t="str">
        <f>IF(C767="","",'06 REITs'!J70)</f>
        <v/>
      </c>
      <c r="J767" s="145" t="str">
        <f>IF(C767="","",'06 REITs'!K70)</f>
        <v/>
      </c>
      <c r="K767" s="145" t="str">
        <f>IF(C767="","",'06 REITs'!Q70)</f>
        <v/>
      </c>
      <c r="L767" s="142" t="str">
        <f>IF(C767="","",'06 REITs'!R70)</f>
        <v/>
      </c>
      <c r="M767" s="145" t="str">
        <f>IF(C767="","",'06 REITs'!T70)</f>
        <v/>
      </c>
      <c r="N767" s="146" t="str">
        <f>IF(C767="","",IF($J$3&gt;0,J767/$J$3,0))</f>
        <v/>
      </c>
      <c r="O767" s="141" t="str">
        <f>IF(C767="","",'06 REITs'!I70)</f>
        <v/>
      </c>
      <c r="P767" s="147" t="str">
        <f>IF(C767="","",IF(N(J767)&gt;0,J767+ROW()/1E9,""))</f>
        <v/>
      </c>
      <c r="Q767" s="147" t="str">
        <f>IF(C767="","",IF(N(M767)&gt;0,M767+ROW()/1E9,""))</f>
        <v/>
      </c>
    </row>
    <row r="768">
      <c r="A768" s="134" t="str">
        <f>IF(C768="","","REITs")</f>
        <v/>
      </c>
      <c r="B768" s="134" t="str">
        <f>IF(C768="","","Exterior")</f>
        <v/>
      </c>
      <c r="C768" s="134" t="str">
        <f>IF('06 REITs'!A71="","",'06 REITs'!A71&amp;"")</f>
        <v/>
      </c>
      <c r="D768" s="134" t="str">
        <f>IF(C768="","",'06 REITs'!B71&amp;"")</f>
        <v/>
      </c>
      <c r="E768" s="134" t="str">
        <f>IF(C768="","",'06 REITs'!C71&amp;"")</f>
        <v/>
      </c>
      <c r="F768" s="134" t="str">
        <f>IF(C768="","",'06 REITs'!V71)</f>
        <v/>
      </c>
      <c r="G768" s="135" t="str">
        <f>IF(C768="","",'06 REITs'!E71)</f>
        <v/>
      </c>
      <c r="H768" s="136" t="str">
        <f>IF(C768="","",'06 REITs'!H71)</f>
        <v/>
      </c>
      <c r="I768" s="137" t="str">
        <f>IF(C768="","",'06 REITs'!J71)</f>
        <v/>
      </c>
      <c r="J768" s="138" t="str">
        <f>IF(C768="","",'06 REITs'!K71)</f>
        <v/>
      </c>
      <c r="K768" s="138" t="str">
        <f>IF(C768="","",'06 REITs'!Q71)</f>
        <v/>
      </c>
      <c r="L768" s="135" t="str">
        <f>IF(C768="","",'06 REITs'!R71)</f>
        <v/>
      </c>
      <c r="M768" s="138" t="str">
        <f>IF(C768="","",'06 REITs'!T71)</f>
        <v/>
      </c>
      <c r="N768" s="139" t="str">
        <f>IF(C768="","",IF($J$3&gt;0,J768/$J$3,0))</f>
        <v/>
      </c>
      <c r="O768" s="134" t="str">
        <f>IF(C768="","",'06 REITs'!I71)</f>
        <v/>
      </c>
      <c r="P768" s="140" t="str">
        <f>IF(C768="","",IF(N(J768)&gt;0,J768+ROW()/1E9,""))</f>
        <v/>
      </c>
      <c r="Q768" s="140" t="str">
        <f>IF(C768="","",IF(N(M768)&gt;0,M768+ROW()/1E9,""))</f>
        <v/>
      </c>
    </row>
    <row r="769">
      <c r="A769" s="141" t="str">
        <f>IF(C769="","","REITs")</f>
        <v/>
      </c>
      <c r="B769" s="141" t="str">
        <f>IF(C769="","","Exterior")</f>
        <v/>
      </c>
      <c r="C769" s="141" t="str">
        <f>IF('06 REITs'!A72="","",'06 REITs'!A72&amp;"")</f>
        <v/>
      </c>
      <c r="D769" s="141" t="str">
        <f>IF(C769="","",'06 REITs'!B72&amp;"")</f>
        <v/>
      </c>
      <c r="E769" s="141" t="str">
        <f>IF(C769="","",'06 REITs'!C72&amp;"")</f>
        <v/>
      </c>
      <c r="F769" s="141" t="str">
        <f>IF(C769="","",'06 REITs'!V72)</f>
        <v/>
      </c>
      <c r="G769" s="142" t="str">
        <f>IF(C769="","",'06 REITs'!E72)</f>
        <v/>
      </c>
      <c r="H769" s="143" t="str">
        <f>IF(C769="","",'06 REITs'!H72)</f>
        <v/>
      </c>
      <c r="I769" s="144" t="str">
        <f>IF(C769="","",'06 REITs'!J72)</f>
        <v/>
      </c>
      <c r="J769" s="145" t="str">
        <f>IF(C769="","",'06 REITs'!K72)</f>
        <v/>
      </c>
      <c r="K769" s="145" t="str">
        <f>IF(C769="","",'06 REITs'!Q72)</f>
        <v/>
      </c>
      <c r="L769" s="142" t="str">
        <f>IF(C769="","",'06 REITs'!R72)</f>
        <v/>
      </c>
      <c r="M769" s="145" t="str">
        <f>IF(C769="","",'06 REITs'!T72)</f>
        <v/>
      </c>
      <c r="N769" s="146" t="str">
        <f>IF(C769="","",IF($J$3&gt;0,J769/$J$3,0))</f>
        <v/>
      </c>
      <c r="O769" s="141" t="str">
        <f>IF(C769="","",'06 REITs'!I72)</f>
        <v/>
      </c>
      <c r="P769" s="147" t="str">
        <f>IF(C769="","",IF(N(J769)&gt;0,J769+ROW()/1E9,""))</f>
        <v/>
      </c>
      <c r="Q769" s="147" t="str">
        <f>IF(C769="","",IF(N(M769)&gt;0,M769+ROW()/1E9,""))</f>
        <v/>
      </c>
    </row>
    <row r="770">
      <c r="A770" s="134" t="str">
        <f>IF(C770="","","REITs")</f>
        <v/>
      </c>
      <c r="B770" s="134" t="str">
        <f>IF(C770="","","Exterior")</f>
        <v/>
      </c>
      <c r="C770" s="134" t="str">
        <f>IF('06 REITs'!A73="","",'06 REITs'!A73&amp;"")</f>
        <v/>
      </c>
      <c r="D770" s="134" t="str">
        <f>IF(C770="","",'06 REITs'!B73&amp;"")</f>
        <v/>
      </c>
      <c r="E770" s="134" t="str">
        <f>IF(C770="","",'06 REITs'!C73&amp;"")</f>
        <v/>
      </c>
      <c r="F770" s="134" t="str">
        <f>IF(C770="","",'06 REITs'!V73)</f>
        <v/>
      </c>
      <c r="G770" s="135" t="str">
        <f>IF(C770="","",'06 REITs'!E73)</f>
        <v/>
      </c>
      <c r="H770" s="136" t="str">
        <f>IF(C770="","",'06 REITs'!H73)</f>
        <v/>
      </c>
      <c r="I770" s="137" t="str">
        <f>IF(C770="","",'06 REITs'!J73)</f>
        <v/>
      </c>
      <c r="J770" s="138" t="str">
        <f>IF(C770="","",'06 REITs'!K73)</f>
        <v/>
      </c>
      <c r="K770" s="138" t="str">
        <f>IF(C770="","",'06 REITs'!Q73)</f>
        <v/>
      </c>
      <c r="L770" s="135" t="str">
        <f>IF(C770="","",'06 REITs'!R73)</f>
        <v/>
      </c>
      <c r="M770" s="138" t="str">
        <f>IF(C770="","",'06 REITs'!T73)</f>
        <v/>
      </c>
      <c r="N770" s="139" t="str">
        <f>IF(C770="","",IF($J$3&gt;0,J770/$J$3,0))</f>
        <v/>
      </c>
      <c r="O770" s="134" t="str">
        <f>IF(C770="","",'06 REITs'!I73)</f>
        <v/>
      </c>
      <c r="P770" s="140" t="str">
        <f>IF(C770="","",IF(N(J770)&gt;0,J770+ROW()/1E9,""))</f>
        <v/>
      </c>
      <c r="Q770" s="140" t="str">
        <f>IF(C770="","",IF(N(M770)&gt;0,M770+ROW()/1E9,""))</f>
        <v/>
      </c>
    </row>
    <row r="771">
      <c r="A771" s="141" t="str">
        <f>IF(C771="","","REITs")</f>
        <v/>
      </c>
      <c r="B771" s="141" t="str">
        <f>IF(C771="","","Exterior")</f>
        <v/>
      </c>
      <c r="C771" s="141" t="str">
        <f>IF('06 REITs'!A74="","",'06 REITs'!A74&amp;"")</f>
        <v/>
      </c>
      <c r="D771" s="141" t="str">
        <f>IF(C771="","",'06 REITs'!B74&amp;"")</f>
        <v/>
      </c>
      <c r="E771" s="141" t="str">
        <f>IF(C771="","",'06 REITs'!C74&amp;"")</f>
        <v/>
      </c>
      <c r="F771" s="141" t="str">
        <f>IF(C771="","",'06 REITs'!V74)</f>
        <v/>
      </c>
      <c r="G771" s="142" t="str">
        <f>IF(C771="","",'06 REITs'!E74)</f>
        <v/>
      </c>
      <c r="H771" s="143" t="str">
        <f>IF(C771="","",'06 REITs'!H74)</f>
        <v/>
      </c>
      <c r="I771" s="144" t="str">
        <f>IF(C771="","",'06 REITs'!J74)</f>
        <v/>
      </c>
      <c r="J771" s="145" t="str">
        <f>IF(C771="","",'06 REITs'!K74)</f>
        <v/>
      </c>
      <c r="K771" s="145" t="str">
        <f>IF(C771="","",'06 REITs'!Q74)</f>
        <v/>
      </c>
      <c r="L771" s="142" t="str">
        <f>IF(C771="","",'06 REITs'!R74)</f>
        <v/>
      </c>
      <c r="M771" s="145" t="str">
        <f>IF(C771="","",'06 REITs'!T74)</f>
        <v/>
      </c>
      <c r="N771" s="146" t="str">
        <f>IF(C771="","",IF($J$3&gt;0,J771/$J$3,0))</f>
        <v/>
      </c>
      <c r="O771" s="141" t="str">
        <f>IF(C771="","",'06 REITs'!I74)</f>
        <v/>
      </c>
      <c r="P771" s="147" t="str">
        <f>IF(C771="","",IF(N(J771)&gt;0,J771+ROW()/1E9,""))</f>
        <v/>
      </c>
      <c r="Q771" s="147" t="str">
        <f>IF(C771="","",IF(N(M771)&gt;0,M771+ROW()/1E9,""))</f>
        <v/>
      </c>
    </row>
    <row r="772">
      <c r="A772" s="134" t="str">
        <f>IF(C772="","","REITs")</f>
        <v/>
      </c>
      <c r="B772" s="134" t="str">
        <f>IF(C772="","","Exterior")</f>
        <v/>
      </c>
      <c r="C772" s="134" t="str">
        <f>IF('06 REITs'!A75="","",'06 REITs'!A75&amp;"")</f>
        <v/>
      </c>
      <c r="D772" s="134" t="str">
        <f>IF(C772="","",'06 REITs'!B75&amp;"")</f>
        <v/>
      </c>
      <c r="E772" s="134" t="str">
        <f>IF(C772="","",'06 REITs'!C75&amp;"")</f>
        <v/>
      </c>
      <c r="F772" s="134" t="str">
        <f>IF(C772="","",'06 REITs'!V75)</f>
        <v/>
      </c>
      <c r="G772" s="135" t="str">
        <f>IF(C772="","",'06 REITs'!E75)</f>
        <v/>
      </c>
      <c r="H772" s="136" t="str">
        <f>IF(C772="","",'06 REITs'!H75)</f>
        <v/>
      </c>
      <c r="I772" s="137" t="str">
        <f>IF(C772="","",'06 REITs'!J75)</f>
        <v/>
      </c>
      <c r="J772" s="138" t="str">
        <f>IF(C772="","",'06 REITs'!K75)</f>
        <v/>
      </c>
      <c r="K772" s="138" t="str">
        <f>IF(C772="","",'06 REITs'!Q75)</f>
        <v/>
      </c>
      <c r="L772" s="135" t="str">
        <f>IF(C772="","",'06 REITs'!R75)</f>
        <v/>
      </c>
      <c r="M772" s="138" t="str">
        <f>IF(C772="","",'06 REITs'!T75)</f>
        <v/>
      </c>
      <c r="N772" s="139" t="str">
        <f>IF(C772="","",IF($J$3&gt;0,J772/$J$3,0))</f>
        <v/>
      </c>
      <c r="O772" s="134" t="str">
        <f>IF(C772="","",'06 REITs'!I75)</f>
        <v/>
      </c>
      <c r="P772" s="140" t="str">
        <f>IF(C772="","",IF(N(J772)&gt;0,J772+ROW()/1E9,""))</f>
        <v/>
      </c>
      <c r="Q772" s="140" t="str">
        <f>IF(C772="","",IF(N(M772)&gt;0,M772+ROW()/1E9,""))</f>
        <v/>
      </c>
    </row>
    <row r="773">
      <c r="A773" s="141" t="str">
        <f>IF(C773="","","REITs")</f>
        <v/>
      </c>
      <c r="B773" s="141" t="str">
        <f>IF(C773="","","Exterior")</f>
        <v/>
      </c>
      <c r="C773" s="141" t="str">
        <f>IF('06 REITs'!A76="","",'06 REITs'!A76&amp;"")</f>
        <v/>
      </c>
      <c r="D773" s="141" t="str">
        <f>IF(C773="","",'06 REITs'!B76&amp;"")</f>
        <v/>
      </c>
      <c r="E773" s="141" t="str">
        <f>IF(C773="","",'06 REITs'!C76&amp;"")</f>
        <v/>
      </c>
      <c r="F773" s="141" t="str">
        <f>IF(C773="","",'06 REITs'!V76)</f>
        <v/>
      </c>
      <c r="G773" s="142" t="str">
        <f>IF(C773="","",'06 REITs'!E76)</f>
        <v/>
      </c>
      <c r="H773" s="143" t="str">
        <f>IF(C773="","",'06 REITs'!H76)</f>
        <v/>
      </c>
      <c r="I773" s="144" t="str">
        <f>IF(C773="","",'06 REITs'!J76)</f>
        <v/>
      </c>
      <c r="J773" s="145" t="str">
        <f>IF(C773="","",'06 REITs'!K76)</f>
        <v/>
      </c>
      <c r="K773" s="145" t="str">
        <f>IF(C773="","",'06 REITs'!Q76)</f>
        <v/>
      </c>
      <c r="L773" s="142" t="str">
        <f>IF(C773="","",'06 REITs'!R76)</f>
        <v/>
      </c>
      <c r="M773" s="145" t="str">
        <f>IF(C773="","",'06 REITs'!T76)</f>
        <v/>
      </c>
      <c r="N773" s="146" t="str">
        <f>IF(C773="","",IF($J$3&gt;0,J773/$J$3,0))</f>
        <v/>
      </c>
      <c r="O773" s="141" t="str">
        <f>IF(C773="","",'06 REITs'!I76)</f>
        <v/>
      </c>
      <c r="P773" s="147" t="str">
        <f>IF(C773="","",IF(N(J773)&gt;0,J773+ROW()/1E9,""))</f>
        <v/>
      </c>
      <c r="Q773" s="147" t="str">
        <f>IF(C773="","",IF(N(M773)&gt;0,M773+ROW()/1E9,""))</f>
        <v/>
      </c>
    </row>
    <row r="774">
      <c r="A774" s="134" t="str">
        <f>IF(C774="","","REITs")</f>
        <v/>
      </c>
      <c r="B774" s="134" t="str">
        <f>IF(C774="","","Exterior")</f>
        <v/>
      </c>
      <c r="C774" s="134" t="str">
        <f>IF('06 REITs'!A77="","",'06 REITs'!A77&amp;"")</f>
        <v/>
      </c>
      <c r="D774" s="134" t="str">
        <f>IF(C774="","",'06 REITs'!B77&amp;"")</f>
        <v/>
      </c>
      <c r="E774" s="134" t="str">
        <f>IF(C774="","",'06 REITs'!C77&amp;"")</f>
        <v/>
      </c>
      <c r="F774" s="134" t="str">
        <f>IF(C774="","",'06 REITs'!V77)</f>
        <v/>
      </c>
      <c r="G774" s="135" t="str">
        <f>IF(C774="","",'06 REITs'!E77)</f>
        <v/>
      </c>
      <c r="H774" s="136" t="str">
        <f>IF(C774="","",'06 REITs'!H77)</f>
        <v/>
      </c>
      <c r="I774" s="137" t="str">
        <f>IF(C774="","",'06 REITs'!J77)</f>
        <v/>
      </c>
      <c r="J774" s="138" t="str">
        <f>IF(C774="","",'06 REITs'!K77)</f>
        <v/>
      </c>
      <c r="K774" s="138" t="str">
        <f>IF(C774="","",'06 REITs'!Q77)</f>
        <v/>
      </c>
      <c r="L774" s="135" t="str">
        <f>IF(C774="","",'06 REITs'!R77)</f>
        <v/>
      </c>
      <c r="M774" s="138" t="str">
        <f>IF(C774="","",'06 REITs'!T77)</f>
        <v/>
      </c>
      <c r="N774" s="139" t="str">
        <f>IF(C774="","",IF($J$3&gt;0,J774/$J$3,0))</f>
        <v/>
      </c>
      <c r="O774" s="134" t="str">
        <f>IF(C774="","",'06 REITs'!I77)</f>
        <v/>
      </c>
      <c r="P774" s="140" t="str">
        <f>IF(C774="","",IF(N(J774)&gt;0,J774+ROW()/1E9,""))</f>
        <v/>
      </c>
      <c r="Q774" s="140" t="str">
        <f>IF(C774="","",IF(N(M774)&gt;0,M774+ROW()/1E9,""))</f>
        <v/>
      </c>
    </row>
    <row r="775">
      <c r="A775" s="141" t="str">
        <f>IF(C775="","","REITs")</f>
        <v/>
      </c>
      <c r="B775" s="141" t="str">
        <f>IF(C775="","","Exterior")</f>
        <v/>
      </c>
      <c r="C775" s="141" t="str">
        <f>IF('06 REITs'!A78="","",'06 REITs'!A78&amp;"")</f>
        <v/>
      </c>
      <c r="D775" s="141" t="str">
        <f>IF(C775="","",'06 REITs'!B78&amp;"")</f>
        <v/>
      </c>
      <c r="E775" s="141" t="str">
        <f>IF(C775="","",'06 REITs'!C78&amp;"")</f>
        <v/>
      </c>
      <c r="F775" s="141" t="str">
        <f>IF(C775="","",'06 REITs'!V78)</f>
        <v/>
      </c>
      <c r="G775" s="142" t="str">
        <f>IF(C775="","",'06 REITs'!E78)</f>
        <v/>
      </c>
      <c r="H775" s="143" t="str">
        <f>IF(C775="","",'06 REITs'!H78)</f>
        <v/>
      </c>
      <c r="I775" s="144" t="str">
        <f>IF(C775="","",'06 REITs'!J78)</f>
        <v/>
      </c>
      <c r="J775" s="145" t="str">
        <f>IF(C775="","",'06 REITs'!K78)</f>
        <v/>
      </c>
      <c r="K775" s="145" t="str">
        <f>IF(C775="","",'06 REITs'!Q78)</f>
        <v/>
      </c>
      <c r="L775" s="142" t="str">
        <f>IF(C775="","",'06 REITs'!R78)</f>
        <v/>
      </c>
      <c r="M775" s="145" t="str">
        <f>IF(C775="","",'06 REITs'!T78)</f>
        <v/>
      </c>
      <c r="N775" s="146" t="str">
        <f>IF(C775="","",IF($J$3&gt;0,J775/$J$3,0))</f>
        <v/>
      </c>
      <c r="O775" s="141" t="str">
        <f>IF(C775="","",'06 REITs'!I78)</f>
        <v/>
      </c>
      <c r="P775" s="147" t="str">
        <f>IF(C775="","",IF(N(J775)&gt;0,J775+ROW()/1E9,""))</f>
        <v/>
      </c>
      <c r="Q775" s="147" t="str">
        <f>IF(C775="","",IF(N(M775)&gt;0,M775+ROW()/1E9,""))</f>
        <v/>
      </c>
    </row>
    <row r="776">
      <c r="A776" s="134" t="str">
        <f>IF(C776="","","REITs")</f>
        <v/>
      </c>
      <c r="B776" s="134" t="str">
        <f>IF(C776="","","Exterior")</f>
        <v/>
      </c>
      <c r="C776" s="134" t="str">
        <f>IF('06 REITs'!A79="","",'06 REITs'!A79&amp;"")</f>
        <v/>
      </c>
      <c r="D776" s="134" t="str">
        <f>IF(C776="","",'06 REITs'!B79&amp;"")</f>
        <v/>
      </c>
      <c r="E776" s="134" t="str">
        <f>IF(C776="","",'06 REITs'!C79&amp;"")</f>
        <v/>
      </c>
      <c r="F776" s="134" t="str">
        <f>IF(C776="","",'06 REITs'!V79)</f>
        <v/>
      </c>
      <c r="G776" s="135" t="str">
        <f>IF(C776="","",'06 REITs'!E79)</f>
        <v/>
      </c>
      <c r="H776" s="136" t="str">
        <f>IF(C776="","",'06 REITs'!H79)</f>
        <v/>
      </c>
      <c r="I776" s="137" t="str">
        <f>IF(C776="","",'06 REITs'!J79)</f>
        <v/>
      </c>
      <c r="J776" s="138" t="str">
        <f>IF(C776="","",'06 REITs'!K79)</f>
        <v/>
      </c>
      <c r="K776" s="138" t="str">
        <f>IF(C776="","",'06 REITs'!Q79)</f>
        <v/>
      </c>
      <c r="L776" s="135" t="str">
        <f>IF(C776="","",'06 REITs'!R79)</f>
        <v/>
      </c>
      <c r="M776" s="138" t="str">
        <f>IF(C776="","",'06 REITs'!T79)</f>
        <v/>
      </c>
      <c r="N776" s="139" t="str">
        <f>IF(C776="","",IF($J$3&gt;0,J776/$J$3,0))</f>
        <v/>
      </c>
      <c r="O776" s="134" t="str">
        <f>IF(C776="","",'06 REITs'!I79)</f>
        <v/>
      </c>
      <c r="P776" s="140" t="str">
        <f>IF(C776="","",IF(N(J776)&gt;0,J776+ROW()/1E9,""))</f>
        <v/>
      </c>
      <c r="Q776" s="140" t="str">
        <f>IF(C776="","",IF(N(M776)&gt;0,M776+ROW()/1E9,""))</f>
        <v/>
      </c>
    </row>
    <row r="777">
      <c r="A777" s="141" t="str">
        <f>IF(C777="","","REITs")</f>
        <v/>
      </c>
      <c r="B777" s="141" t="str">
        <f>IF(C777="","","Exterior")</f>
        <v/>
      </c>
      <c r="C777" s="141" t="str">
        <f>IF('06 REITs'!A80="","",'06 REITs'!A80&amp;"")</f>
        <v/>
      </c>
      <c r="D777" s="141" t="str">
        <f>IF(C777="","",'06 REITs'!B80&amp;"")</f>
        <v/>
      </c>
      <c r="E777" s="141" t="str">
        <f>IF(C777="","",'06 REITs'!C80&amp;"")</f>
        <v/>
      </c>
      <c r="F777" s="141" t="str">
        <f>IF(C777="","",'06 REITs'!V80)</f>
        <v/>
      </c>
      <c r="G777" s="142" t="str">
        <f>IF(C777="","",'06 REITs'!E80)</f>
        <v/>
      </c>
      <c r="H777" s="143" t="str">
        <f>IF(C777="","",'06 REITs'!H80)</f>
        <v/>
      </c>
      <c r="I777" s="144" t="str">
        <f>IF(C777="","",'06 REITs'!J80)</f>
        <v/>
      </c>
      <c r="J777" s="145" t="str">
        <f>IF(C777="","",'06 REITs'!K80)</f>
        <v/>
      </c>
      <c r="K777" s="145" t="str">
        <f>IF(C777="","",'06 REITs'!Q80)</f>
        <v/>
      </c>
      <c r="L777" s="142" t="str">
        <f>IF(C777="","",'06 REITs'!R80)</f>
        <v/>
      </c>
      <c r="M777" s="145" t="str">
        <f>IF(C777="","",'06 REITs'!T80)</f>
        <v/>
      </c>
      <c r="N777" s="146" t="str">
        <f>IF(C777="","",IF($J$3&gt;0,J777/$J$3,0))</f>
        <v/>
      </c>
      <c r="O777" s="141" t="str">
        <f>IF(C777="","",'06 REITs'!I80)</f>
        <v/>
      </c>
      <c r="P777" s="147" t="str">
        <f>IF(C777="","",IF(N(J777)&gt;0,J777+ROW()/1E9,""))</f>
        <v/>
      </c>
      <c r="Q777" s="147" t="str">
        <f>IF(C777="","",IF(N(M777)&gt;0,M777+ROW()/1E9,""))</f>
        <v/>
      </c>
    </row>
    <row r="778">
      <c r="A778" s="134" t="str">
        <f>IF(C778="","","REITs")</f>
        <v/>
      </c>
      <c r="B778" s="134" t="str">
        <f>IF(C778="","","Exterior")</f>
        <v/>
      </c>
      <c r="C778" s="134" t="str">
        <f>IF('06 REITs'!A81="","",'06 REITs'!A81&amp;"")</f>
        <v/>
      </c>
      <c r="D778" s="134" t="str">
        <f>IF(C778="","",'06 REITs'!B81&amp;"")</f>
        <v/>
      </c>
      <c r="E778" s="134" t="str">
        <f>IF(C778="","",'06 REITs'!C81&amp;"")</f>
        <v/>
      </c>
      <c r="F778" s="134" t="str">
        <f>IF(C778="","",'06 REITs'!V81)</f>
        <v/>
      </c>
      <c r="G778" s="135" t="str">
        <f>IF(C778="","",'06 REITs'!E81)</f>
        <v/>
      </c>
      <c r="H778" s="136" t="str">
        <f>IF(C778="","",'06 REITs'!H81)</f>
        <v/>
      </c>
      <c r="I778" s="137" t="str">
        <f>IF(C778="","",'06 REITs'!J81)</f>
        <v/>
      </c>
      <c r="J778" s="138" t="str">
        <f>IF(C778="","",'06 REITs'!K81)</f>
        <v/>
      </c>
      <c r="K778" s="138" t="str">
        <f>IF(C778="","",'06 REITs'!Q81)</f>
        <v/>
      </c>
      <c r="L778" s="135" t="str">
        <f>IF(C778="","",'06 REITs'!R81)</f>
        <v/>
      </c>
      <c r="M778" s="138" t="str">
        <f>IF(C778="","",'06 REITs'!T81)</f>
        <v/>
      </c>
      <c r="N778" s="139" t="str">
        <f>IF(C778="","",IF($J$3&gt;0,J778/$J$3,0))</f>
        <v/>
      </c>
      <c r="O778" s="134" t="str">
        <f>IF(C778="","",'06 REITs'!I81)</f>
        <v/>
      </c>
      <c r="P778" s="140" t="str">
        <f>IF(C778="","",IF(N(J778)&gt;0,J778+ROW()/1E9,""))</f>
        <v/>
      </c>
      <c r="Q778" s="140" t="str">
        <f>IF(C778="","",IF(N(M778)&gt;0,M778+ROW()/1E9,""))</f>
        <v/>
      </c>
    </row>
    <row r="779">
      <c r="A779" s="141" t="str">
        <f>IF(C779="","","REITs")</f>
        <v/>
      </c>
      <c r="B779" s="141" t="str">
        <f>IF(C779="","","Exterior")</f>
        <v/>
      </c>
      <c r="C779" s="141" t="str">
        <f>IF('06 REITs'!A82="","",'06 REITs'!A82&amp;"")</f>
        <v/>
      </c>
      <c r="D779" s="141" t="str">
        <f>IF(C779="","",'06 REITs'!B82&amp;"")</f>
        <v/>
      </c>
      <c r="E779" s="141" t="str">
        <f>IF(C779="","",'06 REITs'!C82&amp;"")</f>
        <v/>
      </c>
      <c r="F779" s="141" t="str">
        <f>IF(C779="","",'06 REITs'!V82)</f>
        <v/>
      </c>
      <c r="G779" s="142" t="str">
        <f>IF(C779="","",'06 REITs'!E82)</f>
        <v/>
      </c>
      <c r="H779" s="143" t="str">
        <f>IF(C779="","",'06 REITs'!H82)</f>
        <v/>
      </c>
      <c r="I779" s="144" t="str">
        <f>IF(C779="","",'06 REITs'!J82)</f>
        <v/>
      </c>
      <c r="J779" s="145" t="str">
        <f>IF(C779="","",'06 REITs'!K82)</f>
        <v/>
      </c>
      <c r="K779" s="145" t="str">
        <f>IF(C779="","",'06 REITs'!Q82)</f>
        <v/>
      </c>
      <c r="L779" s="142" t="str">
        <f>IF(C779="","",'06 REITs'!R82)</f>
        <v/>
      </c>
      <c r="M779" s="145" t="str">
        <f>IF(C779="","",'06 REITs'!T82)</f>
        <v/>
      </c>
      <c r="N779" s="146" t="str">
        <f>IF(C779="","",IF($J$3&gt;0,J779/$J$3,0))</f>
        <v/>
      </c>
      <c r="O779" s="141" t="str">
        <f>IF(C779="","",'06 REITs'!I82)</f>
        <v/>
      </c>
      <c r="P779" s="147" t="str">
        <f>IF(C779="","",IF(N(J779)&gt;0,J779+ROW()/1E9,""))</f>
        <v/>
      </c>
      <c r="Q779" s="147" t="str">
        <f>IF(C779="","",IF(N(M779)&gt;0,M779+ROW()/1E9,""))</f>
        <v/>
      </c>
    </row>
    <row r="780">
      <c r="A780" s="134" t="str">
        <f>IF(C780="","","REITs")</f>
        <v/>
      </c>
      <c r="B780" s="134" t="str">
        <f>IF(C780="","","Exterior")</f>
        <v/>
      </c>
      <c r="C780" s="134" t="str">
        <f>IF('06 REITs'!A83="","",'06 REITs'!A83&amp;"")</f>
        <v/>
      </c>
      <c r="D780" s="134" t="str">
        <f>IF(C780="","",'06 REITs'!B83&amp;"")</f>
        <v/>
      </c>
      <c r="E780" s="134" t="str">
        <f>IF(C780="","",'06 REITs'!C83&amp;"")</f>
        <v/>
      </c>
      <c r="F780" s="134" t="str">
        <f>IF(C780="","",'06 REITs'!V83)</f>
        <v/>
      </c>
      <c r="G780" s="135" t="str">
        <f>IF(C780="","",'06 REITs'!E83)</f>
        <v/>
      </c>
      <c r="H780" s="136" t="str">
        <f>IF(C780="","",'06 REITs'!H83)</f>
        <v/>
      </c>
      <c r="I780" s="137" t="str">
        <f>IF(C780="","",'06 REITs'!J83)</f>
        <v/>
      </c>
      <c r="J780" s="138" t="str">
        <f>IF(C780="","",'06 REITs'!K83)</f>
        <v/>
      </c>
      <c r="K780" s="138" t="str">
        <f>IF(C780="","",'06 REITs'!Q83)</f>
        <v/>
      </c>
      <c r="L780" s="135" t="str">
        <f>IF(C780="","",'06 REITs'!R83)</f>
        <v/>
      </c>
      <c r="M780" s="138" t="str">
        <f>IF(C780="","",'06 REITs'!T83)</f>
        <v/>
      </c>
      <c r="N780" s="139" t="str">
        <f>IF(C780="","",IF($J$3&gt;0,J780/$J$3,0))</f>
        <v/>
      </c>
      <c r="O780" s="134" t="str">
        <f>IF(C780="","",'06 REITs'!I83)</f>
        <v/>
      </c>
      <c r="P780" s="140" t="str">
        <f>IF(C780="","",IF(N(J780)&gt;0,J780+ROW()/1E9,""))</f>
        <v/>
      </c>
      <c r="Q780" s="140" t="str">
        <f>IF(C780="","",IF(N(M780)&gt;0,M780+ROW()/1E9,""))</f>
        <v/>
      </c>
    </row>
    <row r="781">
      <c r="A781" s="141" t="str">
        <f>IF(C781="","","REITs")</f>
        <v/>
      </c>
      <c r="B781" s="141" t="str">
        <f>IF(C781="","","Exterior")</f>
        <v/>
      </c>
      <c r="C781" s="141" t="str">
        <f>IF('06 REITs'!A84="","",'06 REITs'!A84&amp;"")</f>
        <v/>
      </c>
      <c r="D781" s="141" t="str">
        <f>IF(C781="","",'06 REITs'!B84&amp;"")</f>
        <v/>
      </c>
      <c r="E781" s="141" t="str">
        <f>IF(C781="","",'06 REITs'!C84&amp;"")</f>
        <v/>
      </c>
      <c r="F781" s="141" t="str">
        <f>IF(C781="","",'06 REITs'!V84)</f>
        <v/>
      </c>
      <c r="G781" s="142" t="str">
        <f>IF(C781="","",'06 REITs'!E84)</f>
        <v/>
      </c>
      <c r="H781" s="143" t="str">
        <f>IF(C781="","",'06 REITs'!H84)</f>
        <v/>
      </c>
      <c r="I781" s="144" t="str">
        <f>IF(C781="","",'06 REITs'!J84)</f>
        <v/>
      </c>
      <c r="J781" s="145" t="str">
        <f>IF(C781="","",'06 REITs'!K84)</f>
        <v/>
      </c>
      <c r="K781" s="145" t="str">
        <f>IF(C781="","",'06 REITs'!Q84)</f>
        <v/>
      </c>
      <c r="L781" s="142" t="str">
        <f>IF(C781="","",'06 REITs'!R84)</f>
        <v/>
      </c>
      <c r="M781" s="145" t="str">
        <f>IF(C781="","",'06 REITs'!T84)</f>
        <v/>
      </c>
      <c r="N781" s="146" t="str">
        <f>IF(C781="","",IF($J$3&gt;0,J781/$J$3,0))</f>
        <v/>
      </c>
      <c r="O781" s="141" t="str">
        <f>IF(C781="","",'06 REITs'!I84)</f>
        <v/>
      </c>
      <c r="P781" s="147" t="str">
        <f>IF(C781="","",IF(N(J781)&gt;0,J781+ROW()/1E9,""))</f>
        <v/>
      </c>
      <c r="Q781" s="147" t="str">
        <f>IF(C781="","",IF(N(M781)&gt;0,M781+ROW()/1E9,""))</f>
        <v/>
      </c>
    </row>
    <row r="782">
      <c r="A782" s="134" t="str">
        <f>IF(C782="","","REITs")</f>
        <v/>
      </c>
      <c r="B782" s="134" t="str">
        <f>IF(C782="","","Exterior")</f>
        <v/>
      </c>
      <c r="C782" s="134" t="str">
        <f>IF('06 REITs'!A85="","",'06 REITs'!A85&amp;"")</f>
        <v/>
      </c>
      <c r="D782" s="134" t="str">
        <f>IF(C782="","",'06 REITs'!B85&amp;"")</f>
        <v/>
      </c>
      <c r="E782" s="134" t="str">
        <f>IF(C782="","",'06 REITs'!C85&amp;"")</f>
        <v/>
      </c>
      <c r="F782" s="134" t="str">
        <f>IF(C782="","",'06 REITs'!V85)</f>
        <v/>
      </c>
      <c r="G782" s="135" t="str">
        <f>IF(C782="","",'06 REITs'!E85)</f>
        <v/>
      </c>
      <c r="H782" s="136" t="str">
        <f>IF(C782="","",'06 REITs'!H85)</f>
        <v/>
      </c>
      <c r="I782" s="137" t="str">
        <f>IF(C782="","",'06 REITs'!J85)</f>
        <v/>
      </c>
      <c r="J782" s="138" t="str">
        <f>IF(C782="","",'06 REITs'!K85)</f>
        <v/>
      </c>
      <c r="K782" s="138" t="str">
        <f>IF(C782="","",'06 REITs'!Q85)</f>
        <v/>
      </c>
      <c r="L782" s="135" t="str">
        <f>IF(C782="","",'06 REITs'!R85)</f>
        <v/>
      </c>
      <c r="M782" s="138" t="str">
        <f>IF(C782="","",'06 REITs'!T85)</f>
        <v/>
      </c>
      <c r="N782" s="139" t="str">
        <f>IF(C782="","",IF($J$3&gt;0,J782/$J$3,0))</f>
        <v/>
      </c>
      <c r="O782" s="134" t="str">
        <f>IF(C782="","",'06 REITs'!I85)</f>
        <v/>
      </c>
      <c r="P782" s="140" t="str">
        <f>IF(C782="","",IF(N(J782)&gt;0,J782+ROW()/1E9,""))</f>
        <v/>
      </c>
      <c r="Q782" s="140" t="str">
        <f>IF(C782="","",IF(N(M782)&gt;0,M782+ROW()/1E9,""))</f>
        <v/>
      </c>
    </row>
    <row r="783">
      <c r="A783" s="141" t="str">
        <f>IF(C783="","","REITs")</f>
        <v/>
      </c>
      <c r="B783" s="141" t="str">
        <f>IF(C783="","","Exterior")</f>
        <v/>
      </c>
      <c r="C783" s="141" t="str">
        <f>IF('06 REITs'!A86="","",'06 REITs'!A86&amp;"")</f>
        <v/>
      </c>
      <c r="D783" s="141" t="str">
        <f>IF(C783="","",'06 REITs'!B86&amp;"")</f>
        <v/>
      </c>
      <c r="E783" s="141" t="str">
        <f>IF(C783="","",'06 REITs'!C86&amp;"")</f>
        <v/>
      </c>
      <c r="F783" s="141" t="str">
        <f>IF(C783="","",'06 REITs'!V86)</f>
        <v/>
      </c>
      <c r="G783" s="142" t="str">
        <f>IF(C783="","",'06 REITs'!E86)</f>
        <v/>
      </c>
      <c r="H783" s="143" t="str">
        <f>IF(C783="","",'06 REITs'!H86)</f>
        <v/>
      </c>
      <c r="I783" s="144" t="str">
        <f>IF(C783="","",'06 REITs'!J86)</f>
        <v/>
      </c>
      <c r="J783" s="145" t="str">
        <f>IF(C783="","",'06 REITs'!K86)</f>
        <v/>
      </c>
      <c r="K783" s="145" t="str">
        <f>IF(C783="","",'06 REITs'!Q86)</f>
        <v/>
      </c>
      <c r="L783" s="142" t="str">
        <f>IF(C783="","",'06 REITs'!R86)</f>
        <v/>
      </c>
      <c r="M783" s="145" t="str">
        <f>IF(C783="","",'06 REITs'!T86)</f>
        <v/>
      </c>
      <c r="N783" s="146" t="str">
        <f>IF(C783="","",IF($J$3&gt;0,J783/$J$3,0))</f>
        <v/>
      </c>
      <c r="O783" s="141" t="str">
        <f>IF(C783="","",'06 REITs'!I86)</f>
        <v/>
      </c>
      <c r="P783" s="147" t="str">
        <f>IF(C783="","",IF(N(J783)&gt;0,J783+ROW()/1E9,""))</f>
        <v/>
      </c>
      <c r="Q783" s="147" t="str">
        <f>IF(C783="","",IF(N(M783)&gt;0,M783+ROW()/1E9,""))</f>
        <v/>
      </c>
    </row>
    <row r="784">
      <c r="A784" s="134" t="str">
        <f>IF(C784="","","REITs")</f>
        <v/>
      </c>
      <c r="B784" s="134" t="str">
        <f>IF(C784="","","Exterior")</f>
        <v/>
      </c>
      <c r="C784" s="134" t="str">
        <f>IF('06 REITs'!A87="","",'06 REITs'!A87&amp;"")</f>
        <v/>
      </c>
      <c r="D784" s="134" t="str">
        <f>IF(C784="","",'06 REITs'!B87&amp;"")</f>
        <v/>
      </c>
      <c r="E784" s="134" t="str">
        <f>IF(C784="","",'06 REITs'!C87&amp;"")</f>
        <v/>
      </c>
      <c r="F784" s="134" t="str">
        <f>IF(C784="","",'06 REITs'!V87)</f>
        <v/>
      </c>
      <c r="G784" s="135" t="str">
        <f>IF(C784="","",'06 REITs'!E87)</f>
        <v/>
      </c>
      <c r="H784" s="136" t="str">
        <f>IF(C784="","",'06 REITs'!H87)</f>
        <v/>
      </c>
      <c r="I784" s="137" t="str">
        <f>IF(C784="","",'06 REITs'!J87)</f>
        <v/>
      </c>
      <c r="J784" s="138" t="str">
        <f>IF(C784="","",'06 REITs'!K87)</f>
        <v/>
      </c>
      <c r="K784" s="138" t="str">
        <f>IF(C784="","",'06 REITs'!Q87)</f>
        <v/>
      </c>
      <c r="L784" s="135" t="str">
        <f>IF(C784="","",'06 REITs'!R87)</f>
        <v/>
      </c>
      <c r="M784" s="138" t="str">
        <f>IF(C784="","",'06 REITs'!T87)</f>
        <v/>
      </c>
      <c r="N784" s="139" t="str">
        <f>IF(C784="","",IF($J$3&gt;0,J784/$J$3,0))</f>
        <v/>
      </c>
      <c r="O784" s="134" t="str">
        <f>IF(C784="","",'06 REITs'!I87)</f>
        <v/>
      </c>
      <c r="P784" s="140" t="str">
        <f>IF(C784="","",IF(N(J784)&gt;0,J784+ROW()/1E9,""))</f>
        <v/>
      </c>
      <c r="Q784" s="140" t="str">
        <f>IF(C784="","",IF(N(M784)&gt;0,M784+ROW()/1E9,""))</f>
        <v/>
      </c>
    </row>
    <row r="785">
      <c r="A785" s="141" t="str">
        <f>IF(C785="","","REITs")</f>
        <v/>
      </c>
      <c r="B785" s="141" t="str">
        <f>IF(C785="","","Exterior")</f>
        <v/>
      </c>
      <c r="C785" s="141" t="str">
        <f>IF('06 REITs'!A88="","",'06 REITs'!A88&amp;"")</f>
        <v/>
      </c>
      <c r="D785" s="141" t="str">
        <f>IF(C785="","",'06 REITs'!B88&amp;"")</f>
        <v/>
      </c>
      <c r="E785" s="141" t="str">
        <f>IF(C785="","",'06 REITs'!C88&amp;"")</f>
        <v/>
      </c>
      <c r="F785" s="141" t="str">
        <f>IF(C785="","",'06 REITs'!V88)</f>
        <v/>
      </c>
      <c r="G785" s="142" t="str">
        <f>IF(C785="","",'06 REITs'!E88)</f>
        <v/>
      </c>
      <c r="H785" s="143" t="str">
        <f>IF(C785="","",'06 REITs'!H88)</f>
        <v/>
      </c>
      <c r="I785" s="144" t="str">
        <f>IF(C785="","",'06 REITs'!J88)</f>
        <v/>
      </c>
      <c r="J785" s="145" t="str">
        <f>IF(C785="","",'06 REITs'!K88)</f>
        <v/>
      </c>
      <c r="K785" s="145" t="str">
        <f>IF(C785="","",'06 REITs'!Q88)</f>
        <v/>
      </c>
      <c r="L785" s="142" t="str">
        <f>IF(C785="","",'06 REITs'!R88)</f>
        <v/>
      </c>
      <c r="M785" s="145" t="str">
        <f>IF(C785="","",'06 REITs'!T88)</f>
        <v/>
      </c>
      <c r="N785" s="146" t="str">
        <f>IF(C785="","",IF($J$3&gt;0,J785/$J$3,0))</f>
        <v/>
      </c>
      <c r="O785" s="141" t="str">
        <f>IF(C785="","",'06 REITs'!I88)</f>
        <v/>
      </c>
      <c r="P785" s="147" t="str">
        <f>IF(C785="","",IF(N(J785)&gt;0,J785+ROW()/1E9,""))</f>
        <v/>
      </c>
      <c r="Q785" s="147" t="str">
        <f>IF(C785="","",IF(N(M785)&gt;0,M785+ROW()/1E9,""))</f>
        <v/>
      </c>
    </row>
    <row r="786">
      <c r="A786" s="134" t="str">
        <f>IF(C786="","","REITs")</f>
        <v/>
      </c>
      <c r="B786" s="134" t="str">
        <f>IF(C786="","","Exterior")</f>
        <v/>
      </c>
      <c r="C786" s="134" t="str">
        <f>IF('06 REITs'!A89="","",'06 REITs'!A89&amp;"")</f>
        <v/>
      </c>
      <c r="D786" s="134" t="str">
        <f>IF(C786="","",'06 REITs'!B89&amp;"")</f>
        <v/>
      </c>
      <c r="E786" s="134" t="str">
        <f>IF(C786="","",'06 REITs'!C89&amp;"")</f>
        <v/>
      </c>
      <c r="F786" s="134" t="str">
        <f>IF(C786="","",'06 REITs'!V89)</f>
        <v/>
      </c>
      <c r="G786" s="135" t="str">
        <f>IF(C786="","",'06 REITs'!E89)</f>
        <v/>
      </c>
      <c r="H786" s="136" t="str">
        <f>IF(C786="","",'06 REITs'!H89)</f>
        <v/>
      </c>
      <c r="I786" s="137" t="str">
        <f>IF(C786="","",'06 REITs'!J89)</f>
        <v/>
      </c>
      <c r="J786" s="138" t="str">
        <f>IF(C786="","",'06 REITs'!K89)</f>
        <v/>
      </c>
      <c r="K786" s="138" t="str">
        <f>IF(C786="","",'06 REITs'!Q89)</f>
        <v/>
      </c>
      <c r="L786" s="135" t="str">
        <f>IF(C786="","",'06 REITs'!R89)</f>
        <v/>
      </c>
      <c r="M786" s="138" t="str">
        <f>IF(C786="","",'06 REITs'!T89)</f>
        <v/>
      </c>
      <c r="N786" s="139" t="str">
        <f>IF(C786="","",IF($J$3&gt;0,J786/$J$3,0))</f>
        <v/>
      </c>
      <c r="O786" s="134" t="str">
        <f>IF(C786="","",'06 REITs'!I89)</f>
        <v/>
      </c>
      <c r="P786" s="140" t="str">
        <f>IF(C786="","",IF(N(J786)&gt;0,J786+ROW()/1E9,""))</f>
        <v/>
      </c>
      <c r="Q786" s="140" t="str">
        <f>IF(C786="","",IF(N(M786)&gt;0,M786+ROW()/1E9,""))</f>
        <v/>
      </c>
    </row>
    <row r="787">
      <c r="A787" s="141" t="str">
        <f>IF(C787="","","REITs")</f>
        <v/>
      </c>
      <c r="B787" s="141" t="str">
        <f>IF(C787="","","Exterior")</f>
        <v/>
      </c>
      <c r="C787" s="141" t="str">
        <f>IF('06 REITs'!A90="","",'06 REITs'!A90&amp;"")</f>
        <v/>
      </c>
      <c r="D787" s="141" t="str">
        <f>IF(C787="","",'06 REITs'!B90&amp;"")</f>
        <v/>
      </c>
      <c r="E787" s="141" t="str">
        <f>IF(C787="","",'06 REITs'!C90&amp;"")</f>
        <v/>
      </c>
      <c r="F787" s="141" t="str">
        <f>IF(C787="","",'06 REITs'!V90)</f>
        <v/>
      </c>
      <c r="G787" s="142" t="str">
        <f>IF(C787="","",'06 REITs'!E90)</f>
        <v/>
      </c>
      <c r="H787" s="143" t="str">
        <f>IF(C787="","",'06 REITs'!H90)</f>
        <v/>
      </c>
      <c r="I787" s="144" t="str">
        <f>IF(C787="","",'06 REITs'!J90)</f>
        <v/>
      </c>
      <c r="J787" s="145" t="str">
        <f>IF(C787="","",'06 REITs'!K90)</f>
        <v/>
      </c>
      <c r="K787" s="145" t="str">
        <f>IF(C787="","",'06 REITs'!Q90)</f>
        <v/>
      </c>
      <c r="L787" s="142" t="str">
        <f>IF(C787="","",'06 REITs'!R90)</f>
        <v/>
      </c>
      <c r="M787" s="145" t="str">
        <f>IF(C787="","",'06 REITs'!T90)</f>
        <v/>
      </c>
      <c r="N787" s="146" t="str">
        <f>IF(C787="","",IF($J$3&gt;0,J787/$J$3,0))</f>
        <v/>
      </c>
      <c r="O787" s="141" t="str">
        <f>IF(C787="","",'06 REITs'!I90)</f>
        <v/>
      </c>
      <c r="P787" s="147" t="str">
        <f>IF(C787="","",IF(N(J787)&gt;0,J787+ROW()/1E9,""))</f>
        <v/>
      </c>
      <c r="Q787" s="147" t="str">
        <f>IF(C787="","",IF(N(M787)&gt;0,M787+ROW()/1E9,""))</f>
        <v/>
      </c>
    </row>
    <row r="788">
      <c r="A788" s="134" t="str">
        <f>IF(C788="","","REITs")</f>
        <v/>
      </c>
      <c r="B788" s="134" t="str">
        <f>IF(C788="","","Exterior")</f>
        <v/>
      </c>
      <c r="C788" s="134" t="str">
        <f>IF('06 REITs'!A91="","",'06 REITs'!A91&amp;"")</f>
        <v/>
      </c>
      <c r="D788" s="134" t="str">
        <f>IF(C788="","",'06 REITs'!B91&amp;"")</f>
        <v/>
      </c>
      <c r="E788" s="134" t="str">
        <f>IF(C788="","",'06 REITs'!C91&amp;"")</f>
        <v/>
      </c>
      <c r="F788" s="134" t="str">
        <f>IF(C788="","",'06 REITs'!V91)</f>
        <v/>
      </c>
      <c r="G788" s="135" t="str">
        <f>IF(C788="","",'06 REITs'!E91)</f>
        <v/>
      </c>
      <c r="H788" s="136" t="str">
        <f>IF(C788="","",'06 REITs'!H91)</f>
        <v/>
      </c>
      <c r="I788" s="137" t="str">
        <f>IF(C788="","",'06 REITs'!J91)</f>
        <v/>
      </c>
      <c r="J788" s="138" t="str">
        <f>IF(C788="","",'06 REITs'!K91)</f>
        <v/>
      </c>
      <c r="K788" s="138" t="str">
        <f>IF(C788="","",'06 REITs'!Q91)</f>
        <v/>
      </c>
      <c r="L788" s="135" t="str">
        <f>IF(C788="","",'06 REITs'!R91)</f>
        <v/>
      </c>
      <c r="M788" s="138" t="str">
        <f>IF(C788="","",'06 REITs'!T91)</f>
        <v/>
      </c>
      <c r="N788" s="139" t="str">
        <f>IF(C788="","",IF($J$3&gt;0,J788/$J$3,0))</f>
        <v/>
      </c>
      <c r="O788" s="134" t="str">
        <f>IF(C788="","",'06 REITs'!I91)</f>
        <v/>
      </c>
      <c r="P788" s="140" t="str">
        <f>IF(C788="","",IF(N(J788)&gt;0,J788+ROW()/1E9,""))</f>
        <v/>
      </c>
      <c r="Q788" s="140" t="str">
        <f>IF(C788="","",IF(N(M788)&gt;0,M788+ROW()/1E9,""))</f>
        <v/>
      </c>
    </row>
    <row r="789">
      <c r="A789" s="141" t="str">
        <f>IF(C789="","","REITs")</f>
        <v/>
      </c>
      <c r="B789" s="141" t="str">
        <f>IF(C789="","","Exterior")</f>
        <v/>
      </c>
      <c r="C789" s="141" t="str">
        <f>IF('06 REITs'!A92="","",'06 REITs'!A92&amp;"")</f>
        <v/>
      </c>
      <c r="D789" s="141" t="str">
        <f>IF(C789="","",'06 REITs'!B92&amp;"")</f>
        <v/>
      </c>
      <c r="E789" s="141" t="str">
        <f>IF(C789="","",'06 REITs'!C92&amp;"")</f>
        <v/>
      </c>
      <c r="F789" s="141" t="str">
        <f>IF(C789="","",'06 REITs'!V92)</f>
        <v/>
      </c>
      <c r="G789" s="142" t="str">
        <f>IF(C789="","",'06 REITs'!E92)</f>
        <v/>
      </c>
      <c r="H789" s="143" t="str">
        <f>IF(C789="","",'06 REITs'!H92)</f>
        <v/>
      </c>
      <c r="I789" s="144" t="str">
        <f>IF(C789="","",'06 REITs'!J92)</f>
        <v/>
      </c>
      <c r="J789" s="145" t="str">
        <f>IF(C789="","",'06 REITs'!K92)</f>
        <v/>
      </c>
      <c r="K789" s="145" t="str">
        <f>IF(C789="","",'06 REITs'!Q92)</f>
        <v/>
      </c>
      <c r="L789" s="142" t="str">
        <f>IF(C789="","",'06 REITs'!R92)</f>
        <v/>
      </c>
      <c r="M789" s="145" t="str">
        <f>IF(C789="","",'06 REITs'!T92)</f>
        <v/>
      </c>
      <c r="N789" s="146" t="str">
        <f>IF(C789="","",IF($J$3&gt;0,J789/$J$3,0))</f>
        <v/>
      </c>
      <c r="O789" s="141" t="str">
        <f>IF(C789="","",'06 REITs'!I92)</f>
        <v/>
      </c>
      <c r="P789" s="147" t="str">
        <f>IF(C789="","",IF(N(J789)&gt;0,J789+ROW()/1E9,""))</f>
        <v/>
      </c>
      <c r="Q789" s="147" t="str">
        <f>IF(C789="","",IF(N(M789)&gt;0,M789+ROW()/1E9,""))</f>
        <v/>
      </c>
    </row>
    <row r="790">
      <c r="A790" s="134" t="str">
        <f>IF(C790="","","REITs")</f>
        <v/>
      </c>
      <c r="B790" s="134" t="str">
        <f>IF(C790="","","Exterior")</f>
        <v/>
      </c>
      <c r="C790" s="134" t="str">
        <f>IF('06 REITs'!A93="","",'06 REITs'!A93&amp;"")</f>
        <v/>
      </c>
      <c r="D790" s="134" t="str">
        <f>IF(C790="","",'06 REITs'!B93&amp;"")</f>
        <v/>
      </c>
      <c r="E790" s="134" t="str">
        <f>IF(C790="","",'06 REITs'!C93&amp;"")</f>
        <v/>
      </c>
      <c r="F790" s="134" t="str">
        <f>IF(C790="","",'06 REITs'!V93)</f>
        <v/>
      </c>
      <c r="G790" s="135" t="str">
        <f>IF(C790="","",'06 REITs'!E93)</f>
        <v/>
      </c>
      <c r="H790" s="136" t="str">
        <f>IF(C790="","",'06 REITs'!H93)</f>
        <v/>
      </c>
      <c r="I790" s="137" t="str">
        <f>IF(C790="","",'06 REITs'!J93)</f>
        <v/>
      </c>
      <c r="J790" s="138" t="str">
        <f>IF(C790="","",'06 REITs'!K93)</f>
        <v/>
      </c>
      <c r="K790" s="138" t="str">
        <f>IF(C790="","",'06 REITs'!Q93)</f>
        <v/>
      </c>
      <c r="L790" s="135" t="str">
        <f>IF(C790="","",'06 REITs'!R93)</f>
        <v/>
      </c>
      <c r="M790" s="138" t="str">
        <f>IF(C790="","",'06 REITs'!T93)</f>
        <v/>
      </c>
      <c r="N790" s="139" t="str">
        <f>IF(C790="","",IF($J$3&gt;0,J790/$J$3,0))</f>
        <v/>
      </c>
      <c r="O790" s="134" t="str">
        <f>IF(C790="","",'06 REITs'!I93)</f>
        <v/>
      </c>
      <c r="P790" s="140" t="str">
        <f>IF(C790="","",IF(N(J790)&gt;0,J790+ROW()/1E9,""))</f>
        <v/>
      </c>
      <c r="Q790" s="140" t="str">
        <f>IF(C790="","",IF(N(M790)&gt;0,M790+ROW()/1E9,""))</f>
        <v/>
      </c>
    </row>
    <row r="791">
      <c r="A791" s="141" t="str">
        <f>IF(C791="","","REITs")</f>
        <v/>
      </c>
      <c r="B791" s="141" t="str">
        <f>IF(C791="","","Exterior")</f>
        <v/>
      </c>
      <c r="C791" s="141" t="str">
        <f>IF('06 REITs'!A94="","",'06 REITs'!A94&amp;"")</f>
        <v/>
      </c>
      <c r="D791" s="141" t="str">
        <f>IF(C791="","",'06 REITs'!B94&amp;"")</f>
        <v/>
      </c>
      <c r="E791" s="141" t="str">
        <f>IF(C791="","",'06 REITs'!C94&amp;"")</f>
        <v/>
      </c>
      <c r="F791" s="141" t="str">
        <f>IF(C791="","",'06 REITs'!V94)</f>
        <v/>
      </c>
      <c r="G791" s="142" t="str">
        <f>IF(C791="","",'06 REITs'!E94)</f>
        <v/>
      </c>
      <c r="H791" s="143" t="str">
        <f>IF(C791="","",'06 REITs'!H94)</f>
        <v/>
      </c>
      <c r="I791" s="144" t="str">
        <f>IF(C791="","",'06 REITs'!J94)</f>
        <v/>
      </c>
      <c r="J791" s="145" t="str">
        <f>IF(C791="","",'06 REITs'!K94)</f>
        <v/>
      </c>
      <c r="K791" s="145" t="str">
        <f>IF(C791="","",'06 REITs'!Q94)</f>
        <v/>
      </c>
      <c r="L791" s="142" t="str">
        <f>IF(C791="","",'06 REITs'!R94)</f>
        <v/>
      </c>
      <c r="M791" s="145" t="str">
        <f>IF(C791="","",'06 REITs'!T94)</f>
        <v/>
      </c>
      <c r="N791" s="146" t="str">
        <f>IF(C791="","",IF($J$3&gt;0,J791/$J$3,0))</f>
        <v/>
      </c>
      <c r="O791" s="141" t="str">
        <f>IF(C791="","",'06 REITs'!I94)</f>
        <v/>
      </c>
      <c r="P791" s="147" t="str">
        <f>IF(C791="","",IF(N(J791)&gt;0,J791+ROW()/1E9,""))</f>
        <v/>
      </c>
      <c r="Q791" s="147" t="str">
        <f>IF(C791="","",IF(N(M791)&gt;0,M791+ROW()/1E9,""))</f>
        <v/>
      </c>
    </row>
    <row r="792">
      <c r="A792" s="134" t="str">
        <f>IF(C792="","","REITs")</f>
        <v/>
      </c>
      <c r="B792" s="134" t="str">
        <f>IF(C792="","","Exterior")</f>
        <v/>
      </c>
      <c r="C792" s="134" t="str">
        <f>IF('06 REITs'!A95="","",'06 REITs'!A95&amp;"")</f>
        <v/>
      </c>
      <c r="D792" s="134" t="str">
        <f>IF(C792="","",'06 REITs'!B95&amp;"")</f>
        <v/>
      </c>
      <c r="E792" s="134" t="str">
        <f>IF(C792="","",'06 REITs'!C95&amp;"")</f>
        <v/>
      </c>
      <c r="F792" s="134" t="str">
        <f>IF(C792="","",'06 REITs'!V95)</f>
        <v/>
      </c>
      <c r="G792" s="135" t="str">
        <f>IF(C792="","",'06 REITs'!E95)</f>
        <v/>
      </c>
      <c r="H792" s="136" t="str">
        <f>IF(C792="","",'06 REITs'!H95)</f>
        <v/>
      </c>
      <c r="I792" s="137" t="str">
        <f>IF(C792="","",'06 REITs'!J95)</f>
        <v/>
      </c>
      <c r="J792" s="138" t="str">
        <f>IF(C792="","",'06 REITs'!K95)</f>
        <v/>
      </c>
      <c r="K792" s="138" t="str">
        <f>IF(C792="","",'06 REITs'!Q95)</f>
        <v/>
      </c>
      <c r="L792" s="135" t="str">
        <f>IF(C792="","",'06 REITs'!R95)</f>
        <v/>
      </c>
      <c r="M792" s="138" t="str">
        <f>IF(C792="","",'06 REITs'!T95)</f>
        <v/>
      </c>
      <c r="N792" s="139" t="str">
        <f>IF(C792="","",IF($J$3&gt;0,J792/$J$3,0))</f>
        <v/>
      </c>
      <c r="O792" s="134" t="str">
        <f>IF(C792="","",'06 REITs'!I95)</f>
        <v/>
      </c>
      <c r="P792" s="140" t="str">
        <f>IF(C792="","",IF(N(J792)&gt;0,J792+ROW()/1E9,""))</f>
        <v/>
      </c>
      <c r="Q792" s="140" t="str">
        <f>IF(C792="","",IF(N(M792)&gt;0,M792+ROW()/1E9,""))</f>
        <v/>
      </c>
    </row>
    <row r="793">
      <c r="A793" s="141" t="str">
        <f>IF(C793="","","REITs")</f>
        <v/>
      </c>
      <c r="B793" s="141" t="str">
        <f>IF(C793="","","Exterior")</f>
        <v/>
      </c>
      <c r="C793" s="141" t="str">
        <f>IF('06 REITs'!A96="","",'06 REITs'!A96&amp;"")</f>
        <v/>
      </c>
      <c r="D793" s="141" t="str">
        <f>IF(C793="","",'06 REITs'!B96&amp;"")</f>
        <v/>
      </c>
      <c r="E793" s="141" t="str">
        <f>IF(C793="","",'06 REITs'!C96&amp;"")</f>
        <v/>
      </c>
      <c r="F793" s="141" t="str">
        <f>IF(C793="","",'06 REITs'!V96)</f>
        <v/>
      </c>
      <c r="G793" s="142" t="str">
        <f>IF(C793="","",'06 REITs'!E96)</f>
        <v/>
      </c>
      <c r="H793" s="143" t="str">
        <f>IF(C793="","",'06 REITs'!H96)</f>
        <v/>
      </c>
      <c r="I793" s="144" t="str">
        <f>IF(C793="","",'06 REITs'!J96)</f>
        <v/>
      </c>
      <c r="J793" s="145" t="str">
        <f>IF(C793="","",'06 REITs'!K96)</f>
        <v/>
      </c>
      <c r="K793" s="145" t="str">
        <f>IF(C793="","",'06 REITs'!Q96)</f>
        <v/>
      </c>
      <c r="L793" s="142" t="str">
        <f>IF(C793="","",'06 REITs'!R96)</f>
        <v/>
      </c>
      <c r="M793" s="145" t="str">
        <f>IF(C793="","",'06 REITs'!T96)</f>
        <v/>
      </c>
      <c r="N793" s="146" t="str">
        <f>IF(C793="","",IF($J$3&gt;0,J793/$J$3,0))</f>
        <v/>
      </c>
      <c r="O793" s="141" t="str">
        <f>IF(C793="","",'06 REITs'!I96)</f>
        <v/>
      </c>
      <c r="P793" s="147" t="str">
        <f>IF(C793="","",IF(N(J793)&gt;0,J793+ROW()/1E9,""))</f>
        <v/>
      </c>
      <c r="Q793" s="147" t="str">
        <f>IF(C793="","",IF(N(M793)&gt;0,M793+ROW()/1E9,""))</f>
        <v/>
      </c>
    </row>
    <row r="794">
      <c r="A794" s="134" t="str">
        <f>IF(C794="","","REITs")</f>
        <v/>
      </c>
      <c r="B794" s="134" t="str">
        <f>IF(C794="","","Exterior")</f>
        <v/>
      </c>
      <c r="C794" s="134" t="str">
        <f>IF('06 REITs'!A97="","",'06 REITs'!A97&amp;"")</f>
        <v/>
      </c>
      <c r="D794" s="134" t="str">
        <f>IF(C794="","",'06 REITs'!B97&amp;"")</f>
        <v/>
      </c>
      <c r="E794" s="134" t="str">
        <f>IF(C794="","",'06 REITs'!C97&amp;"")</f>
        <v/>
      </c>
      <c r="F794" s="134" t="str">
        <f>IF(C794="","",'06 REITs'!V97)</f>
        <v/>
      </c>
      <c r="G794" s="135" t="str">
        <f>IF(C794="","",'06 REITs'!E97)</f>
        <v/>
      </c>
      <c r="H794" s="136" t="str">
        <f>IF(C794="","",'06 REITs'!H97)</f>
        <v/>
      </c>
      <c r="I794" s="137" t="str">
        <f>IF(C794="","",'06 REITs'!J97)</f>
        <v/>
      </c>
      <c r="J794" s="138" t="str">
        <f>IF(C794="","",'06 REITs'!K97)</f>
        <v/>
      </c>
      <c r="K794" s="138" t="str">
        <f>IF(C794="","",'06 REITs'!Q97)</f>
        <v/>
      </c>
      <c r="L794" s="135" t="str">
        <f>IF(C794="","",'06 REITs'!R97)</f>
        <v/>
      </c>
      <c r="M794" s="138" t="str">
        <f>IF(C794="","",'06 REITs'!T97)</f>
        <v/>
      </c>
      <c r="N794" s="139" t="str">
        <f>IF(C794="","",IF($J$3&gt;0,J794/$J$3,0))</f>
        <v/>
      </c>
      <c r="O794" s="134" t="str">
        <f>IF(C794="","",'06 REITs'!I97)</f>
        <v/>
      </c>
      <c r="P794" s="140" t="str">
        <f>IF(C794="","",IF(N(J794)&gt;0,J794+ROW()/1E9,""))</f>
        <v/>
      </c>
      <c r="Q794" s="140" t="str">
        <f>IF(C794="","",IF(N(M794)&gt;0,M794+ROW()/1E9,""))</f>
        <v/>
      </c>
    </row>
    <row r="795">
      <c r="A795" s="141" t="str">
        <f>IF(C795="","","REITs")</f>
        <v/>
      </c>
      <c r="B795" s="141" t="str">
        <f>IF(C795="","","Exterior")</f>
        <v/>
      </c>
      <c r="C795" s="141" t="str">
        <f>IF('06 REITs'!A98="","",'06 REITs'!A98&amp;"")</f>
        <v/>
      </c>
      <c r="D795" s="141" t="str">
        <f>IF(C795="","",'06 REITs'!B98&amp;"")</f>
        <v/>
      </c>
      <c r="E795" s="141" t="str">
        <f>IF(C795="","",'06 REITs'!C98&amp;"")</f>
        <v/>
      </c>
      <c r="F795" s="141" t="str">
        <f>IF(C795="","",'06 REITs'!V98)</f>
        <v/>
      </c>
      <c r="G795" s="142" t="str">
        <f>IF(C795="","",'06 REITs'!E98)</f>
        <v/>
      </c>
      <c r="H795" s="143" t="str">
        <f>IF(C795="","",'06 REITs'!H98)</f>
        <v/>
      </c>
      <c r="I795" s="144" t="str">
        <f>IF(C795="","",'06 REITs'!J98)</f>
        <v/>
      </c>
      <c r="J795" s="145" t="str">
        <f>IF(C795="","",'06 REITs'!K98)</f>
        <v/>
      </c>
      <c r="K795" s="145" t="str">
        <f>IF(C795="","",'06 REITs'!Q98)</f>
        <v/>
      </c>
      <c r="L795" s="142" t="str">
        <f>IF(C795="","",'06 REITs'!R98)</f>
        <v/>
      </c>
      <c r="M795" s="145" t="str">
        <f>IF(C795="","",'06 REITs'!T98)</f>
        <v/>
      </c>
      <c r="N795" s="146" t="str">
        <f>IF(C795="","",IF($J$3&gt;0,J795/$J$3,0))</f>
        <v/>
      </c>
      <c r="O795" s="141" t="str">
        <f>IF(C795="","",'06 REITs'!I98)</f>
        <v/>
      </c>
      <c r="P795" s="147" t="str">
        <f>IF(C795="","",IF(N(J795)&gt;0,J795+ROW()/1E9,""))</f>
        <v/>
      </c>
      <c r="Q795" s="147" t="str">
        <f>IF(C795="","",IF(N(M795)&gt;0,M795+ROW()/1E9,""))</f>
        <v/>
      </c>
    </row>
    <row r="796">
      <c r="A796" s="134" t="str">
        <f>IF(C796="","","REITs")</f>
        <v/>
      </c>
      <c r="B796" s="134" t="str">
        <f>IF(C796="","","Exterior")</f>
        <v/>
      </c>
      <c r="C796" s="134" t="str">
        <f>IF('06 REITs'!A99="","",'06 REITs'!A99&amp;"")</f>
        <v/>
      </c>
      <c r="D796" s="134" t="str">
        <f>IF(C796="","",'06 REITs'!B99&amp;"")</f>
        <v/>
      </c>
      <c r="E796" s="134" t="str">
        <f>IF(C796="","",'06 REITs'!C99&amp;"")</f>
        <v/>
      </c>
      <c r="F796" s="134" t="str">
        <f>IF(C796="","",'06 REITs'!V99)</f>
        <v/>
      </c>
      <c r="G796" s="135" t="str">
        <f>IF(C796="","",'06 REITs'!E99)</f>
        <v/>
      </c>
      <c r="H796" s="136" t="str">
        <f>IF(C796="","",'06 REITs'!H99)</f>
        <v/>
      </c>
      <c r="I796" s="137" t="str">
        <f>IF(C796="","",'06 REITs'!J99)</f>
        <v/>
      </c>
      <c r="J796" s="138" t="str">
        <f>IF(C796="","",'06 REITs'!K99)</f>
        <v/>
      </c>
      <c r="K796" s="138" t="str">
        <f>IF(C796="","",'06 REITs'!Q99)</f>
        <v/>
      </c>
      <c r="L796" s="135" t="str">
        <f>IF(C796="","",'06 REITs'!R99)</f>
        <v/>
      </c>
      <c r="M796" s="138" t="str">
        <f>IF(C796="","",'06 REITs'!T99)</f>
        <v/>
      </c>
      <c r="N796" s="139" t="str">
        <f>IF(C796="","",IF($J$3&gt;0,J796/$J$3,0))</f>
        <v/>
      </c>
      <c r="O796" s="134" t="str">
        <f>IF(C796="","",'06 REITs'!I99)</f>
        <v/>
      </c>
      <c r="P796" s="140" t="str">
        <f>IF(C796="","",IF(N(J796)&gt;0,J796+ROW()/1E9,""))</f>
        <v/>
      </c>
      <c r="Q796" s="140" t="str">
        <f>IF(C796="","",IF(N(M796)&gt;0,M796+ROW()/1E9,""))</f>
        <v/>
      </c>
    </row>
    <row r="797">
      <c r="A797" s="141" t="str">
        <f>IF(C797="","","REITs")</f>
        <v/>
      </c>
      <c r="B797" s="141" t="str">
        <f>IF(C797="","","Exterior")</f>
        <v/>
      </c>
      <c r="C797" s="141" t="str">
        <f>IF('06 REITs'!A100="","",'06 REITs'!A100&amp;"")</f>
        <v/>
      </c>
      <c r="D797" s="141" t="str">
        <f>IF(C797="","",'06 REITs'!B100&amp;"")</f>
        <v/>
      </c>
      <c r="E797" s="141" t="str">
        <f>IF(C797="","",'06 REITs'!C100&amp;"")</f>
        <v/>
      </c>
      <c r="F797" s="141" t="str">
        <f>IF(C797="","",'06 REITs'!V100)</f>
        <v/>
      </c>
      <c r="G797" s="142" t="str">
        <f>IF(C797="","",'06 REITs'!E100)</f>
        <v/>
      </c>
      <c r="H797" s="143" t="str">
        <f>IF(C797="","",'06 REITs'!H100)</f>
        <v/>
      </c>
      <c r="I797" s="144" t="str">
        <f>IF(C797="","",'06 REITs'!J100)</f>
        <v/>
      </c>
      <c r="J797" s="145" t="str">
        <f>IF(C797="","",'06 REITs'!K100)</f>
        <v/>
      </c>
      <c r="K797" s="145" t="str">
        <f>IF(C797="","",'06 REITs'!Q100)</f>
        <v/>
      </c>
      <c r="L797" s="142" t="str">
        <f>IF(C797="","",'06 REITs'!R100)</f>
        <v/>
      </c>
      <c r="M797" s="145" t="str">
        <f>IF(C797="","",'06 REITs'!T100)</f>
        <v/>
      </c>
      <c r="N797" s="146" t="str">
        <f>IF(C797="","",IF($J$3&gt;0,J797/$J$3,0))</f>
        <v/>
      </c>
      <c r="O797" s="141" t="str">
        <f>IF(C797="","",'06 REITs'!I100)</f>
        <v/>
      </c>
      <c r="P797" s="147" t="str">
        <f>IF(C797="","",IF(N(J797)&gt;0,J797+ROW()/1E9,""))</f>
        <v/>
      </c>
      <c r="Q797" s="147" t="str">
        <f>IF(C797="","",IF(N(M797)&gt;0,M797+ROW()/1E9,""))</f>
        <v/>
      </c>
    </row>
    <row r="798">
      <c r="A798" s="134" t="str">
        <f>IF(C798="","","REITs")</f>
        <v/>
      </c>
      <c r="B798" s="134" t="str">
        <f>IF(C798="","","Exterior")</f>
        <v/>
      </c>
      <c r="C798" s="134" t="str">
        <f>IF('06 REITs'!A101="","",'06 REITs'!A101&amp;"")</f>
        <v/>
      </c>
      <c r="D798" s="134" t="str">
        <f>IF(C798="","",'06 REITs'!B101&amp;"")</f>
        <v/>
      </c>
      <c r="E798" s="134" t="str">
        <f>IF(C798="","",'06 REITs'!C101&amp;"")</f>
        <v/>
      </c>
      <c r="F798" s="134" t="str">
        <f>IF(C798="","",'06 REITs'!V101)</f>
        <v/>
      </c>
      <c r="G798" s="135" t="str">
        <f>IF(C798="","",'06 REITs'!E101)</f>
        <v/>
      </c>
      <c r="H798" s="136" t="str">
        <f>IF(C798="","",'06 REITs'!H101)</f>
        <v/>
      </c>
      <c r="I798" s="137" t="str">
        <f>IF(C798="","",'06 REITs'!J101)</f>
        <v/>
      </c>
      <c r="J798" s="138" t="str">
        <f>IF(C798="","",'06 REITs'!K101)</f>
        <v/>
      </c>
      <c r="K798" s="138" t="str">
        <f>IF(C798="","",'06 REITs'!Q101)</f>
        <v/>
      </c>
      <c r="L798" s="135" t="str">
        <f>IF(C798="","",'06 REITs'!R101)</f>
        <v/>
      </c>
      <c r="M798" s="138" t="str">
        <f>IF(C798="","",'06 REITs'!T101)</f>
        <v/>
      </c>
      <c r="N798" s="139" t="str">
        <f>IF(C798="","",IF($J$3&gt;0,J798/$J$3,0))</f>
        <v/>
      </c>
      <c r="O798" s="134" t="str">
        <f>IF(C798="","",'06 REITs'!I101)</f>
        <v/>
      </c>
      <c r="P798" s="140" t="str">
        <f>IF(C798="","",IF(N(J798)&gt;0,J798+ROW()/1E9,""))</f>
        <v/>
      </c>
      <c r="Q798" s="140" t="str">
        <f>IF(C798="","",IF(N(M798)&gt;0,M798+ROW()/1E9,""))</f>
        <v/>
      </c>
    </row>
    <row r="799">
      <c r="A799" s="141" t="str">
        <f>IF(C799="","","REITs")</f>
        <v/>
      </c>
      <c r="B799" s="141" t="str">
        <f>IF(C799="","","Exterior")</f>
        <v/>
      </c>
      <c r="C799" s="141" t="str">
        <f>IF('06 REITs'!A102="","",'06 REITs'!A102&amp;"")</f>
        <v/>
      </c>
      <c r="D799" s="141" t="str">
        <f>IF(C799="","",'06 REITs'!B102&amp;"")</f>
        <v/>
      </c>
      <c r="E799" s="141" t="str">
        <f>IF(C799="","",'06 REITs'!C102&amp;"")</f>
        <v/>
      </c>
      <c r="F799" s="141" t="str">
        <f>IF(C799="","",'06 REITs'!V102)</f>
        <v/>
      </c>
      <c r="G799" s="142" t="str">
        <f>IF(C799="","",'06 REITs'!E102)</f>
        <v/>
      </c>
      <c r="H799" s="143" t="str">
        <f>IF(C799="","",'06 REITs'!H102)</f>
        <v/>
      </c>
      <c r="I799" s="144" t="str">
        <f>IF(C799="","",'06 REITs'!J102)</f>
        <v/>
      </c>
      <c r="J799" s="145" t="str">
        <f>IF(C799="","",'06 REITs'!K102)</f>
        <v/>
      </c>
      <c r="K799" s="145" t="str">
        <f>IF(C799="","",'06 REITs'!Q102)</f>
        <v/>
      </c>
      <c r="L799" s="142" t="str">
        <f>IF(C799="","",'06 REITs'!R102)</f>
        <v/>
      </c>
      <c r="M799" s="145" t="str">
        <f>IF(C799="","",'06 REITs'!T102)</f>
        <v/>
      </c>
      <c r="N799" s="146" t="str">
        <f>IF(C799="","",IF($J$3&gt;0,J799/$J$3,0))</f>
        <v/>
      </c>
      <c r="O799" s="141" t="str">
        <f>IF(C799="","",'06 REITs'!I102)</f>
        <v/>
      </c>
      <c r="P799" s="147" t="str">
        <f>IF(C799="","",IF(N(J799)&gt;0,J799+ROW()/1E9,""))</f>
        <v/>
      </c>
      <c r="Q799" s="147" t="str">
        <f>IF(C799="","",IF(N(M799)&gt;0,M799+ROW()/1E9,""))</f>
        <v/>
      </c>
    </row>
    <row r="800">
      <c r="A800" s="134" t="str">
        <f>IF(C800="","","REITs")</f>
        <v/>
      </c>
      <c r="B800" s="134" t="str">
        <f>IF(C800="","","Exterior")</f>
        <v/>
      </c>
      <c r="C800" s="134" t="str">
        <f>IF('06 REITs'!A103="","",'06 REITs'!A103&amp;"")</f>
        <v/>
      </c>
      <c r="D800" s="134" t="str">
        <f>IF(C800="","",'06 REITs'!B103&amp;"")</f>
        <v/>
      </c>
      <c r="E800" s="134" t="str">
        <f>IF(C800="","",'06 REITs'!C103&amp;"")</f>
        <v/>
      </c>
      <c r="F800" s="134" t="str">
        <f>IF(C800="","",'06 REITs'!V103)</f>
        <v/>
      </c>
      <c r="G800" s="135" t="str">
        <f>IF(C800="","",'06 REITs'!E103)</f>
        <v/>
      </c>
      <c r="H800" s="136" t="str">
        <f>IF(C800="","",'06 REITs'!H103)</f>
        <v/>
      </c>
      <c r="I800" s="137" t="str">
        <f>IF(C800="","",'06 REITs'!J103)</f>
        <v/>
      </c>
      <c r="J800" s="138" t="str">
        <f>IF(C800="","",'06 REITs'!K103)</f>
        <v/>
      </c>
      <c r="K800" s="138" t="str">
        <f>IF(C800="","",'06 REITs'!Q103)</f>
        <v/>
      </c>
      <c r="L800" s="135" t="str">
        <f>IF(C800="","",'06 REITs'!R103)</f>
        <v/>
      </c>
      <c r="M800" s="138" t="str">
        <f>IF(C800="","",'06 REITs'!T103)</f>
        <v/>
      </c>
      <c r="N800" s="139" t="str">
        <f>IF(C800="","",IF($J$3&gt;0,J800/$J$3,0))</f>
        <v/>
      </c>
      <c r="O800" s="134" t="str">
        <f>IF(C800="","",'06 REITs'!I103)</f>
        <v/>
      </c>
      <c r="P800" s="140" t="str">
        <f>IF(C800="","",IF(N(J800)&gt;0,J800+ROW()/1E9,""))</f>
        <v/>
      </c>
      <c r="Q800" s="140" t="str">
        <f>IF(C800="","",IF(N(M800)&gt;0,M800+ROW()/1E9,""))</f>
        <v/>
      </c>
    </row>
    <row r="801">
      <c r="A801" s="141" t="str">
        <f>IF(C801="","","REITs")</f>
        <v/>
      </c>
      <c r="B801" s="141" t="str">
        <f>IF(C801="","","Exterior")</f>
        <v/>
      </c>
      <c r="C801" s="141" t="str">
        <f>IF('06 REITs'!A104="","",'06 REITs'!A104&amp;"")</f>
        <v/>
      </c>
      <c r="D801" s="141" t="str">
        <f>IF(C801="","",'06 REITs'!B104&amp;"")</f>
        <v/>
      </c>
      <c r="E801" s="141" t="str">
        <f>IF(C801="","",'06 REITs'!C104&amp;"")</f>
        <v/>
      </c>
      <c r="F801" s="141" t="str">
        <f>IF(C801="","",'06 REITs'!V104)</f>
        <v/>
      </c>
      <c r="G801" s="142" t="str">
        <f>IF(C801="","",'06 REITs'!E104)</f>
        <v/>
      </c>
      <c r="H801" s="143" t="str">
        <f>IF(C801="","",'06 REITs'!H104)</f>
        <v/>
      </c>
      <c r="I801" s="144" t="str">
        <f>IF(C801="","",'06 REITs'!J104)</f>
        <v/>
      </c>
      <c r="J801" s="145" t="str">
        <f>IF(C801="","",'06 REITs'!K104)</f>
        <v/>
      </c>
      <c r="K801" s="145" t="str">
        <f>IF(C801="","",'06 REITs'!Q104)</f>
        <v/>
      </c>
      <c r="L801" s="142" t="str">
        <f>IF(C801="","",'06 REITs'!R104)</f>
        <v/>
      </c>
      <c r="M801" s="145" t="str">
        <f>IF(C801="","",'06 REITs'!T104)</f>
        <v/>
      </c>
      <c r="N801" s="146" t="str">
        <f>IF(C801="","",IF($J$3&gt;0,J801/$J$3,0))</f>
        <v/>
      </c>
      <c r="O801" s="141" t="str">
        <f>IF(C801="","",'06 REITs'!I104)</f>
        <v/>
      </c>
      <c r="P801" s="147" t="str">
        <f>IF(C801="","",IF(N(J801)&gt;0,J801+ROW()/1E9,""))</f>
        <v/>
      </c>
      <c r="Q801" s="147" t="str">
        <f>IF(C801="","",IF(N(M801)&gt;0,M801+ROW()/1E9,""))</f>
        <v/>
      </c>
    </row>
    <row r="802">
      <c r="A802" s="134" t="str">
        <f>IF(C802="","","REITs")</f>
        <v/>
      </c>
      <c r="B802" s="134" t="str">
        <f>IF(C802="","","Exterior")</f>
        <v/>
      </c>
      <c r="C802" s="134" t="str">
        <f>IF('06 REITs'!A105="","",'06 REITs'!A105&amp;"")</f>
        <v/>
      </c>
      <c r="D802" s="134" t="str">
        <f>IF(C802="","",'06 REITs'!B105&amp;"")</f>
        <v/>
      </c>
      <c r="E802" s="134" t="str">
        <f>IF(C802="","",'06 REITs'!C105&amp;"")</f>
        <v/>
      </c>
      <c r="F802" s="134" t="str">
        <f>IF(C802="","",'06 REITs'!V105)</f>
        <v/>
      </c>
      <c r="G802" s="135" t="str">
        <f>IF(C802="","",'06 REITs'!E105)</f>
        <v/>
      </c>
      <c r="H802" s="136" t="str">
        <f>IF(C802="","",'06 REITs'!H105)</f>
        <v/>
      </c>
      <c r="I802" s="137" t="str">
        <f>IF(C802="","",'06 REITs'!J105)</f>
        <v/>
      </c>
      <c r="J802" s="138" t="str">
        <f>IF(C802="","",'06 REITs'!K105)</f>
        <v/>
      </c>
      <c r="K802" s="138" t="str">
        <f>IF(C802="","",'06 REITs'!Q105)</f>
        <v/>
      </c>
      <c r="L802" s="135" t="str">
        <f>IF(C802="","",'06 REITs'!R105)</f>
        <v/>
      </c>
      <c r="M802" s="138" t="str">
        <f>IF(C802="","",'06 REITs'!T105)</f>
        <v/>
      </c>
      <c r="N802" s="139" t="str">
        <f>IF(C802="","",IF($J$3&gt;0,J802/$J$3,0))</f>
        <v/>
      </c>
      <c r="O802" s="134" t="str">
        <f>IF(C802="","",'06 REITs'!I105)</f>
        <v/>
      </c>
      <c r="P802" s="140" t="str">
        <f>IF(C802="","",IF(N(J802)&gt;0,J802+ROW()/1E9,""))</f>
        <v/>
      </c>
      <c r="Q802" s="140" t="str">
        <f>IF(C802="","",IF(N(M802)&gt;0,M802+ROW()/1E9,""))</f>
        <v/>
      </c>
    </row>
    <row r="803">
      <c r="A803" s="141" t="str">
        <f>IF(C803="","","REITs")</f>
        <v/>
      </c>
      <c r="B803" s="141" t="str">
        <f>IF(C803="","","Exterior")</f>
        <v/>
      </c>
      <c r="C803" s="141" t="str">
        <f>IF('06 REITs'!A106="","",'06 REITs'!A106&amp;"")</f>
        <v/>
      </c>
      <c r="D803" s="141" t="str">
        <f>IF(C803="","",'06 REITs'!B106&amp;"")</f>
        <v/>
      </c>
      <c r="E803" s="141" t="str">
        <f>IF(C803="","",'06 REITs'!C106&amp;"")</f>
        <v/>
      </c>
      <c r="F803" s="141" t="str">
        <f>IF(C803="","",'06 REITs'!V106)</f>
        <v/>
      </c>
      <c r="G803" s="142" t="str">
        <f>IF(C803="","",'06 REITs'!E106)</f>
        <v/>
      </c>
      <c r="H803" s="143" t="str">
        <f>IF(C803="","",'06 REITs'!H106)</f>
        <v/>
      </c>
      <c r="I803" s="144" t="str">
        <f>IF(C803="","",'06 REITs'!J106)</f>
        <v/>
      </c>
      <c r="J803" s="145" t="str">
        <f>IF(C803="","",'06 REITs'!K106)</f>
        <v/>
      </c>
      <c r="K803" s="145" t="str">
        <f>IF(C803="","",'06 REITs'!Q106)</f>
        <v/>
      </c>
      <c r="L803" s="142" t="str">
        <f>IF(C803="","",'06 REITs'!R106)</f>
        <v/>
      </c>
      <c r="M803" s="145" t="str">
        <f>IF(C803="","",'06 REITs'!T106)</f>
        <v/>
      </c>
      <c r="N803" s="146" t="str">
        <f>IF(C803="","",IF($J$3&gt;0,J803/$J$3,0))</f>
        <v/>
      </c>
      <c r="O803" s="141" t="str">
        <f>IF(C803="","",'06 REITs'!I106)</f>
        <v/>
      </c>
      <c r="P803" s="147" t="str">
        <f>IF(C803="","",IF(N(J803)&gt;0,J803+ROW()/1E9,""))</f>
        <v/>
      </c>
      <c r="Q803" s="147" t="str">
        <f>IF(C803="","",IF(N(M803)&gt;0,M803+ROW()/1E9,""))</f>
        <v/>
      </c>
    </row>
    <row r="804">
      <c r="A804" s="134" t="str">
        <f>IF(C804="","","REITs")</f>
        <v/>
      </c>
      <c r="B804" s="134" t="str">
        <f>IF(C804="","","Exterior")</f>
        <v/>
      </c>
      <c r="C804" s="134" t="str">
        <f>IF('06 REITs'!A107="","",'06 REITs'!A107&amp;"")</f>
        <v/>
      </c>
      <c r="D804" s="134" t="str">
        <f>IF(C804="","",'06 REITs'!B107&amp;"")</f>
        <v/>
      </c>
      <c r="E804" s="134" t="str">
        <f>IF(C804="","",'06 REITs'!C107&amp;"")</f>
        <v/>
      </c>
      <c r="F804" s="134" t="str">
        <f>IF(C804="","",'06 REITs'!V107)</f>
        <v/>
      </c>
      <c r="G804" s="135" t="str">
        <f>IF(C804="","",'06 REITs'!E107)</f>
        <v/>
      </c>
      <c r="H804" s="136" t="str">
        <f>IF(C804="","",'06 REITs'!H107)</f>
        <v/>
      </c>
      <c r="I804" s="137" t="str">
        <f>IF(C804="","",'06 REITs'!J107)</f>
        <v/>
      </c>
      <c r="J804" s="138" t="str">
        <f>IF(C804="","",'06 REITs'!K107)</f>
        <v/>
      </c>
      <c r="K804" s="138" t="str">
        <f>IF(C804="","",'06 REITs'!Q107)</f>
        <v/>
      </c>
      <c r="L804" s="135" t="str">
        <f>IF(C804="","",'06 REITs'!R107)</f>
        <v/>
      </c>
      <c r="M804" s="138" t="str">
        <f>IF(C804="","",'06 REITs'!T107)</f>
        <v/>
      </c>
      <c r="N804" s="139" t="str">
        <f>IF(C804="","",IF($J$3&gt;0,J804/$J$3,0))</f>
        <v/>
      </c>
      <c r="O804" s="134" t="str">
        <f>IF(C804="","",'06 REITs'!I107)</f>
        <v/>
      </c>
      <c r="P804" s="140" t="str">
        <f>IF(C804="","",IF(N(J804)&gt;0,J804+ROW()/1E9,""))</f>
        <v/>
      </c>
      <c r="Q804" s="140" t="str">
        <f>IF(C804="","",IF(N(M804)&gt;0,M804+ROW()/1E9,""))</f>
        <v/>
      </c>
    </row>
    <row r="805">
      <c r="A805" s="141" t="str">
        <f>IF(C805="","","REITs")</f>
        <v/>
      </c>
      <c r="B805" s="141" t="str">
        <f>IF(C805="","","Exterior")</f>
        <v/>
      </c>
      <c r="C805" s="141" t="str">
        <f>IF('06 REITs'!A108="","",'06 REITs'!A108&amp;"")</f>
        <v/>
      </c>
      <c r="D805" s="141" t="str">
        <f>IF(C805="","",'06 REITs'!B108&amp;"")</f>
        <v/>
      </c>
      <c r="E805" s="141" t="str">
        <f>IF(C805="","",'06 REITs'!C108&amp;"")</f>
        <v/>
      </c>
      <c r="F805" s="141" t="str">
        <f>IF(C805="","",'06 REITs'!V108)</f>
        <v/>
      </c>
      <c r="G805" s="142" t="str">
        <f>IF(C805="","",'06 REITs'!E108)</f>
        <v/>
      </c>
      <c r="H805" s="143" t="str">
        <f>IF(C805="","",'06 REITs'!H108)</f>
        <v/>
      </c>
      <c r="I805" s="144" t="str">
        <f>IF(C805="","",'06 REITs'!J108)</f>
        <v/>
      </c>
      <c r="J805" s="145" t="str">
        <f>IF(C805="","",'06 REITs'!K108)</f>
        <v/>
      </c>
      <c r="K805" s="145" t="str">
        <f>IF(C805="","",'06 REITs'!Q108)</f>
        <v/>
      </c>
      <c r="L805" s="142" t="str">
        <f>IF(C805="","",'06 REITs'!R108)</f>
        <v/>
      </c>
      <c r="M805" s="145" t="str">
        <f>IF(C805="","",'06 REITs'!T108)</f>
        <v/>
      </c>
      <c r="N805" s="146" t="str">
        <f>IF(C805="","",IF($J$3&gt;0,J805/$J$3,0))</f>
        <v/>
      </c>
      <c r="O805" s="141" t="str">
        <f>IF(C805="","",'06 REITs'!I108)</f>
        <v/>
      </c>
      <c r="P805" s="147" t="str">
        <f>IF(C805="","",IF(N(J805)&gt;0,J805+ROW()/1E9,""))</f>
        <v/>
      </c>
      <c r="Q805" s="147" t="str">
        <f>IF(C805="","",IF(N(M805)&gt;0,M805+ROW()/1E9,""))</f>
        <v/>
      </c>
    </row>
    <row r="806">
      <c r="A806" s="134" t="str">
        <f>IF(C806="","","Criptomoedas")</f>
        <v/>
      </c>
      <c r="B806" s="134" t="str">
        <f>IF(C806="","","Alternativos")</f>
        <v/>
      </c>
      <c r="C806" s="134" t="str">
        <f>IF('08 Criptomoedas'!A9="","",'08 Criptomoedas'!A9&amp;"")</f>
        <v/>
      </c>
      <c r="D806" s="134" t="str">
        <f>IF(C806="","",'08 Criptomoedas'!B9&amp;"")</f>
        <v/>
      </c>
      <c r="E806" s="134" t="str">
        <f>IF(C806="","",'08 Criptomoedas'!C9&amp;"")</f>
        <v/>
      </c>
      <c r="F806" s="134" t="str">
        <f>IF(C806="","",'08 Criptomoedas'!W9)</f>
        <v/>
      </c>
      <c r="G806" s="135" t="str">
        <f>IF(C806="","",'08 Criptomoedas'!F9)</f>
        <v/>
      </c>
      <c r="H806" s="136" t="str">
        <f>IF(C806="","",'08 Criptomoedas'!I9)</f>
        <v/>
      </c>
      <c r="I806" s="137" t="str">
        <f>IF(C806="","",'08 Criptomoedas'!K9)</f>
        <v/>
      </c>
      <c r="J806" s="138" t="str">
        <f>IF(C806="","",'08 Criptomoedas'!L9)</f>
        <v/>
      </c>
      <c r="K806" s="138" t="str">
        <f>IF(C806="","",'08 Criptomoedas'!R9)</f>
        <v/>
      </c>
      <c r="L806" s="135" t="str">
        <f>IF(C806="","",'08 Criptomoedas'!S9)</f>
        <v/>
      </c>
      <c r="M806" s="138" t="str">
        <f>IF(C806="","",'08 Criptomoedas'!U9)</f>
        <v/>
      </c>
      <c r="N806" s="139" t="str">
        <f>IF(C806="","",IF($J$3&gt;0,J806/$J$3,0))</f>
        <v/>
      </c>
      <c r="O806" s="134" t="str">
        <f>IF(C806="","",'08 Criptomoedas'!J9)</f>
        <v/>
      </c>
      <c r="P806" s="140" t="str">
        <f>IF(C806="","",IF(N(J806)&gt;0,J806+ROW()/1E9,""))</f>
        <v/>
      </c>
      <c r="Q806" s="140" t="str">
        <f>IF(C806="","",IF(N(M806)&gt;0,M806+ROW()/1E9,""))</f>
        <v/>
      </c>
    </row>
    <row r="807">
      <c r="A807" s="141" t="str">
        <f>IF(C807="","","Criptomoedas")</f>
        <v/>
      </c>
      <c r="B807" s="141" t="str">
        <f>IF(C807="","","Alternativos")</f>
        <v/>
      </c>
      <c r="C807" s="141" t="str">
        <f>IF('08 Criptomoedas'!A10="","",'08 Criptomoedas'!A10&amp;"")</f>
        <v/>
      </c>
      <c r="D807" s="141" t="str">
        <f>IF(C807="","",'08 Criptomoedas'!B10&amp;"")</f>
        <v/>
      </c>
      <c r="E807" s="141" t="str">
        <f>IF(C807="","",'08 Criptomoedas'!C10&amp;"")</f>
        <v/>
      </c>
      <c r="F807" s="141" t="str">
        <f>IF(C807="","",'08 Criptomoedas'!W10)</f>
        <v/>
      </c>
      <c r="G807" s="142" t="str">
        <f>IF(C807="","",'08 Criptomoedas'!F10)</f>
        <v/>
      </c>
      <c r="H807" s="143" t="str">
        <f>IF(C807="","",'08 Criptomoedas'!I10)</f>
        <v/>
      </c>
      <c r="I807" s="144" t="str">
        <f>IF(C807="","",'08 Criptomoedas'!K10)</f>
        <v/>
      </c>
      <c r="J807" s="145" t="str">
        <f>IF(C807="","",'08 Criptomoedas'!L10)</f>
        <v/>
      </c>
      <c r="K807" s="145" t="str">
        <f>IF(C807="","",'08 Criptomoedas'!R10)</f>
        <v/>
      </c>
      <c r="L807" s="142" t="str">
        <f>IF(C807="","",'08 Criptomoedas'!S10)</f>
        <v/>
      </c>
      <c r="M807" s="145" t="str">
        <f>IF(C807="","",'08 Criptomoedas'!U10)</f>
        <v/>
      </c>
      <c r="N807" s="146" t="str">
        <f>IF(C807="","",IF($J$3&gt;0,J807/$J$3,0))</f>
        <v/>
      </c>
      <c r="O807" s="141" t="str">
        <f>IF(C807="","",'08 Criptomoedas'!J10)</f>
        <v/>
      </c>
      <c r="P807" s="147" t="str">
        <f>IF(C807="","",IF(N(J807)&gt;0,J807+ROW()/1E9,""))</f>
        <v/>
      </c>
      <c r="Q807" s="147" t="str">
        <f>IF(C807="","",IF(N(M807)&gt;0,M807+ROW()/1E9,""))</f>
        <v/>
      </c>
    </row>
    <row r="808">
      <c r="A808" s="134" t="str">
        <f>IF(C808="","","Criptomoedas")</f>
        <v/>
      </c>
      <c r="B808" s="134" t="str">
        <f>IF(C808="","","Alternativos")</f>
        <v/>
      </c>
      <c r="C808" s="134" t="str">
        <f>IF('08 Criptomoedas'!A11="","",'08 Criptomoedas'!A11&amp;"")</f>
        <v/>
      </c>
      <c r="D808" s="134" t="str">
        <f>IF(C808="","",'08 Criptomoedas'!B11&amp;"")</f>
        <v/>
      </c>
      <c r="E808" s="134" t="str">
        <f>IF(C808="","",'08 Criptomoedas'!C11&amp;"")</f>
        <v/>
      </c>
      <c r="F808" s="134" t="str">
        <f>IF(C808="","",'08 Criptomoedas'!W11)</f>
        <v/>
      </c>
      <c r="G808" s="135" t="str">
        <f>IF(C808="","",'08 Criptomoedas'!F11)</f>
        <v/>
      </c>
      <c r="H808" s="136" t="str">
        <f>IF(C808="","",'08 Criptomoedas'!I11)</f>
        <v/>
      </c>
      <c r="I808" s="137" t="str">
        <f>IF(C808="","",'08 Criptomoedas'!K11)</f>
        <v/>
      </c>
      <c r="J808" s="138" t="str">
        <f>IF(C808="","",'08 Criptomoedas'!L11)</f>
        <v/>
      </c>
      <c r="K808" s="138" t="str">
        <f>IF(C808="","",'08 Criptomoedas'!R11)</f>
        <v/>
      </c>
      <c r="L808" s="135" t="str">
        <f>IF(C808="","",'08 Criptomoedas'!S11)</f>
        <v/>
      </c>
      <c r="M808" s="138" t="str">
        <f>IF(C808="","",'08 Criptomoedas'!U11)</f>
        <v/>
      </c>
      <c r="N808" s="139" t="str">
        <f>IF(C808="","",IF($J$3&gt;0,J808/$J$3,0))</f>
        <v/>
      </c>
      <c r="O808" s="134" t="str">
        <f>IF(C808="","",'08 Criptomoedas'!J11)</f>
        <v/>
      </c>
      <c r="P808" s="140" t="str">
        <f>IF(C808="","",IF(N(J808)&gt;0,J808+ROW()/1E9,""))</f>
        <v/>
      </c>
      <c r="Q808" s="140" t="str">
        <f>IF(C808="","",IF(N(M808)&gt;0,M808+ROW()/1E9,""))</f>
        <v/>
      </c>
    </row>
    <row r="809">
      <c r="A809" s="141" t="str">
        <f>IF(C809="","","Criptomoedas")</f>
        <v/>
      </c>
      <c r="B809" s="141" t="str">
        <f>IF(C809="","","Alternativos")</f>
        <v/>
      </c>
      <c r="C809" s="141" t="str">
        <f>IF('08 Criptomoedas'!A12="","",'08 Criptomoedas'!A12&amp;"")</f>
        <v/>
      </c>
      <c r="D809" s="141" t="str">
        <f>IF(C809="","",'08 Criptomoedas'!B12&amp;"")</f>
        <v/>
      </c>
      <c r="E809" s="141" t="str">
        <f>IF(C809="","",'08 Criptomoedas'!C12&amp;"")</f>
        <v/>
      </c>
      <c r="F809" s="141" t="str">
        <f>IF(C809="","",'08 Criptomoedas'!W12)</f>
        <v/>
      </c>
      <c r="G809" s="142" t="str">
        <f>IF(C809="","",'08 Criptomoedas'!F12)</f>
        <v/>
      </c>
      <c r="H809" s="143" t="str">
        <f>IF(C809="","",'08 Criptomoedas'!I12)</f>
        <v/>
      </c>
      <c r="I809" s="144" t="str">
        <f>IF(C809="","",'08 Criptomoedas'!K12)</f>
        <v/>
      </c>
      <c r="J809" s="145" t="str">
        <f>IF(C809="","",'08 Criptomoedas'!L12)</f>
        <v/>
      </c>
      <c r="K809" s="145" t="str">
        <f>IF(C809="","",'08 Criptomoedas'!R12)</f>
        <v/>
      </c>
      <c r="L809" s="142" t="str">
        <f>IF(C809="","",'08 Criptomoedas'!S12)</f>
        <v/>
      </c>
      <c r="M809" s="145" t="str">
        <f>IF(C809="","",'08 Criptomoedas'!U12)</f>
        <v/>
      </c>
      <c r="N809" s="146" t="str">
        <f>IF(C809="","",IF($J$3&gt;0,J809/$J$3,0))</f>
        <v/>
      </c>
      <c r="O809" s="141" t="str">
        <f>IF(C809="","",'08 Criptomoedas'!J12)</f>
        <v/>
      </c>
      <c r="P809" s="147" t="str">
        <f>IF(C809="","",IF(N(J809)&gt;0,J809+ROW()/1E9,""))</f>
        <v/>
      </c>
      <c r="Q809" s="147" t="str">
        <f>IF(C809="","",IF(N(M809)&gt;0,M809+ROW()/1E9,""))</f>
        <v/>
      </c>
    </row>
    <row r="810">
      <c r="A810" s="134" t="str">
        <f>IF(C810="","","Criptomoedas")</f>
        <v/>
      </c>
      <c r="B810" s="134" t="str">
        <f>IF(C810="","","Alternativos")</f>
        <v/>
      </c>
      <c r="C810" s="134" t="str">
        <f>IF('08 Criptomoedas'!A13="","",'08 Criptomoedas'!A13&amp;"")</f>
        <v/>
      </c>
      <c r="D810" s="134" t="str">
        <f>IF(C810="","",'08 Criptomoedas'!B13&amp;"")</f>
        <v/>
      </c>
      <c r="E810" s="134" t="str">
        <f>IF(C810="","",'08 Criptomoedas'!C13&amp;"")</f>
        <v/>
      </c>
      <c r="F810" s="134" t="str">
        <f>IF(C810="","",'08 Criptomoedas'!W13)</f>
        <v/>
      </c>
      <c r="G810" s="135" t="str">
        <f>IF(C810="","",'08 Criptomoedas'!F13)</f>
        <v/>
      </c>
      <c r="H810" s="136" t="str">
        <f>IF(C810="","",'08 Criptomoedas'!I13)</f>
        <v/>
      </c>
      <c r="I810" s="137" t="str">
        <f>IF(C810="","",'08 Criptomoedas'!K13)</f>
        <v/>
      </c>
      <c r="J810" s="138" t="str">
        <f>IF(C810="","",'08 Criptomoedas'!L13)</f>
        <v/>
      </c>
      <c r="K810" s="138" t="str">
        <f>IF(C810="","",'08 Criptomoedas'!R13)</f>
        <v/>
      </c>
      <c r="L810" s="135" t="str">
        <f>IF(C810="","",'08 Criptomoedas'!S13)</f>
        <v/>
      </c>
      <c r="M810" s="138" t="str">
        <f>IF(C810="","",'08 Criptomoedas'!U13)</f>
        <v/>
      </c>
      <c r="N810" s="139" t="str">
        <f>IF(C810="","",IF($J$3&gt;0,J810/$J$3,0))</f>
        <v/>
      </c>
      <c r="O810" s="134" t="str">
        <f>IF(C810="","",'08 Criptomoedas'!J13)</f>
        <v/>
      </c>
      <c r="P810" s="140" t="str">
        <f>IF(C810="","",IF(N(J810)&gt;0,J810+ROW()/1E9,""))</f>
        <v/>
      </c>
      <c r="Q810" s="140" t="str">
        <f>IF(C810="","",IF(N(M810)&gt;0,M810+ROW()/1E9,""))</f>
        <v/>
      </c>
    </row>
    <row r="811">
      <c r="A811" s="141" t="str">
        <f>IF(C811="","","Criptomoedas")</f>
        <v/>
      </c>
      <c r="B811" s="141" t="str">
        <f>IF(C811="","","Alternativos")</f>
        <v/>
      </c>
      <c r="C811" s="141" t="str">
        <f>IF('08 Criptomoedas'!A14="","",'08 Criptomoedas'!A14&amp;"")</f>
        <v/>
      </c>
      <c r="D811" s="141" t="str">
        <f>IF(C811="","",'08 Criptomoedas'!B14&amp;"")</f>
        <v/>
      </c>
      <c r="E811" s="141" t="str">
        <f>IF(C811="","",'08 Criptomoedas'!C14&amp;"")</f>
        <v/>
      </c>
      <c r="F811" s="141" t="str">
        <f>IF(C811="","",'08 Criptomoedas'!W14)</f>
        <v/>
      </c>
      <c r="G811" s="142" t="str">
        <f>IF(C811="","",'08 Criptomoedas'!F14)</f>
        <v/>
      </c>
      <c r="H811" s="143" t="str">
        <f>IF(C811="","",'08 Criptomoedas'!I14)</f>
        <v/>
      </c>
      <c r="I811" s="144" t="str">
        <f>IF(C811="","",'08 Criptomoedas'!K14)</f>
        <v/>
      </c>
      <c r="J811" s="145" t="str">
        <f>IF(C811="","",'08 Criptomoedas'!L14)</f>
        <v/>
      </c>
      <c r="K811" s="145" t="str">
        <f>IF(C811="","",'08 Criptomoedas'!R14)</f>
        <v/>
      </c>
      <c r="L811" s="142" t="str">
        <f>IF(C811="","",'08 Criptomoedas'!S14)</f>
        <v/>
      </c>
      <c r="M811" s="145" t="str">
        <f>IF(C811="","",'08 Criptomoedas'!U14)</f>
        <v/>
      </c>
      <c r="N811" s="146" t="str">
        <f>IF(C811="","",IF($J$3&gt;0,J811/$J$3,0))</f>
        <v/>
      </c>
      <c r="O811" s="141" t="str">
        <f>IF(C811="","",'08 Criptomoedas'!J14)</f>
        <v/>
      </c>
      <c r="P811" s="147" t="str">
        <f>IF(C811="","",IF(N(J811)&gt;0,J811+ROW()/1E9,""))</f>
        <v/>
      </c>
      <c r="Q811" s="147" t="str">
        <f>IF(C811="","",IF(N(M811)&gt;0,M811+ROW()/1E9,""))</f>
        <v/>
      </c>
    </row>
    <row r="812">
      <c r="A812" s="134" t="str">
        <f>IF(C812="","","Criptomoedas")</f>
        <v/>
      </c>
      <c r="B812" s="134" t="str">
        <f>IF(C812="","","Alternativos")</f>
        <v/>
      </c>
      <c r="C812" s="134" t="str">
        <f>IF('08 Criptomoedas'!A15="","",'08 Criptomoedas'!A15&amp;"")</f>
        <v/>
      </c>
      <c r="D812" s="134" t="str">
        <f>IF(C812="","",'08 Criptomoedas'!B15&amp;"")</f>
        <v/>
      </c>
      <c r="E812" s="134" t="str">
        <f>IF(C812="","",'08 Criptomoedas'!C15&amp;"")</f>
        <v/>
      </c>
      <c r="F812" s="134" t="str">
        <f>IF(C812="","",'08 Criptomoedas'!W15)</f>
        <v/>
      </c>
      <c r="G812" s="135" t="str">
        <f>IF(C812="","",'08 Criptomoedas'!F15)</f>
        <v/>
      </c>
      <c r="H812" s="136" t="str">
        <f>IF(C812="","",'08 Criptomoedas'!I15)</f>
        <v/>
      </c>
      <c r="I812" s="137" t="str">
        <f>IF(C812="","",'08 Criptomoedas'!K15)</f>
        <v/>
      </c>
      <c r="J812" s="138" t="str">
        <f>IF(C812="","",'08 Criptomoedas'!L15)</f>
        <v/>
      </c>
      <c r="K812" s="138" t="str">
        <f>IF(C812="","",'08 Criptomoedas'!R15)</f>
        <v/>
      </c>
      <c r="L812" s="135" t="str">
        <f>IF(C812="","",'08 Criptomoedas'!S15)</f>
        <v/>
      </c>
      <c r="M812" s="138" t="str">
        <f>IF(C812="","",'08 Criptomoedas'!U15)</f>
        <v/>
      </c>
      <c r="N812" s="139" t="str">
        <f>IF(C812="","",IF($J$3&gt;0,J812/$J$3,0))</f>
        <v/>
      </c>
      <c r="O812" s="134" t="str">
        <f>IF(C812="","",'08 Criptomoedas'!J15)</f>
        <v/>
      </c>
      <c r="P812" s="140" t="str">
        <f>IF(C812="","",IF(N(J812)&gt;0,J812+ROW()/1E9,""))</f>
        <v/>
      </c>
      <c r="Q812" s="140" t="str">
        <f>IF(C812="","",IF(N(M812)&gt;0,M812+ROW()/1E9,""))</f>
        <v/>
      </c>
    </row>
    <row r="813">
      <c r="A813" s="141" t="str">
        <f>IF(C813="","","Criptomoedas")</f>
        <v/>
      </c>
      <c r="B813" s="141" t="str">
        <f>IF(C813="","","Alternativos")</f>
        <v/>
      </c>
      <c r="C813" s="141" t="str">
        <f>IF('08 Criptomoedas'!A16="","",'08 Criptomoedas'!A16&amp;"")</f>
        <v/>
      </c>
      <c r="D813" s="141" t="str">
        <f>IF(C813="","",'08 Criptomoedas'!B16&amp;"")</f>
        <v/>
      </c>
      <c r="E813" s="141" t="str">
        <f>IF(C813="","",'08 Criptomoedas'!C16&amp;"")</f>
        <v/>
      </c>
      <c r="F813" s="141" t="str">
        <f>IF(C813="","",'08 Criptomoedas'!W16)</f>
        <v/>
      </c>
      <c r="G813" s="142" t="str">
        <f>IF(C813="","",'08 Criptomoedas'!F16)</f>
        <v/>
      </c>
      <c r="H813" s="143" t="str">
        <f>IF(C813="","",'08 Criptomoedas'!I16)</f>
        <v/>
      </c>
      <c r="I813" s="144" t="str">
        <f>IF(C813="","",'08 Criptomoedas'!K16)</f>
        <v/>
      </c>
      <c r="J813" s="145" t="str">
        <f>IF(C813="","",'08 Criptomoedas'!L16)</f>
        <v/>
      </c>
      <c r="K813" s="145" t="str">
        <f>IF(C813="","",'08 Criptomoedas'!R16)</f>
        <v/>
      </c>
      <c r="L813" s="142" t="str">
        <f>IF(C813="","",'08 Criptomoedas'!S16)</f>
        <v/>
      </c>
      <c r="M813" s="145" t="str">
        <f>IF(C813="","",'08 Criptomoedas'!U16)</f>
        <v/>
      </c>
      <c r="N813" s="146" t="str">
        <f>IF(C813="","",IF($J$3&gt;0,J813/$J$3,0))</f>
        <v/>
      </c>
      <c r="O813" s="141" t="str">
        <f>IF(C813="","",'08 Criptomoedas'!J16)</f>
        <v/>
      </c>
      <c r="P813" s="147" t="str">
        <f>IF(C813="","",IF(N(J813)&gt;0,J813+ROW()/1E9,""))</f>
        <v/>
      </c>
      <c r="Q813" s="147" t="str">
        <f>IF(C813="","",IF(N(M813)&gt;0,M813+ROW()/1E9,""))</f>
        <v/>
      </c>
    </row>
    <row r="814">
      <c r="A814" s="134" t="str">
        <f>IF(C814="","","Criptomoedas")</f>
        <v/>
      </c>
      <c r="B814" s="134" t="str">
        <f>IF(C814="","","Alternativos")</f>
        <v/>
      </c>
      <c r="C814" s="134" t="str">
        <f>IF('08 Criptomoedas'!A17="","",'08 Criptomoedas'!A17&amp;"")</f>
        <v/>
      </c>
      <c r="D814" s="134" t="str">
        <f>IF(C814="","",'08 Criptomoedas'!B17&amp;"")</f>
        <v/>
      </c>
      <c r="E814" s="134" t="str">
        <f>IF(C814="","",'08 Criptomoedas'!C17&amp;"")</f>
        <v/>
      </c>
      <c r="F814" s="134" t="str">
        <f>IF(C814="","",'08 Criptomoedas'!W17)</f>
        <v/>
      </c>
      <c r="G814" s="135" t="str">
        <f>IF(C814="","",'08 Criptomoedas'!F17)</f>
        <v/>
      </c>
      <c r="H814" s="136" t="str">
        <f>IF(C814="","",'08 Criptomoedas'!I17)</f>
        <v/>
      </c>
      <c r="I814" s="137" t="str">
        <f>IF(C814="","",'08 Criptomoedas'!K17)</f>
        <v/>
      </c>
      <c r="J814" s="138" t="str">
        <f>IF(C814="","",'08 Criptomoedas'!L17)</f>
        <v/>
      </c>
      <c r="K814" s="138" t="str">
        <f>IF(C814="","",'08 Criptomoedas'!R17)</f>
        <v/>
      </c>
      <c r="L814" s="135" t="str">
        <f>IF(C814="","",'08 Criptomoedas'!S17)</f>
        <v/>
      </c>
      <c r="M814" s="138" t="str">
        <f>IF(C814="","",'08 Criptomoedas'!U17)</f>
        <v/>
      </c>
      <c r="N814" s="139" t="str">
        <f>IF(C814="","",IF($J$3&gt;0,J814/$J$3,0))</f>
        <v/>
      </c>
      <c r="O814" s="134" t="str">
        <f>IF(C814="","",'08 Criptomoedas'!J17)</f>
        <v/>
      </c>
      <c r="P814" s="140" t="str">
        <f>IF(C814="","",IF(N(J814)&gt;0,J814+ROW()/1E9,""))</f>
        <v/>
      </c>
      <c r="Q814" s="140" t="str">
        <f>IF(C814="","",IF(N(M814)&gt;0,M814+ROW()/1E9,""))</f>
        <v/>
      </c>
    </row>
    <row r="815">
      <c r="A815" s="141" t="str">
        <f>IF(C815="","","Criptomoedas")</f>
        <v/>
      </c>
      <c r="B815" s="141" t="str">
        <f>IF(C815="","","Alternativos")</f>
        <v/>
      </c>
      <c r="C815" s="141" t="str">
        <f>IF('08 Criptomoedas'!A18="","",'08 Criptomoedas'!A18&amp;"")</f>
        <v/>
      </c>
      <c r="D815" s="141" t="str">
        <f>IF(C815="","",'08 Criptomoedas'!B18&amp;"")</f>
        <v/>
      </c>
      <c r="E815" s="141" t="str">
        <f>IF(C815="","",'08 Criptomoedas'!C18&amp;"")</f>
        <v/>
      </c>
      <c r="F815" s="141" t="str">
        <f>IF(C815="","",'08 Criptomoedas'!W18)</f>
        <v/>
      </c>
      <c r="G815" s="142" t="str">
        <f>IF(C815="","",'08 Criptomoedas'!F18)</f>
        <v/>
      </c>
      <c r="H815" s="143" t="str">
        <f>IF(C815="","",'08 Criptomoedas'!I18)</f>
        <v/>
      </c>
      <c r="I815" s="144" t="str">
        <f>IF(C815="","",'08 Criptomoedas'!K18)</f>
        <v/>
      </c>
      <c r="J815" s="145" t="str">
        <f>IF(C815="","",'08 Criptomoedas'!L18)</f>
        <v/>
      </c>
      <c r="K815" s="145" t="str">
        <f>IF(C815="","",'08 Criptomoedas'!R18)</f>
        <v/>
      </c>
      <c r="L815" s="142" t="str">
        <f>IF(C815="","",'08 Criptomoedas'!S18)</f>
        <v/>
      </c>
      <c r="M815" s="145" t="str">
        <f>IF(C815="","",'08 Criptomoedas'!U18)</f>
        <v/>
      </c>
      <c r="N815" s="146" t="str">
        <f>IF(C815="","",IF($J$3&gt;0,J815/$J$3,0))</f>
        <v/>
      </c>
      <c r="O815" s="141" t="str">
        <f>IF(C815="","",'08 Criptomoedas'!J18)</f>
        <v/>
      </c>
      <c r="P815" s="147" t="str">
        <f>IF(C815="","",IF(N(J815)&gt;0,J815+ROW()/1E9,""))</f>
        <v/>
      </c>
      <c r="Q815" s="147" t="str">
        <f>IF(C815="","",IF(N(M815)&gt;0,M815+ROW()/1E9,""))</f>
        <v/>
      </c>
    </row>
    <row r="816">
      <c r="A816" s="134" t="str">
        <f>IF(C816="","","Criptomoedas")</f>
        <v/>
      </c>
      <c r="B816" s="134" t="str">
        <f>IF(C816="","","Alternativos")</f>
        <v/>
      </c>
      <c r="C816" s="134" t="str">
        <f>IF('08 Criptomoedas'!A19="","",'08 Criptomoedas'!A19&amp;"")</f>
        <v/>
      </c>
      <c r="D816" s="134" t="str">
        <f>IF(C816="","",'08 Criptomoedas'!B19&amp;"")</f>
        <v/>
      </c>
      <c r="E816" s="134" t="str">
        <f>IF(C816="","",'08 Criptomoedas'!C19&amp;"")</f>
        <v/>
      </c>
      <c r="F816" s="134" t="str">
        <f>IF(C816="","",'08 Criptomoedas'!W19)</f>
        <v/>
      </c>
      <c r="G816" s="135" t="str">
        <f>IF(C816="","",'08 Criptomoedas'!F19)</f>
        <v/>
      </c>
      <c r="H816" s="136" t="str">
        <f>IF(C816="","",'08 Criptomoedas'!I19)</f>
        <v/>
      </c>
      <c r="I816" s="137" t="str">
        <f>IF(C816="","",'08 Criptomoedas'!K19)</f>
        <v/>
      </c>
      <c r="J816" s="138" t="str">
        <f>IF(C816="","",'08 Criptomoedas'!L19)</f>
        <v/>
      </c>
      <c r="K816" s="138" t="str">
        <f>IF(C816="","",'08 Criptomoedas'!R19)</f>
        <v/>
      </c>
      <c r="L816" s="135" t="str">
        <f>IF(C816="","",'08 Criptomoedas'!S19)</f>
        <v/>
      </c>
      <c r="M816" s="138" t="str">
        <f>IF(C816="","",'08 Criptomoedas'!U19)</f>
        <v/>
      </c>
      <c r="N816" s="139" t="str">
        <f>IF(C816="","",IF($J$3&gt;0,J816/$J$3,0))</f>
        <v/>
      </c>
      <c r="O816" s="134" t="str">
        <f>IF(C816="","",'08 Criptomoedas'!J19)</f>
        <v/>
      </c>
      <c r="P816" s="140" t="str">
        <f>IF(C816="","",IF(N(J816)&gt;0,J816+ROW()/1E9,""))</f>
        <v/>
      </c>
      <c r="Q816" s="140" t="str">
        <f>IF(C816="","",IF(N(M816)&gt;0,M816+ROW()/1E9,""))</f>
        <v/>
      </c>
    </row>
    <row r="817">
      <c r="A817" s="141" t="str">
        <f>IF(C817="","","Criptomoedas")</f>
        <v/>
      </c>
      <c r="B817" s="141" t="str">
        <f>IF(C817="","","Alternativos")</f>
        <v/>
      </c>
      <c r="C817" s="141" t="str">
        <f>IF('08 Criptomoedas'!A20="","",'08 Criptomoedas'!A20&amp;"")</f>
        <v/>
      </c>
      <c r="D817" s="141" t="str">
        <f>IF(C817="","",'08 Criptomoedas'!B20&amp;"")</f>
        <v/>
      </c>
      <c r="E817" s="141" t="str">
        <f>IF(C817="","",'08 Criptomoedas'!C20&amp;"")</f>
        <v/>
      </c>
      <c r="F817" s="141" t="str">
        <f>IF(C817="","",'08 Criptomoedas'!W20)</f>
        <v/>
      </c>
      <c r="G817" s="142" t="str">
        <f>IF(C817="","",'08 Criptomoedas'!F20)</f>
        <v/>
      </c>
      <c r="H817" s="143" t="str">
        <f>IF(C817="","",'08 Criptomoedas'!I20)</f>
        <v/>
      </c>
      <c r="I817" s="144" t="str">
        <f>IF(C817="","",'08 Criptomoedas'!K20)</f>
        <v/>
      </c>
      <c r="J817" s="145" t="str">
        <f>IF(C817="","",'08 Criptomoedas'!L20)</f>
        <v/>
      </c>
      <c r="K817" s="145" t="str">
        <f>IF(C817="","",'08 Criptomoedas'!R20)</f>
        <v/>
      </c>
      <c r="L817" s="142" t="str">
        <f>IF(C817="","",'08 Criptomoedas'!S20)</f>
        <v/>
      </c>
      <c r="M817" s="145" t="str">
        <f>IF(C817="","",'08 Criptomoedas'!U20)</f>
        <v/>
      </c>
      <c r="N817" s="146" t="str">
        <f>IF(C817="","",IF($J$3&gt;0,J817/$J$3,0))</f>
        <v/>
      </c>
      <c r="O817" s="141" t="str">
        <f>IF(C817="","",'08 Criptomoedas'!J20)</f>
        <v/>
      </c>
      <c r="P817" s="147" t="str">
        <f>IF(C817="","",IF(N(J817)&gt;0,J817+ROW()/1E9,""))</f>
        <v/>
      </c>
      <c r="Q817" s="147" t="str">
        <f>IF(C817="","",IF(N(M817)&gt;0,M817+ROW()/1E9,""))</f>
        <v/>
      </c>
    </row>
    <row r="818">
      <c r="A818" s="134" t="str">
        <f>IF(C818="","","Criptomoedas")</f>
        <v/>
      </c>
      <c r="B818" s="134" t="str">
        <f>IF(C818="","","Alternativos")</f>
        <v/>
      </c>
      <c r="C818" s="134" t="str">
        <f>IF('08 Criptomoedas'!A21="","",'08 Criptomoedas'!A21&amp;"")</f>
        <v/>
      </c>
      <c r="D818" s="134" t="str">
        <f>IF(C818="","",'08 Criptomoedas'!B21&amp;"")</f>
        <v/>
      </c>
      <c r="E818" s="134" t="str">
        <f>IF(C818="","",'08 Criptomoedas'!C21&amp;"")</f>
        <v/>
      </c>
      <c r="F818" s="134" t="str">
        <f>IF(C818="","",'08 Criptomoedas'!W21)</f>
        <v/>
      </c>
      <c r="G818" s="135" t="str">
        <f>IF(C818="","",'08 Criptomoedas'!F21)</f>
        <v/>
      </c>
      <c r="H818" s="136" t="str">
        <f>IF(C818="","",'08 Criptomoedas'!I21)</f>
        <v/>
      </c>
      <c r="I818" s="137" t="str">
        <f>IF(C818="","",'08 Criptomoedas'!K21)</f>
        <v/>
      </c>
      <c r="J818" s="138" t="str">
        <f>IF(C818="","",'08 Criptomoedas'!L21)</f>
        <v/>
      </c>
      <c r="K818" s="138" t="str">
        <f>IF(C818="","",'08 Criptomoedas'!R21)</f>
        <v/>
      </c>
      <c r="L818" s="135" t="str">
        <f>IF(C818="","",'08 Criptomoedas'!S21)</f>
        <v/>
      </c>
      <c r="M818" s="138" t="str">
        <f>IF(C818="","",'08 Criptomoedas'!U21)</f>
        <v/>
      </c>
      <c r="N818" s="139" t="str">
        <f>IF(C818="","",IF($J$3&gt;0,J818/$J$3,0))</f>
        <v/>
      </c>
      <c r="O818" s="134" t="str">
        <f>IF(C818="","",'08 Criptomoedas'!J21)</f>
        <v/>
      </c>
      <c r="P818" s="140" t="str">
        <f>IF(C818="","",IF(N(J818)&gt;0,J818+ROW()/1E9,""))</f>
        <v/>
      </c>
      <c r="Q818" s="140" t="str">
        <f>IF(C818="","",IF(N(M818)&gt;0,M818+ROW()/1E9,""))</f>
        <v/>
      </c>
    </row>
    <row r="819">
      <c r="A819" s="141" t="str">
        <f>IF(C819="","","Criptomoedas")</f>
        <v/>
      </c>
      <c r="B819" s="141" t="str">
        <f>IF(C819="","","Alternativos")</f>
        <v/>
      </c>
      <c r="C819" s="141" t="str">
        <f>IF('08 Criptomoedas'!A22="","",'08 Criptomoedas'!A22&amp;"")</f>
        <v/>
      </c>
      <c r="D819" s="141" t="str">
        <f>IF(C819="","",'08 Criptomoedas'!B22&amp;"")</f>
        <v/>
      </c>
      <c r="E819" s="141" t="str">
        <f>IF(C819="","",'08 Criptomoedas'!C22&amp;"")</f>
        <v/>
      </c>
      <c r="F819" s="141" t="str">
        <f>IF(C819="","",'08 Criptomoedas'!W22)</f>
        <v/>
      </c>
      <c r="G819" s="142" t="str">
        <f>IF(C819="","",'08 Criptomoedas'!F22)</f>
        <v/>
      </c>
      <c r="H819" s="143" t="str">
        <f>IF(C819="","",'08 Criptomoedas'!I22)</f>
        <v/>
      </c>
      <c r="I819" s="144" t="str">
        <f>IF(C819="","",'08 Criptomoedas'!K22)</f>
        <v/>
      </c>
      <c r="J819" s="145" t="str">
        <f>IF(C819="","",'08 Criptomoedas'!L22)</f>
        <v/>
      </c>
      <c r="K819" s="145" t="str">
        <f>IF(C819="","",'08 Criptomoedas'!R22)</f>
        <v/>
      </c>
      <c r="L819" s="142" t="str">
        <f>IF(C819="","",'08 Criptomoedas'!S22)</f>
        <v/>
      </c>
      <c r="M819" s="145" t="str">
        <f>IF(C819="","",'08 Criptomoedas'!U22)</f>
        <v/>
      </c>
      <c r="N819" s="146" t="str">
        <f>IF(C819="","",IF($J$3&gt;0,J819/$J$3,0))</f>
        <v/>
      </c>
      <c r="O819" s="141" t="str">
        <f>IF(C819="","",'08 Criptomoedas'!J22)</f>
        <v/>
      </c>
      <c r="P819" s="147" t="str">
        <f>IF(C819="","",IF(N(J819)&gt;0,J819+ROW()/1E9,""))</f>
        <v/>
      </c>
      <c r="Q819" s="147" t="str">
        <f>IF(C819="","",IF(N(M819)&gt;0,M819+ROW()/1E9,""))</f>
        <v/>
      </c>
    </row>
    <row r="820">
      <c r="A820" s="134" t="str">
        <f>IF(C820="","","Criptomoedas")</f>
        <v/>
      </c>
      <c r="B820" s="134" t="str">
        <f>IF(C820="","","Alternativos")</f>
        <v/>
      </c>
      <c r="C820" s="134" t="str">
        <f>IF('08 Criptomoedas'!A23="","",'08 Criptomoedas'!A23&amp;"")</f>
        <v/>
      </c>
      <c r="D820" s="134" t="str">
        <f>IF(C820="","",'08 Criptomoedas'!B23&amp;"")</f>
        <v/>
      </c>
      <c r="E820" s="134" t="str">
        <f>IF(C820="","",'08 Criptomoedas'!C23&amp;"")</f>
        <v/>
      </c>
      <c r="F820" s="134" t="str">
        <f>IF(C820="","",'08 Criptomoedas'!W23)</f>
        <v/>
      </c>
      <c r="G820" s="135" t="str">
        <f>IF(C820="","",'08 Criptomoedas'!F23)</f>
        <v/>
      </c>
      <c r="H820" s="136" t="str">
        <f>IF(C820="","",'08 Criptomoedas'!I23)</f>
        <v/>
      </c>
      <c r="I820" s="137" t="str">
        <f>IF(C820="","",'08 Criptomoedas'!K23)</f>
        <v/>
      </c>
      <c r="J820" s="138" t="str">
        <f>IF(C820="","",'08 Criptomoedas'!L23)</f>
        <v/>
      </c>
      <c r="K820" s="138" t="str">
        <f>IF(C820="","",'08 Criptomoedas'!R23)</f>
        <v/>
      </c>
      <c r="L820" s="135" t="str">
        <f>IF(C820="","",'08 Criptomoedas'!S23)</f>
        <v/>
      </c>
      <c r="M820" s="138" t="str">
        <f>IF(C820="","",'08 Criptomoedas'!U23)</f>
        <v/>
      </c>
      <c r="N820" s="139" t="str">
        <f>IF(C820="","",IF($J$3&gt;0,J820/$J$3,0))</f>
        <v/>
      </c>
      <c r="O820" s="134" t="str">
        <f>IF(C820="","",'08 Criptomoedas'!J23)</f>
        <v/>
      </c>
      <c r="P820" s="140" t="str">
        <f>IF(C820="","",IF(N(J820)&gt;0,J820+ROW()/1E9,""))</f>
        <v/>
      </c>
      <c r="Q820" s="140" t="str">
        <f>IF(C820="","",IF(N(M820)&gt;0,M820+ROW()/1E9,""))</f>
        <v/>
      </c>
    </row>
    <row r="821">
      <c r="A821" s="141" t="str">
        <f>IF(C821="","","Criptomoedas")</f>
        <v/>
      </c>
      <c r="B821" s="141" t="str">
        <f>IF(C821="","","Alternativos")</f>
        <v/>
      </c>
      <c r="C821" s="141" t="str">
        <f>IF('08 Criptomoedas'!A24="","",'08 Criptomoedas'!A24&amp;"")</f>
        <v/>
      </c>
      <c r="D821" s="141" t="str">
        <f>IF(C821="","",'08 Criptomoedas'!B24&amp;"")</f>
        <v/>
      </c>
      <c r="E821" s="141" t="str">
        <f>IF(C821="","",'08 Criptomoedas'!C24&amp;"")</f>
        <v/>
      </c>
      <c r="F821" s="141" t="str">
        <f>IF(C821="","",'08 Criptomoedas'!W24)</f>
        <v/>
      </c>
      <c r="G821" s="142" t="str">
        <f>IF(C821="","",'08 Criptomoedas'!F24)</f>
        <v/>
      </c>
      <c r="H821" s="143" t="str">
        <f>IF(C821="","",'08 Criptomoedas'!I24)</f>
        <v/>
      </c>
      <c r="I821" s="144" t="str">
        <f>IF(C821="","",'08 Criptomoedas'!K24)</f>
        <v/>
      </c>
      <c r="J821" s="145" t="str">
        <f>IF(C821="","",'08 Criptomoedas'!L24)</f>
        <v/>
      </c>
      <c r="K821" s="145" t="str">
        <f>IF(C821="","",'08 Criptomoedas'!R24)</f>
        <v/>
      </c>
      <c r="L821" s="142" t="str">
        <f>IF(C821="","",'08 Criptomoedas'!S24)</f>
        <v/>
      </c>
      <c r="M821" s="145" t="str">
        <f>IF(C821="","",'08 Criptomoedas'!U24)</f>
        <v/>
      </c>
      <c r="N821" s="146" t="str">
        <f>IF(C821="","",IF($J$3&gt;0,J821/$J$3,0))</f>
        <v/>
      </c>
      <c r="O821" s="141" t="str">
        <f>IF(C821="","",'08 Criptomoedas'!J24)</f>
        <v/>
      </c>
      <c r="P821" s="147" t="str">
        <f>IF(C821="","",IF(N(J821)&gt;0,J821+ROW()/1E9,""))</f>
        <v/>
      </c>
      <c r="Q821" s="147" t="str">
        <f>IF(C821="","",IF(N(M821)&gt;0,M821+ROW()/1E9,""))</f>
        <v/>
      </c>
    </row>
    <row r="822">
      <c r="A822" s="134" t="str">
        <f>IF(C822="","","Criptomoedas")</f>
        <v/>
      </c>
      <c r="B822" s="134" t="str">
        <f>IF(C822="","","Alternativos")</f>
        <v/>
      </c>
      <c r="C822" s="134" t="str">
        <f>IF('08 Criptomoedas'!A25="","",'08 Criptomoedas'!A25&amp;"")</f>
        <v/>
      </c>
      <c r="D822" s="134" t="str">
        <f>IF(C822="","",'08 Criptomoedas'!B25&amp;"")</f>
        <v/>
      </c>
      <c r="E822" s="134" t="str">
        <f>IF(C822="","",'08 Criptomoedas'!C25&amp;"")</f>
        <v/>
      </c>
      <c r="F822" s="134" t="str">
        <f>IF(C822="","",'08 Criptomoedas'!W25)</f>
        <v/>
      </c>
      <c r="G822" s="135" t="str">
        <f>IF(C822="","",'08 Criptomoedas'!F25)</f>
        <v/>
      </c>
      <c r="H822" s="136" t="str">
        <f>IF(C822="","",'08 Criptomoedas'!I25)</f>
        <v/>
      </c>
      <c r="I822" s="137" t="str">
        <f>IF(C822="","",'08 Criptomoedas'!K25)</f>
        <v/>
      </c>
      <c r="J822" s="138" t="str">
        <f>IF(C822="","",'08 Criptomoedas'!L25)</f>
        <v/>
      </c>
      <c r="K822" s="138" t="str">
        <f>IF(C822="","",'08 Criptomoedas'!R25)</f>
        <v/>
      </c>
      <c r="L822" s="135" t="str">
        <f>IF(C822="","",'08 Criptomoedas'!S25)</f>
        <v/>
      </c>
      <c r="M822" s="138" t="str">
        <f>IF(C822="","",'08 Criptomoedas'!U25)</f>
        <v/>
      </c>
      <c r="N822" s="139" t="str">
        <f>IF(C822="","",IF($J$3&gt;0,J822/$J$3,0))</f>
        <v/>
      </c>
      <c r="O822" s="134" t="str">
        <f>IF(C822="","",'08 Criptomoedas'!J25)</f>
        <v/>
      </c>
      <c r="P822" s="140" t="str">
        <f>IF(C822="","",IF(N(J822)&gt;0,J822+ROW()/1E9,""))</f>
        <v/>
      </c>
      <c r="Q822" s="140" t="str">
        <f>IF(C822="","",IF(N(M822)&gt;0,M822+ROW()/1E9,""))</f>
        <v/>
      </c>
    </row>
    <row r="823">
      <c r="A823" s="141" t="str">
        <f>IF(C823="","","Criptomoedas")</f>
        <v/>
      </c>
      <c r="B823" s="141" t="str">
        <f>IF(C823="","","Alternativos")</f>
        <v/>
      </c>
      <c r="C823" s="141" t="str">
        <f>IF('08 Criptomoedas'!A26="","",'08 Criptomoedas'!A26&amp;"")</f>
        <v/>
      </c>
      <c r="D823" s="141" t="str">
        <f>IF(C823="","",'08 Criptomoedas'!B26&amp;"")</f>
        <v/>
      </c>
      <c r="E823" s="141" t="str">
        <f>IF(C823="","",'08 Criptomoedas'!C26&amp;"")</f>
        <v/>
      </c>
      <c r="F823" s="141" t="str">
        <f>IF(C823="","",'08 Criptomoedas'!W26)</f>
        <v/>
      </c>
      <c r="G823" s="142" t="str">
        <f>IF(C823="","",'08 Criptomoedas'!F26)</f>
        <v/>
      </c>
      <c r="H823" s="143" t="str">
        <f>IF(C823="","",'08 Criptomoedas'!I26)</f>
        <v/>
      </c>
      <c r="I823" s="144" t="str">
        <f>IF(C823="","",'08 Criptomoedas'!K26)</f>
        <v/>
      </c>
      <c r="J823" s="145" t="str">
        <f>IF(C823="","",'08 Criptomoedas'!L26)</f>
        <v/>
      </c>
      <c r="K823" s="145" t="str">
        <f>IF(C823="","",'08 Criptomoedas'!R26)</f>
        <v/>
      </c>
      <c r="L823" s="142" t="str">
        <f>IF(C823="","",'08 Criptomoedas'!S26)</f>
        <v/>
      </c>
      <c r="M823" s="145" t="str">
        <f>IF(C823="","",'08 Criptomoedas'!U26)</f>
        <v/>
      </c>
      <c r="N823" s="146" t="str">
        <f>IF(C823="","",IF($J$3&gt;0,J823/$J$3,0))</f>
        <v/>
      </c>
      <c r="O823" s="141" t="str">
        <f>IF(C823="","",'08 Criptomoedas'!J26)</f>
        <v/>
      </c>
      <c r="P823" s="147" t="str">
        <f>IF(C823="","",IF(N(J823)&gt;0,J823+ROW()/1E9,""))</f>
        <v/>
      </c>
      <c r="Q823" s="147" t="str">
        <f>IF(C823="","",IF(N(M823)&gt;0,M823+ROW()/1E9,""))</f>
        <v/>
      </c>
    </row>
    <row r="824">
      <c r="A824" s="134" t="str">
        <f>IF(C824="","","Criptomoedas")</f>
        <v/>
      </c>
      <c r="B824" s="134" t="str">
        <f>IF(C824="","","Alternativos")</f>
        <v/>
      </c>
      <c r="C824" s="134" t="str">
        <f>IF('08 Criptomoedas'!A27="","",'08 Criptomoedas'!A27&amp;"")</f>
        <v/>
      </c>
      <c r="D824" s="134" t="str">
        <f>IF(C824="","",'08 Criptomoedas'!B27&amp;"")</f>
        <v/>
      </c>
      <c r="E824" s="134" t="str">
        <f>IF(C824="","",'08 Criptomoedas'!C27&amp;"")</f>
        <v/>
      </c>
      <c r="F824" s="134" t="str">
        <f>IF(C824="","",'08 Criptomoedas'!W27)</f>
        <v/>
      </c>
      <c r="G824" s="135" t="str">
        <f>IF(C824="","",'08 Criptomoedas'!F27)</f>
        <v/>
      </c>
      <c r="H824" s="136" t="str">
        <f>IF(C824="","",'08 Criptomoedas'!I27)</f>
        <v/>
      </c>
      <c r="I824" s="137" t="str">
        <f>IF(C824="","",'08 Criptomoedas'!K27)</f>
        <v/>
      </c>
      <c r="J824" s="138" t="str">
        <f>IF(C824="","",'08 Criptomoedas'!L27)</f>
        <v/>
      </c>
      <c r="K824" s="138" t="str">
        <f>IF(C824="","",'08 Criptomoedas'!R27)</f>
        <v/>
      </c>
      <c r="L824" s="135" t="str">
        <f>IF(C824="","",'08 Criptomoedas'!S27)</f>
        <v/>
      </c>
      <c r="M824" s="138" t="str">
        <f>IF(C824="","",'08 Criptomoedas'!U27)</f>
        <v/>
      </c>
      <c r="N824" s="139" t="str">
        <f>IF(C824="","",IF($J$3&gt;0,J824/$J$3,0))</f>
        <v/>
      </c>
      <c r="O824" s="134" t="str">
        <f>IF(C824="","",'08 Criptomoedas'!J27)</f>
        <v/>
      </c>
      <c r="P824" s="140" t="str">
        <f>IF(C824="","",IF(N(J824)&gt;0,J824+ROW()/1E9,""))</f>
        <v/>
      </c>
      <c r="Q824" s="140" t="str">
        <f>IF(C824="","",IF(N(M824)&gt;0,M824+ROW()/1E9,""))</f>
        <v/>
      </c>
    </row>
    <row r="825">
      <c r="A825" s="141" t="str">
        <f>IF(C825="","","Criptomoedas")</f>
        <v/>
      </c>
      <c r="B825" s="141" t="str">
        <f>IF(C825="","","Alternativos")</f>
        <v/>
      </c>
      <c r="C825" s="141" t="str">
        <f>IF('08 Criptomoedas'!A28="","",'08 Criptomoedas'!A28&amp;"")</f>
        <v/>
      </c>
      <c r="D825" s="141" t="str">
        <f>IF(C825="","",'08 Criptomoedas'!B28&amp;"")</f>
        <v/>
      </c>
      <c r="E825" s="141" t="str">
        <f>IF(C825="","",'08 Criptomoedas'!C28&amp;"")</f>
        <v/>
      </c>
      <c r="F825" s="141" t="str">
        <f>IF(C825="","",'08 Criptomoedas'!W28)</f>
        <v/>
      </c>
      <c r="G825" s="142" t="str">
        <f>IF(C825="","",'08 Criptomoedas'!F28)</f>
        <v/>
      </c>
      <c r="H825" s="143" t="str">
        <f>IF(C825="","",'08 Criptomoedas'!I28)</f>
        <v/>
      </c>
      <c r="I825" s="144" t="str">
        <f>IF(C825="","",'08 Criptomoedas'!K28)</f>
        <v/>
      </c>
      <c r="J825" s="145" t="str">
        <f>IF(C825="","",'08 Criptomoedas'!L28)</f>
        <v/>
      </c>
      <c r="K825" s="145" t="str">
        <f>IF(C825="","",'08 Criptomoedas'!R28)</f>
        <v/>
      </c>
      <c r="L825" s="142" t="str">
        <f>IF(C825="","",'08 Criptomoedas'!S28)</f>
        <v/>
      </c>
      <c r="M825" s="145" t="str">
        <f>IF(C825="","",'08 Criptomoedas'!U28)</f>
        <v/>
      </c>
      <c r="N825" s="146" t="str">
        <f>IF(C825="","",IF($J$3&gt;0,J825/$J$3,0))</f>
        <v/>
      </c>
      <c r="O825" s="141" t="str">
        <f>IF(C825="","",'08 Criptomoedas'!J28)</f>
        <v/>
      </c>
      <c r="P825" s="147" t="str">
        <f>IF(C825="","",IF(N(J825)&gt;0,J825+ROW()/1E9,""))</f>
        <v/>
      </c>
      <c r="Q825" s="147" t="str">
        <f>IF(C825="","",IF(N(M825)&gt;0,M825+ROW()/1E9,""))</f>
        <v/>
      </c>
    </row>
    <row r="826">
      <c r="A826" s="134" t="str">
        <f>IF(C826="","","Criptomoedas")</f>
        <v/>
      </c>
      <c r="B826" s="134" t="str">
        <f>IF(C826="","","Alternativos")</f>
        <v/>
      </c>
      <c r="C826" s="134" t="str">
        <f>IF('08 Criptomoedas'!A29="","",'08 Criptomoedas'!A29&amp;"")</f>
        <v/>
      </c>
      <c r="D826" s="134" t="str">
        <f>IF(C826="","",'08 Criptomoedas'!B29&amp;"")</f>
        <v/>
      </c>
      <c r="E826" s="134" t="str">
        <f>IF(C826="","",'08 Criptomoedas'!C29&amp;"")</f>
        <v/>
      </c>
      <c r="F826" s="134" t="str">
        <f>IF(C826="","",'08 Criptomoedas'!W29)</f>
        <v/>
      </c>
      <c r="G826" s="135" t="str">
        <f>IF(C826="","",'08 Criptomoedas'!F29)</f>
        <v/>
      </c>
      <c r="H826" s="136" t="str">
        <f>IF(C826="","",'08 Criptomoedas'!I29)</f>
        <v/>
      </c>
      <c r="I826" s="137" t="str">
        <f>IF(C826="","",'08 Criptomoedas'!K29)</f>
        <v/>
      </c>
      <c r="J826" s="138" t="str">
        <f>IF(C826="","",'08 Criptomoedas'!L29)</f>
        <v/>
      </c>
      <c r="K826" s="138" t="str">
        <f>IF(C826="","",'08 Criptomoedas'!R29)</f>
        <v/>
      </c>
      <c r="L826" s="135" t="str">
        <f>IF(C826="","",'08 Criptomoedas'!S29)</f>
        <v/>
      </c>
      <c r="M826" s="138" t="str">
        <f>IF(C826="","",'08 Criptomoedas'!U29)</f>
        <v/>
      </c>
      <c r="N826" s="139" t="str">
        <f>IF(C826="","",IF($J$3&gt;0,J826/$J$3,0))</f>
        <v/>
      </c>
      <c r="O826" s="134" t="str">
        <f>IF(C826="","",'08 Criptomoedas'!J29)</f>
        <v/>
      </c>
      <c r="P826" s="140" t="str">
        <f>IF(C826="","",IF(N(J826)&gt;0,J826+ROW()/1E9,""))</f>
        <v/>
      </c>
      <c r="Q826" s="140" t="str">
        <f>IF(C826="","",IF(N(M826)&gt;0,M826+ROW()/1E9,""))</f>
        <v/>
      </c>
    </row>
    <row r="827">
      <c r="A827" s="141" t="str">
        <f>IF(C827="","","Criptomoedas")</f>
        <v/>
      </c>
      <c r="B827" s="141" t="str">
        <f>IF(C827="","","Alternativos")</f>
        <v/>
      </c>
      <c r="C827" s="141" t="str">
        <f>IF('08 Criptomoedas'!A30="","",'08 Criptomoedas'!A30&amp;"")</f>
        <v/>
      </c>
      <c r="D827" s="141" t="str">
        <f>IF(C827="","",'08 Criptomoedas'!B30&amp;"")</f>
        <v/>
      </c>
      <c r="E827" s="141" t="str">
        <f>IF(C827="","",'08 Criptomoedas'!C30&amp;"")</f>
        <v/>
      </c>
      <c r="F827" s="141" t="str">
        <f>IF(C827="","",'08 Criptomoedas'!W30)</f>
        <v/>
      </c>
      <c r="G827" s="142" t="str">
        <f>IF(C827="","",'08 Criptomoedas'!F30)</f>
        <v/>
      </c>
      <c r="H827" s="143" t="str">
        <f>IF(C827="","",'08 Criptomoedas'!I30)</f>
        <v/>
      </c>
      <c r="I827" s="144" t="str">
        <f>IF(C827="","",'08 Criptomoedas'!K30)</f>
        <v/>
      </c>
      <c r="J827" s="145" t="str">
        <f>IF(C827="","",'08 Criptomoedas'!L30)</f>
        <v/>
      </c>
      <c r="K827" s="145" t="str">
        <f>IF(C827="","",'08 Criptomoedas'!R30)</f>
        <v/>
      </c>
      <c r="L827" s="142" t="str">
        <f>IF(C827="","",'08 Criptomoedas'!S30)</f>
        <v/>
      </c>
      <c r="M827" s="145" t="str">
        <f>IF(C827="","",'08 Criptomoedas'!U30)</f>
        <v/>
      </c>
      <c r="N827" s="146" t="str">
        <f>IF(C827="","",IF($J$3&gt;0,J827/$J$3,0))</f>
        <v/>
      </c>
      <c r="O827" s="141" t="str">
        <f>IF(C827="","",'08 Criptomoedas'!J30)</f>
        <v/>
      </c>
      <c r="P827" s="147" t="str">
        <f>IF(C827="","",IF(N(J827)&gt;0,J827+ROW()/1E9,""))</f>
        <v/>
      </c>
      <c r="Q827" s="147" t="str">
        <f>IF(C827="","",IF(N(M827)&gt;0,M827+ROW()/1E9,""))</f>
        <v/>
      </c>
    </row>
    <row r="828">
      <c r="A828" s="134" t="str">
        <f>IF(C828="","","Criptomoedas")</f>
        <v/>
      </c>
      <c r="B828" s="134" t="str">
        <f>IF(C828="","","Alternativos")</f>
        <v/>
      </c>
      <c r="C828" s="134" t="str">
        <f>IF('08 Criptomoedas'!A31="","",'08 Criptomoedas'!A31&amp;"")</f>
        <v/>
      </c>
      <c r="D828" s="134" t="str">
        <f>IF(C828="","",'08 Criptomoedas'!B31&amp;"")</f>
        <v/>
      </c>
      <c r="E828" s="134" t="str">
        <f>IF(C828="","",'08 Criptomoedas'!C31&amp;"")</f>
        <v/>
      </c>
      <c r="F828" s="134" t="str">
        <f>IF(C828="","",'08 Criptomoedas'!W31)</f>
        <v/>
      </c>
      <c r="G828" s="135" t="str">
        <f>IF(C828="","",'08 Criptomoedas'!F31)</f>
        <v/>
      </c>
      <c r="H828" s="136" t="str">
        <f>IF(C828="","",'08 Criptomoedas'!I31)</f>
        <v/>
      </c>
      <c r="I828" s="137" t="str">
        <f>IF(C828="","",'08 Criptomoedas'!K31)</f>
        <v/>
      </c>
      <c r="J828" s="138" t="str">
        <f>IF(C828="","",'08 Criptomoedas'!L31)</f>
        <v/>
      </c>
      <c r="K828" s="138" t="str">
        <f>IF(C828="","",'08 Criptomoedas'!R31)</f>
        <v/>
      </c>
      <c r="L828" s="135" t="str">
        <f>IF(C828="","",'08 Criptomoedas'!S31)</f>
        <v/>
      </c>
      <c r="M828" s="138" t="str">
        <f>IF(C828="","",'08 Criptomoedas'!U31)</f>
        <v/>
      </c>
      <c r="N828" s="139" t="str">
        <f>IF(C828="","",IF($J$3&gt;0,J828/$J$3,0))</f>
        <v/>
      </c>
      <c r="O828" s="134" t="str">
        <f>IF(C828="","",'08 Criptomoedas'!J31)</f>
        <v/>
      </c>
      <c r="P828" s="140" t="str">
        <f>IF(C828="","",IF(N(J828)&gt;0,J828+ROW()/1E9,""))</f>
        <v/>
      </c>
      <c r="Q828" s="140" t="str">
        <f>IF(C828="","",IF(N(M828)&gt;0,M828+ROW()/1E9,""))</f>
        <v/>
      </c>
    </row>
    <row r="829">
      <c r="A829" s="141" t="str">
        <f>IF(C829="","","Criptomoedas")</f>
        <v/>
      </c>
      <c r="B829" s="141" t="str">
        <f>IF(C829="","","Alternativos")</f>
        <v/>
      </c>
      <c r="C829" s="141" t="str">
        <f>IF('08 Criptomoedas'!A32="","",'08 Criptomoedas'!A32&amp;"")</f>
        <v/>
      </c>
      <c r="D829" s="141" t="str">
        <f>IF(C829="","",'08 Criptomoedas'!B32&amp;"")</f>
        <v/>
      </c>
      <c r="E829" s="141" t="str">
        <f>IF(C829="","",'08 Criptomoedas'!C32&amp;"")</f>
        <v/>
      </c>
      <c r="F829" s="141" t="str">
        <f>IF(C829="","",'08 Criptomoedas'!W32)</f>
        <v/>
      </c>
      <c r="G829" s="142" t="str">
        <f>IF(C829="","",'08 Criptomoedas'!F32)</f>
        <v/>
      </c>
      <c r="H829" s="143" t="str">
        <f>IF(C829="","",'08 Criptomoedas'!I32)</f>
        <v/>
      </c>
      <c r="I829" s="144" t="str">
        <f>IF(C829="","",'08 Criptomoedas'!K32)</f>
        <v/>
      </c>
      <c r="J829" s="145" t="str">
        <f>IF(C829="","",'08 Criptomoedas'!L32)</f>
        <v/>
      </c>
      <c r="K829" s="145" t="str">
        <f>IF(C829="","",'08 Criptomoedas'!R32)</f>
        <v/>
      </c>
      <c r="L829" s="142" t="str">
        <f>IF(C829="","",'08 Criptomoedas'!S32)</f>
        <v/>
      </c>
      <c r="M829" s="145" t="str">
        <f>IF(C829="","",'08 Criptomoedas'!U32)</f>
        <v/>
      </c>
      <c r="N829" s="146" t="str">
        <f>IF(C829="","",IF($J$3&gt;0,J829/$J$3,0))</f>
        <v/>
      </c>
      <c r="O829" s="141" t="str">
        <f>IF(C829="","",'08 Criptomoedas'!J32)</f>
        <v/>
      </c>
      <c r="P829" s="147" t="str">
        <f>IF(C829="","",IF(N(J829)&gt;0,J829+ROW()/1E9,""))</f>
        <v/>
      </c>
      <c r="Q829" s="147" t="str">
        <f>IF(C829="","",IF(N(M829)&gt;0,M829+ROW()/1E9,""))</f>
        <v/>
      </c>
    </row>
    <row r="830">
      <c r="A830" s="134" t="str">
        <f>IF(C830="","","Criptomoedas")</f>
        <v/>
      </c>
      <c r="B830" s="134" t="str">
        <f>IF(C830="","","Alternativos")</f>
        <v/>
      </c>
      <c r="C830" s="134" t="str">
        <f>IF('08 Criptomoedas'!A33="","",'08 Criptomoedas'!A33&amp;"")</f>
        <v/>
      </c>
      <c r="D830" s="134" t="str">
        <f>IF(C830="","",'08 Criptomoedas'!B33&amp;"")</f>
        <v/>
      </c>
      <c r="E830" s="134" t="str">
        <f>IF(C830="","",'08 Criptomoedas'!C33&amp;"")</f>
        <v/>
      </c>
      <c r="F830" s="134" t="str">
        <f>IF(C830="","",'08 Criptomoedas'!W33)</f>
        <v/>
      </c>
      <c r="G830" s="135" t="str">
        <f>IF(C830="","",'08 Criptomoedas'!F33)</f>
        <v/>
      </c>
      <c r="H830" s="136" t="str">
        <f>IF(C830="","",'08 Criptomoedas'!I33)</f>
        <v/>
      </c>
      <c r="I830" s="137" t="str">
        <f>IF(C830="","",'08 Criptomoedas'!K33)</f>
        <v/>
      </c>
      <c r="J830" s="138" t="str">
        <f>IF(C830="","",'08 Criptomoedas'!L33)</f>
        <v/>
      </c>
      <c r="K830" s="138" t="str">
        <f>IF(C830="","",'08 Criptomoedas'!R33)</f>
        <v/>
      </c>
      <c r="L830" s="135" t="str">
        <f>IF(C830="","",'08 Criptomoedas'!S33)</f>
        <v/>
      </c>
      <c r="M830" s="138" t="str">
        <f>IF(C830="","",'08 Criptomoedas'!U33)</f>
        <v/>
      </c>
      <c r="N830" s="139" t="str">
        <f>IF(C830="","",IF($J$3&gt;0,J830/$J$3,0))</f>
        <v/>
      </c>
      <c r="O830" s="134" t="str">
        <f>IF(C830="","",'08 Criptomoedas'!J33)</f>
        <v/>
      </c>
      <c r="P830" s="140" t="str">
        <f>IF(C830="","",IF(N(J830)&gt;0,J830+ROW()/1E9,""))</f>
        <v/>
      </c>
      <c r="Q830" s="140" t="str">
        <f>IF(C830="","",IF(N(M830)&gt;0,M830+ROW()/1E9,""))</f>
        <v/>
      </c>
    </row>
    <row r="831">
      <c r="A831" s="141" t="str">
        <f>IF(C831="","","Criptomoedas")</f>
        <v/>
      </c>
      <c r="B831" s="141" t="str">
        <f>IF(C831="","","Alternativos")</f>
        <v/>
      </c>
      <c r="C831" s="141" t="str">
        <f>IF('08 Criptomoedas'!A34="","",'08 Criptomoedas'!A34&amp;"")</f>
        <v/>
      </c>
      <c r="D831" s="141" t="str">
        <f>IF(C831="","",'08 Criptomoedas'!B34&amp;"")</f>
        <v/>
      </c>
      <c r="E831" s="141" t="str">
        <f>IF(C831="","",'08 Criptomoedas'!C34&amp;"")</f>
        <v/>
      </c>
      <c r="F831" s="141" t="str">
        <f>IF(C831="","",'08 Criptomoedas'!W34)</f>
        <v/>
      </c>
      <c r="G831" s="142" t="str">
        <f>IF(C831="","",'08 Criptomoedas'!F34)</f>
        <v/>
      </c>
      <c r="H831" s="143" t="str">
        <f>IF(C831="","",'08 Criptomoedas'!I34)</f>
        <v/>
      </c>
      <c r="I831" s="144" t="str">
        <f>IF(C831="","",'08 Criptomoedas'!K34)</f>
        <v/>
      </c>
      <c r="J831" s="145" t="str">
        <f>IF(C831="","",'08 Criptomoedas'!L34)</f>
        <v/>
      </c>
      <c r="K831" s="145" t="str">
        <f>IF(C831="","",'08 Criptomoedas'!R34)</f>
        <v/>
      </c>
      <c r="L831" s="142" t="str">
        <f>IF(C831="","",'08 Criptomoedas'!S34)</f>
        <v/>
      </c>
      <c r="M831" s="145" t="str">
        <f>IF(C831="","",'08 Criptomoedas'!U34)</f>
        <v/>
      </c>
      <c r="N831" s="146" t="str">
        <f>IF(C831="","",IF($J$3&gt;0,J831/$J$3,0))</f>
        <v/>
      </c>
      <c r="O831" s="141" t="str">
        <f>IF(C831="","",'08 Criptomoedas'!J34)</f>
        <v/>
      </c>
      <c r="P831" s="147" t="str">
        <f>IF(C831="","",IF(N(J831)&gt;0,J831+ROW()/1E9,""))</f>
        <v/>
      </c>
      <c r="Q831" s="147" t="str">
        <f>IF(C831="","",IF(N(M831)&gt;0,M831+ROW()/1E9,""))</f>
        <v/>
      </c>
    </row>
    <row r="832">
      <c r="A832" s="134" t="str">
        <f>IF(C832="","","Criptomoedas")</f>
        <v/>
      </c>
      <c r="B832" s="134" t="str">
        <f>IF(C832="","","Alternativos")</f>
        <v/>
      </c>
      <c r="C832" s="134" t="str">
        <f>IF('08 Criptomoedas'!A35="","",'08 Criptomoedas'!A35&amp;"")</f>
        <v/>
      </c>
      <c r="D832" s="134" t="str">
        <f>IF(C832="","",'08 Criptomoedas'!B35&amp;"")</f>
        <v/>
      </c>
      <c r="E832" s="134" t="str">
        <f>IF(C832="","",'08 Criptomoedas'!C35&amp;"")</f>
        <v/>
      </c>
      <c r="F832" s="134" t="str">
        <f>IF(C832="","",'08 Criptomoedas'!W35)</f>
        <v/>
      </c>
      <c r="G832" s="135" t="str">
        <f>IF(C832="","",'08 Criptomoedas'!F35)</f>
        <v/>
      </c>
      <c r="H832" s="136" t="str">
        <f>IF(C832="","",'08 Criptomoedas'!I35)</f>
        <v/>
      </c>
      <c r="I832" s="137" t="str">
        <f>IF(C832="","",'08 Criptomoedas'!K35)</f>
        <v/>
      </c>
      <c r="J832" s="138" t="str">
        <f>IF(C832="","",'08 Criptomoedas'!L35)</f>
        <v/>
      </c>
      <c r="K832" s="138" t="str">
        <f>IF(C832="","",'08 Criptomoedas'!R35)</f>
        <v/>
      </c>
      <c r="L832" s="135" t="str">
        <f>IF(C832="","",'08 Criptomoedas'!S35)</f>
        <v/>
      </c>
      <c r="M832" s="138" t="str">
        <f>IF(C832="","",'08 Criptomoedas'!U35)</f>
        <v/>
      </c>
      <c r="N832" s="139" t="str">
        <f>IF(C832="","",IF($J$3&gt;0,J832/$J$3,0))</f>
        <v/>
      </c>
      <c r="O832" s="134" t="str">
        <f>IF(C832="","",'08 Criptomoedas'!J35)</f>
        <v/>
      </c>
      <c r="P832" s="140" t="str">
        <f>IF(C832="","",IF(N(J832)&gt;0,J832+ROW()/1E9,""))</f>
        <v/>
      </c>
      <c r="Q832" s="140" t="str">
        <f>IF(C832="","",IF(N(M832)&gt;0,M832+ROW()/1E9,""))</f>
        <v/>
      </c>
    </row>
    <row r="833">
      <c r="A833" s="141" t="str">
        <f>IF(C833="","","Criptomoedas")</f>
        <v/>
      </c>
      <c r="B833" s="141" t="str">
        <f>IF(C833="","","Alternativos")</f>
        <v/>
      </c>
      <c r="C833" s="141" t="str">
        <f>IF('08 Criptomoedas'!A36="","",'08 Criptomoedas'!A36&amp;"")</f>
        <v/>
      </c>
      <c r="D833" s="141" t="str">
        <f>IF(C833="","",'08 Criptomoedas'!B36&amp;"")</f>
        <v/>
      </c>
      <c r="E833" s="141" t="str">
        <f>IF(C833="","",'08 Criptomoedas'!C36&amp;"")</f>
        <v/>
      </c>
      <c r="F833" s="141" t="str">
        <f>IF(C833="","",'08 Criptomoedas'!W36)</f>
        <v/>
      </c>
      <c r="G833" s="142" t="str">
        <f>IF(C833="","",'08 Criptomoedas'!F36)</f>
        <v/>
      </c>
      <c r="H833" s="143" t="str">
        <f>IF(C833="","",'08 Criptomoedas'!I36)</f>
        <v/>
      </c>
      <c r="I833" s="144" t="str">
        <f>IF(C833="","",'08 Criptomoedas'!K36)</f>
        <v/>
      </c>
      <c r="J833" s="145" t="str">
        <f>IF(C833="","",'08 Criptomoedas'!L36)</f>
        <v/>
      </c>
      <c r="K833" s="145" t="str">
        <f>IF(C833="","",'08 Criptomoedas'!R36)</f>
        <v/>
      </c>
      <c r="L833" s="142" t="str">
        <f>IF(C833="","",'08 Criptomoedas'!S36)</f>
        <v/>
      </c>
      <c r="M833" s="145" t="str">
        <f>IF(C833="","",'08 Criptomoedas'!U36)</f>
        <v/>
      </c>
      <c r="N833" s="146" t="str">
        <f>IF(C833="","",IF($J$3&gt;0,J833/$J$3,0))</f>
        <v/>
      </c>
      <c r="O833" s="141" t="str">
        <f>IF(C833="","",'08 Criptomoedas'!J36)</f>
        <v/>
      </c>
      <c r="P833" s="147" t="str">
        <f>IF(C833="","",IF(N(J833)&gt;0,J833+ROW()/1E9,""))</f>
        <v/>
      </c>
      <c r="Q833" s="147" t="str">
        <f>IF(C833="","",IF(N(M833)&gt;0,M833+ROW()/1E9,""))</f>
        <v/>
      </c>
    </row>
    <row r="834">
      <c r="A834" s="134" t="str">
        <f>IF(C834="","","Criptomoedas")</f>
        <v/>
      </c>
      <c r="B834" s="134" t="str">
        <f>IF(C834="","","Alternativos")</f>
        <v/>
      </c>
      <c r="C834" s="134" t="str">
        <f>IF('08 Criptomoedas'!A37="","",'08 Criptomoedas'!A37&amp;"")</f>
        <v/>
      </c>
      <c r="D834" s="134" t="str">
        <f>IF(C834="","",'08 Criptomoedas'!B37&amp;"")</f>
        <v/>
      </c>
      <c r="E834" s="134" t="str">
        <f>IF(C834="","",'08 Criptomoedas'!C37&amp;"")</f>
        <v/>
      </c>
      <c r="F834" s="134" t="str">
        <f>IF(C834="","",'08 Criptomoedas'!W37)</f>
        <v/>
      </c>
      <c r="G834" s="135" t="str">
        <f>IF(C834="","",'08 Criptomoedas'!F37)</f>
        <v/>
      </c>
      <c r="H834" s="136" t="str">
        <f>IF(C834="","",'08 Criptomoedas'!I37)</f>
        <v/>
      </c>
      <c r="I834" s="137" t="str">
        <f>IF(C834="","",'08 Criptomoedas'!K37)</f>
        <v/>
      </c>
      <c r="J834" s="138" t="str">
        <f>IF(C834="","",'08 Criptomoedas'!L37)</f>
        <v/>
      </c>
      <c r="K834" s="138" t="str">
        <f>IF(C834="","",'08 Criptomoedas'!R37)</f>
        <v/>
      </c>
      <c r="L834" s="135" t="str">
        <f>IF(C834="","",'08 Criptomoedas'!S37)</f>
        <v/>
      </c>
      <c r="M834" s="138" t="str">
        <f>IF(C834="","",'08 Criptomoedas'!U37)</f>
        <v/>
      </c>
      <c r="N834" s="139" t="str">
        <f>IF(C834="","",IF($J$3&gt;0,J834/$J$3,0))</f>
        <v/>
      </c>
      <c r="O834" s="134" t="str">
        <f>IF(C834="","",'08 Criptomoedas'!J37)</f>
        <v/>
      </c>
      <c r="P834" s="140" t="str">
        <f>IF(C834="","",IF(N(J834)&gt;0,J834+ROW()/1E9,""))</f>
        <v/>
      </c>
      <c r="Q834" s="140" t="str">
        <f>IF(C834="","",IF(N(M834)&gt;0,M834+ROW()/1E9,""))</f>
        <v/>
      </c>
    </row>
    <row r="835">
      <c r="A835" s="141" t="str">
        <f>IF(C835="","","Criptomoedas")</f>
        <v/>
      </c>
      <c r="B835" s="141" t="str">
        <f>IF(C835="","","Alternativos")</f>
        <v/>
      </c>
      <c r="C835" s="141" t="str">
        <f>IF('08 Criptomoedas'!A38="","",'08 Criptomoedas'!A38&amp;"")</f>
        <v/>
      </c>
      <c r="D835" s="141" t="str">
        <f>IF(C835="","",'08 Criptomoedas'!B38&amp;"")</f>
        <v/>
      </c>
      <c r="E835" s="141" t="str">
        <f>IF(C835="","",'08 Criptomoedas'!C38&amp;"")</f>
        <v/>
      </c>
      <c r="F835" s="141" t="str">
        <f>IF(C835="","",'08 Criptomoedas'!W38)</f>
        <v/>
      </c>
      <c r="G835" s="142" t="str">
        <f>IF(C835="","",'08 Criptomoedas'!F38)</f>
        <v/>
      </c>
      <c r="H835" s="143" t="str">
        <f>IF(C835="","",'08 Criptomoedas'!I38)</f>
        <v/>
      </c>
      <c r="I835" s="144" t="str">
        <f>IF(C835="","",'08 Criptomoedas'!K38)</f>
        <v/>
      </c>
      <c r="J835" s="145" t="str">
        <f>IF(C835="","",'08 Criptomoedas'!L38)</f>
        <v/>
      </c>
      <c r="K835" s="145" t="str">
        <f>IF(C835="","",'08 Criptomoedas'!R38)</f>
        <v/>
      </c>
      <c r="L835" s="142" t="str">
        <f>IF(C835="","",'08 Criptomoedas'!S38)</f>
        <v/>
      </c>
      <c r="M835" s="145" t="str">
        <f>IF(C835="","",'08 Criptomoedas'!U38)</f>
        <v/>
      </c>
      <c r="N835" s="146" t="str">
        <f>IF(C835="","",IF($J$3&gt;0,J835/$J$3,0))</f>
        <v/>
      </c>
      <c r="O835" s="141" t="str">
        <f>IF(C835="","",'08 Criptomoedas'!J38)</f>
        <v/>
      </c>
      <c r="P835" s="147" t="str">
        <f>IF(C835="","",IF(N(J835)&gt;0,J835+ROW()/1E9,""))</f>
        <v/>
      </c>
      <c r="Q835" s="147" t="str">
        <f>IF(C835="","",IF(N(M835)&gt;0,M835+ROW()/1E9,""))</f>
        <v/>
      </c>
    </row>
    <row r="836">
      <c r="A836" s="134" t="str">
        <f>IF(C836="","","Criptomoedas")</f>
        <v/>
      </c>
      <c r="B836" s="134" t="str">
        <f>IF(C836="","","Alternativos")</f>
        <v/>
      </c>
      <c r="C836" s="134" t="str">
        <f>IF('08 Criptomoedas'!A39="","",'08 Criptomoedas'!A39&amp;"")</f>
        <v/>
      </c>
      <c r="D836" s="134" t="str">
        <f>IF(C836="","",'08 Criptomoedas'!B39&amp;"")</f>
        <v/>
      </c>
      <c r="E836" s="134" t="str">
        <f>IF(C836="","",'08 Criptomoedas'!C39&amp;"")</f>
        <v/>
      </c>
      <c r="F836" s="134" t="str">
        <f>IF(C836="","",'08 Criptomoedas'!W39)</f>
        <v/>
      </c>
      <c r="G836" s="135" t="str">
        <f>IF(C836="","",'08 Criptomoedas'!F39)</f>
        <v/>
      </c>
      <c r="H836" s="136" t="str">
        <f>IF(C836="","",'08 Criptomoedas'!I39)</f>
        <v/>
      </c>
      <c r="I836" s="137" t="str">
        <f>IF(C836="","",'08 Criptomoedas'!K39)</f>
        <v/>
      </c>
      <c r="J836" s="138" t="str">
        <f>IF(C836="","",'08 Criptomoedas'!L39)</f>
        <v/>
      </c>
      <c r="K836" s="138" t="str">
        <f>IF(C836="","",'08 Criptomoedas'!R39)</f>
        <v/>
      </c>
      <c r="L836" s="135" t="str">
        <f>IF(C836="","",'08 Criptomoedas'!S39)</f>
        <v/>
      </c>
      <c r="M836" s="138" t="str">
        <f>IF(C836="","",'08 Criptomoedas'!U39)</f>
        <v/>
      </c>
      <c r="N836" s="139" t="str">
        <f>IF(C836="","",IF($J$3&gt;0,J836/$J$3,0))</f>
        <v/>
      </c>
      <c r="O836" s="134" t="str">
        <f>IF(C836="","",'08 Criptomoedas'!J39)</f>
        <v/>
      </c>
      <c r="P836" s="140" t="str">
        <f>IF(C836="","",IF(N(J836)&gt;0,J836+ROW()/1E9,""))</f>
        <v/>
      </c>
      <c r="Q836" s="140" t="str">
        <f>IF(C836="","",IF(N(M836)&gt;0,M836+ROW()/1E9,""))</f>
        <v/>
      </c>
    </row>
    <row r="837">
      <c r="A837" s="141" t="str">
        <f>IF(C837="","","Criptomoedas")</f>
        <v/>
      </c>
      <c r="B837" s="141" t="str">
        <f>IF(C837="","","Alternativos")</f>
        <v/>
      </c>
      <c r="C837" s="141" t="str">
        <f>IF('08 Criptomoedas'!A40="","",'08 Criptomoedas'!A40&amp;"")</f>
        <v/>
      </c>
      <c r="D837" s="141" t="str">
        <f>IF(C837="","",'08 Criptomoedas'!B40&amp;"")</f>
        <v/>
      </c>
      <c r="E837" s="141" t="str">
        <f>IF(C837="","",'08 Criptomoedas'!C40&amp;"")</f>
        <v/>
      </c>
      <c r="F837" s="141" t="str">
        <f>IF(C837="","",'08 Criptomoedas'!W40)</f>
        <v/>
      </c>
      <c r="G837" s="142" t="str">
        <f>IF(C837="","",'08 Criptomoedas'!F40)</f>
        <v/>
      </c>
      <c r="H837" s="143" t="str">
        <f>IF(C837="","",'08 Criptomoedas'!I40)</f>
        <v/>
      </c>
      <c r="I837" s="144" t="str">
        <f>IF(C837="","",'08 Criptomoedas'!K40)</f>
        <v/>
      </c>
      <c r="J837" s="145" t="str">
        <f>IF(C837="","",'08 Criptomoedas'!L40)</f>
        <v/>
      </c>
      <c r="K837" s="145" t="str">
        <f>IF(C837="","",'08 Criptomoedas'!R40)</f>
        <v/>
      </c>
      <c r="L837" s="142" t="str">
        <f>IF(C837="","",'08 Criptomoedas'!S40)</f>
        <v/>
      </c>
      <c r="M837" s="145" t="str">
        <f>IF(C837="","",'08 Criptomoedas'!U40)</f>
        <v/>
      </c>
      <c r="N837" s="146" t="str">
        <f>IF(C837="","",IF($J$3&gt;0,J837/$J$3,0))</f>
        <v/>
      </c>
      <c r="O837" s="141" t="str">
        <f>IF(C837="","",'08 Criptomoedas'!J40)</f>
        <v/>
      </c>
      <c r="P837" s="147" t="str">
        <f>IF(C837="","",IF(N(J837)&gt;0,J837+ROW()/1E9,""))</f>
        <v/>
      </c>
      <c r="Q837" s="147" t="str">
        <f>IF(C837="","",IF(N(M837)&gt;0,M837+ROW()/1E9,""))</f>
        <v/>
      </c>
    </row>
    <row r="838">
      <c r="A838" s="134" t="str">
        <f>IF(C838="","","Criptomoedas")</f>
        <v/>
      </c>
      <c r="B838" s="134" t="str">
        <f>IF(C838="","","Alternativos")</f>
        <v/>
      </c>
      <c r="C838" s="134" t="str">
        <f>IF('08 Criptomoedas'!A41="","",'08 Criptomoedas'!A41&amp;"")</f>
        <v/>
      </c>
      <c r="D838" s="134" t="str">
        <f>IF(C838="","",'08 Criptomoedas'!B41&amp;"")</f>
        <v/>
      </c>
      <c r="E838" s="134" t="str">
        <f>IF(C838="","",'08 Criptomoedas'!C41&amp;"")</f>
        <v/>
      </c>
      <c r="F838" s="134" t="str">
        <f>IF(C838="","",'08 Criptomoedas'!W41)</f>
        <v/>
      </c>
      <c r="G838" s="135" t="str">
        <f>IF(C838="","",'08 Criptomoedas'!F41)</f>
        <v/>
      </c>
      <c r="H838" s="136" t="str">
        <f>IF(C838="","",'08 Criptomoedas'!I41)</f>
        <v/>
      </c>
      <c r="I838" s="137" t="str">
        <f>IF(C838="","",'08 Criptomoedas'!K41)</f>
        <v/>
      </c>
      <c r="J838" s="138" t="str">
        <f>IF(C838="","",'08 Criptomoedas'!L41)</f>
        <v/>
      </c>
      <c r="K838" s="138" t="str">
        <f>IF(C838="","",'08 Criptomoedas'!R41)</f>
        <v/>
      </c>
      <c r="L838" s="135" t="str">
        <f>IF(C838="","",'08 Criptomoedas'!S41)</f>
        <v/>
      </c>
      <c r="M838" s="138" t="str">
        <f>IF(C838="","",'08 Criptomoedas'!U41)</f>
        <v/>
      </c>
      <c r="N838" s="139" t="str">
        <f>IF(C838="","",IF($J$3&gt;0,J838/$J$3,0))</f>
        <v/>
      </c>
      <c r="O838" s="134" t="str">
        <f>IF(C838="","",'08 Criptomoedas'!J41)</f>
        <v/>
      </c>
      <c r="P838" s="140" t="str">
        <f>IF(C838="","",IF(N(J838)&gt;0,J838+ROW()/1E9,""))</f>
        <v/>
      </c>
      <c r="Q838" s="140" t="str">
        <f>IF(C838="","",IF(N(M838)&gt;0,M838+ROW()/1E9,""))</f>
        <v/>
      </c>
    </row>
    <row r="839">
      <c r="A839" s="141" t="str">
        <f>IF(C839="","","Criptomoedas")</f>
        <v/>
      </c>
      <c r="B839" s="141" t="str">
        <f>IF(C839="","","Alternativos")</f>
        <v/>
      </c>
      <c r="C839" s="141" t="str">
        <f>IF('08 Criptomoedas'!A42="","",'08 Criptomoedas'!A42&amp;"")</f>
        <v/>
      </c>
      <c r="D839" s="141" t="str">
        <f>IF(C839="","",'08 Criptomoedas'!B42&amp;"")</f>
        <v/>
      </c>
      <c r="E839" s="141" t="str">
        <f>IF(C839="","",'08 Criptomoedas'!C42&amp;"")</f>
        <v/>
      </c>
      <c r="F839" s="141" t="str">
        <f>IF(C839="","",'08 Criptomoedas'!W42)</f>
        <v/>
      </c>
      <c r="G839" s="142" t="str">
        <f>IF(C839="","",'08 Criptomoedas'!F42)</f>
        <v/>
      </c>
      <c r="H839" s="143" t="str">
        <f>IF(C839="","",'08 Criptomoedas'!I42)</f>
        <v/>
      </c>
      <c r="I839" s="144" t="str">
        <f>IF(C839="","",'08 Criptomoedas'!K42)</f>
        <v/>
      </c>
      <c r="J839" s="145" t="str">
        <f>IF(C839="","",'08 Criptomoedas'!L42)</f>
        <v/>
      </c>
      <c r="K839" s="145" t="str">
        <f>IF(C839="","",'08 Criptomoedas'!R42)</f>
        <v/>
      </c>
      <c r="L839" s="142" t="str">
        <f>IF(C839="","",'08 Criptomoedas'!S42)</f>
        <v/>
      </c>
      <c r="M839" s="145" t="str">
        <f>IF(C839="","",'08 Criptomoedas'!U42)</f>
        <v/>
      </c>
      <c r="N839" s="146" t="str">
        <f>IF(C839="","",IF($J$3&gt;0,J839/$J$3,0))</f>
        <v/>
      </c>
      <c r="O839" s="141" t="str">
        <f>IF(C839="","",'08 Criptomoedas'!J42)</f>
        <v/>
      </c>
      <c r="P839" s="147" t="str">
        <f>IF(C839="","",IF(N(J839)&gt;0,J839+ROW()/1E9,""))</f>
        <v/>
      </c>
      <c r="Q839" s="147" t="str">
        <f>IF(C839="","",IF(N(M839)&gt;0,M839+ROW()/1E9,""))</f>
        <v/>
      </c>
    </row>
    <row r="840">
      <c r="A840" s="134" t="str">
        <f>IF(C840="","","Criptomoedas")</f>
        <v/>
      </c>
      <c r="B840" s="134" t="str">
        <f>IF(C840="","","Alternativos")</f>
        <v/>
      </c>
      <c r="C840" s="134" t="str">
        <f>IF('08 Criptomoedas'!A43="","",'08 Criptomoedas'!A43&amp;"")</f>
        <v/>
      </c>
      <c r="D840" s="134" t="str">
        <f>IF(C840="","",'08 Criptomoedas'!B43&amp;"")</f>
        <v/>
      </c>
      <c r="E840" s="134" t="str">
        <f>IF(C840="","",'08 Criptomoedas'!C43&amp;"")</f>
        <v/>
      </c>
      <c r="F840" s="134" t="str">
        <f>IF(C840="","",'08 Criptomoedas'!W43)</f>
        <v/>
      </c>
      <c r="G840" s="135" t="str">
        <f>IF(C840="","",'08 Criptomoedas'!F43)</f>
        <v/>
      </c>
      <c r="H840" s="136" t="str">
        <f>IF(C840="","",'08 Criptomoedas'!I43)</f>
        <v/>
      </c>
      <c r="I840" s="137" t="str">
        <f>IF(C840="","",'08 Criptomoedas'!K43)</f>
        <v/>
      </c>
      <c r="J840" s="138" t="str">
        <f>IF(C840="","",'08 Criptomoedas'!L43)</f>
        <v/>
      </c>
      <c r="K840" s="138" t="str">
        <f>IF(C840="","",'08 Criptomoedas'!R43)</f>
        <v/>
      </c>
      <c r="L840" s="135" t="str">
        <f>IF(C840="","",'08 Criptomoedas'!S43)</f>
        <v/>
      </c>
      <c r="M840" s="138" t="str">
        <f>IF(C840="","",'08 Criptomoedas'!U43)</f>
        <v/>
      </c>
      <c r="N840" s="139" t="str">
        <f>IF(C840="","",IF($J$3&gt;0,J840/$J$3,0))</f>
        <v/>
      </c>
      <c r="O840" s="134" t="str">
        <f>IF(C840="","",'08 Criptomoedas'!J43)</f>
        <v/>
      </c>
      <c r="P840" s="140" t="str">
        <f>IF(C840="","",IF(N(J840)&gt;0,J840+ROW()/1E9,""))</f>
        <v/>
      </c>
      <c r="Q840" s="140" t="str">
        <f>IF(C840="","",IF(N(M840)&gt;0,M840+ROW()/1E9,""))</f>
        <v/>
      </c>
    </row>
    <row r="841">
      <c r="A841" s="141" t="str">
        <f>IF(C841="","","Criptomoedas")</f>
        <v/>
      </c>
      <c r="B841" s="141" t="str">
        <f>IF(C841="","","Alternativos")</f>
        <v/>
      </c>
      <c r="C841" s="141" t="str">
        <f>IF('08 Criptomoedas'!A44="","",'08 Criptomoedas'!A44&amp;"")</f>
        <v/>
      </c>
      <c r="D841" s="141" t="str">
        <f>IF(C841="","",'08 Criptomoedas'!B44&amp;"")</f>
        <v/>
      </c>
      <c r="E841" s="141" t="str">
        <f>IF(C841="","",'08 Criptomoedas'!C44&amp;"")</f>
        <v/>
      </c>
      <c r="F841" s="141" t="str">
        <f>IF(C841="","",'08 Criptomoedas'!W44)</f>
        <v/>
      </c>
      <c r="G841" s="142" t="str">
        <f>IF(C841="","",'08 Criptomoedas'!F44)</f>
        <v/>
      </c>
      <c r="H841" s="143" t="str">
        <f>IF(C841="","",'08 Criptomoedas'!I44)</f>
        <v/>
      </c>
      <c r="I841" s="144" t="str">
        <f>IF(C841="","",'08 Criptomoedas'!K44)</f>
        <v/>
      </c>
      <c r="J841" s="145" t="str">
        <f>IF(C841="","",'08 Criptomoedas'!L44)</f>
        <v/>
      </c>
      <c r="K841" s="145" t="str">
        <f>IF(C841="","",'08 Criptomoedas'!R44)</f>
        <v/>
      </c>
      <c r="L841" s="142" t="str">
        <f>IF(C841="","",'08 Criptomoedas'!S44)</f>
        <v/>
      </c>
      <c r="M841" s="145" t="str">
        <f>IF(C841="","",'08 Criptomoedas'!U44)</f>
        <v/>
      </c>
      <c r="N841" s="146" t="str">
        <f>IF(C841="","",IF($J$3&gt;0,J841/$J$3,0))</f>
        <v/>
      </c>
      <c r="O841" s="141" t="str">
        <f>IF(C841="","",'08 Criptomoedas'!J44)</f>
        <v/>
      </c>
      <c r="P841" s="147" t="str">
        <f>IF(C841="","",IF(N(J841)&gt;0,J841+ROW()/1E9,""))</f>
        <v/>
      </c>
      <c r="Q841" s="147" t="str">
        <f>IF(C841="","",IF(N(M841)&gt;0,M841+ROW()/1E9,""))</f>
        <v/>
      </c>
    </row>
    <row r="842">
      <c r="A842" s="134" t="str">
        <f>IF(C842="","","Criptomoedas")</f>
        <v/>
      </c>
      <c r="B842" s="134" t="str">
        <f>IF(C842="","","Alternativos")</f>
        <v/>
      </c>
      <c r="C842" s="134" t="str">
        <f>IF('08 Criptomoedas'!A45="","",'08 Criptomoedas'!A45&amp;"")</f>
        <v/>
      </c>
      <c r="D842" s="134" t="str">
        <f>IF(C842="","",'08 Criptomoedas'!B45&amp;"")</f>
        <v/>
      </c>
      <c r="E842" s="134" t="str">
        <f>IF(C842="","",'08 Criptomoedas'!C45&amp;"")</f>
        <v/>
      </c>
      <c r="F842" s="134" t="str">
        <f>IF(C842="","",'08 Criptomoedas'!W45)</f>
        <v/>
      </c>
      <c r="G842" s="135" t="str">
        <f>IF(C842="","",'08 Criptomoedas'!F45)</f>
        <v/>
      </c>
      <c r="H842" s="136" t="str">
        <f>IF(C842="","",'08 Criptomoedas'!I45)</f>
        <v/>
      </c>
      <c r="I842" s="137" t="str">
        <f>IF(C842="","",'08 Criptomoedas'!K45)</f>
        <v/>
      </c>
      <c r="J842" s="138" t="str">
        <f>IF(C842="","",'08 Criptomoedas'!L45)</f>
        <v/>
      </c>
      <c r="K842" s="138" t="str">
        <f>IF(C842="","",'08 Criptomoedas'!R45)</f>
        <v/>
      </c>
      <c r="L842" s="135" t="str">
        <f>IF(C842="","",'08 Criptomoedas'!S45)</f>
        <v/>
      </c>
      <c r="M842" s="138" t="str">
        <f>IF(C842="","",'08 Criptomoedas'!U45)</f>
        <v/>
      </c>
      <c r="N842" s="139" t="str">
        <f>IF(C842="","",IF($J$3&gt;0,J842/$J$3,0))</f>
        <v/>
      </c>
      <c r="O842" s="134" t="str">
        <f>IF(C842="","",'08 Criptomoedas'!J45)</f>
        <v/>
      </c>
      <c r="P842" s="140" t="str">
        <f>IF(C842="","",IF(N(J842)&gt;0,J842+ROW()/1E9,""))</f>
        <v/>
      </c>
      <c r="Q842" s="140" t="str">
        <f>IF(C842="","",IF(N(M842)&gt;0,M842+ROW()/1E9,""))</f>
        <v/>
      </c>
    </row>
    <row r="843">
      <c r="A843" s="141" t="str">
        <f>IF(C843="","","Criptomoedas")</f>
        <v/>
      </c>
      <c r="B843" s="141" t="str">
        <f>IF(C843="","","Alternativos")</f>
        <v/>
      </c>
      <c r="C843" s="141" t="str">
        <f>IF('08 Criptomoedas'!A46="","",'08 Criptomoedas'!A46&amp;"")</f>
        <v/>
      </c>
      <c r="D843" s="141" t="str">
        <f>IF(C843="","",'08 Criptomoedas'!B46&amp;"")</f>
        <v/>
      </c>
      <c r="E843" s="141" t="str">
        <f>IF(C843="","",'08 Criptomoedas'!C46&amp;"")</f>
        <v/>
      </c>
      <c r="F843" s="141" t="str">
        <f>IF(C843="","",'08 Criptomoedas'!W46)</f>
        <v/>
      </c>
      <c r="G843" s="142" t="str">
        <f>IF(C843="","",'08 Criptomoedas'!F46)</f>
        <v/>
      </c>
      <c r="H843" s="143" t="str">
        <f>IF(C843="","",'08 Criptomoedas'!I46)</f>
        <v/>
      </c>
      <c r="I843" s="144" t="str">
        <f>IF(C843="","",'08 Criptomoedas'!K46)</f>
        <v/>
      </c>
      <c r="J843" s="145" t="str">
        <f>IF(C843="","",'08 Criptomoedas'!L46)</f>
        <v/>
      </c>
      <c r="K843" s="145" t="str">
        <f>IF(C843="","",'08 Criptomoedas'!R46)</f>
        <v/>
      </c>
      <c r="L843" s="142" t="str">
        <f>IF(C843="","",'08 Criptomoedas'!S46)</f>
        <v/>
      </c>
      <c r="M843" s="145" t="str">
        <f>IF(C843="","",'08 Criptomoedas'!U46)</f>
        <v/>
      </c>
      <c r="N843" s="146" t="str">
        <f>IF(C843="","",IF($J$3&gt;0,J843/$J$3,0))</f>
        <v/>
      </c>
      <c r="O843" s="141" t="str">
        <f>IF(C843="","",'08 Criptomoedas'!J46)</f>
        <v/>
      </c>
      <c r="P843" s="147" t="str">
        <f>IF(C843="","",IF(N(J843)&gt;0,J843+ROW()/1E9,""))</f>
        <v/>
      </c>
      <c r="Q843" s="147" t="str">
        <f>IF(C843="","",IF(N(M843)&gt;0,M843+ROW()/1E9,""))</f>
        <v/>
      </c>
    </row>
    <row r="844">
      <c r="A844" s="134" t="str">
        <f>IF(C844="","","Criptomoedas")</f>
        <v/>
      </c>
      <c r="B844" s="134" t="str">
        <f>IF(C844="","","Alternativos")</f>
        <v/>
      </c>
      <c r="C844" s="134" t="str">
        <f>IF('08 Criptomoedas'!A47="","",'08 Criptomoedas'!A47&amp;"")</f>
        <v/>
      </c>
      <c r="D844" s="134" t="str">
        <f>IF(C844="","",'08 Criptomoedas'!B47&amp;"")</f>
        <v/>
      </c>
      <c r="E844" s="134" t="str">
        <f>IF(C844="","",'08 Criptomoedas'!C47&amp;"")</f>
        <v/>
      </c>
      <c r="F844" s="134" t="str">
        <f>IF(C844="","",'08 Criptomoedas'!W47)</f>
        <v/>
      </c>
      <c r="G844" s="135" t="str">
        <f>IF(C844="","",'08 Criptomoedas'!F47)</f>
        <v/>
      </c>
      <c r="H844" s="136" t="str">
        <f>IF(C844="","",'08 Criptomoedas'!I47)</f>
        <v/>
      </c>
      <c r="I844" s="137" t="str">
        <f>IF(C844="","",'08 Criptomoedas'!K47)</f>
        <v/>
      </c>
      <c r="J844" s="138" t="str">
        <f>IF(C844="","",'08 Criptomoedas'!L47)</f>
        <v/>
      </c>
      <c r="K844" s="138" t="str">
        <f>IF(C844="","",'08 Criptomoedas'!R47)</f>
        <v/>
      </c>
      <c r="L844" s="135" t="str">
        <f>IF(C844="","",'08 Criptomoedas'!S47)</f>
        <v/>
      </c>
      <c r="M844" s="138" t="str">
        <f>IF(C844="","",'08 Criptomoedas'!U47)</f>
        <v/>
      </c>
      <c r="N844" s="139" t="str">
        <f>IF(C844="","",IF($J$3&gt;0,J844/$J$3,0))</f>
        <v/>
      </c>
      <c r="O844" s="134" t="str">
        <f>IF(C844="","",'08 Criptomoedas'!J47)</f>
        <v/>
      </c>
      <c r="P844" s="140" t="str">
        <f>IF(C844="","",IF(N(J844)&gt;0,J844+ROW()/1E9,""))</f>
        <v/>
      </c>
      <c r="Q844" s="140" t="str">
        <f>IF(C844="","",IF(N(M844)&gt;0,M844+ROW()/1E9,""))</f>
        <v/>
      </c>
    </row>
    <row r="845">
      <c r="A845" s="141" t="str">
        <f>IF(C845="","","Criptomoedas")</f>
        <v/>
      </c>
      <c r="B845" s="141" t="str">
        <f>IF(C845="","","Alternativos")</f>
        <v/>
      </c>
      <c r="C845" s="141" t="str">
        <f>IF('08 Criptomoedas'!A48="","",'08 Criptomoedas'!A48&amp;"")</f>
        <v/>
      </c>
      <c r="D845" s="141" t="str">
        <f>IF(C845="","",'08 Criptomoedas'!B48&amp;"")</f>
        <v/>
      </c>
      <c r="E845" s="141" t="str">
        <f>IF(C845="","",'08 Criptomoedas'!C48&amp;"")</f>
        <v/>
      </c>
      <c r="F845" s="141" t="str">
        <f>IF(C845="","",'08 Criptomoedas'!W48)</f>
        <v/>
      </c>
      <c r="G845" s="142" t="str">
        <f>IF(C845="","",'08 Criptomoedas'!F48)</f>
        <v/>
      </c>
      <c r="H845" s="143" t="str">
        <f>IF(C845="","",'08 Criptomoedas'!I48)</f>
        <v/>
      </c>
      <c r="I845" s="144" t="str">
        <f>IF(C845="","",'08 Criptomoedas'!K48)</f>
        <v/>
      </c>
      <c r="J845" s="145" t="str">
        <f>IF(C845="","",'08 Criptomoedas'!L48)</f>
        <v/>
      </c>
      <c r="K845" s="145" t="str">
        <f>IF(C845="","",'08 Criptomoedas'!R48)</f>
        <v/>
      </c>
      <c r="L845" s="142" t="str">
        <f>IF(C845="","",'08 Criptomoedas'!S48)</f>
        <v/>
      </c>
      <c r="M845" s="145" t="str">
        <f>IF(C845="","",'08 Criptomoedas'!U48)</f>
        <v/>
      </c>
      <c r="N845" s="146" t="str">
        <f>IF(C845="","",IF($J$3&gt;0,J845/$J$3,0))</f>
        <v/>
      </c>
      <c r="O845" s="141" t="str">
        <f>IF(C845="","",'08 Criptomoedas'!J48)</f>
        <v/>
      </c>
      <c r="P845" s="147" t="str">
        <f>IF(C845="","",IF(N(J845)&gt;0,J845+ROW()/1E9,""))</f>
        <v/>
      </c>
      <c r="Q845" s="147" t="str">
        <f>IF(C845="","",IF(N(M845)&gt;0,M845+ROW()/1E9,""))</f>
        <v/>
      </c>
    </row>
    <row r="846">
      <c r="A846" s="134" t="str">
        <f>IF(C846="","","Criptomoedas")</f>
        <v/>
      </c>
      <c r="B846" s="134" t="str">
        <f>IF(C846="","","Alternativos")</f>
        <v/>
      </c>
      <c r="C846" s="134" t="str">
        <f>IF('08 Criptomoedas'!A49="","",'08 Criptomoedas'!A49&amp;"")</f>
        <v/>
      </c>
      <c r="D846" s="134" t="str">
        <f>IF(C846="","",'08 Criptomoedas'!B49&amp;"")</f>
        <v/>
      </c>
      <c r="E846" s="134" t="str">
        <f>IF(C846="","",'08 Criptomoedas'!C49&amp;"")</f>
        <v/>
      </c>
      <c r="F846" s="134" t="str">
        <f>IF(C846="","",'08 Criptomoedas'!W49)</f>
        <v/>
      </c>
      <c r="G846" s="135" t="str">
        <f>IF(C846="","",'08 Criptomoedas'!F49)</f>
        <v/>
      </c>
      <c r="H846" s="136" t="str">
        <f>IF(C846="","",'08 Criptomoedas'!I49)</f>
        <v/>
      </c>
      <c r="I846" s="137" t="str">
        <f>IF(C846="","",'08 Criptomoedas'!K49)</f>
        <v/>
      </c>
      <c r="J846" s="138" t="str">
        <f>IF(C846="","",'08 Criptomoedas'!L49)</f>
        <v/>
      </c>
      <c r="K846" s="138" t="str">
        <f>IF(C846="","",'08 Criptomoedas'!R49)</f>
        <v/>
      </c>
      <c r="L846" s="135" t="str">
        <f>IF(C846="","",'08 Criptomoedas'!S49)</f>
        <v/>
      </c>
      <c r="M846" s="138" t="str">
        <f>IF(C846="","",'08 Criptomoedas'!U49)</f>
        <v/>
      </c>
      <c r="N846" s="139" t="str">
        <f>IF(C846="","",IF($J$3&gt;0,J846/$J$3,0))</f>
        <v/>
      </c>
      <c r="O846" s="134" t="str">
        <f>IF(C846="","",'08 Criptomoedas'!J49)</f>
        <v/>
      </c>
      <c r="P846" s="140" t="str">
        <f>IF(C846="","",IF(N(J846)&gt;0,J846+ROW()/1E9,""))</f>
        <v/>
      </c>
      <c r="Q846" s="140" t="str">
        <f>IF(C846="","",IF(N(M846)&gt;0,M846+ROW()/1E9,""))</f>
        <v/>
      </c>
    </row>
    <row r="847">
      <c r="A847" s="141" t="str">
        <f>IF(C847="","","Criptomoedas")</f>
        <v/>
      </c>
      <c r="B847" s="141" t="str">
        <f>IF(C847="","","Alternativos")</f>
        <v/>
      </c>
      <c r="C847" s="141" t="str">
        <f>IF('08 Criptomoedas'!A50="","",'08 Criptomoedas'!A50&amp;"")</f>
        <v/>
      </c>
      <c r="D847" s="141" t="str">
        <f>IF(C847="","",'08 Criptomoedas'!B50&amp;"")</f>
        <v/>
      </c>
      <c r="E847" s="141" t="str">
        <f>IF(C847="","",'08 Criptomoedas'!C50&amp;"")</f>
        <v/>
      </c>
      <c r="F847" s="141" t="str">
        <f>IF(C847="","",'08 Criptomoedas'!W50)</f>
        <v/>
      </c>
      <c r="G847" s="142" t="str">
        <f>IF(C847="","",'08 Criptomoedas'!F50)</f>
        <v/>
      </c>
      <c r="H847" s="143" t="str">
        <f>IF(C847="","",'08 Criptomoedas'!I50)</f>
        <v/>
      </c>
      <c r="I847" s="144" t="str">
        <f>IF(C847="","",'08 Criptomoedas'!K50)</f>
        <v/>
      </c>
      <c r="J847" s="145" t="str">
        <f>IF(C847="","",'08 Criptomoedas'!L50)</f>
        <v/>
      </c>
      <c r="K847" s="145" t="str">
        <f>IF(C847="","",'08 Criptomoedas'!R50)</f>
        <v/>
      </c>
      <c r="L847" s="142" t="str">
        <f>IF(C847="","",'08 Criptomoedas'!S50)</f>
        <v/>
      </c>
      <c r="M847" s="145" t="str">
        <f>IF(C847="","",'08 Criptomoedas'!U50)</f>
        <v/>
      </c>
      <c r="N847" s="146" t="str">
        <f>IF(C847="","",IF($J$3&gt;0,J847/$J$3,0))</f>
        <v/>
      </c>
      <c r="O847" s="141" t="str">
        <f>IF(C847="","",'08 Criptomoedas'!J50)</f>
        <v/>
      </c>
      <c r="P847" s="147" t="str">
        <f>IF(C847="","",IF(N(J847)&gt;0,J847+ROW()/1E9,""))</f>
        <v/>
      </c>
      <c r="Q847" s="147" t="str">
        <f>IF(C847="","",IF(N(M847)&gt;0,M847+ROW()/1E9,""))</f>
        <v/>
      </c>
    </row>
    <row r="848">
      <c r="A848" s="134" t="str">
        <f>IF(C848="","","Criptomoedas")</f>
        <v/>
      </c>
      <c r="B848" s="134" t="str">
        <f>IF(C848="","","Alternativos")</f>
        <v/>
      </c>
      <c r="C848" s="134" t="str">
        <f>IF('08 Criptomoedas'!A51="","",'08 Criptomoedas'!A51&amp;"")</f>
        <v/>
      </c>
      <c r="D848" s="134" t="str">
        <f>IF(C848="","",'08 Criptomoedas'!B51&amp;"")</f>
        <v/>
      </c>
      <c r="E848" s="134" t="str">
        <f>IF(C848="","",'08 Criptomoedas'!C51&amp;"")</f>
        <v/>
      </c>
      <c r="F848" s="134" t="str">
        <f>IF(C848="","",'08 Criptomoedas'!W51)</f>
        <v/>
      </c>
      <c r="G848" s="135" t="str">
        <f>IF(C848="","",'08 Criptomoedas'!F51)</f>
        <v/>
      </c>
      <c r="H848" s="136" t="str">
        <f>IF(C848="","",'08 Criptomoedas'!I51)</f>
        <v/>
      </c>
      <c r="I848" s="137" t="str">
        <f>IF(C848="","",'08 Criptomoedas'!K51)</f>
        <v/>
      </c>
      <c r="J848" s="138" t="str">
        <f>IF(C848="","",'08 Criptomoedas'!L51)</f>
        <v/>
      </c>
      <c r="K848" s="138" t="str">
        <f>IF(C848="","",'08 Criptomoedas'!R51)</f>
        <v/>
      </c>
      <c r="L848" s="135" t="str">
        <f>IF(C848="","",'08 Criptomoedas'!S51)</f>
        <v/>
      </c>
      <c r="M848" s="138" t="str">
        <f>IF(C848="","",'08 Criptomoedas'!U51)</f>
        <v/>
      </c>
      <c r="N848" s="139" t="str">
        <f>IF(C848="","",IF($J$3&gt;0,J848/$J$3,0))</f>
        <v/>
      </c>
      <c r="O848" s="134" t="str">
        <f>IF(C848="","",'08 Criptomoedas'!J51)</f>
        <v/>
      </c>
      <c r="P848" s="140" t="str">
        <f>IF(C848="","",IF(N(J848)&gt;0,J848+ROW()/1E9,""))</f>
        <v/>
      </c>
      <c r="Q848" s="140" t="str">
        <f>IF(C848="","",IF(N(M848)&gt;0,M848+ROW()/1E9,""))</f>
        <v/>
      </c>
    </row>
    <row r="849">
      <c r="A849" s="141" t="str">
        <f>IF(C849="","","Criptomoedas")</f>
        <v/>
      </c>
      <c r="B849" s="141" t="str">
        <f>IF(C849="","","Alternativos")</f>
        <v/>
      </c>
      <c r="C849" s="141" t="str">
        <f>IF('08 Criptomoedas'!A52="","",'08 Criptomoedas'!A52&amp;"")</f>
        <v/>
      </c>
      <c r="D849" s="141" t="str">
        <f>IF(C849="","",'08 Criptomoedas'!B52&amp;"")</f>
        <v/>
      </c>
      <c r="E849" s="141" t="str">
        <f>IF(C849="","",'08 Criptomoedas'!C52&amp;"")</f>
        <v/>
      </c>
      <c r="F849" s="141" t="str">
        <f>IF(C849="","",'08 Criptomoedas'!W52)</f>
        <v/>
      </c>
      <c r="G849" s="142" t="str">
        <f>IF(C849="","",'08 Criptomoedas'!F52)</f>
        <v/>
      </c>
      <c r="H849" s="143" t="str">
        <f>IF(C849="","",'08 Criptomoedas'!I52)</f>
        <v/>
      </c>
      <c r="I849" s="144" t="str">
        <f>IF(C849="","",'08 Criptomoedas'!K52)</f>
        <v/>
      </c>
      <c r="J849" s="145" t="str">
        <f>IF(C849="","",'08 Criptomoedas'!L52)</f>
        <v/>
      </c>
      <c r="K849" s="145" t="str">
        <f>IF(C849="","",'08 Criptomoedas'!R52)</f>
        <v/>
      </c>
      <c r="L849" s="142" t="str">
        <f>IF(C849="","",'08 Criptomoedas'!S52)</f>
        <v/>
      </c>
      <c r="M849" s="145" t="str">
        <f>IF(C849="","",'08 Criptomoedas'!U52)</f>
        <v/>
      </c>
      <c r="N849" s="146" t="str">
        <f>IF(C849="","",IF($J$3&gt;0,J849/$J$3,0))</f>
        <v/>
      </c>
      <c r="O849" s="141" t="str">
        <f>IF(C849="","",'08 Criptomoedas'!J52)</f>
        <v/>
      </c>
      <c r="P849" s="147" t="str">
        <f>IF(C849="","",IF(N(J849)&gt;0,J849+ROW()/1E9,""))</f>
        <v/>
      </c>
      <c r="Q849" s="147" t="str">
        <f>IF(C849="","",IF(N(M849)&gt;0,M849+ROW()/1E9,""))</f>
        <v/>
      </c>
    </row>
    <row r="850">
      <c r="A850" s="134" t="str">
        <f>IF(C850="","","Criptomoedas")</f>
        <v/>
      </c>
      <c r="B850" s="134" t="str">
        <f>IF(C850="","","Alternativos")</f>
        <v/>
      </c>
      <c r="C850" s="134" t="str">
        <f>IF('08 Criptomoedas'!A53="","",'08 Criptomoedas'!A53&amp;"")</f>
        <v/>
      </c>
      <c r="D850" s="134" t="str">
        <f>IF(C850="","",'08 Criptomoedas'!B53&amp;"")</f>
        <v/>
      </c>
      <c r="E850" s="134" t="str">
        <f>IF(C850="","",'08 Criptomoedas'!C53&amp;"")</f>
        <v/>
      </c>
      <c r="F850" s="134" t="str">
        <f>IF(C850="","",'08 Criptomoedas'!W53)</f>
        <v/>
      </c>
      <c r="G850" s="135" t="str">
        <f>IF(C850="","",'08 Criptomoedas'!F53)</f>
        <v/>
      </c>
      <c r="H850" s="136" t="str">
        <f>IF(C850="","",'08 Criptomoedas'!I53)</f>
        <v/>
      </c>
      <c r="I850" s="137" t="str">
        <f>IF(C850="","",'08 Criptomoedas'!K53)</f>
        <v/>
      </c>
      <c r="J850" s="138" t="str">
        <f>IF(C850="","",'08 Criptomoedas'!L53)</f>
        <v/>
      </c>
      <c r="K850" s="138" t="str">
        <f>IF(C850="","",'08 Criptomoedas'!R53)</f>
        <v/>
      </c>
      <c r="L850" s="135" t="str">
        <f>IF(C850="","",'08 Criptomoedas'!S53)</f>
        <v/>
      </c>
      <c r="M850" s="138" t="str">
        <f>IF(C850="","",'08 Criptomoedas'!U53)</f>
        <v/>
      </c>
      <c r="N850" s="139" t="str">
        <f>IF(C850="","",IF($J$3&gt;0,J850/$J$3,0))</f>
        <v/>
      </c>
      <c r="O850" s="134" t="str">
        <f>IF(C850="","",'08 Criptomoedas'!J53)</f>
        <v/>
      </c>
      <c r="P850" s="140" t="str">
        <f>IF(C850="","",IF(N(J850)&gt;0,J850+ROW()/1E9,""))</f>
        <v/>
      </c>
      <c r="Q850" s="140" t="str">
        <f>IF(C850="","",IF(N(M850)&gt;0,M850+ROW()/1E9,""))</f>
        <v/>
      </c>
    </row>
    <row r="851">
      <c r="A851" s="141" t="str">
        <f>IF(C851="","","Criptomoedas")</f>
        <v/>
      </c>
      <c r="B851" s="141" t="str">
        <f>IF(C851="","","Alternativos")</f>
        <v/>
      </c>
      <c r="C851" s="141" t="str">
        <f>IF('08 Criptomoedas'!A54="","",'08 Criptomoedas'!A54&amp;"")</f>
        <v/>
      </c>
      <c r="D851" s="141" t="str">
        <f>IF(C851="","",'08 Criptomoedas'!B54&amp;"")</f>
        <v/>
      </c>
      <c r="E851" s="141" t="str">
        <f>IF(C851="","",'08 Criptomoedas'!C54&amp;"")</f>
        <v/>
      </c>
      <c r="F851" s="141" t="str">
        <f>IF(C851="","",'08 Criptomoedas'!W54)</f>
        <v/>
      </c>
      <c r="G851" s="142" t="str">
        <f>IF(C851="","",'08 Criptomoedas'!F54)</f>
        <v/>
      </c>
      <c r="H851" s="143" t="str">
        <f>IF(C851="","",'08 Criptomoedas'!I54)</f>
        <v/>
      </c>
      <c r="I851" s="144" t="str">
        <f>IF(C851="","",'08 Criptomoedas'!K54)</f>
        <v/>
      </c>
      <c r="J851" s="145" t="str">
        <f>IF(C851="","",'08 Criptomoedas'!L54)</f>
        <v/>
      </c>
      <c r="K851" s="145" t="str">
        <f>IF(C851="","",'08 Criptomoedas'!R54)</f>
        <v/>
      </c>
      <c r="L851" s="142" t="str">
        <f>IF(C851="","",'08 Criptomoedas'!S54)</f>
        <v/>
      </c>
      <c r="M851" s="145" t="str">
        <f>IF(C851="","",'08 Criptomoedas'!U54)</f>
        <v/>
      </c>
      <c r="N851" s="146" t="str">
        <f>IF(C851="","",IF($J$3&gt;0,J851/$J$3,0))</f>
        <v/>
      </c>
      <c r="O851" s="141" t="str">
        <f>IF(C851="","",'08 Criptomoedas'!J54)</f>
        <v/>
      </c>
      <c r="P851" s="147" t="str">
        <f>IF(C851="","",IF(N(J851)&gt;0,J851+ROW()/1E9,""))</f>
        <v/>
      </c>
      <c r="Q851" s="147" t="str">
        <f>IF(C851="","",IF(N(M851)&gt;0,M851+ROW()/1E9,""))</f>
        <v/>
      </c>
    </row>
    <row r="852">
      <c r="A852" s="134" t="str">
        <f>IF(C852="","","Criptomoedas")</f>
        <v/>
      </c>
      <c r="B852" s="134" t="str">
        <f>IF(C852="","","Alternativos")</f>
        <v/>
      </c>
      <c r="C852" s="134" t="str">
        <f>IF('08 Criptomoedas'!A55="","",'08 Criptomoedas'!A55&amp;"")</f>
        <v/>
      </c>
      <c r="D852" s="134" t="str">
        <f>IF(C852="","",'08 Criptomoedas'!B55&amp;"")</f>
        <v/>
      </c>
      <c r="E852" s="134" t="str">
        <f>IF(C852="","",'08 Criptomoedas'!C55&amp;"")</f>
        <v/>
      </c>
      <c r="F852" s="134" t="str">
        <f>IF(C852="","",'08 Criptomoedas'!W55)</f>
        <v/>
      </c>
      <c r="G852" s="135" t="str">
        <f>IF(C852="","",'08 Criptomoedas'!F55)</f>
        <v/>
      </c>
      <c r="H852" s="136" t="str">
        <f>IF(C852="","",'08 Criptomoedas'!I55)</f>
        <v/>
      </c>
      <c r="I852" s="137" t="str">
        <f>IF(C852="","",'08 Criptomoedas'!K55)</f>
        <v/>
      </c>
      <c r="J852" s="138" t="str">
        <f>IF(C852="","",'08 Criptomoedas'!L55)</f>
        <v/>
      </c>
      <c r="K852" s="138" t="str">
        <f>IF(C852="","",'08 Criptomoedas'!R55)</f>
        <v/>
      </c>
      <c r="L852" s="135" t="str">
        <f>IF(C852="","",'08 Criptomoedas'!S55)</f>
        <v/>
      </c>
      <c r="M852" s="138" t="str">
        <f>IF(C852="","",'08 Criptomoedas'!U55)</f>
        <v/>
      </c>
      <c r="N852" s="139" t="str">
        <f>IF(C852="","",IF($J$3&gt;0,J852/$J$3,0))</f>
        <v/>
      </c>
      <c r="O852" s="134" t="str">
        <f>IF(C852="","",'08 Criptomoedas'!J55)</f>
        <v/>
      </c>
      <c r="P852" s="140" t="str">
        <f>IF(C852="","",IF(N(J852)&gt;0,J852+ROW()/1E9,""))</f>
        <v/>
      </c>
      <c r="Q852" s="140" t="str">
        <f>IF(C852="","",IF(N(M852)&gt;0,M852+ROW()/1E9,""))</f>
        <v/>
      </c>
    </row>
    <row r="853">
      <c r="A853" s="141" t="str">
        <f>IF(C853="","","Criptomoedas")</f>
        <v/>
      </c>
      <c r="B853" s="141" t="str">
        <f>IF(C853="","","Alternativos")</f>
        <v/>
      </c>
      <c r="C853" s="141" t="str">
        <f>IF('08 Criptomoedas'!A56="","",'08 Criptomoedas'!A56&amp;"")</f>
        <v/>
      </c>
      <c r="D853" s="141" t="str">
        <f>IF(C853="","",'08 Criptomoedas'!B56&amp;"")</f>
        <v/>
      </c>
      <c r="E853" s="141" t="str">
        <f>IF(C853="","",'08 Criptomoedas'!C56&amp;"")</f>
        <v/>
      </c>
      <c r="F853" s="141" t="str">
        <f>IF(C853="","",'08 Criptomoedas'!W56)</f>
        <v/>
      </c>
      <c r="G853" s="142" t="str">
        <f>IF(C853="","",'08 Criptomoedas'!F56)</f>
        <v/>
      </c>
      <c r="H853" s="143" t="str">
        <f>IF(C853="","",'08 Criptomoedas'!I56)</f>
        <v/>
      </c>
      <c r="I853" s="144" t="str">
        <f>IF(C853="","",'08 Criptomoedas'!K56)</f>
        <v/>
      </c>
      <c r="J853" s="145" t="str">
        <f>IF(C853="","",'08 Criptomoedas'!L56)</f>
        <v/>
      </c>
      <c r="K853" s="145" t="str">
        <f>IF(C853="","",'08 Criptomoedas'!R56)</f>
        <v/>
      </c>
      <c r="L853" s="142" t="str">
        <f>IF(C853="","",'08 Criptomoedas'!S56)</f>
        <v/>
      </c>
      <c r="M853" s="145" t="str">
        <f>IF(C853="","",'08 Criptomoedas'!U56)</f>
        <v/>
      </c>
      <c r="N853" s="146" t="str">
        <f>IF(C853="","",IF($J$3&gt;0,J853/$J$3,0))</f>
        <v/>
      </c>
      <c r="O853" s="141" t="str">
        <f>IF(C853="","",'08 Criptomoedas'!J56)</f>
        <v/>
      </c>
      <c r="P853" s="147" t="str">
        <f>IF(C853="","",IF(N(J853)&gt;0,J853+ROW()/1E9,""))</f>
        <v/>
      </c>
      <c r="Q853" s="147" t="str">
        <f>IF(C853="","",IF(N(M853)&gt;0,M853+ROW()/1E9,""))</f>
        <v/>
      </c>
    </row>
    <row r="854">
      <c r="A854" s="134" t="str">
        <f>IF(C854="","","Criptomoedas")</f>
        <v/>
      </c>
      <c r="B854" s="134" t="str">
        <f>IF(C854="","","Alternativos")</f>
        <v/>
      </c>
      <c r="C854" s="134" t="str">
        <f>IF('08 Criptomoedas'!A57="","",'08 Criptomoedas'!A57&amp;"")</f>
        <v/>
      </c>
      <c r="D854" s="134" t="str">
        <f>IF(C854="","",'08 Criptomoedas'!B57&amp;"")</f>
        <v/>
      </c>
      <c r="E854" s="134" t="str">
        <f>IF(C854="","",'08 Criptomoedas'!C57&amp;"")</f>
        <v/>
      </c>
      <c r="F854" s="134" t="str">
        <f>IF(C854="","",'08 Criptomoedas'!W57)</f>
        <v/>
      </c>
      <c r="G854" s="135" t="str">
        <f>IF(C854="","",'08 Criptomoedas'!F57)</f>
        <v/>
      </c>
      <c r="H854" s="136" t="str">
        <f>IF(C854="","",'08 Criptomoedas'!I57)</f>
        <v/>
      </c>
      <c r="I854" s="137" t="str">
        <f>IF(C854="","",'08 Criptomoedas'!K57)</f>
        <v/>
      </c>
      <c r="J854" s="138" t="str">
        <f>IF(C854="","",'08 Criptomoedas'!L57)</f>
        <v/>
      </c>
      <c r="K854" s="138" t="str">
        <f>IF(C854="","",'08 Criptomoedas'!R57)</f>
        <v/>
      </c>
      <c r="L854" s="135" t="str">
        <f>IF(C854="","",'08 Criptomoedas'!S57)</f>
        <v/>
      </c>
      <c r="M854" s="138" t="str">
        <f>IF(C854="","",'08 Criptomoedas'!U57)</f>
        <v/>
      </c>
      <c r="N854" s="139" t="str">
        <f>IF(C854="","",IF($J$3&gt;0,J854/$J$3,0))</f>
        <v/>
      </c>
      <c r="O854" s="134" t="str">
        <f>IF(C854="","",'08 Criptomoedas'!J57)</f>
        <v/>
      </c>
      <c r="P854" s="140" t="str">
        <f>IF(C854="","",IF(N(J854)&gt;0,J854+ROW()/1E9,""))</f>
        <v/>
      </c>
      <c r="Q854" s="140" t="str">
        <f>IF(C854="","",IF(N(M854)&gt;0,M854+ROW()/1E9,""))</f>
        <v/>
      </c>
    </row>
    <row r="855">
      <c r="A855" s="141" t="str">
        <f>IF(C855="","","Criptomoedas")</f>
        <v/>
      </c>
      <c r="B855" s="141" t="str">
        <f>IF(C855="","","Alternativos")</f>
        <v/>
      </c>
      <c r="C855" s="141" t="str">
        <f>IF('08 Criptomoedas'!A58="","",'08 Criptomoedas'!A58&amp;"")</f>
        <v/>
      </c>
      <c r="D855" s="141" t="str">
        <f>IF(C855="","",'08 Criptomoedas'!B58&amp;"")</f>
        <v/>
      </c>
      <c r="E855" s="141" t="str">
        <f>IF(C855="","",'08 Criptomoedas'!C58&amp;"")</f>
        <v/>
      </c>
      <c r="F855" s="141" t="str">
        <f>IF(C855="","",'08 Criptomoedas'!W58)</f>
        <v/>
      </c>
      <c r="G855" s="142" t="str">
        <f>IF(C855="","",'08 Criptomoedas'!F58)</f>
        <v/>
      </c>
      <c r="H855" s="143" t="str">
        <f>IF(C855="","",'08 Criptomoedas'!I58)</f>
        <v/>
      </c>
      <c r="I855" s="144" t="str">
        <f>IF(C855="","",'08 Criptomoedas'!K58)</f>
        <v/>
      </c>
      <c r="J855" s="145" t="str">
        <f>IF(C855="","",'08 Criptomoedas'!L58)</f>
        <v/>
      </c>
      <c r="K855" s="145" t="str">
        <f>IF(C855="","",'08 Criptomoedas'!R58)</f>
        <v/>
      </c>
      <c r="L855" s="142" t="str">
        <f>IF(C855="","",'08 Criptomoedas'!S58)</f>
        <v/>
      </c>
      <c r="M855" s="145" t="str">
        <f>IF(C855="","",'08 Criptomoedas'!U58)</f>
        <v/>
      </c>
      <c r="N855" s="146" t="str">
        <f>IF(C855="","",IF($J$3&gt;0,J855/$J$3,0))</f>
        <v/>
      </c>
      <c r="O855" s="141" t="str">
        <f>IF(C855="","",'08 Criptomoedas'!J58)</f>
        <v/>
      </c>
      <c r="P855" s="147" t="str">
        <f>IF(C855="","",IF(N(J855)&gt;0,J855+ROW()/1E9,""))</f>
        <v/>
      </c>
      <c r="Q855" s="147" t="str">
        <f>IF(C855="","",IF(N(M855)&gt;0,M855+ROW()/1E9,""))</f>
        <v/>
      </c>
    </row>
    <row r="856">
      <c r="A856" s="134" t="str">
        <f>IF(C856="","","Criptomoedas")</f>
        <v/>
      </c>
      <c r="B856" s="134" t="str">
        <f>IF(C856="","","Alternativos")</f>
        <v/>
      </c>
      <c r="C856" s="134" t="str">
        <f>IF('08 Criptomoedas'!A59="","",'08 Criptomoedas'!A59&amp;"")</f>
        <v/>
      </c>
      <c r="D856" s="134" t="str">
        <f>IF(C856="","",'08 Criptomoedas'!B59&amp;"")</f>
        <v/>
      </c>
      <c r="E856" s="134" t="str">
        <f>IF(C856="","",'08 Criptomoedas'!C59&amp;"")</f>
        <v/>
      </c>
      <c r="F856" s="134" t="str">
        <f>IF(C856="","",'08 Criptomoedas'!W59)</f>
        <v/>
      </c>
      <c r="G856" s="135" t="str">
        <f>IF(C856="","",'08 Criptomoedas'!F59)</f>
        <v/>
      </c>
      <c r="H856" s="136" t="str">
        <f>IF(C856="","",'08 Criptomoedas'!I59)</f>
        <v/>
      </c>
      <c r="I856" s="137" t="str">
        <f>IF(C856="","",'08 Criptomoedas'!K59)</f>
        <v/>
      </c>
      <c r="J856" s="138" t="str">
        <f>IF(C856="","",'08 Criptomoedas'!L59)</f>
        <v/>
      </c>
      <c r="K856" s="138" t="str">
        <f>IF(C856="","",'08 Criptomoedas'!R59)</f>
        <v/>
      </c>
      <c r="L856" s="135" t="str">
        <f>IF(C856="","",'08 Criptomoedas'!S59)</f>
        <v/>
      </c>
      <c r="M856" s="138" t="str">
        <f>IF(C856="","",'08 Criptomoedas'!U59)</f>
        <v/>
      </c>
      <c r="N856" s="139" t="str">
        <f>IF(C856="","",IF($J$3&gt;0,J856/$J$3,0))</f>
        <v/>
      </c>
      <c r="O856" s="134" t="str">
        <f>IF(C856="","",'08 Criptomoedas'!J59)</f>
        <v/>
      </c>
      <c r="P856" s="140" t="str">
        <f>IF(C856="","",IF(N(J856)&gt;0,J856+ROW()/1E9,""))</f>
        <v/>
      </c>
      <c r="Q856" s="140" t="str">
        <f>IF(C856="","",IF(N(M856)&gt;0,M856+ROW()/1E9,""))</f>
        <v/>
      </c>
    </row>
    <row r="857">
      <c r="A857" s="141" t="str">
        <f>IF(C857="","","Criptomoedas")</f>
        <v/>
      </c>
      <c r="B857" s="141" t="str">
        <f>IF(C857="","","Alternativos")</f>
        <v/>
      </c>
      <c r="C857" s="141" t="str">
        <f>IF('08 Criptomoedas'!A60="","",'08 Criptomoedas'!A60&amp;"")</f>
        <v/>
      </c>
      <c r="D857" s="141" t="str">
        <f>IF(C857="","",'08 Criptomoedas'!B60&amp;"")</f>
        <v/>
      </c>
      <c r="E857" s="141" t="str">
        <f>IF(C857="","",'08 Criptomoedas'!C60&amp;"")</f>
        <v/>
      </c>
      <c r="F857" s="141" t="str">
        <f>IF(C857="","",'08 Criptomoedas'!W60)</f>
        <v/>
      </c>
      <c r="G857" s="142" t="str">
        <f>IF(C857="","",'08 Criptomoedas'!F60)</f>
        <v/>
      </c>
      <c r="H857" s="143" t="str">
        <f>IF(C857="","",'08 Criptomoedas'!I60)</f>
        <v/>
      </c>
      <c r="I857" s="144" t="str">
        <f>IF(C857="","",'08 Criptomoedas'!K60)</f>
        <v/>
      </c>
      <c r="J857" s="145" t="str">
        <f>IF(C857="","",'08 Criptomoedas'!L60)</f>
        <v/>
      </c>
      <c r="K857" s="145" t="str">
        <f>IF(C857="","",'08 Criptomoedas'!R60)</f>
        <v/>
      </c>
      <c r="L857" s="142" t="str">
        <f>IF(C857="","",'08 Criptomoedas'!S60)</f>
        <v/>
      </c>
      <c r="M857" s="145" t="str">
        <f>IF(C857="","",'08 Criptomoedas'!U60)</f>
        <v/>
      </c>
      <c r="N857" s="146" t="str">
        <f>IF(C857="","",IF($J$3&gt;0,J857/$J$3,0))</f>
        <v/>
      </c>
      <c r="O857" s="141" t="str">
        <f>IF(C857="","",'08 Criptomoedas'!J60)</f>
        <v/>
      </c>
      <c r="P857" s="147" t="str">
        <f>IF(C857="","",IF(N(J857)&gt;0,J857+ROW()/1E9,""))</f>
        <v/>
      </c>
      <c r="Q857" s="147" t="str">
        <f>IF(C857="","",IF(N(M857)&gt;0,M857+ROW()/1E9,""))</f>
        <v/>
      </c>
    </row>
    <row r="858">
      <c r="A858" s="134" t="str">
        <f>IF(C858="","","Criptomoedas")</f>
        <v/>
      </c>
      <c r="B858" s="134" t="str">
        <f>IF(C858="","","Alternativos")</f>
        <v/>
      </c>
      <c r="C858" s="134" t="str">
        <f>IF('08 Criptomoedas'!A61="","",'08 Criptomoedas'!A61&amp;"")</f>
        <v/>
      </c>
      <c r="D858" s="134" t="str">
        <f>IF(C858="","",'08 Criptomoedas'!B61&amp;"")</f>
        <v/>
      </c>
      <c r="E858" s="134" t="str">
        <f>IF(C858="","",'08 Criptomoedas'!C61&amp;"")</f>
        <v/>
      </c>
      <c r="F858" s="134" t="str">
        <f>IF(C858="","",'08 Criptomoedas'!W61)</f>
        <v/>
      </c>
      <c r="G858" s="135" t="str">
        <f>IF(C858="","",'08 Criptomoedas'!F61)</f>
        <v/>
      </c>
      <c r="H858" s="136" t="str">
        <f>IF(C858="","",'08 Criptomoedas'!I61)</f>
        <v/>
      </c>
      <c r="I858" s="137" t="str">
        <f>IF(C858="","",'08 Criptomoedas'!K61)</f>
        <v/>
      </c>
      <c r="J858" s="138" t="str">
        <f>IF(C858="","",'08 Criptomoedas'!L61)</f>
        <v/>
      </c>
      <c r="K858" s="138" t="str">
        <f>IF(C858="","",'08 Criptomoedas'!R61)</f>
        <v/>
      </c>
      <c r="L858" s="135" t="str">
        <f>IF(C858="","",'08 Criptomoedas'!S61)</f>
        <v/>
      </c>
      <c r="M858" s="138" t="str">
        <f>IF(C858="","",'08 Criptomoedas'!U61)</f>
        <v/>
      </c>
      <c r="N858" s="139" t="str">
        <f>IF(C858="","",IF($J$3&gt;0,J858/$J$3,0))</f>
        <v/>
      </c>
      <c r="O858" s="134" t="str">
        <f>IF(C858="","",'08 Criptomoedas'!J61)</f>
        <v/>
      </c>
      <c r="P858" s="140" t="str">
        <f>IF(C858="","",IF(N(J858)&gt;0,J858+ROW()/1E9,""))</f>
        <v/>
      </c>
      <c r="Q858" s="140" t="str">
        <f>IF(C858="","",IF(N(M858)&gt;0,M858+ROW()/1E9,""))</f>
        <v/>
      </c>
    </row>
    <row r="859">
      <c r="A859" s="141" t="str">
        <f>IF(C859="","","Criptomoedas")</f>
        <v/>
      </c>
      <c r="B859" s="141" t="str">
        <f>IF(C859="","","Alternativos")</f>
        <v/>
      </c>
      <c r="C859" s="141" t="str">
        <f>IF('08 Criptomoedas'!A62="","",'08 Criptomoedas'!A62&amp;"")</f>
        <v/>
      </c>
      <c r="D859" s="141" t="str">
        <f>IF(C859="","",'08 Criptomoedas'!B62&amp;"")</f>
        <v/>
      </c>
      <c r="E859" s="141" t="str">
        <f>IF(C859="","",'08 Criptomoedas'!C62&amp;"")</f>
        <v/>
      </c>
      <c r="F859" s="141" t="str">
        <f>IF(C859="","",'08 Criptomoedas'!W62)</f>
        <v/>
      </c>
      <c r="G859" s="142" t="str">
        <f>IF(C859="","",'08 Criptomoedas'!F62)</f>
        <v/>
      </c>
      <c r="H859" s="143" t="str">
        <f>IF(C859="","",'08 Criptomoedas'!I62)</f>
        <v/>
      </c>
      <c r="I859" s="144" t="str">
        <f>IF(C859="","",'08 Criptomoedas'!K62)</f>
        <v/>
      </c>
      <c r="J859" s="145" t="str">
        <f>IF(C859="","",'08 Criptomoedas'!L62)</f>
        <v/>
      </c>
      <c r="K859" s="145" t="str">
        <f>IF(C859="","",'08 Criptomoedas'!R62)</f>
        <v/>
      </c>
      <c r="L859" s="142" t="str">
        <f>IF(C859="","",'08 Criptomoedas'!S62)</f>
        <v/>
      </c>
      <c r="M859" s="145" t="str">
        <f>IF(C859="","",'08 Criptomoedas'!U62)</f>
        <v/>
      </c>
      <c r="N859" s="146" t="str">
        <f>IF(C859="","",IF($J$3&gt;0,J859/$J$3,0))</f>
        <v/>
      </c>
      <c r="O859" s="141" t="str">
        <f>IF(C859="","",'08 Criptomoedas'!J62)</f>
        <v/>
      </c>
      <c r="P859" s="147" t="str">
        <f>IF(C859="","",IF(N(J859)&gt;0,J859+ROW()/1E9,""))</f>
        <v/>
      </c>
      <c r="Q859" s="147" t="str">
        <f>IF(C859="","",IF(N(M859)&gt;0,M859+ROW()/1E9,""))</f>
        <v/>
      </c>
    </row>
    <row r="860">
      <c r="A860" s="134" t="str">
        <f>IF(C860="","","Criptomoedas")</f>
        <v/>
      </c>
      <c r="B860" s="134" t="str">
        <f>IF(C860="","","Alternativos")</f>
        <v/>
      </c>
      <c r="C860" s="134" t="str">
        <f>IF('08 Criptomoedas'!A63="","",'08 Criptomoedas'!A63&amp;"")</f>
        <v/>
      </c>
      <c r="D860" s="134" t="str">
        <f>IF(C860="","",'08 Criptomoedas'!B63&amp;"")</f>
        <v/>
      </c>
      <c r="E860" s="134" t="str">
        <f>IF(C860="","",'08 Criptomoedas'!C63&amp;"")</f>
        <v/>
      </c>
      <c r="F860" s="134" t="str">
        <f>IF(C860="","",'08 Criptomoedas'!W63)</f>
        <v/>
      </c>
      <c r="G860" s="135" t="str">
        <f>IF(C860="","",'08 Criptomoedas'!F63)</f>
        <v/>
      </c>
      <c r="H860" s="136" t="str">
        <f>IF(C860="","",'08 Criptomoedas'!I63)</f>
        <v/>
      </c>
      <c r="I860" s="137" t="str">
        <f>IF(C860="","",'08 Criptomoedas'!K63)</f>
        <v/>
      </c>
      <c r="J860" s="138" t="str">
        <f>IF(C860="","",'08 Criptomoedas'!L63)</f>
        <v/>
      </c>
      <c r="K860" s="138" t="str">
        <f>IF(C860="","",'08 Criptomoedas'!R63)</f>
        <v/>
      </c>
      <c r="L860" s="135" t="str">
        <f>IF(C860="","",'08 Criptomoedas'!S63)</f>
        <v/>
      </c>
      <c r="M860" s="138" t="str">
        <f>IF(C860="","",'08 Criptomoedas'!U63)</f>
        <v/>
      </c>
      <c r="N860" s="139" t="str">
        <f>IF(C860="","",IF($J$3&gt;0,J860/$J$3,0))</f>
        <v/>
      </c>
      <c r="O860" s="134" t="str">
        <f>IF(C860="","",'08 Criptomoedas'!J63)</f>
        <v/>
      </c>
      <c r="P860" s="140" t="str">
        <f>IF(C860="","",IF(N(J860)&gt;0,J860+ROW()/1E9,""))</f>
        <v/>
      </c>
      <c r="Q860" s="140" t="str">
        <f>IF(C860="","",IF(N(M860)&gt;0,M860+ROW()/1E9,""))</f>
        <v/>
      </c>
    </row>
    <row r="861">
      <c r="A861" s="141" t="str">
        <f>IF(C861="","","Criptomoedas")</f>
        <v/>
      </c>
      <c r="B861" s="141" t="str">
        <f>IF(C861="","","Alternativos")</f>
        <v/>
      </c>
      <c r="C861" s="141" t="str">
        <f>IF('08 Criptomoedas'!A64="","",'08 Criptomoedas'!A64&amp;"")</f>
        <v/>
      </c>
      <c r="D861" s="141" t="str">
        <f>IF(C861="","",'08 Criptomoedas'!B64&amp;"")</f>
        <v/>
      </c>
      <c r="E861" s="141" t="str">
        <f>IF(C861="","",'08 Criptomoedas'!C64&amp;"")</f>
        <v/>
      </c>
      <c r="F861" s="141" t="str">
        <f>IF(C861="","",'08 Criptomoedas'!W64)</f>
        <v/>
      </c>
      <c r="G861" s="142" t="str">
        <f>IF(C861="","",'08 Criptomoedas'!F64)</f>
        <v/>
      </c>
      <c r="H861" s="143" t="str">
        <f>IF(C861="","",'08 Criptomoedas'!I64)</f>
        <v/>
      </c>
      <c r="I861" s="144" t="str">
        <f>IF(C861="","",'08 Criptomoedas'!K64)</f>
        <v/>
      </c>
      <c r="J861" s="145" t="str">
        <f>IF(C861="","",'08 Criptomoedas'!L64)</f>
        <v/>
      </c>
      <c r="K861" s="145" t="str">
        <f>IF(C861="","",'08 Criptomoedas'!R64)</f>
        <v/>
      </c>
      <c r="L861" s="142" t="str">
        <f>IF(C861="","",'08 Criptomoedas'!S64)</f>
        <v/>
      </c>
      <c r="M861" s="145" t="str">
        <f>IF(C861="","",'08 Criptomoedas'!U64)</f>
        <v/>
      </c>
      <c r="N861" s="146" t="str">
        <f>IF(C861="","",IF($J$3&gt;0,J861/$J$3,0))</f>
        <v/>
      </c>
      <c r="O861" s="141" t="str">
        <f>IF(C861="","",'08 Criptomoedas'!J64)</f>
        <v/>
      </c>
      <c r="P861" s="147" t="str">
        <f>IF(C861="","",IF(N(J861)&gt;0,J861+ROW()/1E9,""))</f>
        <v/>
      </c>
      <c r="Q861" s="147" t="str">
        <f>IF(C861="","",IF(N(M861)&gt;0,M861+ROW()/1E9,""))</f>
        <v/>
      </c>
    </row>
    <row r="862">
      <c r="A862" s="134" t="str">
        <f>IF(C862="","","Criptomoedas")</f>
        <v/>
      </c>
      <c r="B862" s="134" t="str">
        <f>IF(C862="","","Alternativos")</f>
        <v/>
      </c>
      <c r="C862" s="134" t="str">
        <f>IF('08 Criptomoedas'!A65="","",'08 Criptomoedas'!A65&amp;"")</f>
        <v/>
      </c>
      <c r="D862" s="134" t="str">
        <f>IF(C862="","",'08 Criptomoedas'!B65&amp;"")</f>
        <v/>
      </c>
      <c r="E862" s="134" t="str">
        <f>IF(C862="","",'08 Criptomoedas'!C65&amp;"")</f>
        <v/>
      </c>
      <c r="F862" s="134" t="str">
        <f>IF(C862="","",'08 Criptomoedas'!W65)</f>
        <v/>
      </c>
      <c r="G862" s="135" t="str">
        <f>IF(C862="","",'08 Criptomoedas'!F65)</f>
        <v/>
      </c>
      <c r="H862" s="136" t="str">
        <f>IF(C862="","",'08 Criptomoedas'!I65)</f>
        <v/>
      </c>
      <c r="I862" s="137" t="str">
        <f>IF(C862="","",'08 Criptomoedas'!K65)</f>
        <v/>
      </c>
      <c r="J862" s="138" t="str">
        <f>IF(C862="","",'08 Criptomoedas'!L65)</f>
        <v/>
      </c>
      <c r="K862" s="138" t="str">
        <f>IF(C862="","",'08 Criptomoedas'!R65)</f>
        <v/>
      </c>
      <c r="L862" s="135" t="str">
        <f>IF(C862="","",'08 Criptomoedas'!S65)</f>
        <v/>
      </c>
      <c r="M862" s="138" t="str">
        <f>IF(C862="","",'08 Criptomoedas'!U65)</f>
        <v/>
      </c>
      <c r="N862" s="139" t="str">
        <f>IF(C862="","",IF($J$3&gt;0,J862/$J$3,0))</f>
        <v/>
      </c>
      <c r="O862" s="134" t="str">
        <f>IF(C862="","",'08 Criptomoedas'!J65)</f>
        <v/>
      </c>
      <c r="P862" s="140" t="str">
        <f>IF(C862="","",IF(N(J862)&gt;0,J862+ROW()/1E9,""))</f>
        <v/>
      </c>
      <c r="Q862" s="140" t="str">
        <f>IF(C862="","",IF(N(M862)&gt;0,M862+ROW()/1E9,""))</f>
        <v/>
      </c>
    </row>
    <row r="863">
      <c r="A863" s="141" t="str">
        <f>IF(C863="","","Criptomoedas")</f>
        <v/>
      </c>
      <c r="B863" s="141" t="str">
        <f>IF(C863="","","Alternativos")</f>
        <v/>
      </c>
      <c r="C863" s="141" t="str">
        <f>IF('08 Criptomoedas'!A66="","",'08 Criptomoedas'!A66&amp;"")</f>
        <v/>
      </c>
      <c r="D863" s="141" t="str">
        <f>IF(C863="","",'08 Criptomoedas'!B66&amp;"")</f>
        <v/>
      </c>
      <c r="E863" s="141" t="str">
        <f>IF(C863="","",'08 Criptomoedas'!C66&amp;"")</f>
        <v/>
      </c>
      <c r="F863" s="141" t="str">
        <f>IF(C863="","",'08 Criptomoedas'!W66)</f>
        <v/>
      </c>
      <c r="G863" s="142" t="str">
        <f>IF(C863="","",'08 Criptomoedas'!F66)</f>
        <v/>
      </c>
      <c r="H863" s="143" t="str">
        <f>IF(C863="","",'08 Criptomoedas'!I66)</f>
        <v/>
      </c>
      <c r="I863" s="144" t="str">
        <f>IF(C863="","",'08 Criptomoedas'!K66)</f>
        <v/>
      </c>
      <c r="J863" s="145" t="str">
        <f>IF(C863="","",'08 Criptomoedas'!L66)</f>
        <v/>
      </c>
      <c r="K863" s="145" t="str">
        <f>IF(C863="","",'08 Criptomoedas'!R66)</f>
        <v/>
      </c>
      <c r="L863" s="142" t="str">
        <f>IF(C863="","",'08 Criptomoedas'!S66)</f>
        <v/>
      </c>
      <c r="M863" s="145" t="str">
        <f>IF(C863="","",'08 Criptomoedas'!U66)</f>
        <v/>
      </c>
      <c r="N863" s="146" t="str">
        <f>IF(C863="","",IF($J$3&gt;0,J863/$J$3,0))</f>
        <v/>
      </c>
      <c r="O863" s="141" t="str">
        <f>IF(C863="","",'08 Criptomoedas'!J66)</f>
        <v/>
      </c>
      <c r="P863" s="147" t="str">
        <f>IF(C863="","",IF(N(J863)&gt;0,J863+ROW()/1E9,""))</f>
        <v/>
      </c>
      <c r="Q863" s="147" t="str">
        <f>IF(C863="","",IF(N(M863)&gt;0,M863+ROW()/1E9,""))</f>
        <v/>
      </c>
    </row>
    <row r="864">
      <c r="A864" s="134" t="str">
        <f>IF(C864="","","Criptomoedas")</f>
        <v/>
      </c>
      <c r="B864" s="134" t="str">
        <f>IF(C864="","","Alternativos")</f>
        <v/>
      </c>
      <c r="C864" s="134" t="str">
        <f>IF('08 Criptomoedas'!A67="","",'08 Criptomoedas'!A67&amp;"")</f>
        <v/>
      </c>
      <c r="D864" s="134" t="str">
        <f>IF(C864="","",'08 Criptomoedas'!B67&amp;"")</f>
        <v/>
      </c>
      <c r="E864" s="134" t="str">
        <f>IF(C864="","",'08 Criptomoedas'!C67&amp;"")</f>
        <v/>
      </c>
      <c r="F864" s="134" t="str">
        <f>IF(C864="","",'08 Criptomoedas'!W67)</f>
        <v/>
      </c>
      <c r="G864" s="135" t="str">
        <f>IF(C864="","",'08 Criptomoedas'!F67)</f>
        <v/>
      </c>
      <c r="H864" s="136" t="str">
        <f>IF(C864="","",'08 Criptomoedas'!I67)</f>
        <v/>
      </c>
      <c r="I864" s="137" t="str">
        <f>IF(C864="","",'08 Criptomoedas'!K67)</f>
        <v/>
      </c>
      <c r="J864" s="138" t="str">
        <f>IF(C864="","",'08 Criptomoedas'!L67)</f>
        <v/>
      </c>
      <c r="K864" s="138" t="str">
        <f>IF(C864="","",'08 Criptomoedas'!R67)</f>
        <v/>
      </c>
      <c r="L864" s="135" t="str">
        <f>IF(C864="","",'08 Criptomoedas'!S67)</f>
        <v/>
      </c>
      <c r="M864" s="138" t="str">
        <f>IF(C864="","",'08 Criptomoedas'!U67)</f>
        <v/>
      </c>
      <c r="N864" s="139" t="str">
        <f>IF(C864="","",IF($J$3&gt;0,J864/$J$3,0))</f>
        <v/>
      </c>
      <c r="O864" s="134" t="str">
        <f>IF(C864="","",'08 Criptomoedas'!J67)</f>
        <v/>
      </c>
      <c r="P864" s="140" t="str">
        <f>IF(C864="","",IF(N(J864)&gt;0,J864+ROW()/1E9,""))</f>
        <v/>
      </c>
      <c r="Q864" s="140" t="str">
        <f>IF(C864="","",IF(N(M864)&gt;0,M864+ROW()/1E9,""))</f>
        <v/>
      </c>
    </row>
    <row r="865">
      <c r="A865" s="141" t="str">
        <f>IF(C865="","","Criptomoedas")</f>
        <v/>
      </c>
      <c r="B865" s="141" t="str">
        <f>IF(C865="","","Alternativos")</f>
        <v/>
      </c>
      <c r="C865" s="141" t="str">
        <f>IF('08 Criptomoedas'!A68="","",'08 Criptomoedas'!A68&amp;"")</f>
        <v/>
      </c>
      <c r="D865" s="141" t="str">
        <f>IF(C865="","",'08 Criptomoedas'!B68&amp;"")</f>
        <v/>
      </c>
      <c r="E865" s="141" t="str">
        <f>IF(C865="","",'08 Criptomoedas'!C68&amp;"")</f>
        <v/>
      </c>
      <c r="F865" s="141" t="str">
        <f>IF(C865="","",'08 Criptomoedas'!W68)</f>
        <v/>
      </c>
      <c r="G865" s="142" t="str">
        <f>IF(C865="","",'08 Criptomoedas'!F68)</f>
        <v/>
      </c>
      <c r="H865" s="143" t="str">
        <f>IF(C865="","",'08 Criptomoedas'!I68)</f>
        <v/>
      </c>
      <c r="I865" s="144" t="str">
        <f>IF(C865="","",'08 Criptomoedas'!K68)</f>
        <v/>
      </c>
      <c r="J865" s="145" t="str">
        <f>IF(C865="","",'08 Criptomoedas'!L68)</f>
        <v/>
      </c>
      <c r="K865" s="145" t="str">
        <f>IF(C865="","",'08 Criptomoedas'!R68)</f>
        <v/>
      </c>
      <c r="L865" s="142" t="str">
        <f>IF(C865="","",'08 Criptomoedas'!S68)</f>
        <v/>
      </c>
      <c r="M865" s="145" t="str">
        <f>IF(C865="","",'08 Criptomoedas'!U68)</f>
        <v/>
      </c>
      <c r="N865" s="146" t="str">
        <f>IF(C865="","",IF($J$3&gt;0,J865/$J$3,0))</f>
        <v/>
      </c>
      <c r="O865" s="141" t="str">
        <f>IF(C865="","",'08 Criptomoedas'!J68)</f>
        <v/>
      </c>
      <c r="P865" s="147" t="str">
        <f>IF(C865="","",IF(N(J865)&gt;0,J865+ROW()/1E9,""))</f>
        <v/>
      </c>
      <c r="Q865" s="147" t="str">
        <f>IF(C865="","",IF(N(M865)&gt;0,M865+ROW()/1E9,""))</f>
        <v/>
      </c>
    </row>
    <row r="866">
      <c r="A866" s="134" t="str">
        <f>IF(C866="","","Ativos Ilíquidos")</f>
        <v/>
      </c>
      <c r="B866" s="134" t="str">
        <f>IF(C866="","","Alternativos")</f>
        <v/>
      </c>
      <c r="C866" s="134" t="str">
        <f>IF('09 Ativos Ilíquidos'!A9="","",'09 Ativos Ilíquidos'!A9&amp;"")</f>
        <v/>
      </c>
      <c r="D866" s="134" t="str">
        <f>IF(C866="","",'09 Ativos Ilíquidos'!B9&amp;"")</f>
        <v/>
      </c>
      <c r="E866" s="134" t="str">
        <f>IF(C866="","","Ativos Ilíquidos")</f>
        <v/>
      </c>
      <c r="F866" s="134" t="str">
        <f>IF(C866="","",'09 Ativos Ilíquidos'!Q9)</f>
        <v/>
      </c>
      <c r="G866" s="135" t="n"/>
      <c r="H866" s="136" t="n"/>
      <c r="I866" s="137" t="str">
        <f>IF(C866="","",'09 Ativos Ilíquidos'!F9)</f>
        <v/>
      </c>
      <c r="J866" s="138" t="str">
        <f>IF(C866="","",'09 Ativos Ilíquidos'!H9)</f>
        <v/>
      </c>
      <c r="K866" s="138" t="str">
        <f>IF(C866="","",'09 Ativos Ilíquidos'!N9)</f>
        <v/>
      </c>
      <c r="L866" s="135" t="n"/>
      <c r="M866" s="138" t="str">
        <f>IF(C866="","",'09 Ativos Ilíquidos'!O9)</f>
        <v/>
      </c>
      <c r="N866" s="139" t="str">
        <f>IF(C866="","",IF($J$3&gt;0,J866/$J$3,0))</f>
        <v/>
      </c>
      <c r="O866" s="134" t="str">
        <f>IF(C866="","","Manual")</f>
        <v/>
      </c>
      <c r="P866" s="140" t="str">
        <f>IF(C866="","",IF(N(J866)&gt;0,J866+ROW()/1E9,""))</f>
        <v/>
      </c>
      <c r="Q866" s="140" t="str">
        <f>IF(C866="","",IF(N(M866)&gt;0,M866+ROW()/1E9,""))</f>
        <v/>
      </c>
    </row>
    <row r="867">
      <c r="A867" s="141" t="str">
        <f>IF(C867="","","Ativos Ilíquidos")</f>
        <v/>
      </c>
      <c r="B867" s="141" t="str">
        <f>IF(C867="","","Alternativos")</f>
        <v/>
      </c>
      <c r="C867" s="141" t="str">
        <f>IF('09 Ativos Ilíquidos'!A10="","",'09 Ativos Ilíquidos'!A10&amp;"")</f>
        <v/>
      </c>
      <c r="D867" s="141" t="str">
        <f>IF(C867="","",'09 Ativos Ilíquidos'!B10&amp;"")</f>
        <v/>
      </c>
      <c r="E867" s="141" t="str">
        <f>IF(C867="","","Ativos Ilíquidos")</f>
        <v/>
      </c>
      <c r="F867" s="141" t="str">
        <f>IF(C867="","",'09 Ativos Ilíquidos'!Q10)</f>
        <v/>
      </c>
      <c r="G867" s="142" t="n"/>
      <c r="H867" s="143" t="n"/>
      <c r="I867" s="144" t="str">
        <f>IF(C867="","",'09 Ativos Ilíquidos'!F10)</f>
        <v/>
      </c>
      <c r="J867" s="145" t="str">
        <f>IF(C867="","",'09 Ativos Ilíquidos'!H10)</f>
        <v/>
      </c>
      <c r="K867" s="145" t="str">
        <f>IF(C867="","",'09 Ativos Ilíquidos'!N10)</f>
        <v/>
      </c>
      <c r="L867" s="142" t="n"/>
      <c r="M867" s="145" t="str">
        <f>IF(C867="","",'09 Ativos Ilíquidos'!O10)</f>
        <v/>
      </c>
      <c r="N867" s="146" t="str">
        <f>IF(C867="","",IF($J$3&gt;0,J867/$J$3,0))</f>
        <v/>
      </c>
      <c r="O867" s="141" t="str">
        <f>IF(C867="","","Manual")</f>
        <v/>
      </c>
      <c r="P867" s="147" t="str">
        <f>IF(C867="","",IF(N(J867)&gt;0,J867+ROW()/1E9,""))</f>
        <v/>
      </c>
      <c r="Q867" s="147" t="str">
        <f>IF(C867="","",IF(N(M867)&gt;0,M867+ROW()/1E9,""))</f>
        <v/>
      </c>
    </row>
    <row r="868">
      <c r="A868" s="134" t="str">
        <f>IF(C868="","","Ativos Ilíquidos")</f>
        <v/>
      </c>
      <c r="B868" s="134" t="str">
        <f>IF(C868="","","Alternativos")</f>
        <v/>
      </c>
      <c r="C868" s="134" t="str">
        <f>IF('09 Ativos Ilíquidos'!A11="","",'09 Ativos Ilíquidos'!A11&amp;"")</f>
        <v/>
      </c>
      <c r="D868" s="134" t="str">
        <f>IF(C868="","",'09 Ativos Ilíquidos'!B11&amp;"")</f>
        <v/>
      </c>
      <c r="E868" s="134" t="str">
        <f>IF(C868="","","Ativos Ilíquidos")</f>
        <v/>
      </c>
      <c r="F868" s="134" t="str">
        <f>IF(C868="","",'09 Ativos Ilíquidos'!Q11)</f>
        <v/>
      </c>
      <c r="G868" s="135" t="n"/>
      <c r="H868" s="136" t="n"/>
      <c r="I868" s="137" t="str">
        <f>IF(C868="","",'09 Ativos Ilíquidos'!F11)</f>
        <v/>
      </c>
      <c r="J868" s="138" t="str">
        <f>IF(C868="","",'09 Ativos Ilíquidos'!H11)</f>
        <v/>
      </c>
      <c r="K868" s="138" t="str">
        <f>IF(C868="","",'09 Ativos Ilíquidos'!N11)</f>
        <v/>
      </c>
      <c r="L868" s="135" t="n"/>
      <c r="M868" s="138" t="str">
        <f>IF(C868="","",'09 Ativos Ilíquidos'!O11)</f>
        <v/>
      </c>
      <c r="N868" s="139" t="str">
        <f>IF(C868="","",IF($J$3&gt;0,J868/$J$3,0))</f>
        <v/>
      </c>
      <c r="O868" s="134" t="str">
        <f>IF(C868="","","Manual")</f>
        <v/>
      </c>
      <c r="P868" s="140" t="str">
        <f>IF(C868="","",IF(N(J868)&gt;0,J868+ROW()/1E9,""))</f>
        <v/>
      </c>
      <c r="Q868" s="140" t="str">
        <f>IF(C868="","",IF(N(M868)&gt;0,M868+ROW()/1E9,""))</f>
        <v/>
      </c>
    </row>
    <row r="869">
      <c r="A869" s="141" t="str">
        <f>IF(C869="","","Ativos Ilíquidos")</f>
        <v/>
      </c>
      <c r="B869" s="141" t="str">
        <f>IF(C869="","","Alternativos")</f>
        <v/>
      </c>
      <c r="C869" s="141" t="str">
        <f>IF('09 Ativos Ilíquidos'!A12="","",'09 Ativos Ilíquidos'!A12&amp;"")</f>
        <v/>
      </c>
      <c r="D869" s="141" t="str">
        <f>IF(C869="","",'09 Ativos Ilíquidos'!B12&amp;"")</f>
        <v/>
      </c>
      <c r="E869" s="141" t="str">
        <f>IF(C869="","","Ativos Ilíquidos")</f>
        <v/>
      </c>
      <c r="F869" s="141" t="str">
        <f>IF(C869="","",'09 Ativos Ilíquidos'!Q12)</f>
        <v/>
      </c>
      <c r="G869" s="142" t="n"/>
      <c r="H869" s="143" t="n"/>
      <c r="I869" s="144" t="str">
        <f>IF(C869="","",'09 Ativos Ilíquidos'!F12)</f>
        <v/>
      </c>
      <c r="J869" s="145" t="str">
        <f>IF(C869="","",'09 Ativos Ilíquidos'!H12)</f>
        <v/>
      </c>
      <c r="K869" s="145" t="str">
        <f>IF(C869="","",'09 Ativos Ilíquidos'!N12)</f>
        <v/>
      </c>
      <c r="L869" s="142" t="n"/>
      <c r="M869" s="145" t="str">
        <f>IF(C869="","",'09 Ativos Ilíquidos'!O12)</f>
        <v/>
      </c>
      <c r="N869" s="146" t="str">
        <f>IF(C869="","",IF($J$3&gt;0,J869/$J$3,0))</f>
        <v/>
      </c>
      <c r="O869" s="141" t="str">
        <f>IF(C869="","","Manual")</f>
        <v/>
      </c>
      <c r="P869" s="147" t="str">
        <f>IF(C869="","",IF(N(J869)&gt;0,J869+ROW()/1E9,""))</f>
        <v/>
      </c>
      <c r="Q869" s="147" t="str">
        <f>IF(C869="","",IF(N(M869)&gt;0,M869+ROW()/1E9,""))</f>
        <v/>
      </c>
    </row>
    <row r="870">
      <c r="A870" s="134" t="str">
        <f>IF(C870="","","Ativos Ilíquidos")</f>
        <v/>
      </c>
      <c r="B870" s="134" t="str">
        <f>IF(C870="","","Alternativos")</f>
        <v/>
      </c>
      <c r="C870" s="134" t="str">
        <f>IF('09 Ativos Ilíquidos'!A13="","",'09 Ativos Ilíquidos'!A13&amp;"")</f>
        <v/>
      </c>
      <c r="D870" s="134" t="str">
        <f>IF(C870="","",'09 Ativos Ilíquidos'!B13&amp;"")</f>
        <v/>
      </c>
      <c r="E870" s="134" t="str">
        <f>IF(C870="","","Ativos Ilíquidos")</f>
        <v/>
      </c>
      <c r="F870" s="134" t="str">
        <f>IF(C870="","",'09 Ativos Ilíquidos'!Q13)</f>
        <v/>
      </c>
      <c r="G870" s="135" t="n"/>
      <c r="H870" s="136" t="n"/>
      <c r="I870" s="137" t="str">
        <f>IF(C870="","",'09 Ativos Ilíquidos'!F13)</f>
        <v/>
      </c>
      <c r="J870" s="138" t="str">
        <f>IF(C870="","",'09 Ativos Ilíquidos'!H13)</f>
        <v/>
      </c>
      <c r="K870" s="138" t="str">
        <f>IF(C870="","",'09 Ativos Ilíquidos'!N13)</f>
        <v/>
      </c>
      <c r="L870" s="135" t="n"/>
      <c r="M870" s="138" t="str">
        <f>IF(C870="","",'09 Ativos Ilíquidos'!O13)</f>
        <v/>
      </c>
      <c r="N870" s="139" t="str">
        <f>IF(C870="","",IF($J$3&gt;0,J870/$J$3,0))</f>
        <v/>
      </c>
      <c r="O870" s="134" t="str">
        <f>IF(C870="","","Manual")</f>
        <v/>
      </c>
      <c r="P870" s="140" t="str">
        <f>IF(C870="","",IF(N(J870)&gt;0,J870+ROW()/1E9,""))</f>
        <v/>
      </c>
      <c r="Q870" s="140" t="str">
        <f>IF(C870="","",IF(N(M870)&gt;0,M870+ROW()/1E9,""))</f>
        <v/>
      </c>
    </row>
    <row r="871">
      <c r="A871" s="141" t="str">
        <f>IF(C871="","","Ativos Ilíquidos")</f>
        <v/>
      </c>
      <c r="B871" s="141" t="str">
        <f>IF(C871="","","Alternativos")</f>
        <v/>
      </c>
      <c r="C871" s="141" t="str">
        <f>IF('09 Ativos Ilíquidos'!A14="","",'09 Ativos Ilíquidos'!A14&amp;"")</f>
        <v/>
      </c>
      <c r="D871" s="141" t="str">
        <f>IF(C871="","",'09 Ativos Ilíquidos'!B14&amp;"")</f>
        <v/>
      </c>
      <c r="E871" s="141" t="str">
        <f>IF(C871="","","Ativos Ilíquidos")</f>
        <v/>
      </c>
      <c r="F871" s="141" t="str">
        <f>IF(C871="","",'09 Ativos Ilíquidos'!Q14)</f>
        <v/>
      </c>
      <c r="G871" s="142" t="n"/>
      <c r="H871" s="143" t="n"/>
      <c r="I871" s="144" t="str">
        <f>IF(C871="","",'09 Ativos Ilíquidos'!F14)</f>
        <v/>
      </c>
      <c r="J871" s="145" t="str">
        <f>IF(C871="","",'09 Ativos Ilíquidos'!H14)</f>
        <v/>
      </c>
      <c r="K871" s="145" t="str">
        <f>IF(C871="","",'09 Ativos Ilíquidos'!N14)</f>
        <v/>
      </c>
      <c r="L871" s="142" t="n"/>
      <c r="M871" s="145" t="str">
        <f>IF(C871="","",'09 Ativos Ilíquidos'!O14)</f>
        <v/>
      </c>
      <c r="N871" s="146" t="str">
        <f>IF(C871="","",IF($J$3&gt;0,J871/$J$3,0))</f>
        <v/>
      </c>
      <c r="O871" s="141" t="str">
        <f>IF(C871="","","Manual")</f>
        <v/>
      </c>
      <c r="P871" s="147" t="str">
        <f>IF(C871="","",IF(N(J871)&gt;0,J871+ROW()/1E9,""))</f>
        <v/>
      </c>
      <c r="Q871" s="147" t="str">
        <f>IF(C871="","",IF(N(M871)&gt;0,M871+ROW()/1E9,""))</f>
        <v/>
      </c>
    </row>
    <row r="872">
      <c r="A872" s="134" t="str">
        <f>IF(C872="","","Ativos Ilíquidos")</f>
        <v/>
      </c>
      <c r="B872" s="134" t="str">
        <f>IF(C872="","","Alternativos")</f>
        <v/>
      </c>
      <c r="C872" s="134" t="str">
        <f>IF('09 Ativos Ilíquidos'!A15="","",'09 Ativos Ilíquidos'!A15&amp;"")</f>
        <v/>
      </c>
      <c r="D872" s="134" t="str">
        <f>IF(C872="","",'09 Ativos Ilíquidos'!B15&amp;"")</f>
        <v/>
      </c>
      <c r="E872" s="134" t="str">
        <f>IF(C872="","","Ativos Ilíquidos")</f>
        <v/>
      </c>
      <c r="F872" s="134" t="str">
        <f>IF(C872="","",'09 Ativos Ilíquidos'!Q15)</f>
        <v/>
      </c>
      <c r="G872" s="135" t="n"/>
      <c r="H872" s="136" t="n"/>
      <c r="I872" s="137" t="str">
        <f>IF(C872="","",'09 Ativos Ilíquidos'!F15)</f>
        <v/>
      </c>
      <c r="J872" s="138" t="str">
        <f>IF(C872="","",'09 Ativos Ilíquidos'!H15)</f>
        <v/>
      </c>
      <c r="K872" s="138" t="str">
        <f>IF(C872="","",'09 Ativos Ilíquidos'!N15)</f>
        <v/>
      </c>
      <c r="L872" s="135" t="n"/>
      <c r="M872" s="138" t="str">
        <f>IF(C872="","",'09 Ativos Ilíquidos'!O15)</f>
        <v/>
      </c>
      <c r="N872" s="139" t="str">
        <f>IF(C872="","",IF($J$3&gt;0,J872/$J$3,0))</f>
        <v/>
      </c>
      <c r="O872" s="134" t="str">
        <f>IF(C872="","","Manual")</f>
        <v/>
      </c>
      <c r="P872" s="140" t="str">
        <f>IF(C872="","",IF(N(J872)&gt;0,J872+ROW()/1E9,""))</f>
        <v/>
      </c>
      <c r="Q872" s="140" t="str">
        <f>IF(C872="","",IF(N(M872)&gt;0,M872+ROW()/1E9,""))</f>
        <v/>
      </c>
    </row>
    <row r="873">
      <c r="A873" s="141" t="str">
        <f>IF(C873="","","Ativos Ilíquidos")</f>
        <v/>
      </c>
      <c r="B873" s="141" t="str">
        <f>IF(C873="","","Alternativos")</f>
        <v/>
      </c>
      <c r="C873" s="141" t="str">
        <f>IF('09 Ativos Ilíquidos'!A16="","",'09 Ativos Ilíquidos'!A16&amp;"")</f>
        <v/>
      </c>
      <c r="D873" s="141" t="str">
        <f>IF(C873="","",'09 Ativos Ilíquidos'!B16&amp;"")</f>
        <v/>
      </c>
      <c r="E873" s="141" t="str">
        <f>IF(C873="","","Ativos Ilíquidos")</f>
        <v/>
      </c>
      <c r="F873" s="141" t="str">
        <f>IF(C873="","",'09 Ativos Ilíquidos'!Q16)</f>
        <v/>
      </c>
      <c r="G873" s="142" t="n"/>
      <c r="H873" s="143" t="n"/>
      <c r="I873" s="144" t="str">
        <f>IF(C873="","",'09 Ativos Ilíquidos'!F16)</f>
        <v/>
      </c>
      <c r="J873" s="145" t="str">
        <f>IF(C873="","",'09 Ativos Ilíquidos'!H16)</f>
        <v/>
      </c>
      <c r="K873" s="145" t="str">
        <f>IF(C873="","",'09 Ativos Ilíquidos'!N16)</f>
        <v/>
      </c>
      <c r="L873" s="142" t="n"/>
      <c r="M873" s="145" t="str">
        <f>IF(C873="","",'09 Ativos Ilíquidos'!O16)</f>
        <v/>
      </c>
      <c r="N873" s="146" t="str">
        <f>IF(C873="","",IF($J$3&gt;0,J873/$J$3,0))</f>
        <v/>
      </c>
      <c r="O873" s="141" t="str">
        <f>IF(C873="","","Manual")</f>
        <v/>
      </c>
      <c r="P873" s="147" t="str">
        <f>IF(C873="","",IF(N(J873)&gt;0,J873+ROW()/1E9,""))</f>
        <v/>
      </c>
      <c r="Q873" s="147" t="str">
        <f>IF(C873="","",IF(N(M873)&gt;0,M873+ROW()/1E9,""))</f>
        <v/>
      </c>
    </row>
    <row r="874">
      <c r="A874" s="134" t="str">
        <f>IF(C874="","","Ativos Ilíquidos")</f>
        <v/>
      </c>
      <c r="B874" s="134" t="str">
        <f>IF(C874="","","Alternativos")</f>
        <v/>
      </c>
      <c r="C874" s="134" t="str">
        <f>IF('09 Ativos Ilíquidos'!A17="","",'09 Ativos Ilíquidos'!A17&amp;"")</f>
        <v/>
      </c>
      <c r="D874" s="134" t="str">
        <f>IF(C874="","",'09 Ativos Ilíquidos'!B17&amp;"")</f>
        <v/>
      </c>
      <c r="E874" s="134" t="str">
        <f>IF(C874="","","Ativos Ilíquidos")</f>
        <v/>
      </c>
      <c r="F874" s="134" t="str">
        <f>IF(C874="","",'09 Ativos Ilíquidos'!Q17)</f>
        <v/>
      </c>
      <c r="G874" s="135" t="n"/>
      <c r="H874" s="136" t="n"/>
      <c r="I874" s="137" t="str">
        <f>IF(C874="","",'09 Ativos Ilíquidos'!F17)</f>
        <v/>
      </c>
      <c r="J874" s="138" t="str">
        <f>IF(C874="","",'09 Ativos Ilíquidos'!H17)</f>
        <v/>
      </c>
      <c r="K874" s="138" t="str">
        <f>IF(C874="","",'09 Ativos Ilíquidos'!N17)</f>
        <v/>
      </c>
      <c r="L874" s="135" t="n"/>
      <c r="M874" s="138" t="str">
        <f>IF(C874="","",'09 Ativos Ilíquidos'!O17)</f>
        <v/>
      </c>
      <c r="N874" s="139" t="str">
        <f>IF(C874="","",IF($J$3&gt;0,J874/$J$3,0))</f>
        <v/>
      </c>
      <c r="O874" s="134" t="str">
        <f>IF(C874="","","Manual")</f>
        <v/>
      </c>
      <c r="P874" s="140" t="str">
        <f>IF(C874="","",IF(N(J874)&gt;0,J874+ROW()/1E9,""))</f>
        <v/>
      </c>
      <c r="Q874" s="140" t="str">
        <f>IF(C874="","",IF(N(M874)&gt;0,M874+ROW()/1E9,""))</f>
        <v/>
      </c>
    </row>
    <row r="875">
      <c r="A875" s="141" t="str">
        <f>IF(C875="","","Ativos Ilíquidos")</f>
        <v/>
      </c>
      <c r="B875" s="141" t="str">
        <f>IF(C875="","","Alternativos")</f>
        <v/>
      </c>
      <c r="C875" s="141" t="str">
        <f>IF('09 Ativos Ilíquidos'!A18="","",'09 Ativos Ilíquidos'!A18&amp;"")</f>
        <v/>
      </c>
      <c r="D875" s="141" t="str">
        <f>IF(C875="","",'09 Ativos Ilíquidos'!B18&amp;"")</f>
        <v/>
      </c>
      <c r="E875" s="141" t="str">
        <f>IF(C875="","","Ativos Ilíquidos")</f>
        <v/>
      </c>
      <c r="F875" s="141" t="str">
        <f>IF(C875="","",'09 Ativos Ilíquidos'!Q18)</f>
        <v/>
      </c>
      <c r="G875" s="142" t="n"/>
      <c r="H875" s="143" t="n"/>
      <c r="I875" s="144" t="str">
        <f>IF(C875="","",'09 Ativos Ilíquidos'!F18)</f>
        <v/>
      </c>
      <c r="J875" s="145" t="str">
        <f>IF(C875="","",'09 Ativos Ilíquidos'!H18)</f>
        <v/>
      </c>
      <c r="K875" s="145" t="str">
        <f>IF(C875="","",'09 Ativos Ilíquidos'!N18)</f>
        <v/>
      </c>
      <c r="L875" s="142" t="n"/>
      <c r="M875" s="145" t="str">
        <f>IF(C875="","",'09 Ativos Ilíquidos'!O18)</f>
        <v/>
      </c>
      <c r="N875" s="146" t="str">
        <f>IF(C875="","",IF($J$3&gt;0,J875/$J$3,0))</f>
        <v/>
      </c>
      <c r="O875" s="141" t="str">
        <f>IF(C875="","","Manual")</f>
        <v/>
      </c>
      <c r="P875" s="147" t="str">
        <f>IF(C875="","",IF(N(J875)&gt;0,J875+ROW()/1E9,""))</f>
        <v/>
      </c>
      <c r="Q875" s="147" t="str">
        <f>IF(C875="","",IF(N(M875)&gt;0,M875+ROW()/1E9,""))</f>
        <v/>
      </c>
    </row>
    <row r="876">
      <c r="A876" s="134" t="str">
        <f>IF(C876="","","Ativos Ilíquidos")</f>
        <v/>
      </c>
      <c r="B876" s="134" t="str">
        <f>IF(C876="","","Alternativos")</f>
        <v/>
      </c>
      <c r="C876" s="134" t="str">
        <f>IF('09 Ativos Ilíquidos'!A19="","",'09 Ativos Ilíquidos'!A19&amp;"")</f>
        <v/>
      </c>
      <c r="D876" s="134" t="str">
        <f>IF(C876="","",'09 Ativos Ilíquidos'!B19&amp;"")</f>
        <v/>
      </c>
      <c r="E876" s="134" t="str">
        <f>IF(C876="","","Ativos Ilíquidos")</f>
        <v/>
      </c>
      <c r="F876" s="134" t="str">
        <f>IF(C876="","",'09 Ativos Ilíquidos'!Q19)</f>
        <v/>
      </c>
      <c r="G876" s="135" t="n"/>
      <c r="H876" s="136" t="n"/>
      <c r="I876" s="137" t="str">
        <f>IF(C876="","",'09 Ativos Ilíquidos'!F19)</f>
        <v/>
      </c>
      <c r="J876" s="138" t="str">
        <f>IF(C876="","",'09 Ativos Ilíquidos'!H19)</f>
        <v/>
      </c>
      <c r="K876" s="138" t="str">
        <f>IF(C876="","",'09 Ativos Ilíquidos'!N19)</f>
        <v/>
      </c>
      <c r="L876" s="135" t="n"/>
      <c r="M876" s="138" t="str">
        <f>IF(C876="","",'09 Ativos Ilíquidos'!O19)</f>
        <v/>
      </c>
      <c r="N876" s="139" t="str">
        <f>IF(C876="","",IF($J$3&gt;0,J876/$J$3,0))</f>
        <v/>
      </c>
      <c r="O876" s="134" t="str">
        <f>IF(C876="","","Manual")</f>
        <v/>
      </c>
      <c r="P876" s="140" t="str">
        <f>IF(C876="","",IF(N(J876)&gt;0,J876+ROW()/1E9,""))</f>
        <v/>
      </c>
      <c r="Q876" s="140" t="str">
        <f>IF(C876="","",IF(N(M876)&gt;0,M876+ROW()/1E9,""))</f>
        <v/>
      </c>
    </row>
    <row r="877">
      <c r="A877" s="141" t="str">
        <f>IF(C877="","","Ativos Ilíquidos")</f>
        <v/>
      </c>
      <c r="B877" s="141" t="str">
        <f>IF(C877="","","Alternativos")</f>
        <v/>
      </c>
      <c r="C877" s="141" t="str">
        <f>IF('09 Ativos Ilíquidos'!A20="","",'09 Ativos Ilíquidos'!A20&amp;"")</f>
        <v/>
      </c>
      <c r="D877" s="141" t="str">
        <f>IF(C877="","",'09 Ativos Ilíquidos'!B20&amp;"")</f>
        <v/>
      </c>
      <c r="E877" s="141" t="str">
        <f>IF(C877="","","Ativos Ilíquidos")</f>
        <v/>
      </c>
      <c r="F877" s="141" t="str">
        <f>IF(C877="","",'09 Ativos Ilíquidos'!Q20)</f>
        <v/>
      </c>
      <c r="G877" s="142" t="n"/>
      <c r="H877" s="143" t="n"/>
      <c r="I877" s="144" t="str">
        <f>IF(C877="","",'09 Ativos Ilíquidos'!F20)</f>
        <v/>
      </c>
      <c r="J877" s="145" t="str">
        <f>IF(C877="","",'09 Ativos Ilíquidos'!H20)</f>
        <v/>
      </c>
      <c r="K877" s="145" t="str">
        <f>IF(C877="","",'09 Ativos Ilíquidos'!N20)</f>
        <v/>
      </c>
      <c r="L877" s="142" t="n"/>
      <c r="M877" s="145" t="str">
        <f>IF(C877="","",'09 Ativos Ilíquidos'!O20)</f>
        <v/>
      </c>
      <c r="N877" s="146" t="str">
        <f>IF(C877="","",IF($J$3&gt;0,J877/$J$3,0))</f>
        <v/>
      </c>
      <c r="O877" s="141" t="str">
        <f>IF(C877="","","Manual")</f>
        <v/>
      </c>
      <c r="P877" s="147" t="str">
        <f>IF(C877="","",IF(N(J877)&gt;0,J877+ROW()/1E9,""))</f>
        <v/>
      </c>
      <c r="Q877" s="147" t="str">
        <f>IF(C877="","",IF(N(M877)&gt;0,M877+ROW()/1E9,""))</f>
        <v/>
      </c>
    </row>
    <row r="878">
      <c r="A878" s="134" t="str">
        <f>IF(C878="","","Ativos Ilíquidos")</f>
        <v/>
      </c>
      <c r="B878" s="134" t="str">
        <f>IF(C878="","","Alternativos")</f>
        <v/>
      </c>
      <c r="C878" s="134" t="str">
        <f>IF('09 Ativos Ilíquidos'!A21="","",'09 Ativos Ilíquidos'!A21&amp;"")</f>
        <v/>
      </c>
      <c r="D878" s="134" t="str">
        <f>IF(C878="","",'09 Ativos Ilíquidos'!B21&amp;"")</f>
        <v/>
      </c>
      <c r="E878" s="134" t="str">
        <f>IF(C878="","","Ativos Ilíquidos")</f>
        <v/>
      </c>
      <c r="F878" s="134" t="str">
        <f>IF(C878="","",'09 Ativos Ilíquidos'!Q21)</f>
        <v/>
      </c>
      <c r="G878" s="135" t="n"/>
      <c r="H878" s="136" t="n"/>
      <c r="I878" s="137" t="str">
        <f>IF(C878="","",'09 Ativos Ilíquidos'!F21)</f>
        <v/>
      </c>
      <c r="J878" s="138" t="str">
        <f>IF(C878="","",'09 Ativos Ilíquidos'!H21)</f>
        <v/>
      </c>
      <c r="K878" s="138" t="str">
        <f>IF(C878="","",'09 Ativos Ilíquidos'!N21)</f>
        <v/>
      </c>
      <c r="L878" s="135" t="n"/>
      <c r="M878" s="138" t="str">
        <f>IF(C878="","",'09 Ativos Ilíquidos'!O21)</f>
        <v/>
      </c>
      <c r="N878" s="139" t="str">
        <f>IF(C878="","",IF($J$3&gt;0,J878/$J$3,0))</f>
        <v/>
      </c>
      <c r="O878" s="134" t="str">
        <f>IF(C878="","","Manual")</f>
        <v/>
      </c>
      <c r="P878" s="140" t="str">
        <f>IF(C878="","",IF(N(J878)&gt;0,J878+ROW()/1E9,""))</f>
        <v/>
      </c>
      <c r="Q878" s="140" t="str">
        <f>IF(C878="","",IF(N(M878)&gt;0,M878+ROW()/1E9,""))</f>
        <v/>
      </c>
    </row>
    <row r="879">
      <c r="A879" s="141" t="str">
        <f>IF(C879="","","Ativos Ilíquidos")</f>
        <v/>
      </c>
      <c r="B879" s="141" t="str">
        <f>IF(C879="","","Alternativos")</f>
        <v/>
      </c>
      <c r="C879" s="141" t="str">
        <f>IF('09 Ativos Ilíquidos'!A22="","",'09 Ativos Ilíquidos'!A22&amp;"")</f>
        <v/>
      </c>
      <c r="D879" s="141" t="str">
        <f>IF(C879="","",'09 Ativos Ilíquidos'!B22&amp;"")</f>
        <v/>
      </c>
      <c r="E879" s="141" t="str">
        <f>IF(C879="","","Ativos Ilíquidos")</f>
        <v/>
      </c>
      <c r="F879" s="141" t="str">
        <f>IF(C879="","",'09 Ativos Ilíquidos'!Q22)</f>
        <v/>
      </c>
      <c r="G879" s="142" t="n"/>
      <c r="H879" s="143" t="n"/>
      <c r="I879" s="144" t="str">
        <f>IF(C879="","",'09 Ativos Ilíquidos'!F22)</f>
        <v/>
      </c>
      <c r="J879" s="145" t="str">
        <f>IF(C879="","",'09 Ativos Ilíquidos'!H22)</f>
        <v/>
      </c>
      <c r="K879" s="145" t="str">
        <f>IF(C879="","",'09 Ativos Ilíquidos'!N22)</f>
        <v/>
      </c>
      <c r="L879" s="142" t="n"/>
      <c r="M879" s="145" t="str">
        <f>IF(C879="","",'09 Ativos Ilíquidos'!O22)</f>
        <v/>
      </c>
      <c r="N879" s="146" t="str">
        <f>IF(C879="","",IF($J$3&gt;0,J879/$J$3,0))</f>
        <v/>
      </c>
      <c r="O879" s="141" t="str">
        <f>IF(C879="","","Manual")</f>
        <v/>
      </c>
      <c r="P879" s="147" t="str">
        <f>IF(C879="","",IF(N(J879)&gt;0,J879+ROW()/1E9,""))</f>
        <v/>
      </c>
      <c r="Q879" s="147" t="str">
        <f>IF(C879="","",IF(N(M879)&gt;0,M879+ROW()/1E9,""))</f>
        <v/>
      </c>
    </row>
    <row r="880">
      <c r="A880" s="134" t="str">
        <f>IF(C880="","","Ativos Ilíquidos")</f>
        <v/>
      </c>
      <c r="B880" s="134" t="str">
        <f>IF(C880="","","Alternativos")</f>
        <v/>
      </c>
      <c r="C880" s="134" t="str">
        <f>IF('09 Ativos Ilíquidos'!A23="","",'09 Ativos Ilíquidos'!A23&amp;"")</f>
        <v/>
      </c>
      <c r="D880" s="134" t="str">
        <f>IF(C880="","",'09 Ativos Ilíquidos'!B23&amp;"")</f>
        <v/>
      </c>
      <c r="E880" s="134" t="str">
        <f>IF(C880="","","Ativos Ilíquidos")</f>
        <v/>
      </c>
      <c r="F880" s="134" t="str">
        <f>IF(C880="","",'09 Ativos Ilíquidos'!Q23)</f>
        <v/>
      </c>
      <c r="G880" s="135" t="n"/>
      <c r="H880" s="136" t="n"/>
      <c r="I880" s="137" t="str">
        <f>IF(C880="","",'09 Ativos Ilíquidos'!F23)</f>
        <v/>
      </c>
      <c r="J880" s="138" t="str">
        <f>IF(C880="","",'09 Ativos Ilíquidos'!H23)</f>
        <v/>
      </c>
      <c r="K880" s="138" t="str">
        <f>IF(C880="","",'09 Ativos Ilíquidos'!N23)</f>
        <v/>
      </c>
      <c r="L880" s="135" t="n"/>
      <c r="M880" s="138" t="str">
        <f>IF(C880="","",'09 Ativos Ilíquidos'!O23)</f>
        <v/>
      </c>
      <c r="N880" s="139" t="str">
        <f>IF(C880="","",IF($J$3&gt;0,J880/$J$3,0))</f>
        <v/>
      </c>
      <c r="O880" s="134" t="str">
        <f>IF(C880="","","Manual")</f>
        <v/>
      </c>
      <c r="P880" s="140" t="str">
        <f>IF(C880="","",IF(N(J880)&gt;0,J880+ROW()/1E9,""))</f>
        <v/>
      </c>
      <c r="Q880" s="140" t="str">
        <f>IF(C880="","",IF(N(M880)&gt;0,M880+ROW()/1E9,""))</f>
        <v/>
      </c>
    </row>
    <row r="881">
      <c r="A881" s="141" t="str">
        <f>IF(C881="","","Ativos Ilíquidos")</f>
        <v/>
      </c>
      <c r="B881" s="141" t="str">
        <f>IF(C881="","","Alternativos")</f>
        <v/>
      </c>
      <c r="C881" s="141" t="str">
        <f>IF('09 Ativos Ilíquidos'!A24="","",'09 Ativos Ilíquidos'!A24&amp;"")</f>
        <v/>
      </c>
      <c r="D881" s="141" t="str">
        <f>IF(C881="","",'09 Ativos Ilíquidos'!B24&amp;"")</f>
        <v/>
      </c>
      <c r="E881" s="141" t="str">
        <f>IF(C881="","","Ativos Ilíquidos")</f>
        <v/>
      </c>
      <c r="F881" s="141" t="str">
        <f>IF(C881="","",'09 Ativos Ilíquidos'!Q24)</f>
        <v/>
      </c>
      <c r="G881" s="142" t="n"/>
      <c r="H881" s="143" t="n"/>
      <c r="I881" s="144" t="str">
        <f>IF(C881="","",'09 Ativos Ilíquidos'!F24)</f>
        <v/>
      </c>
      <c r="J881" s="145" t="str">
        <f>IF(C881="","",'09 Ativos Ilíquidos'!H24)</f>
        <v/>
      </c>
      <c r="K881" s="145" t="str">
        <f>IF(C881="","",'09 Ativos Ilíquidos'!N24)</f>
        <v/>
      </c>
      <c r="L881" s="142" t="n"/>
      <c r="M881" s="145" t="str">
        <f>IF(C881="","",'09 Ativos Ilíquidos'!O24)</f>
        <v/>
      </c>
      <c r="N881" s="146" t="str">
        <f>IF(C881="","",IF($J$3&gt;0,J881/$J$3,0))</f>
        <v/>
      </c>
      <c r="O881" s="141" t="str">
        <f>IF(C881="","","Manual")</f>
        <v/>
      </c>
      <c r="P881" s="147" t="str">
        <f>IF(C881="","",IF(N(J881)&gt;0,J881+ROW()/1E9,""))</f>
        <v/>
      </c>
      <c r="Q881" s="147" t="str">
        <f>IF(C881="","",IF(N(M881)&gt;0,M881+ROW()/1E9,""))</f>
        <v/>
      </c>
    </row>
    <row r="882">
      <c r="A882" s="134" t="str">
        <f>IF(C882="","","Ativos Ilíquidos")</f>
        <v/>
      </c>
      <c r="B882" s="134" t="str">
        <f>IF(C882="","","Alternativos")</f>
        <v/>
      </c>
      <c r="C882" s="134" t="str">
        <f>IF('09 Ativos Ilíquidos'!A25="","",'09 Ativos Ilíquidos'!A25&amp;"")</f>
        <v/>
      </c>
      <c r="D882" s="134" t="str">
        <f>IF(C882="","",'09 Ativos Ilíquidos'!B25&amp;"")</f>
        <v/>
      </c>
      <c r="E882" s="134" t="str">
        <f>IF(C882="","","Ativos Ilíquidos")</f>
        <v/>
      </c>
      <c r="F882" s="134" t="str">
        <f>IF(C882="","",'09 Ativos Ilíquidos'!Q25)</f>
        <v/>
      </c>
      <c r="G882" s="135" t="n"/>
      <c r="H882" s="136" t="n"/>
      <c r="I882" s="137" t="str">
        <f>IF(C882="","",'09 Ativos Ilíquidos'!F25)</f>
        <v/>
      </c>
      <c r="J882" s="138" t="str">
        <f>IF(C882="","",'09 Ativos Ilíquidos'!H25)</f>
        <v/>
      </c>
      <c r="K882" s="138" t="str">
        <f>IF(C882="","",'09 Ativos Ilíquidos'!N25)</f>
        <v/>
      </c>
      <c r="L882" s="135" t="n"/>
      <c r="M882" s="138" t="str">
        <f>IF(C882="","",'09 Ativos Ilíquidos'!O25)</f>
        <v/>
      </c>
      <c r="N882" s="139" t="str">
        <f>IF(C882="","",IF($J$3&gt;0,J882/$J$3,0))</f>
        <v/>
      </c>
      <c r="O882" s="134" t="str">
        <f>IF(C882="","","Manual")</f>
        <v/>
      </c>
      <c r="P882" s="140" t="str">
        <f>IF(C882="","",IF(N(J882)&gt;0,J882+ROW()/1E9,""))</f>
        <v/>
      </c>
      <c r="Q882" s="140" t="str">
        <f>IF(C882="","",IF(N(M882)&gt;0,M882+ROW()/1E9,""))</f>
        <v/>
      </c>
    </row>
    <row r="883">
      <c r="A883" s="141" t="str">
        <f>IF(C883="","","Ativos Ilíquidos")</f>
        <v/>
      </c>
      <c r="B883" s="141" t="str">
        <f>IF(C883="","","Alternativos")</f>
        <v/>
      </c>
      <c r="C883" s="141" t="str">
        <f>IF('09 Ativos Ilíquidos'!A26="","",'09 Ativos Ilíquidos'!A26&amp;"")</f>
        <v/>
      </c>
      <c r="D883" s="141" t="str">
        <f>IF(C883="","",'09 Ativos Ilíquidos'!B26&amp;"")</f>
        <v/>
      </c>
      <c r="E883" s="141" t="str">
        <f>IF(C883="","","Ativos Ilíquidos")</f>
        <v/>
      </c>
      <c r="F883" s="141" t="str">
        <f>IF(C883="","",'09 Ativos Ilíquidos'!Q26)</f>
        <v/>
      </c>
      <c r="G883" s="142" t="n"/>
      <c r="H883" s="143" t="n"/>
      <c r="I883" s="144" t="str">
        <f>IF(C883="","",'09 Ativos Ilíquidos'!F26)</f>
        <v/>
      </c>
      <c r="J883" s="145" t="str">
        <f>IF(C883="","",'09 Ativos Ilíquidos'!H26)</f>
        <v/>
      </c>
      <c r="K883" s="145" t="str">
        <f>IF(C883="","",'09 Ativos Ilíquidos'!N26)</f>
        <v/>
      </c>
      <c r="L883" s="142" t="n"/>
      <c r="M883" s="145" t="str">
        <f>IF(C883="","",'09 Ativos Ilíquidos'!O26)</f>
        <v/>
      </c>
      <c r="N883" s="146" t="str">
        <f>IF(C883="","",IF($J$3&gt;0,J883/$J$3,0))</f>
        <v/>
      </c>
      <c r="O883" s="141" t="str">
        <f>IF(C883="","","Manual")</f>
        <v/>
      </c>
      <c r="P883" s="147" t="str">
        <f>IF(C883="","",IF(N(J883)&gt;0,J883+ROW()/1E9,""))</f>
        <v/>
      </c>
      <c r="Q883" s="147" t="str">
        <f>IF(C883="","",IF(N(M883)&gt;0,M883+ROW()/1E9,""))</f>
        <v/>
      </c>
    </row>
    <row r="884">
      <c r="A884" s="134" t="str">
        <f>IF(C884="","","Ativos Ilíquidos")</f>
        <v/>
      </c>
      <c r="B884" s="134" t="str">
        <f>IF(C884="","","Alternativos")</f>
        <v/>
      </c>
      <c r="C884" s="134" t="str">
        <f>IF('09 Ativos Ilíquidos'!A27="","",'09 Ativos Ilíquidos'!A27&amp;"")</f>
        <v/>
      </c>
      <c r="D884" s="134" t="str">
        <f>IF(C884="","",'09 Ativos Ilíquidos'!B27&amp;"")</f>
        <v/>
      </c>
      <c r="E884" s="134" t="str">
        <f>IF(C884="","","Ativos Ilíquidos")</f>
        <v/>
      </c>
      <c r="F884" s="134" t="str">
        <f>IF(C884="","",'09 Ativos Ilíquidos'!Q27)</f>
        <v/>
      </c>
      <c r="G884" s="135" t="n"/>
      <c r="H884" s="136" t="n"/>
      <c r="I884" s="137" t="str">
        <f>IF(C884="","",'09 Ativos Ilíquidos'!F27)</f>
        <v/>
      </c>
      <c r="J884" s="138" t="str">
        <f>IF(C884="","",'09 Ativos Ilíquidos'!H27)</f>
        <v/>
      </c>
      <c r="K884" s="138" t="str">
        <f>IF(C884="","",'09 Ativos Ilíquidos'!N27)</f>
        <v/>
      </c>
      <c r="L884" s="135" t="n"/>
      <c r="M884" s="138" t="str">
        <f>IF(C884="","",'09 Ativos Ilíquidos'!O27)</f>
        <v/>
      </c>
      <c r="N884" s="139" t="str">
        <f>IF(C884="","",IF($J$3&gt;0,J884/$J$3,0))</f>
        <v/>
      </c>
      <c r="O884" s="134" t="str">
        <f>IF(C884="","","Manual")</f>
        <v/>
      </c>
      <c r="P884" s="140" t="str">
        <f>IF(C884="","",IF(N(J884)&gt;0,J884+ROW()/1E9,""))</f>
        <v/>
      </c>
      <c r="Q884" s="140" t="str">
        <f>IF(C884="","",IF(N(M884)&gt;0,M884+ROW()/1E9,""))</f>
        <v/>
      </c>
    </row>
    <row r="885">
      <c r="A885" s="141" t="str">
        <f>IF(C885="","","Ativos Ilíquidos")</f>
        <v/>
      </c>
      <c r="B885" s="141" t="str">
        <f>IF(C885="","","Alternativos")</f>
        <v/>
      </c>
      <c r="C885" s="141" t="str">
        <f>IF('09 Ativos Ilíquidos'!A28="","",'09 Ativos Ilíquidos'!A28&amp;"")</f>
        <v/>
      </c>
      <c r="D885" s="141" t="str">
        <f>IF(C885="","",'09 Ativos Ilíquidos'!B28&amp;"")</f>
        <v/>
      </c>
      <c r="E885" s="141" t="str">
        <f>IF(C885="","","Ativos Ilíquidos")</f>
        <v/>
      </c>
      <c r="F885" s="141" t="str">
        <f>IF(C885="","",'09 Ativos Ilíquidos'!Q28)</f>
        <v/>
      </c>
      <c r="G885" s="142" t="n"/>
      <c r="H885" s="143" t="n"/>
      <c r="I885" s="144" t="str">
        <f>IF(C885="","",'09 Ativos Ilíquidos'!F28)</f>
        <v/>
      </c>
      <c r="J885" s="145" t="str">
        <f>IF(C885="","",'09 Ativos Ilíquidos'!H28)</f>
        <v/>
      </c>
      <c r="K885" s="145" t="str">
        <f>IF(C885="","",'09 Ativos Ilíquidos'!N28)</f>
        <v/>
      </c>
      <c r="L885" s="142" t="n"/>
      <c r="M885" s="145" t="str">
        <f>IF(C885="","",'09 Ativos Ilíquidos'!O28)</f>
        <v/>
      </c>
      <c r="N885" s="146" t="str">
        <f>IF(C885="","",IF($J$3&gt;0,J885/$J$3,0))</f>
        <v/>
      </c>
      <c r="O885" s="141" t="str">
        <f>IF(C885="","","Manual")</f>
        <v/>
      </c>
      <c r="P885" s="147" t="str">
        <f>IF(C885="","",IF(N(J885)&gt;0,J885+ROW()/1E9,""))</f>
        <v/>
      </c>
      <c r="Q885" s="147" t="str">
        <f>IF(C885="","",IF(N(M885)&gt;0,M885+ROW()/1E9,""))</f>
        <v/>
      </c>
    </row>
    <row r="886">
      <c r="A886" s="134" t="str">
        <f>IF(C886="","","Ativos Ilíquidos")</f>
        <v/>
      </c>
      <c r="B886" s="134" t="str">
        <f>IF(C886="","","Alternativos")</f>
        <v/>
      </c>
      <c r="C886" s="134" t="str">
        <f>IF('09 Ativos Ilíquidos'!A29="","",'09 Ativos Ilíquidos'!A29&amp;"")</f>
        <v/>
      </c>
      <c r="D886" s="134" t="str">
        <f>IF(C886="","",'09 Ativos Ilíquidos'!B29&amp;"")</f>
        <v/>
      </c>
      <c r="E886" s="134" t="str">
        <f>IF(C886="","","Ativos Ilíquidos")</f>
        <v/>
      </c>
      <c r="F886" s="134" t="str">
        <f>IF(C886="","",'09 Ativos Ilíquidos'!Q29)</f>
        <v/>
      </c>
      <c r="G886" s="135" t="n"/>
      <c r="H886" s="136" t="n"/>
      <c r="I886" s="137" t="str">
        <f>IF(C886="","",'09 Ativos Ilíquidos'!F29)</f>
        <v/>
      </c>
      <c r="J886" s="138" t="str">
        <f>IF(C886="","",'09 Ativos Ilíquidos'!H29)</f>
        <v/>
      </c>
      <c r="K886" s="138" t="str">
        <f>IF(C886="","",'09 Ativos Ilíquidos'!N29)</f>
        <v/>
      </c>
      <c r="L886" s="135" t="n"/>
      <c r="M886" s="138" t="str">
        <f>IF(C886="","",'09 Ativos Ilíquidos'!O29)</f>
        <v/>
      </c>
      <c r="N886" s="139" t="str">
        <f>IF(C886="","",IF($J$3&gt;0,J886/$J$3,0))</f>
        <v/>
      </c>
      <c r="O886" s="134" t="str">
        <f>IF(C886="","","Manual")</f>
        <v/>
      </c>
      <c r="P886" s="140" t="str">
        <f>IF(C886="","",IF(N(J886)&gt;0,J886+ROW()/1E9,""))</f>
        <v/>
      </c>
      <c r="Q886" s="140" t="str">
        <f>IF(C886="","",IF(N(M886)&gt;0,M886+ROW()/1E9,""))</f>
        <v/>
      </c>
    </row>
    <row r="887">
      <c r="A887" s="141" t="str">
        <f>IF(C887="","","Ativos Ilíquidos")</f>
        <v/>
      </c>
      <c r="B887" s="141" t="str">
        <f>IF(C887="","","Alternativos")</f>
        <v/>
      </c>
      <c r="C887" s="141" t="str">
        <f>IF('09 Ativos Ilíquidos'!A30="","",'09 Ativos Ilíquidos'!A30&amp;"")</f>
        <v/>
      </c>
      <c r="D887" s="141" t="str">
        <f>IF(C887="","",'09 Ativos Ilíquidos'!B30&amp;"")</f>
        <v/>
      </c>
      <c r="E887" s="141" t="str">
        <f>IF(C887="","","Ativos Ilíquidos")</f>
        <v/>
      </c>
      <c r="F887" s="141" t="str">
        <f>IF(C887="","",'09 Ativos Ilíquidos'!Q30)</f>
        <v/>
      </c>
      <c r="G887" s="142" t="n"/>
      <c r="H887" s="143" t="n"/>
      <c r="I887" s="144" t="str">
        <f>IF(C887="","",'09 Ativos Ilíquidos'!F30)</f>
        <v/>
      </c>
      <c r="J887" s="145" t="str">
        <f>IF(C887="","",'09 Ativos Ilíquidos'!H30)</f>
        <v/>
      </c>
      <c r="K887" s="145" t="str">
        <f>IF(C887="","",'09 Ativos Ilíquidos'!N30)</f>
        <v/>
      </c>
      <c r="L887" s="142" t="n"/>
      <c r="M887" s="145" t="str">
        <f>IF(C887="","",'09 Ativos Ilíquidos'!O30)</f>
        <v/>
      </c>
      <c r="N887" s="146" t="str">
        <f>IF(C887="","",IF($J$3&gt;0,J887/$J$3,0))</f>
        <v/>
      </c>
      <c r="O887" s="141" t="str">
        <f>IF(C887="","","Manual")</f>
        <v/>
      </c>
      <c r="P887" s="147" t="str">
        <f>IF(C887="","",IF(N(J887)&gt;0,J887+ROW()/1E9,""))</f>
        <v/>
      </c>
      <c r="Q887" s="147" t="str">
        <f>IF(C887="","",IF(N(M887)&gt;0,M887+ROW()/1E9,""))</f>
        <v/>
      </c>
    </row>
    <row r="888">
      <c r="A888" s="134" t="str">
        <f>IF(C888="","","Ativos Ilíquidos")</f>
        <v/>
      </c>
      <c r="B888" s="134" t="str">
        <f>IF(C888="","","Alternativos")</f>
        <v/>
      </c>
      <c r="C888" s="134" t="str">
        <f>IF('09 Ativos Ilíquidos'!A31="","",'09 Ativos Ilíquidos'!A31&amp;"")</f>
        <v/>
      </c>
      <c r="D888" s="134" t="str">
        <f>IF(C888="","",'09 Ativos Ilíquidos'!B31&amp;"")</f>
        <v/>
      </c>
      <c r="E888" s="134" t="str">
        <f>IF(C888="","","Ativos Ilíquidos")</f>
        <v/>
      </c>
      <c r="F888" s="134" t="str">
        <f>IF(C888="","",'09 Ativos Ilíquidos'!Q31)</f>
        <v/>
      </c>
      <c r="G888" s="135" t="n"/>
      <c r="H888" s="136" t="n"/>
      <c r="I888" s="137" t="str">
        <f>IF(C888="","",'09 Ativos Ilíquidos'!F31)</f>
        <v/>
      </c>
      <c r="J888" s="138" t="str">
        <f>IF(C888="","",'09 Ativos Ilíquidos'!H31)</f>
        <v/>
      </c>
      <c r="K888" s="138" t="str">
        <f>IF(C888="","",'09 Ativos Ilíquidos'!N31)</f>
        <v/>
      </c>
      <c r="L888" s="135" t="n"/>
      <c r="M888" s="138" t="str">
        <f>IF(C888="","",'09 Ativos Ilíquidos'!O31)</f>
        <v/>
      </c>
      <c r="N888" s="139" t="str">
        <f>IF(C888="","",IF($J$3&gt;0,J888/$J$3,0))</f>
        <v/>
      </c>
      <c r="O888" s="134" t="str">
        <f>IF(C888="","","Manual")</f>
        <v/>
      </c>
      <c r="P888" s="140" t="str">
        <f>IF(C888="","",IF(N(J888)&gt;0,J888+ROW()/1E9,""))</f>
        <v/>
      </c>
      <c r="Q888" s="140" t="str">
        <f>IF(C888="","",IF(N(M888)&gt;0,M888+ROW()/1E9,""))</f>
        <v/>
      </c>
    </row>
    <row r="889">
      <c r="A889" s="141" t="str">
        <f>IF(C889="","","Ativos Ilíquidos")</f>
        <v/>
      </c>
      <c r="B889" s="141" t="str">
        <f>IF(C889="","","Alternativos")</f>
        <v/>
      </c>
      <c r="C889" s="141" t="str">
        <f>IF('09 Ativos Ilíquidos'!A32="","",'09 Ativos Ilíquidos'!A32&amp;"")</f>
        <v/>
      </c>
      <c r="D889" s="141" t="str">
        <f>IF(C889="","",'09 Ativos Ilíquidos'!B32&amp;"")</f>
        <v/>
      </c>
      <c r="E889" s="141" t="str">
        <f>IF(C889="","","Ativos Ilíquidos")</f>
        <v/>
      </c>
      <c r="F889" s="141" t="str">
        <f>IF(C889="","",'09 Ativos Ilíquidos'!Q32)</f>
        <v/>
      </c>
      <c r="G889" s="142" t="n"/>
      <c r="H889" s="143" t="n"/>
      <c r="I889" s="144" t="str">
        <f>IF(C889="","",'09 Ativos Ilíquidos'!F32)</f>
        <v/>
      </c>
      <c r="J889" s="145" t="str">
        <f>IF(C889="","",'09 Ativos Ilíquidos'!H32)</f>
        <v/>
      </c>
      <c r="K889" s="145" t="str">
        <f>IF(C889="","",'09 Ativos Ilíquidos'!N32)</f>
        <v/>
      </c>
      <c r="L889" s="142" t="n"/>
      <c r="M889" s="145" t="str">
        <f>IF(C889="","",'09 Ativos Ilíquidos'!O32)</f>
        <v/>
      </c>
      <c r="N889" s="146" t="str">
        <f>IF(C889="","",IF($J$3&gt;0,J889/$J$3,0))</f>
        <v/>
      </c>
      <c r="O889" s="141" t="str">
        <f>IF(C889="","","Manual")</f>
        <v/>
      </c>
      <c r="P889" s="147" t="str">
        <f>IF(C889="","",IF(N(J889)&gt;0,J889+ROW()/1E9,""))</f>
        <v/>
      </c>
      <c r="Q889" s="147" t="str">
        <f>IF(C889="","",IF(N(M889)&gt;0,M889+ROW()/1E9,""))</f>
        <v/>
      </c>
    </row>
    <row r="890">
      <c r="A890" s="134" t="str">
        <f>IF(C890="","","Ativos Ilíquidos")</f>
        <v/>
      </c>
      <c r="B890" s="134" t="str">
        <f>IF(C890="","","Alternativos")</f>
        <v/>
      </c>
      <c r="C890" s="134" t="str">
        <f>IF('09 Ativos Ilíquidos'!A33="","",'09 Ativos Ilíquidos'!A33&amp;"")</f>
        <v/>
      </c>
      <c r="D890" s="134" t="str">
        <f>IF(C890="","",'09 Ativos Ilíquidos'!B33&amp;"")</f>
        <v/>
      </c>
      <c r="E890" s="134" t="str">
        <f>IF(C890="","","Ativos Ilíquidos")</f>
        <v/>
      </c>
      <c r="F890" s="134" t="str">
        <f>IF(C890="","",'09 Ativos Ilíquidos'!Q33)</f>
        <v/>
      </c>
      <c r="G890" s="135" t="n"/>
      <c r="H890" s="136" t="n"/>
      <c r="I890" s="137" t="str">
        <f>IF(C890="","",'09 Ativos Ilíquidos'!F33)</f>
        <v/>
      </c>
      <c r="J890" s="138" t="str">
        <f>IF(C890="","",'09 Ativos Ilíquidos'!H33)</f>
        <v/>
      </c>
      <c r="K890" s="138" t="str">
        <f>IF(C890="","",'09 Ativos Ilíquidos'!N33)</f>
        <v/>
      </c>
      <c r="L890" s="135" t="n"/>
      <c r="M890" s="138" t="str">
        <f>IF(C890="","",'09 Ativos Ilíquidos'!O33)</f>
        <v/>
      </c>
      <c r="N890" s="139" t="str">
        <f>IF(C890="","",IF($J$3&gt;0,J890/$J$3,0))</f>
        <v/>
      </c>
      <c r="O890" s="134" t="str">
        <f>IF(C890="","","Manual")</f>
        <v/>
      </c>
      <c r="P890" s="140" t="str">
        <f>IF(C890="","",IF(N(J890)&gt;0,J890+ROW()/1E9,""))</f>
        <v/>
      </c>
      <c r="Q890" s="140" t="str">
        <f>IF(C890="","",IF(N(M890)&gt;0,M890+ROW()/1E9,""))</f>
        <v/>
      </c>
    </row>
    <row r="891">
      <c r="A891" s="141" t="str">
        <f>IF(C891="","","Ativos Ilíquidos")</f>
        <v/>
      </c>
      <c r="B891" s="141" t="str">
        <f>IF(C891="","","Alternativos")</f>
        <v/>
      </c>
      <c r="C891" s="141" t="str">
        <f>IF('09 Ativos Ilíquidos'!A34="","",'09 Ativos Ilíquidos'!A34&amp;"")</f>
        <v/>
      </c>
      <c r="D891" s="141" t="str">
        <f>IF(C891="","",'09 Ativos Ilíquidos'!B34&amp;"")</f>
        <v/>
      </c>
      <c r="E891" s="141" t="str">
        <f>IF(C891="","","Ativos Ilíquidos")</f>
        <v/>
      </c>
      <c r="F891" s="141" t="str">
        <f>IF(C891="","",'09 Ativos Ilíquidos'!Q34)</f>
        <v/>
      </c>
      <c r="G891" s="142" t="n"/>
      <c r="H891" s="143" t="n"/>
      <c r="I891" s="144" t="str">
        <f>IF(C891="","",'09 Ativos Ilíquidos'!F34)</f>
        <v/>
      </c>
      <c r="J891" s="145" t="str">
        <f>IF(C891="","",'09 Ativos Ilíquidos'!H34)</f>
        <v/>
      </c>
      <c r="K891" s="145" t="str">
        <f>IF(C891="","",'09 Ativos Ilíquidos'!N34)</f>
        <v/>
      </c>
      <c r="L891" s="142" t="n"/>
      <c r="M891" s="145" t="str">
        <f>IF(C891="","",'09 Ativos Ilíquidos'!O34)</f>
        <v/>
      </c>
      <c r="N891" s="146" t="str">
        <f>IF(C891="","",IF($J$3&gt;0,J891/$J$3,0))</f>
        <v/>
      </c>
      <c r="O891" s="141" t="str">
        <f>IF(C891="","","Manual")</f>
        <v/>
      </c>
      <c r="P891" s="147" t="str">
        <f>IF(C891="","",IF(N(J891)&gt;0,J891+ROW()/1E9,""))</f>
        <v/>
      </c>
      <c r="Q891" s="147" t="str">
        <f>IF(C891="","",IF(N(M891)&gt;0,M891+ROW()/1E9,""))</f>
        <v/>
      </c>
    </row>
    <row r="892">
      <c r="A892" s="134" t="str">
        <f>IF(C892="","","Ativos Ilíquidos")</f>
        <v/>
      </c>
      <c r="B892" s="134" t="str">
        <f>IF(C892="","","Alternativos")</f>
        <v/>
      </c>
      <c r="C892" s="134" t="str">
        <f>IF('09 Ativos Ilíquidos'!A35="","",'09 Ativos Ilíquidos'!A35&amp;"")</f>
        <v/>
      </c>
      <c r="D892" s="134" t="str">
        <f>IF(C892="","",'09 Ativos Ilíquidos'!B35&amp;"")</f>
        <v/>
      </c>
      <c r="E892" s="134" t="str">
        <f>IF(C892="","","Ativos Ilíquidos")</f>
        <v/>
      </c>
      <c r="F892" s="134" t="str">
        <f>IF(C892="","",'09 Ativos Ilíquidos'!Q35)</f>
        <v/>
      </c>
      <c r="G892" s="135" t="n"/>
      <c r="H892" s="136" t="n"/>
      <c r="I892" s="137" t="str">
        <f>IF(C892="","",'09 Ativos Ilíquidos'!F35)</f>
        <v/>
      </c>
      <c r="J892" s="138" t="str">
        <f>IF(C892="","",'09 Ativos Ilíquidos'!H35)</f>
        <v/>
      </c>
      <c r="K892" s="138" t="str">
        <f>IF(C892="","",'09 Ativos Ilíquidos'!N35)</f>
        <v/>
      </c>
      <c r="L892" s="135" t="n"/>
      <c r="M892" s="138" t="str">
        <f>IF(C892="","",'09 Ativos Ilíquidos'!O35)</f>
        <v/>
      </c>
      <c r="N892" s="139" t="str">
        <f>IF(C892="","",IF($J$3&gt;0,J892/$J$3,0))</f>
        <v/>
      </c>
      <c r="O892" s="134" t="str">
        <f>IF(C892="","","Manual")</f>
        <v/>
      </c>
      <c r="P892" s="140" t="str">
        <f>IF(C892="","",IF(N(J892)&gt;0,J892+ROW()/1E9,""))</f>
        <v/>
      </c>
      <c r="Q892" s="140" t="str">
        <f>IF(C892="","",IF(N(M892)&gt;0,M892+ROW()/1E9,""))</f>
        <v/>
      </c>
    </row>
    <row r="893">
      <c r="A893" s="141" t="str">
        <f>IF(C893="","","Ativos Ilíquidos")</f>
        <v/>
      </c>
      <c r="B893" s="141" t="str">
        <f>IF(C893="","","Alternativos")</f>
        <v/>
      </c>
      <c r="C893" s="141" t="str">
        <f>IF('09 Ativos Ilíquidos'!A36="","",'09 Ativos Ilíquidos'!A36&amp;"")</f>
        <v/>
      </c>
      <c r="D893" s="141" t="str">
        <f>IF(C893="","",'09 Ativos Ilíquidos'!B36&amp;"")</f>
        <v/>
      </c>
      <c r="E893" s="141" t="str">
        <f>IF(C893="","","Ativos Ilíquidos")</f>
        <v/>
      </c>
      <c r="F893" s="141" t="str">
        <f>IF(C893="","",'09 Ativos Ilíquidos'!Q36)</f>
        <v/>
      </c>
      <c r="G893" s="142" t="n"/>
      <c r="H893" s="143" t="n"/>
      <c r="I893" s="144" t="str">
        <f>IF(C893="","",'09 Ativos Ilíquidos'!F36)</f>
        <v/>
      </c>
      <c r="J893" s="145" t="str">
        <f>IF(C893="","",'09 Ativos Ilíquidos'!H36)</f>
        <v/>
      </c>
      <c r="K893" s="145" t="str">
        <f>IF(C893="","",'09 Ativos Ilíquidos'!N36)</f>
        <v/>
      </c>
      <c r="L893" s="142" t="n"/>
      <c r="M893" s="145" t="str">
        <f>IF(C893="","",'09 Ativos Ilíquidos'!O36)</f>
        <v/>
      </c>
      <c r="N893" s="146" t="str">
        <f>IF(C893="","",IF($J$3&gt;0,J893/$J$3,0))</f>
        <v/>
      </c>
      <c r="O893" s="141" t="str">
        <f>IF(C893="","","Manual")</f>
        <v/>
      </c>
      <c r="P893" s="147" t="str">
        <f>IF(C893="","",IF(N(J893)&gt;0,J893+ROW()/1E9,""))</f>
        <v/>
      </c>
      <c r="Q893" s="147" t="str">
        <f>IF(C893="","",IF(N(M893)&gt;0,M893+ROW()/1E9,""))</f>
        <v/>
      </c>
    </row>
    <row r="894">
      <c r="A894" s="134" t="str">
        <f>IF(C894="","","Ativos Ilíquidos")</f>
        <v/>
      </c>
      <c r="B894" s="134" t="str">
        <f>IF(C894="","","Alternativos")</f>
        <v/>
      </c>
      <c r="C894" s="134" t="str">
        <f>IF('09 Ativos Ilíquidos'!A37="","",'09 Ativos Ilíquidos'!A37&amp;"")</f>
        <v/>
      </c>
      <c r="D894" s="134" t="str">
        <f>IF(C894="","",'09 Ativos Ilíquidos'!B37&amp;"")</f>
        <v/>
      </c>
      <c r="E894" s="134" t="str">
        <f>IF(C894="","","Ativos Ilíquidos")</f>
        <v/>
      </c>
      <c r="F894" s="134" t="str">
        <f>IF(C894="","",'09 Ativos Ilíquidos'!Q37)</f>
        <v/>
      </c>
      <c r="G894" s="135" t="n"/>
      <c r="H894" s="136" t="n"/>
      <c r="I894" s="137" t="str">
        <f>IF(C894="","",'09 Ativos Ilíquidos'!F37)</f>
        <v/>
      </c>
      <c r="J894" s="138" t="str">
        <f>IF(C894="","",'09 Ativos Ilíquidos'!H37)</f>
        <v/>
      </c>
      <c r="K894" s="138" t="str">
        <f>IF(C894="","",'09 Ativos Ilíquidos'!N37)</f>
        <v/>
      </c>
      <c r="L894" s="135" t="n"/>
      <c r="M894" s="138" t="str">
        <f>IF(C894="","",'09 Ativos Ilíquidos'!O37)</f>
        <v/>
      </c>
      <c r="N894" s="139" t="str">
        <f>IF(C894="","",IF($J$3&gt;0,J894/$J$3,0))</f>
        <v/>
      </c>
      <c r="O894" s="134" t="str">
        <f>IF(C894="","","Manual")</f>
        <v/>
      </c>
      <c r="P894" s="140" t="str">
        <f>IF(C894="","",IF(N(J894)&gt;0,J894+ROW()/1E9,""))</f>
        <v/>
      </c>
      <c r="Q894" s="140" t="str">
        <f>IF(C894="","",IF(N(M894)&gt;0,M894+ROW()/1E9,""))</f>
        <v/>
      </c>
    </row>
    <row r="895">
      <c r="A895" s="141" t="str">
        <f>IF(C895="","","Ativos Ilíquidos")</f>
        <v/>
      </c>
      <c r="B895" s="141" t="str">
        <f>IF(C895="","","Alternativos")</f>
        <v/>
      </c>
      <c r="C895" s="141" t="str">
        <f>IF('09 Ativos Ilíquidos'!A38="","",'09 Ativos Ilíquidos'!A38&amp;"")</f>
        <v/>
      </c>
      <c r="D895" s="141" t="str">
        <f>IF(C895="","",'09 Ativos Ilíquidos'!B38&amp;"")</f>
        <v/>
      </c>
      <c r="E895" s="141" t="str">
        <f>IF(C895="","","Ativos Ilíquidos")</f>
        <v/>
      </c>
      <c r="F895" s="141" t="str">
        <f>IF(C895="","",'09 Ativos Ilíquidos'!Q38)</f>
        <v/>
      </c>
      <c r="G895" s="142" t="n"/>
      <c r="H895" s="143" t="n"/>
      <c r="I895" s="144" t="str">
        <f>IF(C895="","",'09 Ativos Ilíquidos'!F38)</f>
        <v/>
      </c>
      <c r="J895" s="145" t="str">
        <f>IF(C895="","",'09 Ativos Ilíquidos'!H38)</f>
        <v/>
      </c>
      <c r="K895" s="145" t="str">
        <f>IF(C895="","",'09 Ativos Ilíquidos'!N38)</f>
        <v/>
      </c>
      <c r="L895" s="142" t="n"/>
      <c r="M895" s="145" t="str">
        <f>IF(C895="","",'09 Ativos Ilíquidos'!O38)</f>
        <v/>
      </c>
      <c r="N895" s="146" t="str">
        <f>IF(C895="","",IF($J$3&gt;0,J895/$J$3,0))</f>
        <v/>
      </c>
      <c r="O895" s="141" t="str">
        <f>IF(C895="","","Manual")</f>
        <v/>
      </c>
      <c r="P895" s="147" t="str">
        <f>IF(C895="","",IF(N(J895)&gt;0,J895+ROW()/1E9,""))</f>
        <v/>
      </c>
      <c r="Q895" s="147" t="str">
        <f>IF(C895="","",IF(N(M895)&gt;0,M895+ROW()/1E9,""))</f>
        <v/>
      </c>
    </row>
    <row r="896">
      <c r="A896" s="134" t="str">
        <f>IF(C896="","","Ativos Ilíquidos")</f>
        <v/>
      </c>
      <c r="B896" s="134" t="str">
        <f>IF(C896="","","Alternativos")</f>
        <v/>
      </c>
      <c r="C896" s="134" t="str">
        <f>IF('09 Ativos Ilíquidos'!A39="","",'09 Ativos Ilíquidos'!A39&amp;"")</f>
        <v/>
      </c>
      <c r="D896" s="134" t="str">
        <f>IF(C896="","",'09 Ativos Ilíquidos'!B39&amp;"")</f>
        <v/>
      </c>
      <c r="E896" s="134" t="str">
        <f>IF(C896="","","Ativos Ilíquidos")</f>
        <v/>
      </c>
      <c r="F896" s="134" t="str">
        <f>IF(C896="","",'09 Ativos Ilíquidos'!Q39)</f>
        <v/>
      </c>
      <c r="G896" s="135" t="n"/>
      <c r="H896" s="136" t="n"/>
      <c r="I896" s="137" t="str">
        <f>IF(C896="","",'09 Ativos Ilíquidos'!F39)</f>
        <v/>
      </c>
      <c r="J896" s="138" t="str">
        <f>IF(C896="","",'09 Ativos Ilíquidos'!H39)</f>
        <v/>
      </c>
      <c r="K896" s="138" t="str">
        <f>IF(C896="","",'09 Ativos Ilíquidos'!N39)</f>
        <v/>
      </c>
      <c r="L896" s="135" t="n"/>
      <c r="M896" s="138" t="str">
        <f>IF(C896="","",'09 Ativos Ilíquidos'!O39)</f>
        <v/>
      </c>
      <c r="N896" s="139" t="str">
        <f>IF(C896="","",IF($J$3&gt;0,J896/$J$3,0))</f>
        <v/>
      </c>
      <c r="O896" s="134" t="str">
        <f>IF(C896="","","Manual")</f>
        <v/>
      </c>
      <c r="P896" s="140" t="str">
        <f>IF(C896="","",IF(N(J896)&gt;0,J896+ROW()/1E9,""))</f>
        <v/>
      </c>
      <c r="Q896" s="140" t="str">
        <f>IF(C896="","",IF(N(M896)&gt;0,M896+ROW()/1E9,""))</f>
        <v/>
      </c>
    </row>
    <row r="897">
      <c r="A897" s="141" t="str">
        <f>IF(C897="","","Ativos Ilíquidos")</f>
        <v/>
      </c>
      <c r="B897" s="141" t="str">
        <f>IF(C897="","","Alternativos")</f>
        <v/>
      </c>
      <c r="C897" s="141" t="str">
        <f>IF('09 Ativos Ilíquidos'!A40="","",'09 Ativos Ilíquidos'!A40&amp;"")</f>
        <v/>
      </c>
      <c r="D897" s="141" t="str">
        <f>IF(C897="","",'09 Ativos Ilíquidos'!B40&amp;"")</f>
        <v/>
      </c>
      <c r="E897" s="141" t="str">
        <f>IF(C897="","","Ativos Ilíquidos")</f>
        <v/>
      </c>
      <c r="F897" s="141" t="str">
        <f>IF(C897="","",'09 Ativos Ilíquidos'!Q40)</f>
        <v/>
      </c>
      <c r="G897" s="142" t="n"/>
      <c r="H897" s="143" t="n"/>
      <c r="I897" s="144" t="str">
        <f>IF(C897="","",'09 Ativos Ilíquidos'!F40)</f>
        <v/>
      </c>
      <c r="J897" s="145" t="str">
        <f>IF(C897="","",'09 Ativos Ilíquidos'!H40)</f>
        <v/>
      </c>
      <c r="K897" s="145" t="str">
        <f>IF(C897="","",'09 Ativos Ilíquidos'!N40)</f>
        <v/>
      </c>
      <c r="L897" s="142" t="n"/>
      <c r="M897" s="145" t="str">
        <f>IF(C897="","",'09 Ativos Ilíquidos'!O40)</f>
        <v/>
      </c>
      <c r="N897" s="146" t="str">
        <f>IF(C897="","",IF($J$3&gt;0,J897/$J$3,0))</f>
        <v/>
      </c>
      <c r="O897" s="141" t="str">
        <f>IF(C897="","","Manual")</f>
        <v/>
      </c>
      <c r="P897" s="147" t="str">
        <f>IF(C897="","",IF(N(J897)&gt;0,J897+ROW()/1E9,""))</f>
        <v/>
      </c>
      <c r="Q897" s="147" t="str">
        <f>IF(C897="","",IF(N(M897)&gt;0,M897+ROW()/1E9,""))</f>
        <v/>
      </c>
    </row>
    <row r="898">
      <c r="A898" s="134" t="str">
        <f>IF(C898="","","Ativos Ilíquidos")</f>
        <v/>
      </c>
      <c r="B898" s="134" t="str">
        <f>IF(C898="","","Alternativos")</f>
        <v/>
      </c>
      <c r="C898" s="134" t="str">
        <f>IF('09 Ativos Ilíquidos'!A41="","",'09 Ativos Ilíquidos'!A41&amp;"")</f>
        <v/>
      </c>
      <c r="D898" s="134" t="str">
        <f>IF(C898="","",'09 Ativos Ilíquidos'!B41&amp;"")</f>
        <v/>
      </c>
      <c r="E898" s="134" t="str">
        <f>IF(C898="","","Ativos Ilíquidos")</f>
        <v/>
      </c>
      <c r="F898" s="134" t="str">
        <f>IF(C898="","",'09 Ativos Ilíquidos'!Q41)</f>
        <v/>
      </c>
      <c r="G898" s="135" t="n"/>
      <c r="H898" s="136" t="n"/>
      <c r="I898" s="137" t="str">
        <f>IF(C898="","",'09 Ativos Ilíquidos'!F41)</f>
        <v/>
      </c>
      <c r="J898" s="138" t="str">
        <f>IF(C898="","",'09 Ativos Ilíquidos'!H41)</f>
        <v/>
      </c>
      <c r="K898" s="138" t="str">
        <f>IF(C898="","",'09 Ativos Ilíquidos'!N41)</f>
        <v/>
      </c>
      <c r="L898" s="135" t="n"/>
      <c r="M898" s="138" t="str">
        <f>IF(C898="","",'09 Ativos Ilíquidos'!O41)</f>
        <v/>
      </c>
      <c r="N898" s="139" t="str">
        <f>IF(C898="","",IF($J$3&gt;0,J898/$J$3,0))</f>
        <v/>
      </c>
      <c r="O898" s="134" t="str">
        <f>IF(C898="","","Manual")</f>
        <v/>
      </c>
      <c r="P898" s="140" t="str">
        <f>IF(C898="","",IF(N(J898)&gt;0,J898+ROW()/1E9,""))</f>
        <v/>
      </c>
      <c r="Q898" s="140" t="str">
        <f>IF(C898="","",IF(N(M898)&gt;0,M898+ROW()/1E9,""))</f>
        <v/>
      </c>
    </row>
    <row r="899">
      <c r="A899" s="141" t="str">
        <f>IF(C899="","","Ativos Ilíquidos")</f>
        <v/>
      </c>
      <c r="B899" s="141" t="str">
        <f>IF(C899="","","Alternativos")</f>
        <v/>
      </c>
      <c r="C899" s="141" t="str">
        <f>IF('09 Ativos Ilíquidos'!A42="","",'09 Ativos Ilíquidos'!A42&amp;"")</f>
        <v/>
      </c>
      <c r="D899" s="141" t="str">
        <f>IF(C899="","",'09 Ativos Ilíquidos'!B42&amp;"")</f>
        <v/>
      </c>
      <c r="E899" s="141" t="str">
        <f>IF(C899="","","Ativos Ilíquidos")</f>
        <v/>
      </c>
      <c r="F899" s="141" t="str">
        <f>IF(C899="","",'09 Ativos Ilíquidos'!Q42)</f>
        <v/>
      </c>
      <c r="G899" s="142" t="n"/>
      <c r="H899" s="143" t="n"/>
      <c r="I899" s="144" t="str">
        <f>IF(C899="","",'09 Ativos Ilíquidos'!F42)</f>
        <v/>
      </c>
      <c r="J899" s="145" t="str">
        <f>IF(C899="","",'09 Ativos Ilíquidos'!H42)</f>
        <v/>
      </c>
      <c r="K899" s="145" t="str">
        <f>IF(C899="","",'09 Ativos Ilíquidos'!N42)</f>
        <v/>
      </c>
      <c r="L899" s="142" t="n"/>
      <c r="M899" s="145" t="str">
        <f>IF(C899="","",'09 Ativos Ilíquidos'!O42)</f>
        <v/>
      </c>
      <c r="N899" s="146" t="str">
        <f>IF(C899="","",IF($J$3&gt;0,J899/$J$3,0))</f>
        <v/>
      </c>
      <c r="O899" s="141" t="str">
        <f>IF(C899="","","Manual")</f>
        <v/>
      </c>
      <c r="P899" s="147" t="str">
        <f>IF(C899="","",IF(N(J899)&gt;0,J899+ROW()/1E9,""))</f>
        <v/>
      </c>
      <c r="Q899" s="147" t="str">
        <f>IF(C899="","",IF(N(M899)&gt;0,M899+ROW()/1E9,""))</f>
        <v/>
      </c>
    </row>
    <row r="900">
      <c r="A900" s="134" t="str">
        <f>IF(C900="","","Ativos Ilíquidos")</f>
        <v/>
      </c>
      <c r="B900" s="134" t="str">
        <f>IF(C900="","","Alternativos")</f>
        <v/>
      </c>
      <c r="C900" s="134" t="str">
        <f>IF('09 Ativos Ilíquidos'!A43="","",'09 Ativos Ilíquidos'!A43&amp;"")</f>
        <v/>
      </c>
      <c r="D900" s="134" t="str">
        <f>IF(C900="","",'09 Ativos Ilíquidos'!B43&amp;"")</f>
        <v/>
      </c>
      <c r="E900" s="134" t="str">
        <f>IF(C900="","","Ativos Ilíquidos")</f>
        <v/>
      </c>
      <c r="F900" s="134" t="str">
        <f>IF(C900="","",'09 Ativos Ilíquidos'!Q43)</f>
        <v/>
      </c>
      <c r="G900" s="135" t="n"/>
      <c r="H900" s="136" t="n"/>
      <c r="I900" s="137" t="str">
        <f>IF(C900="","",'09 Ativos Ilíquidos'!F43)</f>
        <v/>
      </c>
      <c r="J900" s="138" t="str">
        <f>IF(C900="","",'09 Ativos Ilíquidos'!H43)</f>
        <v/>
      </c>
      <c r="K900" s="138" t="str">
        <f>IF(C900="","",'09 Ativos Ilíquidos'!N43)</f>
        <v/>
      </c>
      <c r="L900" s="135" t="n"/>
      <c r="M900" s="138" t="str">
        <f>IF(C900="","",'09 Ativos Ilíquidos'!O43)</f>
        <v/>
      </c>
      <c r="N900" s="139" t="str">
        <f>IF(C900="","",IF($J$3&gt;0,J900/$J$3,0))</f>
        <v/>
      </c>
      <c r="O900" s="134" t="str">
        <f>IF(C900="","","Manual")</f>
        <v/>
      </c>
      <c r="P900" s="140" t="str">
        <f>IF(C900="","",IF(N(J900)&gt;0,J900+ROW()/1E9,""))</f>
        <v/>
      </c>
      <c r="Q900" s="140" t="str">
        <f>IF(C900="","",IF(N(M900)&gt;0,M900+ROW()/1E9,""))</f>
        <v/>
      </c>
    </row>
    <row r="901">
      <c r="A901" s="141" t="str">
        <f>IF(C901="","","Ativos Ilíquidos")</f>
        <v/>
      </c>
      <c r="B901" s="141" t="str">
        <f>IF(C901="","","Alternativos")</f>
        <v/>
      </c>
      <c r="C901" s="141" t="str">
        <f>IF('09 Ativos Ilíquidos'!A44="","",'09 Ativos Ilíquidos'!A44&amp;"")</f>
        <v/>
      </c>
      <c r="D901" s="141" t="str">
        <f>IF(C901="","",'09 Ativos Ilíquidos'!B44&amp;"")</f>
        <v/>
      </c>
      <c r="E901" s="141" t="str">
        <f>IF(C901="","","Ativos Ilíquidos")</f>
        <v/>
      </c>
      <c r="F901" s="141" t="str">
        <f>IF(C901="","",'09 Ativos Ilíquidos'!Q44)</f>
        <v/>
      </c>
      <c r="G901" s="142" t="n"/>
      <c r="H901" s="143" t="n"/>
      <c r="I901" s="144" t="str">
        <f>IF(C901="","",'09 Ativos Ilíquidos'!F44)</f>
        <v/>
      </c>
      <c r="J901" s="145" t="str">
        <f>IF(C901="","",'09 Ativos Ilíquidos'!H44)</f>
        <v/>
      </c>
      <c r="K901" s="145" t="str">
        <f>IF(C901="","",'09 Ativos Ilíquidos'!N44)</f>
        <v/>
      </c>
      <c r="L901" s="142" t="n"/>
      <c r="M901" s="145" t="str">
        <f>IF(C901="","",'09 Ativos Ilíquidos'!O44)</f>
        <v/>
      </c>
      <c r="N901" s="146" t="str">
        <f>IF(C901="","",IF($J$3&gt;0,J901/$J$3,0))</f>
        <v/>
      </c>
      <c r="O901" s="141" t="str">
        <f>IF(C901="","","Manual")</f>
        <v/>
      </c>
      <c r="P901" s="147" t="str">
        <f>IF(C901="","",IF(N(J901)&gt;0,J901+ROW()/1E9,""))</f>
        <v/>
      </c>
      <c r="Q901" s="147" t="str">
        <f>IF(C901="","",IF(N(M901)&gt;0,M901+ROW()/1E9,""))</f>
        <v/>
      </c>
    </row>
    <row r="902">
      <c r="A902" s="134" t="str">
        <f>IF(C902="","","Ativos Ilíquidos")</f>
        <v/>
      </c>
      <c r="B902" s="134" t="str">
        <f>IF(C902="","","Alternativos")</f>
        <v/>
      </c>
      <c r="C902" s="134" t="str">
        <f>IF('09 Ativos Ilíquidos'!A45="","",'09 Ativos Ilíquidos'!A45&amp;"")</f>
        <v/>
      </c>
      <c r="D902" s="134" t="str">
        <f>IF(C902="","",'09 Ativos Ilíquidos'!B45&amp;"")</f>
        <v/>
      </c>
      <c r="E902" s="134" t="str">
        <f>IF(C902="","","Ativos Ilíquidos")</f>
        <v/>
      </c>
      <c r="F902" s="134" t="str">
        <f>IF(C902="","",'09 Ativos Ilíquidos'!Q45)</f>
        <v/>
      </c>
      <c r="G902" s="135" t="n"/>
      <c r="H902" s="136" t="n"/>
      <c r="I902" s="137" t="str">
        <f>IF(C902="","",'09 Ativos Ilíquidos'!F45)</f>
        <v/>
      </c>
      <c r="J902" s="138" t="str">
        <f>IF(C902="","",'09 Ativos Ilíquidos'!H45)</f>
        <v/>
      </c>
      <c r="K902" s="138" t="str">
        <f>IF(C902="","",'09 Ativos Ilíquidos'!N45)</f>
        <v/>
      </c>
      <c r="L902" s="135" t="n"/>
      <c r="M902" s="138" t="str">
        <f>IF(C902="","",'09 Ativos Ilíquidos'!O45)</f>
        <v/>
      </c>
      <c r="N902" s="139" t="str">
        <f>IF(C902="","",IF($J$3&gt;0,J902/$J$3,0))</f>
        <v/>
      </c>
      <c r="O902" s="134" t="str">
        <f>IF(C902="","","Manual")</f>
        <v/>
      </c>
      <c r="P902" s="140" t="str">
        <f>IF(C902="","",IF(N(J902)&gt;0,J902+ROW()/1E9,""))</f>
        <v/>
      </c>
      <c r="Q902" s="140" t="str">
        <f>IF(C902="","",IF(N(M902)&gt;0,M902+ROW()/1E9,""))</f>
        <v/>
      </c>
    </row>
    <row r="903">
      <c r="A903" s="141" t="str">
        <f>IF(C903="","","Ativos Ilíquidos")</f>
        <v/>
      </c>
      <c r="B903" s="141" t="str">
        <f>IF(C903="","","Alternativos")</f>
        <v/>
      </c>
      <c r="C903" s="141" t="str">
        <f>IF('09 Ativos Ilíquidos'!A46="","",'09 Ativos Ilíquidos'!A46&amp;"")</f>
        <v/>
      </c>
      <c r="D903" s="141" t="str">
        <f>IF(C903="","",'09 Ativos Ilíquidos'!B46&amp;"")</f>
        <v/>
      </c>
      <c r="E903" s="141" t="str">
        <f>IF(C903="","","Ativos Ilíquidos")</f>
        <v/>
      </c>
      <c r="F903" s="141" t="str">
        <f>IF(C903="","",'09 Ativos Ilíquidos'!Q46)</f>
        <v/>
      </c>
      <c r="G903" s="142" t="n"/>
      <c r="H903" s="143" t="n"/>
      <c r="I903" s="144" t="str">
        <f>IF(C903="","",'09 Ativos Ilíquidos'!F46)</f>
        <v/>
      </c>
      <c r="J903" s="145" t="str">
        <f>IF(C903="","",'09 Ativos Ilíquidos'!H46)</f>
        <v/>
      </c>
      <c r="K903" s="145" t="str">
        <f>IF(C903="","",'09 Ativos Ilíquidos'!N46)</f>
        <v/>
      </c>
      <c r="L903" s="142" t="n"/>
      <c r="M903" s="145" t="str">
        <f>IF(C903="","",'09 Ativos Ilíquidos'!O46)</f>
        <v/>
      </c>
      <c r="N903" s="146" t="str">
        <f>IF(C903="","",IF($J$3&gt;0,J903/$J$3,0))</f>
        <v/>
      </c>
      <c r="O903" s="141" t="str">
        <f>IF(C903="","","Manual")</f>
        <v/>
      </c>
      <c r="P903" s="147" t="str">
        <f>IF(C903="","",IF(N(J903)&gt;0,J903+ROW()/1E9,""))</f>
        <v/>
      </c>
      <c r="Q903" s="147" t="str">
        <f>IF(C903="","",IF(N(M903)&gt;0,M903+ROW()/1E9,""))</f>
        <v/>
      </c>
    </row>
    <row r="904">
      <c r="A904" s="134" t="str">
        <f>IF(C904="","","Ativos Ilíquidos")</f>
        <v/>
      </c>
      <c r="B904" s="134" t="str">
        <f>IF(C904="","","Alternativos")</f>
        <v/>
      </c>
      <c r="C904" s="134" t="str">
        <f>IF('09 Ativos Ilíquidos'!A47="","",'09 Ativos Ilíquidos'!A47&amp;"")</f>
        <v/>
      </c>
      <c r="D904" s="134" t="str">
        <f>IF(C904="","",'09 Ativos Ilíquidos'!B47&amp;"")</f>
        <v/>
      </c>
      <c r="E904" s="134" t="str">
        <f>IF(C904="","","Ativos Ilíquidos")</f>
        <v/>
      </c>
      <c r="F904" s="134" t="str">
        <f>IF(C904="","",'09 Ativos Ilíquidos'!Q47)</f>
        <v/>
      </c>
      <c r="G904" s="135" t="n"/>
      <c r="H904" s="136" t="n"/>
      <c r="I904" s="137" t="str">
        <f>IF(C904="","",'09 Ativos Ilíquidos'!F47)</f>
        <v/>
      </c>
      <c r="J904" s="138" t="str">
        <f>IF(C904="","",'09 Ativos Ilíquidos'!H47)</f>
        <v/>
      </c>
      <c r="K904" s="138" t="str">
        <f>IF(C904="","",'09 Ativos Ilíquidos'!N47)</f>
        <v/>
      </c>
      <c r="L904" s="135" t="n"/>
      <c r="M904" s="138" t="str">
        <f>IF(C904="","",'09 Ativos Ilíquidos'!O47)</f>
        <v/>
      </c>
      <c r="N904" s="139" t="str">
        <f>IF(C904="","",IF($J$3&gt;0,J904/$J$3,0))</f>
        <v/>
      </c>
      <c r="O904" s="134" t="str">
        <f>IF(C904="","","Manual")</f>
        <v/>
      </c>
      <c r="P904" s="140" t="str">
        <f>IF(C904="","",IF(N(J904)&gt;0,J904+ROW()/1E9,""))</f>
        <v/>
      </c>
      <c r="Q904" s="140" t="str">
        <f>IF(C904="","",IF(N(M904)&gt;0,M904+ROW()/1E9,""))</f>
        <v/>
      </c>
    </row>
    <row r="905">
      <c r="A905" s="141" t="str">
        <f>IF(C905="","","Ativos Ilíquidos")</f>
        <v/>
      </c>
      <c r="B905" s="141" t="str">
        <f>IF(C905="","","Alternativos")</f>
        <v/>
      </c>
      <c r="C905" s="141" t="str">
        <f>IF('09 Ativos Ilíquidos'!A48="","",'09 Ativos Ilíquidos'!A48&amp;"")</f>
        <v/>
      </c>
      <c r="D905" s="141" t="str">
        <f>IF(C905="","",'09 Ativos Ilíquidos'!B48&amp;"")</f>
        <v/>
      </c>
      <c r="E905" s="141" t="str">
        <f>IF(C905="","","Ativos Ilíquidos")</f>
        <v/>
      </c>
      <c r="F905" s="141" t="str">
        <f>IF(C905="","",'09 Ativos Ilíquidos'!Q48)</f>
        <v/>
      </c>
      <c r="G905" s="142" t="n"/>
      <c r="H905" s="143" t="n"/>
      <c r="I905" s="144" t="str">
        <f>IF(C905="","",'09 Ativos Ilíquidos'!F48)</f>
        <v/>
      </c>
      <c r="J905" s="145" t="str">
        <f>IF(C905="","",'09 Ativos Ilíquidos'!H48)</f>
        <v/>
      </c>
      <c r="K905" s="145" t="str">
        <f>IF(C905="","",'09 Ativos Ilíquidos'!N48)</f>
        <v/>
      </c>
      <c r="L905" s="142" t="n"/>
      <c r="M905" s="145" t="str">
        <f>IF(C905="","",'09 Ativos Ilíquidos'!O48)</f>
        <v/>
      </c>
      <c r="N905" s="146" t="str">
        <f>IF(C905="","",IF($J$3&gt;0,J905/$J$3,0))</f>
        <v/>
      </c>
      <c r="O905" s="141" t="str">
        <f>IF(C905="","","Manual")</f>
        <v/>
      </c>
      <c r="P905" s="147" t="str">
        <f>IF(C905="","",IF(N(J905)&gt;0,J905+ROW()/1E9,""))</f>
        <v/>
      </c>
      <c r="Q905" s="147" t="str">
        <f>IF(C905="","",IF(N(M905)&gt;0,M905+ROW()/1E9,""))</f>
        <v/>
      </c>
    </row>
    <row r="906">
      <c r="A906" s="134" t="str">
        <f>IF(C906="","","Ativos Ilíquidos")</f>
        <v/>
      </c>
      <c r="B906" s="134" t="str">
        <f>IF(C906="","","Alternativos")</f>
        <v/>
      </c>
      <c r="C906" s="134" t="str">
        <f>IF('09 Ativos Ilíquidos'!A49="","",'09 Ativos Ilíquidos'!A49&amp;"")</f>
        <v/>
      </c>
      <c r="D906" s="134" t="str">
        <f>IF(C906="","",'09 Ativos Ilíquidos'!B49&amp;"")</f>
        <v/>
      </c>
      <c r="E906" s="134" t="str">
        <f>IF(C906="","","Ativos Ilíquidos")</f>
        <v/>
      </c>
      <c r="F906" s="134" t="str">
        <f>IF(C906="","",'09 Ativos Ilíquidos'!Q49)</f>
        <v/>
      </c>
      <c r="G906" s="135" t="n"/>
      <c r="H906" s="136" t="n"/>
      <c r="I906" s="137" t="str">
        <f>IF(C906="","",'09 Ativos Ilíquidos'!F49)</f>
        <v/>
      </c>
      <c r="J906" s="138" t="str">
        <f>IF(C906="","",'09 Ativos Ilíquidos'!H49)</f>
        <v/>
      </c>
      <c r="K906" s="138" t="str">
        <f>IF(C906="","",'09 Ativos Ilíquidos'!N49)</f>
        <v/>
      </c>
      <c r="L906" s="135" t="n"/>
      <c r="M906" s="138" t="str">
        <f>IF(C906="","",'09 Ativos Ilíquidos'!O49)</f>
        <v/>
      </c>
      <c r="N906" s="139" t="str">
        <f>IF(C906="","",IF($J$3&gt;0,J906/$J$3,0))</f>
        <v/>
      </c>
      <c r="O906" s="134" t="str">
        <f>IF(C906="","","Manual")</f>
        <v/>
      </c>
      <c r="P906" s="140" t="str">
        <f>IF(C906="","",IF(N(J906)&gt;0,J906+ROW()/1E9,""))</f>
        <v/>
      </c>
      <c r="Q906" s="140" t="str">
        <f>IF(C906="","",IF(N(M906)&gt;0,M906+ROW()/1E9,""))</f>
        <v/>
      </c>
    </row>
    <row r="907">
      <c r="A907" s="141" t="str">
        <f>IF(C907="","","Ativos Ilíquidos")</f>
        <v/>
      </c>
      <c r="B907" s="141" t="str">
        <f>IF(C907="","","Alternativos")</f>
        <v/>
      </c>
      <c r="C907" s="141" t="str">
        <f>IF('09 Ativos Ilíquidos'!A50="","",'09 Ativos Ilíquidos'!A50&amp;"")</f>
        <v/>
      </c>
      <c r="D907" s="141" t="str">
        <f>IF(C907="","",'09 Ativos Ilíquidos'!B50&amp;"")</f>
        <v/>
      </c>
      <c r="E907" s="141" t="str">
        <f>IF(C907="","","Ativos Ilíquidos")</f>
        <v/>
      </c>
      <c r="F907" s="141" t="str">
        <f>IF(C907="","",'09 Ativos Ilíquidos'!Q50)</f>
        <v/>
      </c>
      <c r="G907" s="142" t="n"/>
      <c r="H907" s="143" t="n"/>
      <c r="I907" s="144" t="str">
        <f>IF(C907="","",'09 Ativos Ilíquidos'!F50)</f>
        <v/>
      </c>
      <c r="J907" s="145" t="str">
        <f>IF(C907="","",'09 Ativos Ilíquidos'!H50)</f>
        <v/>
      </c>
      <c r="K907" s="145" t="str">
        <f>IF(C907="","",'09 Ativos Ilíquidos'!N50)</f>
        <v/>
      </c>
      <c r="L907" s="142" t="n"/>
      <c r="M907" s="145" t="str">
        <f>IF(C907="","",'09 Ativos Ilíquidos'!O50)</f>
        <v/>
      </c>
      <c r="N907" s="146" t="str">
        <f>IF(C907="","",IF($J$3&gt;0,J907/$J$3,0))</f>
        <v/>
      </c>
      <c r="O907" s="141" t="str">
        <f>IF(C907="","","Manual")</f>
        <v/>
      </c>
      <c r="P907" s="147" t="str">
        <f>IF(C907="","",IF(N(J907)&gt;0,J907+ROW()/1E9,""))</f>
        <v/>
      </c>
      <c r="Q907" s="147" t="str">
        <f>IF(C907="","",IF(N(M907)&gt;0,M907+ROW()/1E9,""))</f>
        <v/>
      </c>
    </row>
    <row r="908">
      <c r="A908" s="134" t="str">
        <f>IF(C908="","","Ativos Ilíquidos")</f>
        <v/>
      </c>
      <c r="B908" s="134" t="str">
        <f>IF(C908="","","Alternativos")</f>
        <v/>
      </c>
      <c r="C908" s="134" t="str">
        <f>IF('09 Ativos Ilíquidos'!A51="","",'09 Ativos Ilíquidos'!A51&amp;"")</f>
        <v/>
      </c>
      <c r="D908" s="134" t="str">
        <f>IF(C908="","",'09 Ativos Ilíquidos'!B51&amp;"")</f>
        <v/>
      </c>
      <c r="E908" s="134" t="str">
        <f>IF(C908="","","Ativos Ilíquidos")</f>
        <v/>
      </c>
      <c r="F908" s="134" t="str">
        <f>IF(C908="","",'09 Ativos Ilíquidos'!Q51)</f>
        <v/>
      </c>
      <c r="G908" s="135" t="n"/>
      <c r="H908" s="136" t="n"/>
      <c r="I908" s="137" t="str">
        <f>IF(C908="","",'09 Ativos Ilíquidos'!F51)</f>
        <v/>
      </c>
      <c r="J908" s="138" t="str">
        <f>IF(C908="","",'09 Ativos Ilíquidos'!H51)</f>
        <v/>
      </c>
      <c r="K908" s="138" t="str">
        <f>IF(C908="","",'09 Ativos Ilíquidos'!N51)</f>
        <v/>
      </c>
      <c r="L908" s="135" t="n"/>
      <c r="M908" s="138" t="str">
        <f>IF(C908="","",'09 Ativos Ilíquidos'!O51)</f>
        <v/>
      </c>
      <c r="N908" s="139" t="str">
        <f>IF(C908="","",IF($J$3&gt;0,J908/$J$3,0))</f>
        <v/>
      </c>
      <c r="O908" s="134" t="str">
        <f>IF(C908="","","Manual")</f>
        <v/>
      </c>
      <c r="P908" s="140" t="str">
        <f>IF(C908="","",IF(N(J908)&gt;0,J908+ROW()/1E9,""))</f>
        <v/>
      </c>
      <c r="Q908" s="140" t="str">
        <f>IF(C908="","",IF(N(M908)&gt;0,M908+ROW()/1E9,""))</f>
        <v/>
      </c>
    </row>
    <row r="909">
      <c r="A909" s="141" t="str">
        <f>IF(C909="","","Ativos Ilíquidos")</f>
        <v/>
      </c>
      <c r="B909" s="141" t="str">
        <f>IF(C909="","","Alternativos")</f>
        <v/>
      </c>
      <c r="C909" s="141" t="str">
        <f>IF('09 Ativos Ilíquidos'!A52="","",'09 Ativos Ilíquidos'!A52&amp;"")</f>
        <v/>
      </c>
      <c r="D909" s="141" t="str">
        <f>IF(C909="","",'09 Ativos Ilíquidos'!B52&amp;"")</f>
        <v/>
      </c>
      <c r="E909" s="141" t="str">
        <f>IF(C909="","","Ativos Ilíquidos")</f>
        <v/>
      </c>
      <c r="F909" s="141" t="str">
        <f>IF(C909="","",'09 Ativos Ilíquidos'!Q52)</f>
        <v/>
      </c>
      <c r="G909" s="142" t="n"/>
      <c r="H909" s="143" t="n"/>
      <c r="I909" s="144" t="str">
        <f>IF(C909="","",'09 Ativos Ilíquidos'!F52)</f>
        <v/>
      </c>
      <c r="J909" s="145" t="str">
        <f>IF(C909="","",'09 Ativos Ilíquidos'!H52)</f>
        <v/>
      </c>
      <c r="K909" s="145" t="str">
        <f>IF(C909="","",'09 Ativos Ilíquidos'!N52)</f>
        <v/>
      </c>
      <c r="L909" s="142" t="n"/>
      <c r="M909" s="145" t="str">
        <f>IF(C909="","",'09 Ativos Ilíquidos'!O52)</f>
        <v/>
      </c>
      <c r="N909" s="146" t="str">
        <f>IF(C909="","",IF($J$3&gt;0,J909/$J$3,0))</f>
        <v/>
      </c>
      <c r="O909" s="141" t="str">
        <f>IF(C909="","","Manual")</f>
        <v/>
      </c>
      <c r="P909" s="147" t="str">
        <f>IF(C909="","",IF(N(J909)&gt;0,J909+ROW()/1E9,""))</f>
        <v/>
      </c>
      <c r="Q909" s="147" t="str">
        <f>IF(C909="","",IF(N(M909)&gt;0,M909+ROW()/1E9,""))</f>
        <v/>
      </c>
    </row>
    <row r="910">
      <c r="A910" s="134" t="str">
        <f>IF(C910="","","Ativos Ilíquidos")</f>
        <v/>
      </c>
      <c r="B910" s="134" t="str">
        <f>IF(C910="","","Alternativos")</f>
        <v/>
      </c>
      <c r="C910" s="134" t="str">
        <f>IF('09 Ativos Ilíquidos'!A53="","",'09 Ativos Ilíquidos'!A53&amp;"")</f>
        <v/>
      </c>
      <c r="D910" s="134" t="str">
        <f>IF(C910="","",'09 Ativos Ilíquidos'!B53&amp;"")</f>
        <v/>
      </c>
      <c r="E910" s="134" t="str">
        <f>IF(C910="","","Ativos Ilíquidos")</f>
        <v/>
      </c>
      <c r="F910" s="134" t="str">
        <f>IF(C910="","",'09 Ativos Ilíquidos'!Q53)</f>
        <v/>
      </c>
      <c r="G910" s="135" t="n"/>
      <c r="H910" s="136" t="n"/>
      <c r="I910" s="137" t="str">
        <f>IF(C910="","",'09 Ativos Ilíquidos'!F53)</f>
        <v/>
      </c>
      <c r="J910" s="138" t="str">
        <f>IF(C910="","",'09 Ativos Ilíquidos'!H53)</f>
        <v/>
      </c>
      <c r="K910" s="138" t="str">
        <f>IF(C910="","",'09 Ativos Ilíquidos'!N53)</f>
        <v/>
      </c>
      <c r="L910" s="135" t="n"/>
      <c r="M910" s="138" t="str">
        <f>IF(C910="","",'09 Ativos Ilíquidos'!O53)</f>
        <v/>
      </c>
      <c r="N910" s="139" t="str">
        <f>IF(C910="","",IF($J$3&gt;0,J910/$J$3,0))</f>
        <v/>
      </c>
      <c r="O910" s="134" t="str">
        <f>IF(C910="","","Manual")</f>
        <v/>
      </c>
      <c r="P910" s="140" t="str">
        <f>IF(C910="","",IF(N(J910)&gt;0,J910+ROW()/1E9,""))</f>
        <v/>
      </c>
      <c r="Q910" s="140" t="str">
        <f>IF(C910="","",IF(N(M910)&gt;0,M910+ROW()/1E9,""))</f>
        <v/>
      </c>
    </row>
    <row r="911">
      <c r="A911" s="141" t="str">
        <f>IF(C911="","","Ativos Ilíquidos")</f>
        <v/>
      </c>
      <c r="B911" s="141" t="str">
        <f>IF(C911="","","Alternativos")</f>
        <v/>
      </c>
      <c r="C911" s="141" t="str">
        <f>IF('09 Ativos Ilíquidos'!A54="","",'09 Ativos Ilíquidos'!A54&amp;"")</f>
        <v/>
      </c>
      <c r="D911" s="141" t="str">
        <f>IF(C911="","",'09 Ativos Ilíquidos'!B54&amp;"")</f>
        <v/>
      </c>
      <c r="E911" s="141" t="str">
        <f>IF(C911="","","Ativos Ilíquidos")</f>
        <v/>
      </c>
      <c r="F911" s="141" t="str">
        <f>IF(C911="","",'09 Ativos Ilíquidos'!Q54)</f>
        <v/>
      </c>
      <c r="G911" s="142" t="n"/>
      <c r="H911" s="143" t="n"/>
      <c r="I911" s="144" t="str">
        <f>IF(C911="","",'09 Ativos Ilíquidos'!F54)</f>
        <v/>
      </c>
      <c r="J911" s="145" t="str">
        <f>IF(C911="","",'09 Ativos Ilíquidos'!H54)</f>
        <v/>
      </c>
      <c r="K911" s="145" t="str">
        <f>IF(C911="","",'09 Ativos Ilíquidos'!N54)</f>
        <v/>
      </c>
      <c r="L911" s="142" t="n"/>
      <c r="M911" s="145" t="str">
        <f>IF(C911="","",'09 Ativos Ilíquidos'!O54)</f>
        <v/>
      </c>
      <c r="N911" s="146" t="str">
        <f>IF(C911="","",IF($J$3&gt;0,J911/$J$3,0))</f>
        <v/>
      </c>
      <c r="O911" s="141" t="str">
        <f>IF(C911="","","Manual")</f>
        <v/>
      </c>
      <c r="P911" s="147" t="str">
        <f>IF(C911="","",IF(N(J911)&gt;0,J911+ROW()/1E9,""))</f>
        <v/>
      </c>
      <c r="Q911" s="147" t="str">
        <f>IF(C911="","",IF(N(M911)&gt;0,M911+ROW()/1E9,""))</f>
        <v/>
      </c>
    </row>
    <row r="912">
      <c r="A912" s="134" t="str">
        <f>IF(C912="","","Ativos Ilíquidos")</f>
        <v/>
      </c>
      <c r="B912" s="134" t="str">
        <f>IF(C912="","","Alternativos")</f>
        <v/>
      </c>
      <c r="C912" s="134" t="str">
        <f>IF('09 Ativos Ilíquidos'!A55="","",'09 Ativos Ilíquidos'!A55&amp;"")</f>
        <v/>
      </c>
      <c r="D912" s="134" t="str">
        <f>IF(C912="","",'09 Ativos Ilíquidos'!B55&amp;"")</f>
        <v/>
      </c>
      <c r="E912" s="134" t="str">
        <f>IF(C912="","","Ativos Ilíquidos")</f>
        <v/>
      </c>
      <c r="F912" s="134" t="str">
        <f>IF(C912="","",'09 Ativos Ilíquidos'!Q55)</f>
        <v/>
      </c>
      <c r="G912" s="135" t="n"/>
      <c r="H912" s="136" t="n"/>
      <c r="I912" s="137" t="str">
        <f>IF(C912="","",'09 Ativos Ilíquidos'!F55)</f>
        <v/>
      </c>
      <c r="J912" s="138" t="str">
        <f>IF(C912="","",'09 Ativos Ilíquidos'!H55)</f>
        <v/>
      </c>
      <c r="K912" s="138" t="str">
        <f>IF(C912="","",'09 Ativos Ilíquidos'!N55)</f>
        <v/>
      </c>
      <c r="L912" s="135" t="n"/>
      <c r="M912" s="138" t="str">
        <f>IF(C912="","",'09 Ativos Ilíquidos'!O55)</f>
        <v/>
      </c>
      <c r="N912" s="139" t="str">
        <f>IF(C912="","",IF($J$3&gt;0,J912/$J$3,0))</f>
        <v/>
      </c>
      <c r="O912" s="134" t="str">
        <f>IF(C912="","","Manual")</f>
        <v/>
      </c>
      <c r="P912" s="140" t="str">
        <f>IF(C912="","",IF(N(J912)&gt;0,J912+ROW()/1E9,""))</f>
        <v/>
      </c>
      <c r="Q912" s="140" t="str">
        <f>IF(C912="","",IF(N(M912)&gt;0,M912+ROW()/1E9,""))</f>
        <v/>
      </c>
    </row>
    <row r="913">
      <c r="A913" s="141" t="str">
        <f>IF(C913="","","Ativos Ilíquidos")</f>
        <v/>
      </c>
      <c r="B913" s="141" t="str">
        <f>IF(C913="","","Alternativos")</f>
        <v/>
      </c>
      <c r="C913" s="141" t="str">
        <f>IF('09 Ativos Ilíquidos'!A56="","",'09 Ativos Ilíquidos'!A56&amp;"")</f>
        <v/>
      </c>
      <c r="D913" s="141" t="str">
        <f>IF(C913="","",'09 Ativos Ilíquidos'!B56&amp;"")</f>
        <v/>
      </c>
      <c r="E913" s="141" t="str">
        <f>IF(C913="","","Ativos Ilíquidos")</f>
        <v/>
      </c>
      <c r="F913" s="141" t="str">
        <f>IF(C913="","",'09 Ativos Ilíquidos'!Q56)</f>
        <v/>
      </c>
      <c r="G913" s="142" t="n"/>
      <c r="H913" s="143" t="n"/>
      <c r="I913" s="144" t="str">
        <f>IF(C913="","",'09 Ativos Ilíquidos'!F56)</f>
        <v/>
      </c>
      <c r="J913" s="145" t="str">
        <f>IF(C913="","",'09 Ativos Ilíquidos'!H56)</f>
        <v/>
      </c>
      <c r="K913" s="145" t="str">
        <f>IF(C913="","",'09 Ativos Ilíquidos'!N56)</f>
        <v/>
      </c>
      <c r="L913" s="142" t="n"/>
      <c r="M913" s="145" t="str">
        <f>IF(C913="","",'09 Ativos Ilíquidos'!O56)</f>
        <v/>
      </c>
      <c r="N913" s="146" t="str">
        <f>IF(C913="","",IF($J$3&gt;0,J913/$J$3,0))</f>
        <v/>
      </c>
      <c r="O913" s="141" t="str">
        <f>IF(C913="","","Manual")</f>
        <v/>
      </c>
      <c r="P913" s="147" t="str">
        <f>IF(C913="","",IF(N(J913)&gt;0,J913+ROW()/1E9,""))</f>
        <v/>
      </c>
      <c r="Q913" s="147" t="str">
        <f>IF(C913="","",IF(N(M913)&gt;0,M913+ROW()/1E9,""))</f>
        <v/>
      </c>
    </row>
    <row r="914">
      <c r="A914" s="134" t="str">
        <f>IF(C914="","","Ativos Ilíquidos")</f>
        <v/>
      </c>
      <c r="B914" s="134" t="str">
        <f>IF(C914="","","Alternativos")</f>
        <v/>
      </c>
      <c r="C914" s="134" t="str">
        <f>IF('09 Ativos Ilíquidos'!A57="","",'09 Ativos Ilíquidos'!A57&amp;"")</f>
        <v/>
      </c>
      <c r="D914" s="134" t="str">
        <f>IF(C914="","",'09 Ativos Ilíquidos'!B57&amp;"")</f>
        <v/>
      </c>
      <c r="E914" s="134" t="str">
        <f>IF(C914="","","Ativos Ilíquidos")</f>
        <v/>
      </c>
      <c r="F914" s="134" t="str">
        <f>IF(C914="","",'09 Ativos Ilíquidos'!Q57)</f>
        <v/>
      </c>
      <c r="G914" s="135" t="n"/>
      <c r="H914" s="136" t="n"/>
      <c r="I914" s="137" t="str">
        <f>IF(C914="","",'09 Ativos Ilíquidos'!F57)</f>
        <v/>
      </c>
      <c r="J914" s="138" t="str">
        <f>IF(C914="","",'09 Ativos Ilíquidos'!H57)</f>
        <v/>
      </c>
      <c r="K914" s="138" t="str">
        <f>IF(C914="","",'09 Ativos Ilíquidos'!N57)</f>
        <v/>
      </c>
      <c r="L914" s="135" t="n"/>
      <c r="M914" s="138" t="str">
        <f>IF(C914="","",'09 Ativos Ilíquidos'!O57)</f>
        <v/>
      </c>
      <c r="N914" s="139" t="str">
        <f>IF(C914="","",IF($J$3&gt;0,J914/$J$3,0))</f>
        <v/>
      </c>
      <c r="O914" s="134" t="str">
        <f>IF(C914="","","Manual")</f>
        <v/>
      </c>
      <c r="P914" s="140" t="str">
        <f>IF(C914="","",IF(N(J914)&gt;0,J914+ROW()/1E9,""))</f>
        <v/>
      </c>
      <c r="Q914" s="140" t="str">
        <f>IF(C914="","",IF(N(M914)&gt;0,M914+ROW()/1E9,""))</f>
        <v/>
      </c>
    </row>
    <row r="915">
      <c r="A915" s="141" t="str">
        <f>IF(C915="","","Ativos Ilíquidos")</f>
        <v/>
      </c>
      <c r="B915" s="141" t="str">
        <f>IF(C915="","","Alternativos")</f>
        <v/>
      </c>
      <c r="C915" s="141" t="str">
        <f>IF('09 Ativos Ilíquidos'!A58="","",'09 Ativos Ilíquidos'!A58&amp;"")</f>
        <v/>
      </c>
      <c r="D915" s="141" t="str">
        <f>IF(C915="","",'09 Ativos Ilíquidos'!B58&amp;"")</f>
        <v/>
      </c>
      <c r="E915" s="141" t="str">
        <f>IF(C915="","","Ativos Ilíquidos")</f>
        <v/>
      </c>
      <c r="F915" s="141" t="str">
        <f>IF(C915="","",'09 Ativos Ilíquidos'!Q58)</f>
        <v/>
      </c>
      <c r="G915" s="142" t="n"/>
      <c r="H915" s="143" t="n"/>
      <c r="I915" s="144" t="str">
        <f>IF(C915="","",'09 Ativos Ilíquidos'!F58)</f>
        <v/>
      </c>
      <c r="J915" s="145" t="str">
        <f>IF(C915="","",'09 Ativos Ilíquidos'!H58)</f>
        <v/>
      </c>
      <c r="K915" s="145" t="str">
        <f>IF(C915="","",'09 Ativos Ilíquidos'!N58)</f>
        <v/>
      </c>
      <c r="L915" s="142" t="n"/>
      <c r="M915" s="145" t="str">
        <f>IF(C915="","",'09 Ativos Ilíquidos'!O58)</f>
        <v/>
      </c>
      <c r="N915" s="146" t="str">
        <f>IF(C915="","",IF($J$3&gt;0,J915/$J$3,0))</f>
        <v/>
      </c>
      <c r="O915" s="141" t="str">
        <f>IF(C915="","","Manual")</f>
        <v/>
      </c>
      <c r="P915" s="147" t="str">
        <f>IF(C915="","",IF(N(J915)&gt;0,J915+ROW()/1E9,""))</f>
        <v/>
      </c>
      <c r="Q915" s="147" t="str">
        <f>IF(C915="","",IF(N(M915)&gt;0,M915+ROW()/1E9,""))</f>
        <v/>
      </c>
    </row>
    <row r="916">
      <c r="A916" s="134" t="str">
        <f>IF(C916="","","Ativos Ilíquidos")</f>
        <v/>
      </c>
      <c r="B916" s="134" t="str">
        <f>IF(C916="","","Alternativos")</f>
        <v/>
      </c>
      <c r="C916" s="134" t="str">
        <f>IF('09 Ativos Ilíquidos'!A59="","",'09 Ativos Ilíquidos'!A59&amp;"")</f>
        <v/>
      </c>
      <c r="D916" s="134" t="str">
        <f>IF(C916="","",'09 Ativos Ilíquidos'!B59&amp;"")</f>
        <v/>
      </c>
      <c r="E916" s="134" t="str">
        <f>IF(C916="","","Ativos Ilíquidos")</f>
        <v/>
      </c>
      <c r="F916" s="134" t="str">
        <f>IF(C916="","",'09 Ativos Ilíquidos'!Q59)</f>
        <v/>
      </c>
      <c r="G916" s="135" t="n"/>
      <c r="H916" s="136" t="n"/>
      <c r="I916" s="137" t="str">
        <f>IF(C916="","",'09 Ativos Ilíquidos'!F59)</f>
        <v/>
      </c>
      <c r="J916" s="138" t="str">
        <f>IF(C916="","",'09 Ativos Ilíquidos'!H59)</f>
        <v/>
      </c>
      <c r="K916" s="138" t="str">
        <f>IF(C916="","",'09 Ativos Ilíquidos'!N59)</f>
        <v/>
      </c>
      <c r="L916" s="135" t="n"/>
      <c r="M916" s="138" t="str">
        <f>IF(C916="","",'09 Ativos Ilíquidos'!O59)</f>
        <v/>
      </c>
      <c r="N916" s="139" t="str">
        <f>IF(C916="","",IF($J$3&gt;0,J916/$J$3,0))</f>
        <v/>
      </c>
      <c r="O916" s="134" t="str">
        <f>IF(C916="","","Manual")</f>
        <v/>
      </c>
      <c r="P916" s="140" t="str">
        <f>IF(C916="","",IF(N(J916)&gt;0,J916+ROW()/1E9,""))</f>
        <v/>
      </c>
      <c r="Q916" s="140" t="str">
        <f>IF(C916="","",IF(N(M916)&gt;0,M916+ROW()/1E9,""))</f>
        <v/>
      </c>
    </row>
    <row r="917">
      <c r="A917" s="141" t="str">
        <f>IF(C917="","","Ativos Ilíquidos")</f>
        <v/>
      </c>
      <c r="B917" s="141" t="str">
        <f>IF(C917="","","Alternativos")</f>
        <v/>
      </c>
      <c r="C917" s="141" t="str">
        <f>IF('09 Ativos Ilíquidos'!A60="","",'09 Ativos Ilíquidos'!A60&amp;"")</f>
        <v/>
      </c>
      <c r="D917" s="141" t="str">
        <f>IF(C917="","",'09 Ativos Ilíquidos'!B60&amp;"")</f>
        <v/>
      </c>
      <c r="E917" s="141" t="str">
        <f>IF(C917="","","Ativos Ilíquidos")</f>
        <v/>
      </c>
      <c r="F917" s="141" t="str">
        <f>IF(C917="","",'09 Ativos Ilíquidos'!Q60)</f>
        <v/>
      </c>
      <c r="G917" s="142" t="n"/>
      <c r="H917" s="143" t="n"/>
      <c r="I917" s="144" t="str">
        <f>IF(C917="","",'09 Ativos Ilíquidos'!F60)</f>
        <v/>
      </c>
      <c r="J917" s="145" t="str">
        <f>IF(C917="","",'09 Ativos Ilíquidos'!H60)</f>
        <v/>
      </c>
      <c r="K917" s="145" t="str">
        <f>IF(C917="","",'09 Ativos Ilíquidos'!N60)</f>
        <v/>
      </c>
      <c r="L917" s="142" t="n"/>
      <c r="M917" s="145" t="str">
        <f>IF(C917="","",'09 Ativos Ilíquidos'!O60)</f>
        <v/>
      </c>
      <c r="N917" s="146" t="str">
        <f>IF(C917="","",IF($J$3&gt;0,J917/$J$3,0))</f>
        <v/>
      </c>
      <c r="O917" s="141" t="str">
        <f>IF(C917="","","Manual")</f>
        <v/>
      </c>
      <c r="P917" s="147" t="str">
        <f>IF(C917="","",IF(N(J917)&gt;0,J917+ROW()/1E9,""))</f>
        <v/>
      </c>
      <c r="Q917" s="147" t="str">
        <f>IF(C917="","",IF(N(M917)&gt;0,M917+ROW()/1E9,""))</f>
        <v/>
      </c>
    </row>
    <row r="918">
      <c r="A918" s="134" t="str">
        <f>IF(C918="","","Ativos Ilíquidos")</f>
        <v/>
      </c>
      <c r="B918" s="134" t="str">
        <f>IF(C918="","","Alternativos")</f>
        <v/>
      </c>
      <c r="C918" s="134" t="str">
        <f>IF('09 Ativos Ilíquidos'!A61="","",'09 Ativos Ilíquidos'!A61&amp;"")</f>
        <v/>
      </c>
      <c r="D918" s="134" t="str">
        <f>IF(C918="","",'09 Ativos Ilíquidos'!B61&amp;"")</f>
        <v/>
      </c>
      <c r="E918" s="134" t="str">
        <f>IF(C918="","","Ativos Ilíquidos")</f>
        <v/>
      </c>
      <c r="F918" s="134" t="str">
        <f>IF(C918="","",'09 Ativos Ilíquidos'!Q61)</f>
        <v/>
      </c>
      <c r="G918" s="135" t="n"/>
      <c r="H918" s="136" t="n"/>
      <c r="I918" s="137" t="str">
        <f>IF(C918="","",'09 Ativos Ilíquidos'!F61)</f>
        <v/>
      </c>
      <c r="J918" s="138" t="str">
        <f>IF(C918="","",'09 Ativos Ilíquidos'!H61)</f>
        <v/>
      </c>
      <c r="K918" s="138" t="str">
        <f>IF(C918="","",'09 Ativos Ilíquidos'!N61)</f>
        <v/>
      </c>
      <c r="L918" s="135" t="n"/>
      <c r="M918" s="138" t="str">
        <f>IF(C918="","",'09 Ativos Ilíquidos'!O61)</f>
        <v/>
      </c>
      <c r="N918" s="139" t="str">
        <f>IF(C918="","",IF($J$3&gt;0,J918/$J$3,0))</f>
        <v/>
      </c>
      <c r="O918" s="134" t="str">
        <f>IF(C918="","","Manual")</f>
        <v/>
      </c>
      <c r="P918" s="140" t="str">
        <f>IF(C918="","",IF(N(J918)&gt;0,J918+ROW()/1E9,""))</f>
        <v/>
      </c>
      <c r="Q918" s="140" t="str">
        <f>IF(C918="","",IF(N(M918)&gt;0,M918+ROW()/1E9,""))</f>
        <v/>
      </c>
    </row>
    <row r="919">
      <c r="A919" s="141" t="str">
        <f>IF(C919="","","Ativos Ilíquidos")</f>
        <v/>
      </c>
      <c r="B919" s="141" t="str">
        <f>IF(C919="","","Alternativos")</f>
        <v/>
      </c>
      <c r="C919" s="141" t="str">
        <f>IF('09 Ativos Ilíquidos'!A62="","",'09 Ativos Ilíquidos'!A62&amp;"")</f>
        <v/>
      </c>
      <c r="D919" s="141" t="str">
        <f>IF(C919="","",'09 Ativos Ilíquidos'!B62&amp;"")</f>
        <v/>
      </c>
      <c r="E919" s="141" t="str">
        <f>IF(C919="","","Ativos Ilíquidos")</f>
        <v/>
      </c>
      <c r="F919" s="141" t="str">
        <f>IF(C919="","",'09 Ativos Ilíquidos'!Q62)</f>
        <v/>
      </c>
      <c r="G919" s="142" t="n"/>
      <c r="H919" s="143" t="n"/>
      <c r="I919" s="144" t="str">
        <f>IF(C919="","",'09 Ativos Ilíquidos'!F62)</f>
        <v/>
      </c>
      <c r="J919" s="145" t="str">
        <f>IF(C919="","",'09 Ativos Ilíquidos'!H62)</f>
        <v/>
      </c>
      <c r="K919" s="145" t="str">
        <f>IF(C919="","",'09 Ativos Ilíquidos'!N62)</f>
        <v/>
      </c>
      <c r="L919" s="142" t="n"/>
      <c r="M919" s="145" t="str">
        <f>IF(C919="","",'09 Ativos Ilíquidos'!O62)</f>
        <v/>
      </c>
      <c r="N919" s="146" t="str">
        <f>IF(C919="","",IF($J$3&gt;0,J919/$J$3,0))</f>
        <v/>
      </c>
      <c r="O919" s="141" t="str">
        <f>IF(C919="","","Manual")</f>
        <v/>
      </c>
      <c r="P919" s="147" t="str">
        <f>IF(C919="","",IF(N(J919)&gt;0,J919+ROW()/1E9,""))</f>
        <v/>
      </c>
      <c r="Q919" s="147" t="str">
        <f>IF(C919="","",IF(N(M919)&gt;0,M919+ROW()/1E9,""))</f>
        <v/>
      </c>
    </row>
    <row r="920">
      <c r="A920" s="134" t="str">
        <f>IF(C920="","","Ativos Ilíquidos")</f>
        <v/>
      </c>
      <c r="B920" s="134" t="str">
        <f>IF(C920="","","Alternativos")</f>
        <v/>
      </c>
      <c r="C920" s="134" t="str">
        <f>IF('09 Ativos Ilíquidos'!A63="","",'09 Ativos Ilíquidos'!A63&amp;"")</f>
        <v/>
      </c>
      <c r="D920" s="134" t="str">
        <f>IF(C920="","",'09 Ativos Ilíquidos'!B63&amp;"")</f>
        <v/>
      </c>
      <c r="E920" s="134" t="str">
        <f>IF(C920="","","Ativos Ilíquidos")</f>
        <v/>
      </c>
      <c r="F920" s="134" t="str">
        <f>IF(C920="","",'09 Ativos Ilíquidos'!Q63)</f>
        <v/>
      </c>
      <c r="G920" s="135" t="n"/>
      <c r="H920" s="136" t="n"/>
      <c r="I920" s="137" t="str">
        <f>IF(C920="","",'09 Ativos Ilíquidos'!F63)</f>
        <v/>
      </c>
      <c r="J920" s="138" t="str">
        <f>IF(C920="","",'09 Ativos Ilíquidos'!H63)</f>
        <v/>
      </c>
      <c r="K920" s="138" t="str">
        <f>IF(C920="","",'09 Ativos Ilíquidos'!N63)</f>
        <v/>
      </c>
      <c r="L920" s="135" t="n"/>
      <c r="M920" s="138" t="str">
        <f>IF(C920="","",'09 Ativos Ilíquidos'!O63)</f>
        <v/>
      </c>
      <c r="N920" s="139" t="str">
        <f>IF(C920="","",IF($J$3&gt;0,J920/$J$3,0))</f>
        <v/>
      </c>
      <c r="O920" s="134" t="str">
        <f>IF(C920="","","Manual")</f>
        <v/>
      </c>
      <c r="P920" s="140" t="str">
        <f>IF(C920="","",IF(N(J920)&gt;0,J920+ROW()/1E9,""))</f>
        <v/>
      </c>
      <c r="Q920" s="140" t="str">
        <f>IF(C920="","",IF(N(M920)&gt;0,M920+ROW()/1E9,""))</f>
        <v/>
      </c>
    </row>
    <row r="921">
      <c r="A921" s="141" t="str">
        <f>IF(C921="","","Ativos Ilíquidos")</f>
        <v/>
      </c>
      <c r="B921" s="141" t="str">
        <f>IF(C921="","","Alternativos")</f>
        <v/>
      </c>
      <c r="C921" s="141" t="str">
        <f>IF('09 Ativos Ilíquidos'!A64="","",'09 Ativos Ilíquidos'!A64&amp;"")</f>
        <v/>
      </c>
      <c r="D921" s="141" t="str">
        <f>IF(C921="","",'09 Ativos Ilíquidos'!B64&amp;"")</f>
        <v/>
      </c>
      <c r="E921" s="141" t="str">
        <f>IF(C921="","","Ativos Ilíquidos")</f>
        <v/>
      </c>
      <c r="F921" s="141" t="str">
        <f>IF(C921="","",'09 Ativos Ilíquidos'!Q64)</f>
        <v/>
      </c>
      <c r="G921" s="142" t="n"/>
      <c r="H921" s="143" t="n"/>
      <c r="I921" s="144" t="str">
        <f>IF(C921="","",'09 Ativos Ilíquidos'!F64)</f>
        <v/>
      </c>
      <c r="J921" s="145" t="str">
        <f>IF(C921="","",'09 Ativos Ilíquidos'!H64)</f>
        <v/>
      </c>
      <c r="K921" s="145" t="str">
        <f>IF(C921="","",'09 Ativos Ilíquidos'!N64)</f>
        <v/>
      </c>
      <c r="L921" s="142" t="n"/>
      <c r="M921" s="145" t="str">
        <f>IF(C921="","",'09 Ativos Ilíquidos'!O64)</f>
        <v/>
      </c>
      <c r="N921" s="146" t="str">
        <f>IF(C921="","",IF($J$3&gt;0,J921/$J$3,0))</f>
        <v/>
      </c>
      <c r="O921" s="141" t="str">
        <f>IF(C921="","","Manual")</f>
        <v/>
      </c>
      <c r="P921" s="147" t="str">
        <f>IF(C921="","",IF(N(J921)&gt;0,J921+ROW()/1E9,""))</f>
        <v/>
      </c>
      <c r="Q921" s="147" t="str">
        <f>IF(C921="","",IF(N(M921)&gt;0,M921+ROW()/1E9,""))</f>
        <v/>
      </c>
    </row>
    <row r="922">
      <c r="A922" s="134" t="str">
        <f>IF(C922="","","Ativos Ilíquidos")</f>
        <v/>
      </c>
      <c r="B922" s="134" t="str">
        <f>IF(C922="","","Alternativos")</f>
        <v/>
      </c>
      <c r="C922" s="134" t="str">
        <f>IF('09 Ativos Ilíquidos'!A65="","",'09 Ativos Ilíquidos'!A65&amp;"")</f>
        <v/>
      </c>
      <c r="D922" s="134" t="str">
        <f>IF(C922="","",'09 Ativos Ilíquidos'!B65&amp;"")</f>
        <v/>
      </c>
      <c r="E922" s="134" t="str">
        <f>IF(C922="","","Ativos Ilíquidos")</f>
        <v/>
      </c>
      <c r="F922" s="134" t="str">
        <f>IF(C922="","",'09 Ativos Ilíquidos'!Q65)</f>
        <v/>
      </c>
      <c r="G922" s="135" t="n"/>
      <c r="H922" s="136" t="n"/>
      <c r="I922" s="137" t="str">
        <f>IF(C922="","",'09 Ativos Ilíquidos'!F65)</f>
        <v/>
      </c>
      <c r="J922" s="138" t="str">
        <f>IF(C922="","",'09 Ativos Ilíquidos'!H65)</f>
        <v/>
      </c>
      <c r="K922" s="138" t="str">
        <f>IF(C922="","",'09 Ativos Ilíquidos'!N65)</f>
        <v/>
      </c>
      <c r="L922" s="135" t="n"/>
      <c r="M922" s="138" t="str">
        <f>IF(C922="","",'09 Ativos Ilíquidos'!O65)</f>
        <v/>
      </c>
      <c r="N922" s="139" t="str">
        <f>IF(C922="","",IF($J$3&gt;0,J922/$J$3,0))</f>
        <v/>
      </c>
      <c r="O922" s="134" t="str">
        <f>IF(C922="","","Manual")</f>
        <v/>
      </c>
      <c r="P922" s="140" t="str">
        <f>IF(C922="","",IF(N(J922)&gt;0,J922+ROW()/1E9,""))</f>
        <v/>
      </c>
      <c r="Q922" s="140" t="str">
        <f>IF(C922="","",IF(N(M922)&gt;0,M922+ROW()/1E9,""))</f>
        <v/>
      </c>
    </row>
    <row r="923">
      <c r="A923" s="141" t="str">
        <f>IF(C923="","","Ativos Ilíquidos")</f>
        <v/>
      </c>
      <c r="B923" s="141" t="str">
        <f>IF(C923="","","Alternativos")</f>
        <v/>
      </c>
      <c r="C923" s="141" t="str">
        <f>IF('09 Ativos Ilíquidos'!A66="","",'09 Ativos Ilíquidos'!A66&amp;"")</f>
        <v/>
      </c>
      <c r="D923" s="141" t="str">
        <f>IF(C923="","",'09 Ativos Ilíquidos'!B66&amp;"")</f>
        <v/>
      </c>
      <c r="E923" s="141" t="str">
        <f>IF(C923="","","Ativos Ilíquidos")</f>
        <v/>
      </c>
      <c r="F923" s="141" t="str">
        <f>IF(C923="","",'09 Ativos Ilíquidos'!Q66)</f>
        <v/>
      </c>
      <c r="G923" s="142" t="n"/>
      <c r="H923" s="143" t="n"/>
      <c r="I923" s="144" t="str">
        <f>IF(C923="","",'09 Ativos Ilíquidos'!F66)</f>
        <v/>
      </c>
      <c r="J923" s="145" t="str">
        <f>IF(C923="","",'09 Ativos Ilíquidos'!H66)</f>
        <v/>
      </c>
      <c r="K923" s="145" t="str">
        <f>IF(C923="","",'09 Ativos Ilíquidos'!N66)</f>
        <v/>
      </c>
      <c r="L923" s="142" t="n"/>
      <c r="M923" s="145" t="str">
        <f>IF(C923="","",'09 Ativos Ilíquidos'!O66)</f>
        <v/>
      </c>
      <c r="N923" s="146" t="str">
        <f>IF(C923="","",IF($J$3&gt;0,J923/$J$3,0))</f>
        <v/>
      </c>
      <c r="O923" s="141" t="str">
        <f>IF(C923="","","Manual")</f>
        <v/>
      </c>
      <c r="P923" s="147" t="str">
        <f>IF(C923="","",IF(N(J923)&gt;0,J923+ROW()/1E9,""))</f>
        <v/>
      </c>
      <c r="Q923" s="147" t="str">
        <f>IF(C923="","",IF(N(M923)&gt;0,M923+ROW()/1E9,""))</f>
        <v/>
      </c>
    </row>
    <row r="924">
      <c r="A924" s="134" t="str">
        <f>IF(C924="","","Ativos Ilíquidos")</f>
        <v/>
      </c>
      <c r="B924" s="134" t="str">
        <f>IF(C924="","","Alternativos")</f>
        <v/>
      </c>
      <c r="C924" s="134" t="str">
        <f>IF('09 Ativos Ilíquidos'!A67="","",'09 Ativos Ilíquidos'!A67&amp;"")</f>
        <v/>
      </c>
      <c r="D924" s="134" t="str">
        <f>IF(C924="","",'09 Ativos Ilíquidos'!B67&amp;"")</f>
        <v/>
      </c>
      <c r="E924" s="134" t="str">
        <f>IF(C924="","","Ativos Ilíquidos")</f>
        <v/>
      </c>
      <c r="F924" s="134" t="str">
        <f>IF(C924="","",'09 Ativos Ilíquidos'!Q67)</f>
        <v/>
      </c>
      <c r="G924" s="135" t="n"/>
      <c r="H924" s="136" t="n"/>
      <c r="I924" s="137" t="str">
        <f>IF(C924="","",'09 Ativos Ilíquidos'!F67)</f>
        <v/>
      </c>
      <c r="J924" s="138" t="str">
        <f>IF(C924="","",'09 Ativos Ilíquidos'!H67)</f>
        <v/>
      </c>
      <c r="K924" s="138" t="str">
        <f>IF(C924="","",'09 Ativos Ilíquidos'!N67)</f>
        <v/>
      </c>
      <c r="L924" s="135" t="n"/>
      <c r="M924" s="138" t="str">
        <f>IF(C924="","",'09 Ativos Ilíquidos'!O67)</f>
        <v/>
      </c>
      <c r="N924" s="139" t="str">
        <f>IF(C924="","",IF($J$3&gt;0,J924/$J$3,0))</f>
        <v/>
      </c>
      <c r="O924" s="134" t="str">
        <f>IF(C924="","","Manual")</f>
        <v/>
      </c>
      <c r="P924" s="140" t="str">
        <f>IF(C924="","",IF(N(J924)&gt;0,J924+ROW()/1E9,""))</f>
        <v/>
      </c>
      <c r="Q924" s="140" t="str">
        <f>IF(C924="","",IF(N(M924)&gt;0,M924+ROW()/1E9,""))</f>
        <v/>
      </c>
    </row>
    <row r="925">
      <c r="A925" s="141" t="str">
        <f>IF(C925="","","Ativos Ilíquidos")</f>
        <v/>
      </c>
      <c r="B925" s="141" t="str">
        <f>IF(C925="","","Alternativos")</f>
        <v/>
      </c>
      <c r="C925" s="141" t="str">
        <f>IF('09 Ativos Ilíquidos'!A68="","",'09 Ativos Ilíquidos'!A68&amp;"")</f>
        <v/>
      </c>
      <c r="D925" s="141" t="str">
        <f>IF(C925="","",'09 Ativos Ilíquidos'!B68&amp;"")</f>
        <v/>
      </c>
      <c r="E925" s="141" t="str">
        <f>IF(C925="","","Ativos Ilíquidos")</f>
        <v/>
      </c>
      <c r="F925" s="141" t="str">
        <f>IF(C925="","",'09 Ativos Ilíquidos'!Q68)</f>
        <v/>
      </c>
      <c r="G925" s="142" t="n"/>
      <c r="H925" s="143" t="n"/>
      <c r="I925" s="144" t="str">
        <f>IF(C925="","",'09 Ativos Ilíquidos'!F68)</f>
        <v/>
      </c>
      <c r="J925" s="145" t="str">
        <f>IF(C925="","",'09 Ativos Ilíquidos'!H68)</f>
        <v/>
      </c>
      <c r="K925" s="145" t="str">
        <f>IF(C925="","",'09 Ativos Ilíquidos'!N68)</f>
        <v/>
      </c>
      <c r="L925" s="142" t="n"/>
      <c r="M925" s="145" t="str">
        <f>IF(C925="","",'09 Ativos Ilíquidos'!O68)</f>
        <v/>
      </c>
      <c r="N925" s="146" t="str">
        <f>IF(C925="","",IF($J$3&gt;0,J925/$J$3,0))</f>
        <v/>
      </c>
      <c r="O925" s="141" t="str">
        <f>IF(C925="","","Manual")</f>
        <v/>
      </c>
      <c r="P925" s="147" t="str">
        <f>IF(C925="","",IF(N(J925)&gt;0,J925+ROW()/1E9,""))</f>
        <v/>
      </c>
      <c r="Q925" s="147" t="str">
        <f>IF(C925="","",IF(N(M925)&gt;0,M925+ROW()/1E9,""))</f>
        <v/>
      </c>
    </row>
  </sheetData>
  <autoFilter ref="A5:Q925"/>
  <hyperlinks>
    <hyperlink ref="Q1" location="'01 Dashboard'!A1" display="◄ Dashboard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HOLDER PREMIUM</dc:creator>
  <dc:title xmlns:dc="http://purl.org/dc/elements/1.1/">HOLDER PREMIUM - Realocação por Aportes</dc:title>
  <dcterms:created xmlns:dcterms="http://purl.org/dc/terms/" xmlns:xsi="http://www.w3.org/2001/XMLSchema-instance" xsi:type="dcterms:W3CDTF">2026-10-20T11:24:37Z</dcterms:created>
  <dcterms:modified xmlns:dcterms="http://purl.org/dc/terms/" xmlns:xsi="http://www.w3.org/2001/XMLSchema-instance" xsi:type="dcterms:W3CDTF">2026-10-20T11:24:41Z</dcterms:modified>
</cp:coreProperties>
</file>